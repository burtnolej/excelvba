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f55758ba3b415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elox Financial Technology\Velox Shared Drive - Documents\General\Tools\"/>
    </mc:Choice>
  </mc:AlternateContent>
  <xr:revisionPtr revIDLastSave="0" documentId="13_ncr:1_{D508451D-DB5D-4E5B-9549-7E4F4C2A05F9}" xr6:coauthVersionLast="47" xr6:coauthVersionMax="47" xr10:uidLastSave="{00000000-0000-0000-0000-000000000000}"/>
  <bookViews>
    <workbookView xWindow="-108" yWindow="-108" windowWidth="30936" windowHeight="16776" tabRatio="744" xr2:uid="{1B60AE96-2538-4F60-B0B3-549A9B294BA8}"/>
  </bookViews>
  <sheets>
    <sheet name="RawData" sheetId="1" r:id="rId1"/>
    <sheet name="Persist" sheetId="17" r:id="rId2"/>
    <sheet name="AddAppointment" sheetId="16" r:id="rId3"/>
    <sheet name="RawData_062023" sheetId="13" r:id="rId4"/>
    <sheet name="ResultCalendar" sheetId="2" r:id="rId5"/>
    <sheet name="HistoryResultStats" sheetId="5" r:id="rId6"/>
    <sheet name="Reference" sheetId="12" r:id="rId7"/>
    <sheet name="ResultStats" sheetId="11" r:id="rId8"/>
    <sheet name="Monday Data" sheetId="15" r:id="rId9"/>
  </sheets>
  <functionGroups builtInGroupCount="19"/>
  <definedNames>
    <definedName name="_xlnm._FilterDatabase" localSheetId="5" hidden="1">HistoryResultStats!$BA$5:$BI$297</definedName>
    <definedName name="_xlnm._FilterDatabase" localSheetId="0" hidden="1">RawData!$A$2:$R$67</definedName>
    <definedName name="_xlnm._FilterDatabase" localSheetId="6" hidden="1">Reference!$J$4:$L$4</definedName>
    <definedName name="_xlnm._FilterDatabase" localSheetId="4" hidden="1">ResultCalendar!$A$1:$S$3001</definedName>
    <definedName name="action__addcalendaritemval">Persist!$B$17</definedName>
    <definedName name="action__addcolorcodingval">Persist!$B$22</definedName>
    <definedName name="action__loadappointmentsval">Persist!$A$2</definedName>
    <definedName name="action__refreshmondayval">Persist!$B$3</definedName>
    <definedName name="action__updateitemsval">Persist!$B$1</definedName>
    <definedName name="ADD_CATEGORY">RawData!$V$14</definedName>
    <definedName name="ADD_DURATION">RawData!$V$11</definedName>
    <definedName name="ADD_LOCATION">RawData!$V$13</definedName>
    <definedName name="ADD_START_DATE">RawData!$V$9</definedName>
    <definedName name="ADD_START_TIME">RawData!$V$10</definedName>
    <definedName name="ADD_SUBJECT">RawData!$V$15</definedName>
    <definedName name="additem__addcalendaritemval">Persist!$B$21</definedName>
    <definedName name="additem__categoryval">Persist!$B$15</definedName>
    <definedName name="additem__durationval">Persist!$B$20</definedName>
    <definedName name="additem__mondayitemidval">Persist!$B$19</definedName>
    <definedName name="additem__mondayitemval">Persist!$B$14</definedName>
    <definedName name="additem__mondaysubitemidval">Persist!$B$18</definedName>
    <definedName name="additem__mondaysubitemval">Persist!$B$16</definedName>
    <definedName name="additem__startdateval">Persist!$B$11</definedName>
    <definedName name="additem__starttimeval">Persist!$B$12</definedName>
    <definedName name="additem__subjectval">Persist!$B$13</definedName>
    <definedName name="admin__checkinchangesval">Persist!$B$23</definedName>
    <definedName name="CATEGORIES">RawData!$B$3:$B$8577</definedName>
    <definedName name="CATEGORY_DEFN">Reference!$J$5:$P$30</definedName>
    <definedName name="CATEGORY_LIST">Reference!$V$7:$V$18</definedName>
    <definedName name="CATEGORY_LOOKUP">Reference!$J$5:$J$30</definedName>
    <definedName name="DATA">RawData!$A$3:$G$8577</definedName>
    <definedName name="DATA_BOARDID">#REF!</definedName>
    <definedName name="DATA_BOARDNAMES">#REF!</definedName>
    <definedName name="DURATION">RawData!$C$3:$C$8577</definedName>
    <definedName name="END">RawData!$G$3:$G$8577</definedName>
    <definedName name="ENDHOUR">RawData!$J$3:$J$8577</definedName>
    <definedName name="ENDMINUTE">RawData!$K$3:$K$8577</definedName>
    <definedName name="LOCATION">RawData!$E$3:$E$8577</definedName>
    <definedName name="MAILBOX_OWNER">RawData!$N$1</definedName>
    <definedName name="MONDAY_ITEMID">'Monday Data'!$G$2:$G$2648</definedName>
    <definedName name="MONDAY_ITEMS">'Monday Data'!$D$2:$D$2648</definedName>
    <definedName name="MONDAY_ITEMS_DISPLAY">'Monday Data'!$R$3:$R$240</definedName>
    <definedName name="MONDAY_SUBITEMS">'Monday Data'!$E$2:$E$2648</definedName>
    <definedName name="MONDAY_SUBITEMS_DISPLAY">'Monday Data'!$X$3:$X$243</definedName>
    <definedName name="MONTH">ResultCalendar!$P$2:$P$2672</definedName>
    <definedName name="ORGANIZER">RawData!$O$3:$O$2673</definedName>
    <definedName name="persistdata">Persist!$A$1:$B$21</definedName>
    <definedName name="QUERYENDDATE">RawData!$B$1</definedName>
    <definedName name="QUERYNUMRESULTS">RawData!$Q$1</definedName>
    <definedName name="QUERYSTARTDATE">RawData!$D$1</definedName>
    <definedName name="RAWDATA_CURRENT_ITEM_CATEGORY">RawData!$B$3:$B$250</definedName>
    <definedName name="RAWDATA_CURRENT_ITEM_LOCATION">RawData!$E$3:$E$250</definedName>
    <definedName name="RAWDATA_SUBJECT">RawData!$A$3:$A$250</definedName>
    <definedName name="RAWDATA_UPDATE_ITEM_CATEGORY">RawData!$Q$3:$Q$250</definedName>
    <definedName name="RAWDATA_UPDATE_ITEM_ID">RawData!$P$3:$P$250</definedName>
    <definedName name="RAWDATA_UPDATE_ITEM_LOCATION">RawData!$R$3:$R$250</definedName>
    <definedName name="RECIPIENT">RawData!$N$3:$N$2673</definedName>
    <definedName name="RECURRENCE">RawData!$D$3:$D$8577</definedName>
    <definedName name="RESULT">ResultCalendar!$A$2:$I$2672</definedName>
    <definedName name="RESULT_CATEGORIES">ResultCalendar!$D$2:$D$2672</definedName>
    <definedName name="RESULT_DAY">ResultCalendar!$I$2:$I$2672</definedName>
    <definedName name="RESULT_DURATION">ResultCalendar!$C$2:$C$2672</definedName>
    <definedName name="RESULT_START">ResultCalendar!$J$2:$J$2672</definedName>
    <definedName name="RESULT_STARTMIN">ResultCalendar!$L$2:$L$2672</definedName>
    <definedName name="RESULT_SUBJECT">ResultCalendar!$A$2:$A$2672</definedName>
    <definedName name="RESULTLOCATION">ResultCalendar!$H$2:$H$2672</definedName>
    <definedName name="ribbonpointerval">Persist!$B$9</definedName>
    <definedName name="RUNDATE">RawData!$A$1</definedName>
    <definedName name="settings__enddateval">Persist!$B$6</definedName>
    <definedName name="settings__offsetval">Persist!$B$5</definedName>
    <definedName name="settings__startdateval">Persist!$B$4</definedName>
    <definedName name="START">RawData!$F$3:$F$8577</definedName>
    <definedName name="STARTHOUR">RawData!$H$3:$H$8577</definedName>
    <definedName name="STARTMINUTE">RawData!$I$3:$I$8577</definedName>
    <definedName name="STARTYEAR">RawData!$L$3:$L$8577</definedName>
    <definedName name="STATUS">RawData!$M$3:$M$8577</definedName>
    <definedName name="useremail__alisonhoodval">Persist!$B$8</definedName>
    <definedName name="useremail__jonbutlerval">Persist!$B$7</definedName>
    <definedName name="useremailval">Persist!$B$10</definedName>
    <definedName name="USERS">Reference!$C$6:$C$6</definedName>
    <definedName name="WEEK">ResultCalendar!$F$2:$F$2672</definedName>
    <definedName name="WEEKDAY">ResultCalendar!$I$2:$I$2672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17" l="1"/>
  <c r="B19" i="17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3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3" i="15"/>
  <c r="V64" i="15"/>
  <c r="V66" i="15"/>
  <c r="V7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0" i="15"/>
  <c r="V69" i="15"/>
  <c r="V68" i="15"/>
  <c r="V67" i="15"/>
  <c r="V65" i="15"/>
  <c r="V63" i="15"/>
  <c r="V62" i="15"/>
  <c r="T3" i="15" a="1"/>
  <c r="T3" i="15" s="1"/>
  <c r="W3" i="15" s="1"/>
  <c r="O3" i="15" a="1"/>
  <c r="O3" i="15" s="1"/>
  <c r="P3" i="15" s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3" i="1"/>
  <c r="B6" i="17"/>
  <c r="W17" i="15" l="1"/>
  <c r="W16" i="15"/>
  <c r="W51" i="15"/>
  <c r="W39" i="15"/>
  <c r="W27" i="15"/>
  <c r="W15" i="15"/>
  <c r="W40" i="15"/>
  <c r="W50" i="15"/>
  <c r="W38" i="15"/>
  <c r="W26" i="15"/>
  <c r="W14" i="15"/>
  <c r="W52" i="15"/>
  <c r="W28" i="15"/>
  <c r="W4" i="15"/>
  <c r="W61" i="15"/>
  <c r="W49" i="15"/>
  <c r="W37" i="15"/>
  <c r="W25" i="15"/>
  <c r="W13" i="15"/>
  <c r="W60" i="15"/>
  <c r="W48" i="15"/>
  <c r="W36" i="15"/>
  <c r="W24" i="15"/>
  <c r="W12" i="15"/>
  <c r="W59" i="15"/>
  <c r="W47" i="15"/>
  <c r="W35" i="15"/>
  <c r="W23" i="15"/>
  <c r="W11" i="15"/>
  <c r="W41" i="15"/>
  <c r="W58" i="15"/>
  <c r="W46" i="15"/>
  <c r="W34" i="15"/>
  <c r="W22" i="15"/>
  <c r="W10" i="15"/>
  <c r="W5" i="15"/>
  <c r="W57" i="15"/>
  <c r="W45" i="15"/>
  <c r="W33" i="15"/>
  <c r="W21" i="15"/>
  <c r="W9" i="15"/>
  <c r="W29" i="15"/>
  <c r="W56" i="15"/>
  <c r="W44" i="15"/>
  <c r="W32" i="15"/>
  <c r="W20" i="15"/>
  <c r="W8" i="15"/>
  <c r="W53" i="15"/>
  <c r="W55" i="15"/>
  <c r="W43" i="15"/>
  <c r="W31" i="15"/>
  <c r="W19" i="15"/>
  <c r="W7" i="15"/>
  <c r="W54" i="15"/>
  <c r="W42" i="15"/>
  <c r="W30" i="15"/>
  <c r="W18" i="15"/>
  <c r="W6" i="15"/>
  <c r="U3" i="15"/>
  <c r="V3" i="15" s="1"/>
  <c r="X3" i="15" s="1"/>
  <c r="U50" i="15"/>
  <c r="V50" i="15" s="1"/>
  <c r="X50" i="15" s="1"/>
  <c r="U38" i="15"/>
  <c r="V38" i="15" s="1"/>
  <c r="U26" i="15"/>
  <c r="V26" i="15" s="1"/>
  <c r="X26" i="15" s="1"/>
  <c r="U14" i="15"/>
  <c r="V14" i="15" s="1"/>
  <c r="X14" i="15" s="1"/>
  <c r="U40" i="15"/>
  <c r="V40" i="15" s="1"/>
  <c r="X40" i="15" s="1"/>
  <c r="U28" i="15"/>
  <c r="V28" i="15" s="1"/>
  <c r="U39" i="15"/>
  <c r="V39" i="15" s="1"/>
  <c r="X39" i="15" s="1"/>
  <c r="U61" i="15"/>
  <c r="V61" i="15" s="1"/>
  <c r="X61" i="15" s="1"/>
  <c r="U49" i="15"/>
  <c r="V49" i="15" s="1"/>
  <c r="X49" i="15" s="1"/>
  <c r="U37" i="15"/>
  <c r="V37" i="15" s="1"/>
  <c r="X37" i="15" s="1"/>
  <c r="U25" i="15"/>
  <c r="V25" i="15" s="1"/>
  <c r="X25" i="15" s="1"/>
  <c r="U13" i="15"/>
  <c r="V13" i="15" s="1"/>
  <c r="X13" i="15" s="1"/>
  <c r="U4" i="15"/>
  <c r="V4" i="15" s="1"/>
  <c r="X4" i="15" s="1"/>
  <c r="U27" i="15"/>
  <c r="V27" i="15" s="1"/>
  <c r="X27" i="15" s="1"/>
  <c r="U60" i="15"/>
  <c r="V60" i="15" s="1"/>
  <c r="X60" i="15" s="1"/>
  <c r="U48" i="15"/>
  <c r="V48" i="15" s="1"/>
  <c r="X48" i="15" s="1"/>
  <c r="U36" i="15"/>
  <c r="V36" i="15" s="1"/>
  <c r="X36" i="15" s="1"/>
  <c r="U24" i="15"/>
  <c r="V24" i="15" s="1"/>
  <c r="X24" i="15" s="1"/>
  <c r="U12" i="15"/>
  <c r="V12" i="15" s="1"/>
  <c r="X12" i="15" s="1"/>
  <c r="U59" i="15"/>
  <c r="V59" i="15" s="1"/>
  <c r="X59" i="15" s="1"/>
  <c r="U47" i="15"/>
  <c r="V47" i="15" s="1"/>
  <c r="X47" i="15" s="1"/>
  <c r="U35" i="15"/>
  <c r="V35" i="15" s="1"/>
  <c r="X35" i="15" s="1"/>
  <c r="U23" i="15"/>
  <c r="V23" i="15" s="1"/>
  <c r="X23" i="15" s="1"/>
  <c r="U11" i="15"/>
  <c r="V11" i="15" s="1"/>
  <c r="X11" i="15" s="1"/>
  <c r="U16" i="15"/>
  <c r="V16" i="15" s="1"/>
  <c r="X16" i="15" s="1"/>
  <c r="U15" i="15"/>
  <c r="V15" i="15" s="1"/>
  <c r="X15" i="15" s="1"/>
  <c r="U58" i="15"/>
  <c r="V58" i="15" s="1"/>
  <c r="U46" i="15"/>
  <c r="V46" i="15" s="1"/>
  <c r="X46" i="15" s="1"/>
  <c r="U34" i="15"/>
  <c r="V34" i="15" s="1"/>
  <c r="X34" i="15" s="1"/>
  <c r="U22" i="15"/>
  <c r="V22" i="15" s="1"/>
  <c r="U10" i="15"/>
  <c r="V10" i="15" s="1"/>
  <c r="X10" i="15" s="1"/>
  <c r="U51" i="15"/>
  <c r="V51" i="15" s="1"/>
  <c r="X51" i="15" s="1"/>
  <c r="U57" i="15"/>
  <c r="V57" i="15" s="1"/>
  <c r="U45" i="15"/>
  <c r="V45" i="15" s="1"/>
  <c r="U33" i="15"/>
  <c r="V33" i="15" s="1"/>
  <c r="U21" i="15"/>
  <c r="V21" i="15" s="1"/>
  <c r="X21" i="15" s="1"/>
  <c r="U9" i="15"/>
  <c r="V9" i="15" s="1"/>
  <c r="X9" i="15" s="1"/>
  <c r="U56" i="15"/>
  <c r="V56" i="15" s="1"/>
  <c r="X56" i="15" s="1"/>
  <c r="U44" i="15"/>
  <c r="V44" i="15" s="1"/>
  <c r="X44" i="15" s="1"/>
  <c r="U32" i="15"/>
  <c r="V32" i="15" s="1"/>
  <c r="U20" i="15"/>
  <c r="V20" i="15" s="1"/>
  <c r="X20" i="15" s="1"/>
  <c r="U8" i="15"/>
  <c r="V8" i="15" s="1"/>
  <c r="U55" i="15"/>
  <c r="V55" i="15" s="1"/>
  <c r="U43" i="15"/>
  <c r="V43" i="15" s="1"/>
  <c r="U31" i="15"/>
  <c r="V31" i="15" s="1"/>
  <c r="X31" i="15" s="1"/>
  <c r="U19" i="15"/>
  <c r="V19" i="15" s="1"/>
  <c r="X19" i="15" s="1"/>
  <c r="U7" i="15"/>
  <c r="V7" i="15" s="1"/>
  <c r="X7" i="15" s="1"/>
  <c r="U54" i="15"/>
  <c r="V54" i="15" s="1"/>
  <c r="X54" i="15" s="1"/>
  <c r="U42" i="15"/>
  <c r="V42" i="15" s="1"/>
  <c r="X42" i="15" s="1"/>
  <c r="U30" i="15"/>
  <c r="V30" i="15" s="1"/>
  <c r="U18" i="15"/>
  <c r="V18" i="15" s="1"/>
  <c r="U6" i="15"/>
  <c r="V6" i="15" s="1"/>
  <c r="U52" i="15"/>
  <c r="V52" i="15" s="1"/>
  <c r="X52" i="15" s="1"/>
  <c r="U53" i="15"/>
  <c r="V53" i="15" s="1"/>
  <c r="X53" i="15" s="1"/>
  <c r="U41" i="15"/>
  <c r="V41" i="15" s="1"/>
  <c r="X41" i="15" s="1"/>
  <c r="U29" i="15"/>
  <c r="V29" i="15" s="1"/>
  <c r="U17" i="15"/>
  <c r="V17" i="15" s="1"/>
  <c r="X17" i="15" s="1"/>
  <c r="U5" i="15"/>
  <c r="V5" i="15" s="1"/>
  <c r="X5" i="15" s="1"/>
  <c r="P171" i="15"/>
  <c r="P147" i="15"/>
  <c r="P123" i="15"/>
  <c r="P99" i="15"/>
  <c r="P87" i="15"/>
  <c r="P75" i="15"/>
  <c r="P122" i="15"/>
  <c r="P62" i="15"/>
  <c r="P145" i="15"/>
  <c r="P97" i="15"/>
  <c r="P61" i="15"/>
  <c r="P37" i="15"/>
  <c r="P180" i="15"/>
  <c r="P168" i="15"/>
  <c r="P156" i="15"/>
  <c r="P144" i="15"/>
  <c r="P132" i="15"/>
  <c r="P120" i="15"/>
  <c r="P108" i="15"/>
  <c r="P96" i="15"/>
  <c r="P84" i="15"/>
  <c r="P72" i="15"/>
  <c r="P60" i="15"/>
  <c r="P48" i="15"/>
  <c r="P36" i="15"/>
  <c r="P24" i="15"/>
  <c r="P12" i="15"/>
  <c r="P179" i="15"/>
  <c r="P167" i="15"/>
  <c r="P155" i="15"/>
  <c r="P143" i="15"/>
  <c r="P131" i="15"/>
  <c r="P119" i="15"/>
  <c r="P107" i="15"/>
  <c r="P95" i="15"/>
  <c r="P83" i="15"/>
  <c r="P71" i="15"/>
  <c r="P59" i="15"/>
  <c r="P47" i="15"/>
  <c r="P35" i="15"/>
  <c r="P23" i="15"/>
  <c r="P11" i="15"/>
  <c r="P178" i="15"/>
  <c r="P166" i="15"/>
  <c r="P154" i="15"/>
  <c r="P142" i="15"/>
  <c r="P130" i="15"/>
  <c r="P118" i="15"/>
  <c r="P106" i="15"/>
  <c r="P94" i="15"/>
  <c r="P82" i="15"/>
  <c r="P70" i="15"/>
  <c r="P58" i="15"/>
  <c r="P46" i="15"/>
  <c r="P34" i="15"/>
  <c r="P22" i="15"/>
  <c r="P10" i="15"/>
  <c r="P177" i="15"/>
  <c r="P165" i="15"/>
  <c r="P153" i="15"/>
  <c r="P141" i="15"/>
  <c r="P129" i="15"/>
  <c r="P117" i="15"/>
  <c r="P105" i="15"/>
  <c r="P93" i="15"/>
  <c r="P81" i="15"/>
  <c r="P69" i="15"/>
  <c r="P57" i="15"/>
  <c r="P45" i="15"/>
  <c r="P33" i="15"/>
  <c r="P21" i="15"/>
  <c r="P9" i="15"/>
  <c r="P39" i="15"/>
  <c r="P158" i="15"/>
  <c r="P50" i="15"/>
  <c r="P169" i="15"/>
  <c r="P109" i="15"/>
  <c r="P73" i="15"/>
  <c r="P13" i="15"/>
  <c r="P176" i="15"/>
  <c r="P164" i="15"/>
  <c r="P152" i="15"/>
  <c r="P140" i="15"/>
  <c r="P128" i="15"/>
  <c r="P116" i="15"/>
  <c r="P104" i="15"/>
  <c r="P92" i="15"/>
  <c r="P80" i="15"/>
  <c r="P68" i="15"/>
  <c r="P56" i="15"/>
  <c r="P44" i="15"/>
  <c r="P32" i="15"/>
  <c r="P20" i="15"/>
  <c r="P8" i="15"/>
  <c r="P135" i="15"/>
  <c r="P27" i="15"/>
  <c r="P146" i="15"/>
  <c r="P98" i="15"/>
  <c r="P74" i="15"/>
  <c r="P38" i="15"/>
  <c r="P157" i="15"/>
  <c r="P121" i="15"/>
  <c r="P85" i="15"/>
  <c r="P49" i="15"/>
  <c r="P175" i="15"/>
  <c r="P163" i="15"/>
  <c r="P151" i="15"/>
  <c r="P139" i="15"/>
  <c r="P127" i="15"/>
  <c r="P115" i="15"/>
  <c r="P103" i="15"/>
  <c r="P91" i="15"/>
  <c r="P79" i="15"/>
  <c r="P67" i="15"/>
  <c r="P55" i="15"/>
  <c r="P43" i="15"/>
  <c r="P31" i="15"/>
  <c r="P19" i="15"/>
  <c r="P7" i="15"/>
  <c r="P159" i="15"/>
  <c r="P111" i="15"/>
  <c r="P63" i="15"/>
  <c r="P170" i="15"/>
  <c r="P110" i="15"/>
  <c r="P86" i="15"/>
  <c r="P14" i="15"/>
  <c r="P133" i="15"/>
  <c r="P25" i="15"/>
  <c r="P174" i="15"/>
  <c r="P162" i="15"/>
  <c r="P150" i="15"/>
  <c r="P138" i="15"/>
  <c r="P126" i="15"/>
  <c r="P114" i="15"/>
  <c r="P102" i="15"/>
  <c r="P90" i="15"/>
  <c r="P78" i="15"/>
  <c r="P66" i="15"/>
  <c r="P54" i="15"/>
  <c r="P42" i="15"/>
  <c r="P30" i="15"/>
  <c r="P18" i="15"/>
  <c r="P6" i="15"/>
  <c r="P51" i="15"/>
  <c r="P173" i="15"/>
  <c r="P161" i="15"/>
  <c r="P149" i="15"/>
  <c r="P137" i="15"/>
  <c r="P125" i="15"/>
  <c r="P113" i="15"/>
  <c r="P101" i="15"/>
  <c r="P89" i="15"/>
  <c r="P77" i="15"/>
  <c r="P65" i="15"/>
  <c r="P53" i="15"/>
  <c r="P41" i="15"/>
  <c r="P29" i="15"/>
  <c r="P17" i="15"/>
  <c r="P5" i="15"/>
  <c r="P15" i="15"/>
  <c r="P134" i="15"/>
  <c r="P26" i="15"/>
  <c r="P172" i="15"/>
  <c r="P160" i="15"/>
  <c r="P148" i="15"/>
  <c r="P136" i="15"/>
  <c r="P124" i="15"/>
  <c r="P112" i="15"/>
  <c r="P100" i="15"/>
  <c r="P88" i="15"/>
  <c r="P76" i="15"/>
  <c r="P64" i="15"/>
  <c r="P52" i="15"/>
  <c r="P40" i="15"/>
  <c r="P28" i="15"/>
  <c r="P16" i="15"/>
  <c r="P4" i="15"/>
  <c r="V6" i="12" a="1"/>
  <c r="V6" i="12" s="1"/>
  <c r="B6" i="11"/>
  <c r="B6" i="11" a="1"/>
  <c r="C4" i="11"/>
  <c r="C13" i="11" s="1"/>
  <c r="L3" i="11"/>
  <c r="BA297" i="5"/>
  <c r="BA297" i="5" a="1"/>
  <c r="BA296" i="5"/>
  <c r="BA296" i="5" a="1"/>
  <c r="BA295" i="5"/>
  <c r="BA295" i="5" a="1"/>
  <c r="BA294" i="5"/>
  <c r="BA294" i="5" a="1"/>
  <c r="BA293" i="5"/>
  <c r="BA293" i="5" a="1"/>
  <c r="BA292" i="5"/>
  <c r="BA292" i="5" a="1"/>
  <c r="BA291" i="5"/>
  <c r="BA291" i="5" a="1"/>
  <c r="BA290" i="5"/>
  <c r="BA290" i="5" a="1"/>
  <c r="BA289" i="5"/>
  <c r="BA289" i="5" a="1"/>
  <c r="BA288" i="5"/>
  <c r="BA288" i="5" a="1"/>
  <c r="BA287" i="5"/>
  <c r="BA287" i="5" a="1"/>
  <c r="BA286" i="5"/>
  <c r="BA286" i="5" a="1"/>
  <c r="BA285" i="5"/>
  <c r="BA285" i="5" a="1"/>
  <c r="BA284" i="5"/>
  <c r="BA284" i="5" a="1"/>
  <c r="BA283" i="5"/>
  <c r="BA283" i="5" a="1"/>
  <c r="BA282" i="5"/>
  <c r="BA282" i="5" a="1"/>
  <c r="BA281" i="5"/>
  <c r="BA281" i="5" a="1"/>
  <c r="BA280" i="5"/>
  <c r="BA280" i="5" a="1"/>
  <c r="BC279" i="5"/>
  <c r="BC279" i="5" a="1"/>
  <c r="BB279" i="5"/>
  <c r="BB279" i="5" a="1"/>
  <c r="BA279" i="5"/>
  <c r="BA279" i="5" a="1"/>
  <c r="BI278" i="5"/>
  <c r="BI278" i="5" a="1"/>
  <c r="BH278" i="5"/>
  <c r="BH278" i="5" a="1"/>
  <c r="BE278" i="5"/>
  <c r="BE278" i="5" a="1"/>
  <c r="BD278" i="5"/>
  <c r="BC278" i="5"/>
  <c r="BC278" i="5" a="1"/>
  <c r="BB278" i="5"/>
  <c r="BB278" i="5" a="1"/>
  <c r="BA278" i="5"/>
  <c r="BA278" i="5" a="1"/>
  <c r="BI277" i="5"/>
  <c r="BI277" i="5" a="1"/>
  <c r="BH277" i="5"/>
  <c r="BH277" i="5" a="1"/>
  <c r="BE277" i="5"/>
  <c r="BE277" i="5" a="1"/>
  <c r="BD277" i="5"/>
  <c r="BC277" i="5"/>
  <c r="BC277" i="5" a="1"/>
  <c r="BB277" i="5"/>
  <c r="BB277" i="5" a="1"/>
  <c r="BA277" i="5"/>
  <c r="BA277" i="5" a="1"/>
  <c r="BI276" i="5"/>
  <c r="BI276" i="5" a="1"/>
  <c r="BH276" i="5"/>
  <c r="BH276" i="5" a="1"/>
  <c r="BE276" i="5"/>
  <c r="BE276" i="5" a="1"/>
  <c r="BD276" i="5"/>
  <c r="BC276" i="5"/>
  <c r="BC276" i="5" a="1"/>
  <c r="BB276" i="5"/>
  <c r="BB276" i="5" a="1"/>
  <c r="BA276" i="5"/>
  <c r="BA276" i="5" a="1"/>
  <c r="BI275" i="5"/>
  <c r="BI275" i="5" a="1"/>
  <c r="BH275" i="5"/>
  <c r="BH275" i="5" a="1"/>
  <c r="BE275" i="5"/>
  <c r="BE275" i="5" a="1"/>
  <c r="BD275" i="5"/>
  <c r="BC275" i="5"/>
  <c r="BC275" i="5" a="1"/>
  <c r="BB275" i="5"/>
  <c r="BB275" i="5" a="1"/>
  <c r="BA275" i="5"/>
  <c r="BA275" i="5" a="1"/>
  <c r="BI274" i="5"/>
  <c r="BI274" i="5" a="1"/>
  <c r="BH274" i="5"/>
  <c r="BH274" i="5" a="1"/>
  <c r="BE274" i="5"/>
  <c r="BE274" i="5" a="1"/>
  <c r="BD274" i="5"/>
  <c r="BC274" i="5"/>
  <c r="BC274" i="5" a="1"/>
  <c r="BB274" i="5"/>
  <c r="BB274" i="5" a="1"/>
  <c r="BA274" i="5"/>
  <c r="BA274" i="5" a="1"/>
  <c r="BI273" i="5"/>
  <c r="BI273" i="5" a="1"/>
  <c r="BH273" i="5"/>
  <c r="BH273" i="5" a="1"/>
  <c r="BE273" i="5"/>
  <c r="BE273" i="5" a="1"/>
  <c r="BD273" i="5"/>
  <c r="BC273" i="5"/>
  <c r="BC273" i="5" a="1"/>
  <c r="BB273" i="5"/>
  <c r="BB273" i="5" a="1"/>
  <c r="BA273" i="5"/>
  <c r="BA273" i="5" a="1"/>
  <c r="BI272" i="5"/>
  <c r="BI272" i="5" a="1"/>
  <c r="BH272" i="5"/>
  <c r="BH272" i="5" a="1"/>
  <c r="BE272" i="5"/>
  <c r="BE272" i="5" a="1"/>
  <c r="BD272" i="5"/>
  <c r="BC272" i="5"/>
  <c r="BC272" i="5" a="1"/>
  <c r="BB272" i="5"/>
  <c r="BB272" i="5" a="1"/>
  <c r="BA272" i="5"/>
  <c r="BA272" i="5" a="1"/>
  <c r="BI271" i="5"/>
  <c r="BI271" i="5" a="1"/>
  <c r="BH271" i="5"/>
  <c r="BH271" i="5" a="1"/>
  <c r="BE271" i="5"/>
  <c r="BE271" i="5" a="1"/>
  <c r="BD271" i="5"/>
  <c r="BC271" i="5"/>
  <c r="BC271" i="5" a="1"/>
  <c r="BB271" i="5"/>
  <c r="BB271" i="5" a="1"/>
  <c r="BA271" i="5"/>
  <c r="BA271" i="5" a="1"/>
  <c r="BI270" i="5"/>
  <c r="BI270" i="5" a="1"/>
  <c r="BH270" i="5"/>
  <c r="BH270" i="5" a="1"/>
  <c r="BE270" i="5"/>
  <c r="BE270" i="5" a="1"/>
  <c r="BD270" i="5"/>
  <c r="BC270" i="5"/>
  <c r="BC270" i="5" a="1"/>
  <c r="BB270" i="5"/>
  <c r="BB270" i="5" a="1"/>
  <c r="BA270" i="5"/>
  <c r="BA270" i="5" a="1"/>
  <c r="BI269" i="5"/>
  <c r="BI269" i="5" a="1"/>
  <c r="BH269" i="5"/>
  <c r="BH269" i="5" a="1"/>
  <c r="BE269" i="5"/>
  <c r="BE269" i="5" a="1"/>
  <c r="BD269" i="5"/>
  <c r="BC269" i="5"/>
  <c r="BC269" i="5" a="1"/>
  <c r="BB269" i="5"/>
  <c r="BB269" i="5" a="1"/>
  <c r="BA269" i="5"/>
  <c r="BA269" i="5" a="1"/>
  <c r="BI268" i="5"/>
  <c r="BI268" i="5" a="1"/>
  <c r="BH268" i="5"/>
  <c r="BH268" i="5" a="1"/>
  <c r="BE268" i="5"/>
  <c r="BE268" i="5" a="1"/>
  <c r="BD268" i="5"/>
  <c r="BC268" i="5"/>
  <c r="BC268" i="5" a="1"/>
  <c r="BB268" i="5"/>
  <c r="BB268" i="5" a="1"/>
  <c r="BA268" i="5"/>
  <c r="BA268" i="5" a="1"/>
  <c r="BI267" i="5"/>
  <c r="BI267" i="5" a="1"/>
  <c r="BH267" i="5"/>
  <c r="BH267" i="5" a="1"/>
  <c r="BE267" i="5"/>
  <c r="BE267" i="5" a="1"/>
  <c r="BD267" i="5"/>
  <c r="BC267" i="5"/>
  <c r="BC267" i="5" a="1"/>
  <c r="BB267" i="5"/>
  <c r="BB267" i="5" a="1"/>
  <c r="BA267" i="5"/>
  <c r="BA267" i="5" a="1"/>
  <c r="BI266" i="5"/>
  <c r="BI266" i="5" a="1"/>
  <c r="BH266" i="5"/>
  <c r="BH266" i="5" a="1"/>
  <c r="BE266" i="5"/>
  <c r="BE266" i="5" a="1"/>
  <c r="BD266" i="5"/>
  <c r="BC266" i="5"/>
  <c r="BC266" i="5" a="1"/>
  <c r="BB266" i="5"/>
  <c r="BB266" i="5" a="1"/>
  <c r="BA266" i="5"/>
  <c r="BA266" i="5" a="1"/>
  <c r="BI265" i="5"/>
  <c r="BI265" i="5" a="1"/>
  <c r="BH265" i="5"/>
  <c r="BH265" i="5" a="1"/>
  <c r="BE265" i="5"/>
  <c r="BE265" i="5" a="1"/>
  <c r="BD265" i="5"/>
  <c r="BC265" i="5"/>
  <c r="BC265" i="5" a="1"/>
  <c r="BB265" i="5"/>
  <c r="BB265" i="5" a="1"/>
  <c r="BA265" i="5"/>
  <c r="BA265" i="5" a="1"/>
  <c r="BI264" i="5"/>
  <c r="BI264" i="5" a="1"/>
  <c r="BH264" i="5"/>
  <c r="BH264" i="5" a="1"/>
  <c r="BE264" i="5"/>
  <c r="BE264" i="5" a="1"/>
  <c r="BD264" i="5"/>
  <c r="BC264" i="5"/>
  <c r="BC264" i="5" a="1"/>
  <c r="BB264" i="5"/>
  <c r="BB264" i="5" a="1"/>
  <c r="BA264" i="5"/>
  <c r="BA264" i="5" a="1"/>
  <c r="BI263" i="5"/>
  <c r="BI263" i="5" a="1"/>
  <c r="BH263" i="5"/>
  <c r="BH263" i="5" a="1"/>
  <c r="BE263" i="5"/>
  <c r="BE263" i="5" a="1"/>
  <c r="BD263" i="5"/>
  <c r="BC263" i="5"/>
  <c r="BC263" i="5" a="1"/>
  <c r="BB263" i="5"/>
  <c r="BB263" i="5" a="1"/>
  <c r="BA263" i="5"/>
  <c r="BA263" i="5" a="1"/>
  <c r="BI262" i="5"/>
  <c r="BI262" i="5" a="1"/>
  <c r="BH262" i="5"/>
  <c r="BH262" i="5" a="1"/>
  <c r="BE262" i="5"/>
  <c r="BE262" i="5" a="1"/>
  <c r="BD262" i="5"/>
  <c r="BC262" i="5"/>
  <c r="BC262" i="5" a="1"/>
  <c r="BB262" i="5"/>
  <c r="BB262" i="5" a="1"/>
  <c r="BA262" i="5"/>
  <c r="BA262" i="5" a="1"/>
  <c r="BI261" i="5"/>
  <c r="BI261" i="5" a="1"/>
  <c r="BH261" i="5"/>
  <c r="BH261" i="5" a="1"/>
  <c r="BE261" i="5"/>
  <c r="BE261" i="5" a="1"/>
  <c r="BD261" i="5"/>
  <c r="BC261" i="5"/>
  <c r="BC261" i="5" a="1"/>
  <c r="BB261" i="5"/>
  <c r="BB261" i="5" a="1"/>
  <c r="BA261" i="5"/>
  <c r="BA261" i="5" a="1"/>
  <c r="BI260" i="5"/>
  <c r="BI260" i="5" a="1"/>
  <c r="BH260" i="5"/>
  <c r="BH260" i="5" a="1"/>
  <c r="BE260" i="5"/>
  <c r="BE260" i="5" a="1"/>
  <c r="BD260" i="5"/>
  <c r="BC260" i="5"/>
  <c r="BC260" i="5" a="1"/>
  <c r="BB260" i="5"/>
  <c r="BB260" i="5" a="1"/>
  <c r="BA260" i="5"/>
  <c r="BA260" i="5" a="1"/>
  <c r="BI259" i="5"/>
  <c r="BI259" i="5" a="1"/>
  <c r="BH259" i="5"/>
  <c r="BH259" i="5" a="1"/>
  <c r="BE259" i="5"/>
  <c r="BE259" i="5" a="1"/>
  <c r="BD259" i="5"/>
  <c r="BC259" i="5"/>
  <c r="BC259" i="5" a="1"/>
  <c r="BB259" i="5"/>
  <c r="BB259" i="5" a="1"/>
  <c r="BA259" i="5"/>
  <c r="BA259" i="5" a="1"/>
  <c r="BI258" i="5"/>
  <c r="BI258" i="5" a="1"/>
  <c r="BH258" i="5"/>
  <c r="BH258" i="5" a="1"/>
  <c r="BE258" i="5"/>
  <c r="BE258" i="5" a="1"/>
  <c r="BD258" i="5"/>
  <c r="BC258" i="5"/>
  <c r="BC258" i="5" a="1"/>
  <c r="BB258" i="5"/>
  <c r="BB258" i="5" a="1"/>
  <c r="BA258" i="5"/>
  <c r="BA258" i="5" a="1"/>
  <c r="BI257" i="5"/>
  <c r="BI257" i="5" a="1"/>
  <c r="BH257" i="5"/>
  <c r="BH257" i="5" a="1"/>
  <c r="BE257" i="5"/>
  <c r="BE257" i="5" a="1"/>
  <c r="BD257" i="5"/>
  <c r="BC257" i="5"/>
  <c r="BC257" i="5" a="1"/>
  <c r="BB257" i="5"/>
  <c r="BB257" i="5" a="1"/>
  <c r="BA257" i="5"/>
  <c r="BA257" i="5" a="1"/>
  <c r="BI256" i="5"/>
  <c r="BI256" i="5" a="1"/>
  <c r="BH256" i="5"/>
  <c r="BH256" i="5" a="1"/>
  <c r="BE256" i="5"/>
  <c r="BE256" i="5" a="1"/>
  <c r="BD256" i="5"/>
  <c r="BC256" i="5"/>
  <c r="BC256" i="5" a="1"/>
  <c r="BB256" i="5"/>
  <c r="BB256" i="5" a="1"/>
  <c r="BA256" i="5"/>
  <c r="BA256" i="5" a="1"/>
  <c r="BI255" i="5"/>
  <c r="BI255" i="5" a="1"/>
  <c r="BH255" i="5"/>
  <c r="BH255" i="5" a="1"/>
  <c r="BE255" i="5"/>
  <c r="BE255" i="5" a="1"/>
  <c r="BD255" i="5"/>
  <c r="BC255" i="5"/>
  <c r="BC255" i="5" a="1"/>
  <c r="BB255" i="5"/>
  <c r="BB255" i="5" a="1"/>
  <c r="BA255" i="5"/>
  <c r="BA255" i="5" a="1"/>
  <c r="BI254" i="5"/>
  <c r="BI254" i="5" a="1"/>
  <c r="BH254" i="5"/>
  <c r="BH254" i="5" a="1"/>
  <c r="BE254" i="5"/>
  <c r="BE254" i="5" a="1"/>
  <c r="BD254" i="5"/>
  <c r="BC254" i="5"/>
  <c r="BC254" i="5" a="1"/>
  <c r="BB254" i="5"/>
  <c r="BB254" i="5" a="1"/>
  <c r="BA254" i="5"/>
  <c r="BA254" i="5" a="1"/>
  <c r="BI253" i="5"/>
  <c r="BI253" i="5" a="1"/>
  <c r="BH253" i="5"/>
  <c r="BH253" i="5" a="1"/>
  <c r="BE253" i="5"/>
  <c r="BE253" i="5" a="1"/>
  <c r="BD253" i="5"/>
  <c r="BC253" i="5"/>
  <c r="BC253" i="5" a="1"/>
  <c r="BB253" i="5"/>
  <c r="BB253" i="5" a="1"/>
  <c r="BA253" i="5"/>
  <c r="BA253" i="5" a="1"/>
  <c r="BI252" i="5"/>
  <c r="BI252" i="5" a="1"/>
  <c r="BH252" i="5"/>
  <c r="BH252" i="5" a="1"/>
  <c r="BE252" i="5"/>
  <c r="BE252" i="5" a="1"/>
  <c r="BD252" i="5"/>
  <c r="BC252" i="5"/>
  <c r="BC252" i="5" a="1"/>
  <c r="BB252" i="5"/>
  <c r="BB252" i="5" a="1"/>
  <c r="BA252" i="5"/>
  <c r="BA252" i="5" a="1"/>
  <c r="BI251" i="5"/>
  <c r="BI251" i="5" a="1"/>
  <c r="BH251" i="5"/>
  <c r="BH251" i="5" a="1"/>
  <c r="BE251" i="5"/>
  <c r="BE251" i="5" a="1"/>
  <c r="BD251" i="5"/>
  <c r="BC251" i="5"/>
  <c r="BC251" i="5" a="1"/>
  <c r="BB251" i="5"/>
  <c r="BB251" i="5" a="1"/>
  <c r="BA251" i="5"/>
  <c r="BA251" i="5" a="1"/>
  <c r="BI250" i="5"/>
  <c r="BI250" i="5" a="1"/>
  <c r="BH250" i="5"/>
  <c r="BH250" i="5" a="1"/>
  <c r="BE250" i="5"/>
  <c r="BE250" i="5" a="1"/>
  <c r="BD250" i="5"/>
  <c r="BC250" i="5"/>
  <c r="BC250" i="5" a="1"/>
  <c r="BB250" i="5"/>
  <c r="BB250" i="5" a="1"/>
  <c r="BA250" i="5"/>
  <c r="BA250" i="5" a="1"/>
  <c r="BI249" i="5"/>
  <c r="BI249" i="5" a="1"/>
  <c r="BH249" i="5"/>
  <c r="BH249" i="5" a="1"/>
  <c r="BE249" i="5"/>
  <c r="BE249" i="5" a="1"/>
  <c r="BD249" i="5"/>
  <c r="BC249" i="5"/>
  <c r="BC249" i="5" a="1"/>
  <c r="BB249" i="5"/>
  <c r="BB249" i="5" a="1"/>
  <c r="BA249" i="5"/>
  <c r="BA249" i="5" a="1"/>
  <c r="BI248" i="5"/>
  <c r="BI248" i="5" a="1"/>
  <c r="BH248" i="5"/>
  <c r="BH248" i="5" a="1"/>
  <c r="BE248" i="5"/>
  <c r="BE248" i="5" a="1"/>
  <c r="BD248" i="5"/>
  <c r="BC248" i="5"/>
  <c r="BC248" i="5" a="1"/>
  <c r="BB248" i="5"/>
  <c r="BB248" i="5" a="1"/>
  <c r="BA248" i="5"/>
  <c r="BA248" i="5" a="1"/>
  <c r="BI247" i="5"/>
  <c r="BI247" i="5" a="1"/>
  <c r="BH247" i="5"/>
  <c r="BH247" i="5" a="1"/>
  <c r="BE247" i="5"/>
  <c r="BE247" i="5" a="1"/>
  <c r="BD247" i="5"/>
  <c r="BC247" i="5"/>
  <c r="BC247" i="5" a="1"/>
  <c r="BB247" i="5"/>
  <c r="BB247" i="5" a="1"/>
  <c r="BA247" i="5"/>
  <c r="BA247" i="5" a="1"/>
  <c r="BI246" i="5"/>
  <c r="BI246" i="5" a="1"/>
  <c r="BH246" i="5"/>
  <c r="BH246" i="5" a="1"/>
  <c r="BE246" i="5"/>
  <c r="BE246" i="5" a="1"/>
  <c r="BD246" i="5"/>
  <c r="BC246" i="5"/>
  <c r="BC246" i="5" a="1"/>
  <c r="BB246" i="5"/>
  <c r="BB246" i="5" a="1"/>
  <c r="BA246" i="5"/>
  <c r="BA246" i="5" a="1"/>
  <c r="BI245" i="5"/>
  <c r="BI245" i="5" a="1"/>
  <c r="BH245" i="5"/>
  <c r="BH245" i="5" a="1"/>
  <c r="BE245" i="5"/>
  <c r="BE245" i="5" a="1"/>
  <c r="BD245" i="5"/>
  <c r="BC245" i="5"/>
  <c r="BC245" i="5" a="1"/>
  <c r="BB245" i="5"/>
  <c r="BB245" i="5" a="1"/>
  <c r="BA245" i="5"/>
  <c r="BA245" i="5" a="1"/>
  <c r="BI244" i="5"/>
  <c r="BI244" i="5" a="1"/>
  <c r="BH244" i="5"/>
  <c r="BH244" i="5" a="1"/>
  <c r="BE244" i="5"/>
  <c r="BE244" i="5" a="1"/>
  <c r="BD244" i="5"/>
  <c r="BC244" i="5"/>
  <c r="BC244" i="5" a="1"/>
  <c r="BB244" i="5"/>
  <c r="BB244" i="5" a="1"/>
  <c r="BA244" i="5"/>
  <c r="BA244" i="5" a="1"/>
  <c r="BI243" i="5"/>
  <c r="BI243" i="5" a="1"/>
  <c r="BH243" i="5"/>
  <c r="BH243" i="5" a="1"/>
  <c r="BE243" i="5"/>
  <c r="BE243" i="5" a="1"/>
  <c r="BD243" i="5"/>
  <c r="BC243" i="5"/>
  <c r="BC243" i="5" a="1"/>
  <c r="BB243" i="5"/>
  <c r="BB243" i="5" a="1"/>
  <c r="BA243" i="5"/>
  <c r="BA243" i="5" a="1"/>
  <c r="BI242" i="5"/>
  <c r="BI242" i="5" a="1"/>
  <c r="BH242" i="5"/>
  <c r="BH242" i="5" a="1"/>
  <c r="BE242" i="5"/>
  <c r="BE242" i="5" a="1"/>
  <c r="BD242" i="5"/>
  <c r="BC242" i="5"/>
  <c r="BC242" i="5" a="1"/>
  <c r="BB242" i="5"/>
  <c r="BB242" i="5" a="1"/>
  <c r="BA242" i="5"/>
  <c r="BA242" i="5" a="1"/>
  <c r="BI241" i="5"/>
  <c r="BI241" i="5" a="1"/>
  <c r="BH241" i="5"/>
  <c r="BH241" i="5" a="1"/>
  <c r="BE241" i="5"/>
  <c r="BE241" i="5" a="1"/>
  <c r="BD241" i="5"/>
  <c r="BC241" i="5"/>
  <c r="BC241" i="5" a="1"/>
  <c r="BB241" i="5"/>
  <c r="BB241" i="5" a="1"/>
  <c r="BA241" i="5"/>
  <c r="BA241" i="5" a="1"/>
  <c r="BI240" i="5"/>
  <c r="BI240" i="5" a="1"/>
  <c r="BH240" i="5"/>
  <c r="BH240" i="5" a="1"/>
  <c r="BE240" i="5"/>
  <c r="BE240" i="5" a="1"/>
  <c r="BD240" i="5"/>
  <c r="BC240" i="5"/>
  <c r="BC240" i="5" a="1"/>
  <c r="BB240" i="5"/>
  <c r="BB240" i="5" a="1"/>
  <c r="BA240" i="5"/>
  <c r="BA240" i="5" a="1"/>
  <c r="BI239" i="5"/>
  <c r="BI239" i="5" a="1"/>
  <c r="BH239" i="5"/>
  <c r="BH239" i="5" a="1"/>
  <c r="BE239" i="5"/>
  <c r="BE239" i="5" a="1"/>
  <c r="BD239" i="5"/>
  <c r="BC239" i="5"/>
  <c r="BC239" i="5" a="1"/>
  <c r="BB239" i="5"/>
  <c r="BB239" i="5" a="1"/>
  <c r="BA239" i="5"/>
  <c r="BA239" i="5" a="1"/>
  <c r="BI238" i="5"/>
  <c r="BI238" i="5" a="1"/>
  <c r="BH238" i="5"/>
  <c r="BH238" i="5" a="1"/>
  <c r="BE238" i="5"/>
  <c r="BE238" i="5" a="1"/>
  <c r="BD238" i="5"/>
  <c r="BC238" i="5"/>
  <c r="BC238" i="5" a="1"/>
  <c r="BB238" i="5"/>
  <c r="BB238" i="5" a="1"/>
  <c r="BA238" i="5"/>
  <c r="BA238" i="5" a="1"/>
  <c r="BI237" i="5"/>
  <c r="BI237" i="5" a="1"/>
  <c r="BH237" i="5"/>
  <c r="BH237" i="5" a="1"/>
  <c r="BE237" i="5"/>
  <c r="BE237" i="5" a="1"/>
  <c r="BD237" i="5"/>
  <c r="BC237" i="5"/>
  <c r="BC237" i="5" a="1"/>
  <c r="BB237" i="5"/>
  <c r="BB237" i="5" a="1"/>
  <c r="BA237" i="5"/>
  <c r="BA237" i="5" a="1"/>
  <c r="BI236" i="5"/>
  <c r="BI236" i="5" a="1"/>
  <c r="BH236" i="5"/>
  <c r="BH236" i="5" a="1"/>
  <c r="BE236" i="5"/>
  <c r="BE236" i="5" a="1"/>
  <c r="BD236" i="5"/>
  <c r="BC236" i="5"/>
  <c r="BC236" i="5" a="1"/>
  <c r="BB236" i="5"/>
  <c r="BB236" i="5" a="1"/>
  <c r="BA236" i="5"/>
  <c r="BA236" i="5" a="1"/>
  <c r="BI235" i="5"/>
  <c r="BI235" i="5" a="1"/>
  <c r="BH235" i="5"/>
  <c r="BH235" i="5" a="1"/>
  <c r="BE235" i="5"/>
  <c r="BE235" i="5" a="1"/>
  <c r="BD235" i="5"/>
  <c r="BC235" i="5"/>
  <c r="BC235" i="5" a="1"/>
  <c r="BB235" i="5"/>
  <c r="BB235" i="5" a="1"/>
  <c r="BA235" i="5"/>
  <c r="BA235" i="5" a="1"/>
  <c r="BI234" i="5"/>
  <c r="BI234" i="5" a="1"/>
  <c r="BH234" i="5"/>
  <c r="BH234" i="5" a="1"/>
  <c r="BE234" i="5"/>
  <c r="BE234" i="5" a="1"/>
  <c r="BD234" i="5"/>
  <c r="BC234" i="5"/>
  <c r="BC234" i="5" a="1"/>
  <c r="BB234" i="5"/>
  <c r="BB234" i="5" a="1"/>
  <c r="BA234" i="5"/>
  <c r="BA234" i="5" a="1"/>
  <c r="BI233" i="5"/>
  <c r="BI233" i="5" a="1"/>
  <c r="BH233" i="5"/>
  <c r="BH233" i="5" a="1"/>
  <c r="BE233" i="5"/>
  <c r="BE233" i="5" a="1"/>
  <c r="BD233" i="5"/>
  <c r="BC233" i="5"/>
  <c r="BC233" i="5" a="1"/>
  <c r="BB233" i="5"/>
  <c r="BB233" i="5" a="1"/>
  <c r="BA233" i="5"/>
  <c r="BA233" i="5" a="1"/>
  <c r="BI232" i="5"/>
  <c r="BI232" i="5" a="1"/>
  <c r="BH232" i="5"/>
  <c r="BH232" i="5" a="1"/>
  <c r="BE232" i="5"/>
  <c r="BE232" i="5" a="1"/>
  <c r="BD232" i="5"/>
  <c r="BC232" i="5"/>
  <c r="BC232" i="5" a="1"/>
  <c r="BB232" i="5"/>
  <c r="BB232" i="5" a="1"/>
  <c r="BA232" i="5"/>
  <c r="BA232" i="5" a="1"/>
  <c r="BI231" i="5"/>
  <c r="BI231" i="5" a="1"/>
  <c r="BH231" i="5"/>
  <c r="BH231" i="5" a="1"/>
  <c r="BE231" i="5"/>
  <c r="BE231" i="5" a="1"/>
  <c r="BD231" i="5"/>
  <c r="BC231" i="5"/>
  <c r="BC231" i="5" a="1"/>
  <c r="BB231" i="5"/>
  <c r="BB231" i="5" a="1"/>
  <c r="BA231" i="5"/>
  <c r="BA231" i="5" a="1"/>
  <c r="BI230" i="5"/>
  <c r="BI230" i="5" a="1"/>
  <c r="BH230" i="5"/>
  <c r="BH230" i="5" a="1"/>
  <c r="BE230" i="5"/>
  <c r="BE230" i="5" a="1"/>
  <c r="BD230" i="5"/>
  <c r="BC230" i="5"/>
  <c r="BC230" i="5" a="1"/>
  <c r="BB230" i="5"/>
  <c r="BB230" i="5" a="1"/>
  <c r="BA230" i="5"/>
  <c r="BA230" i="5" a="1"/>
  <c r="BI229" i="5"/>
  <c r="BI229" i="5" a="1"/>
  <c r="BH229" i="5"/>
  <c r="BH229" i="5" a="1"/>
  <c r="BE229" i="5"/>
  <c r="BE229" i="5" a="1"/>
  <c r="BD229" i="5"/>
  <c r="BC229" i="5"/>
  <c r="BC229" i="5" a="1"/>
  <c r="BB229" i="5"/>
  <c r="BB229" i="5" a="1"/>
  <c r="BA229" i="5"/>
  <c r="BA229" i="5" a="1"/>
  <c r="BI228" i="5"/>
  <c r="BI228" i="5" a="1"/>
  <c r="BH228" i="5"/>
  <c r="BH228" i="5" a="1"/>
  <c r="BE228" i="5"/>
  <c r="BE228" i="5" a="1"/>
  <c r="BD228" i="5"/>
  <c r="BC228" i="5"/>
  <c r="BC228" i="5" a="1"/>
  <c r="BB228" i="5"/>
  <c r="BB228" i="5" a="1"/>
  <c r="BA228" i="5"/>
  <c r="BA228" i="5" a="1"/>
  <c r="BI227" i="5"/>
  <c r="BI227" i="5" a="1"/>
  <c r="BH227" i="5"/>
  <c r="BH227" i="5" a="1"/>
  <c r="BE227" i="5"/>
  <c r="BE227" i="5" a="1"/>
  <c r="BD227" i="5"/>
  <c r="BC227" i="5"/>
  <c r="BC227" i="5" a="1"/>
  <c r="BB227" i="5"/>
  <c r="BB227" i="5" a="1"/>
  <c r="BA227" i="5"/>
  <c r="BA227" i="5" a="1"/>
  <c r="BI226" i="5"/>
  <c r="BI226" i="5" a="1"/>
  <c r="BH226" i="5"/>
  <c r="BH226" i="5" a="1"/>
  <c r="BE226" i="5"/>
  <c r="BE226" i="5" a="1"/>
  <c r="BD226" i="5"/>
  <c r="BC226" i="5"/>
  <c r="BC226" i="5" a="1"/>
  <c r="BB226" i="5"/>
  <c r="BB226" i="5" a="1"/>
  <c r="BA226" i="5"/>
  <c r="BA226" i="5" a="1"/>
  <c r="BI225" i="5"/>
  <c r="BI225" i="5" a="1"/>
  <c r="BH225" i="5"/>
  <c r="BH225" i="5" a="1"/>
  <c r="BE225" i="5"/>
  <c r="BE225" i="5" a="1"/>
  <c r="BD225" i="5"/>
  <c r="BC225" i="5"/>
  <c r="BC225" i="5" a="1"/>
  <c r="BB225" i="5"/>
  <c r="BB225" i="5" a="1"/>
  <c r="BA225" i="5"/>
  <c r="BA225" i="5" a="1"/>
  <c r="BI224" i="5"/>
  <c r="BI224" i="5" a="1"/>
  <c r="BH224" i="5"/>
  <c r="BH224" i="5" a="1"/>
  <c r="BE224" i="5"/>
  <c r="BE224" i="5" a="1"/>
  <c r="BD224" i="5"/>
  <c r="BC224" i="5"/>
  <c r="BC224" i="5" a="1"/>
  <c r="BB224" i="5"/>
  <c r="BB224" i="5" a="1"/>
  <c r="BA224" i="5"/>
  <c r="BA224" i="5" a="1"/>
  <c r="BI223" i="5"/>
  <c r="BI223" i="5" a="1"/>
  <c r="BH223" i="5"/>
  <c r="BH223" i="5" a="1"/>
  <c r="BE223" i="5"/>
  <c r="BE223" i="5" a="1"/>
  <c r="BD223" i="5"/>
  <c r="BC223" i="5"/>
  <c r="BC223" i="5" a="1"/>
  <c r="BB223" i="5"/>
  <c r="BB223" i="5" a="1"/>
  <c r="BA223" i="5"/>
  <c r="BA223" i="5" a="1"/>
  <c r="BI222" i="5"/>
  <c r="BI222" i="5" a="1"/>
  <c r="BH222" i="5"/>
  <c r="BH222" i="5" a="1"/>
  <c r="BE222" i="5"/>
  <c r="BE222" i="5" a="1"/>
  <c r="BD222" i="5"/>
  <c r="BC222" i="5"/>
  <c r="BC222" i="5" a="1"/>
  <c r="BB222" i="5"/>
  <c r="BB222" i="5" a="1"/>
  <c r="BA222" i="5"/>
  <c r="BA222" i="5" a="1"/>
  <c r="BI221" i="5"/>
  <c r="BI221" i="5" a="1"/>
  <c r="BH221" i="5"/>
  <c r="BH221" i="5" a="1"/>
  <c r="BE221" i="5"/>
  <c r="BE221" i="5" a="1"/>
  <c r="BD221" i="5"/>
  <c r="BC221" i="5"/>
  <c r="BC221" i="5" a="1"/>
  <c r="BB221" i="5"/>
  <c r="BB221" i="5" a="1"/>
  <c r="BA221" i="5"/>
  <c r="BA221" i="5" a="1"/>
  <c r="BI220" i="5"/>
  <c r="BI220" i="5" a="1"/>
  <c r="BH220" i="5"/>
  <c r="BH220" i="5" a="1"/>
  <c r="BE220" i="5"/>
  <c r="BE220" i="5" a="1"/>
  <c r="BD220" i="5"/>
  <c r="BC220" i="5"/>
  <c r="BC220" i="5" a="1"/>
  <c r="BB220" i="5"/>
  <c r="BB220" i="5" a="1"/>
  <c r="BA220" i="5"/>
  <c r="BA220" i="5" a="1"/>
  <c r="BI219" i="5"/>
  <c r="BI219" i="5" a="1"/>
  <c r="BH219" i="5"/>
  <c r="BH219" i="5" a="1"/>
  <c r="BE219" i="5"/>
  <c r="BE219" i="5" a="1"/>
  <c r="BD219" i="5"/>
  <c r="BC219" i="5"/>
  <c r="BC219" i="5" a="1"/>
  <c r="BB219" i="5"/>
  <c r="BB219" i="5" a="1"/>
  <c r="BA219" i="5"/>
  <c r="BA219" i="5" a="1"/>
  <c r="BI218" i="5"/>
  <c r="BI218" i="5" a="1"/>
  <c r="BH218" i="5"/>
  <c r="BH218" i="5" a="1"/>
  <c r="BE218" i="5"/>
  <c r="BE218" i="5" a="1"/>
  <c r="BD218" i="5"/>
  <c r="BC218" i="5"/>
  <c r="BC218" i="5" a="1"/>
  <c r="BB218" i="5"/>
  <c r="BB218" i="5" a="1"/>
  <c r="BA218" i="5"/>
  <c r="BA218" i="5" a="1"/>
  <c r="BI217" i="5"/>
  <c r="BI217" i="5" a="1"/>
  <c r="BH217" i="5"/>
  <c r="BH217" i="5" a="1"/>
  <c r="BE217" i="5"/>
  <c r="BE217" i="5" a="1"/>
  <c r="BD217" i="5"/>
  <c r="BC217" i="5"/>
  <c r="BC217" i="5" a="1"/>
  <c r="BB217" i="5"/>
  <c r="BB217" i="5" a="1"/>
  <c r="BA217" i="5"/>
  <c r="BA217" i="5" a="1"/>
  <c r="BI216" i="5"/>
  <c r="BI216" i="5" a="1"/>
  <c r="BH216" i="5"/>
  <c r="BH216" i="5" a="1"/>
  <c r="BE216" i="5"/>
  <c r="BE216" i="5" a="1"/>
  <c r="BD216" i="5"/>
  <c r="BC216" i="5"/>
  <c r="BC216" i="5" a="1"/>
  <c r="BB216" i="5"/>
  <c r="BB216" i="5" a="1"/>
  <c r="BA216" i="5"/>
  <c r="BA216" i="5" a="1"/>
  <c r="BI215" i="5"/>
  <c r="BI215" i="5" a="1"/>
  <c r="BH215" i="5"/>
  <c r="BH215" i="5" a="1"/>
  <c r="BE215" i="5"/>
  <c r="BE215" i="5" a="1"/>
  <c r="BD215" i="5"/>
  <c r="BC215" i="5"/>
  <c r="BC215" i="5" a="1"/>
  <c r="BB215" i="5"/>
  <c r="BB215" i="5" a="1"/>
  <c r="BA215" i="5"/>
  <c r="BA215" i="5" a="1"/>
  <c r="BI214" i="5"/>
  <c r="BI214" i="5" a="1"/>
  <c r="BH214" i="5"/>
  <c r="BH214" i="5" a="1"/>
  <c r="BE214" i="5"/>
  <c r="BE214" i="5" a="1"/>
  <c r="BD214" i="5"/>
  <c r="BC214" i="5"/>
  <c r="BC214" i="5" a="1"/>
  <c r="BB214" i="5"/>
  <c r="BB214" i="5" a="1"/>
  <c r="BA214" i="5"/>
  <c r="BA214" i="5" a="1"/>
  <c r="BI213" i="5"/>
  <c r="BI213" i="5" a="1"/>
  <c r="BH213" i="5"/>
  <c r="BH213" i="5" a="1"/>
  <c r="BE213" i="5"/>
  <c r="BE213" i="5" a="1"/>
  <c r="BD213" i="5"/>
  <c r="BC213" i="5"/>
  <c r="BC213" i="5" a="1"/>
  <c r="BB213" i="5"/>
  <c r="BB213" i="5" a="1"/>
  <c r="BA213" i="5"/>
  <c r="BA213" i="5" a="1"/>
  <c r="BI212" i="5"/>
  <c r="BI212" i="5" a="1"/>
  <c r="BH212" i="5"/>
  <c r="BH212" i="5" a="1"/>
  <c r="BE212" i="5"/>
  <c r="BE212" i="5" a="1"/>
  <c r="BD212" i="5"/>
  <c r="BC212" i="5"/>
  <c r="BC212" i="5" a="1"/>
  <c r="BB212" i="5"/>
  <c r="BB212" i="5" a="1"/>
  <c r="BA212" i="5"/>
  <c r="BA212" i="5" a="1"/>
  <c r="BI211" i="5"/>
  <c r="BI211" i="5" a="1"/>
  <c r="BH211" i="5"/>
  <c r="BH211" i="5" a="1"/>
  <c r="BE211" i="5"/>
  <c r="BE211" i="5" a="1"/>
  <c r="BD211" i="5"/>
  <c r="BC211" i="5"/>
  <c r="BC211" i="5" a="1"/>
  <c r="BB211" i="5"/>
  <c r="BB211" i="5" a="1"/>
  <c r="BA211" i="5"/>
  <c r="BA211" i="5" a="1"/>
  <c r="BI210" i="5"/>
  <c r="BI210" i="5" a="1"/>
  <c r="BH210" i="5"/>
  <c r="BH210" i="5" a="1"/>
  <c r="BE210" i="5"/>
  <c r="BE210" i="5" a="1"/>
  <c r="BD210" i="5"/>
  <c r="BC210" i="5"/>
  <c r="BC210" i="5" a="1"/>
  <c r="BB210" i="5"/>
  <c r="BB210" i="5" a="1"/>
  <c r="BA210" i="5"/>
  <c r="BA210" i="5" a="1"/>
  <c r="BI209" i="5"/>
  <c r="BI209" i="5" a="1"/>
  <c r="BH209" i="5"/>
  <c r="BH209" i="5" a="1"/>
  <c r="BE209" i="5"/>
  <c r="BE209" i="5" a="1"/>
  <c r="BD209" i="5"/>
  <c r="BC209" i="5"/>
  <c r="BC209" i="5" a="1"/>
  <c r="BB209" i="5"/>
  <c r="BB209" i="5" a="1"/>
  <c r="BA209" i="5"/>
  <c r="BA209" i="5" a="1"/>
  <c r="BI208" i="5"/>
  <c r="BI208" i="5" a="1"/>
  <c r="BH208" i="5"/>
  <c r="BH208" i="5" a="1"/>
  <c r="BE208" i="5"/>
  <c r="BE208" i="5" a="1"/>
  <c r="BD208" i="5"/>
  <c r="BC208" i="5"/>
  <c r="BC208" i="5" a="1"/>
  <c r="BB208" i="5"/>
  <c r="BB208" i="5" a="1"/>
  <c r="BA208" i="5"/>
  <c r="BA208" i="5" a="1"/>
  <c r="BI207" i="5"/>
  <c r="BI207" i="5" a="1"/>
  <c r="BH207" i="5"/>
  <c r="BH207" i="5" a="1"/>
  <c r="BE207" i="5"/>
  <c r="BE207" i="5" a="1"/>
  <c r="BD207" i="5"/>
  <c r="BC207" i="5"/>
  <c r="BC207" i="5" a="1"/>
  <c r="BB207" i="5"/>
  <c r="BB207" i="5" a="1"/>
  <c r="BA207" i="5"/>
  <c r="BA207" i="5" a="1"/>
  <c r="BI206" i="5"/>
  <c r="BI206" i="5" a="1"/>
  <c r="BH206" i="5"/>
  <c r="BH206" i="5" a="1"/>
  <c r="BE206" i="5"/>
  <c r="BE206" i="5" a="1"/>
  <c r="BD206" i="5"/>
  <c r="BC206" i="5"/>
  <c r="BC206" i="5" a="1"/>
  <c r="BB206" i="5"/>
  <c r="BB206" i="5" a="1"/>
  <c r="BA206" i="5"/>
  <c r="BA206" i="5" a="1"/>
  <c r="BI205" i="5"/>
  <c r="BI205" i="5" a="1"/>
  <c r="BH205" i="5"/>
  <c r="BH205" i="5" a="1"/>
  <c r="BE205" i="5"/>
  <c r="BE205" i="5" a="1"/>
  <c r="BD205" i="5"/>
  <c r="BC205" i="5"/>
  <c r="BC205" i="5" a="1"/>
  <c r="BB205" i="5"/>
  <c r="BB205" i="5" a="1"/>
  <c r="BA205" i="5"/>
  <c r="BA205" i="5" a="1"/>
  <c r="BI204" i="5"/>
  <c r="BI204" i="5" a="1"/>
  <c r="BH204" i="5"/>
  <c r="BH204" i="5" a="1"/>
  <c r="BE204" i="5"/>
  <c r="BE204" i="5" a="1"/>
  <c r="BD204" i="5"/>
  <c r="BC204" i="5"/>
  <c r="BC204" i="5" a="1"/>
  <c r="BB204" i="5"/>
  <c r="BB204" i="5" a="1"/>
  <c r="BA204" i="5"/>
  <c r="BA204" i="5" a="1"/>
  <c r="BI203" i="5"/>
  <c r="BI203" i="5" a="1"/>
  <c r="BH203" i="5"/>
  <c r="BH203" i="5" a="1"/>
  <c r="BE203" i="5"/>
  <c r="BE203" i="5" a="1"/>
  <c r="BD203" i="5"/>
  <c r="BC203" i="5"/>
  <c r="BC203" i="5" a="1"/>
  <c r="BB203" i="5"/>
  <c r="BB203" i="5" a="1"/>
  <c r="BA203" i="5"/>
  <c r="BA203" i="5" a="1"/>
  <c r="BI202" i="5"/>
  <c r="BI202" i="5" a="1"/>
  <c r="BH202" i="5"/>
  <c r="BH202" i="5" a="1"/>
  <c r="BE202" i="5"/>
  <c r="BE202" i="5" a="1"/>
  <c r="BD202" i="5"/>
  <c r="BC202" i="5"/>
  <c r="BC202" i="5" a="1"/>
  <c r="BB202" i="5"/>
  <c r="BB202" i="5" a="1"/>
  <c r="BA202" i="5"/>
  <c r="BA202" i="5" a="1"/>
  <c r="BI201" i="5"/>
  <c r="BI201" i="5" a="1"/>
  <c r="BH201" i="5"/>
  <c r="BH201" i="5" a="1"/>
  <c r="BE201" i="5"/>
  <c r="BE201" i="5" a="1"/>
  <c r="BD201" i="5"/>
  <c r="BC201" i="5"/>
  <c r="BC201" i="5" a="1"/>
  <c r="BB201" i="5"/>
  <c r="BB201" i="5" a="1"/>
  <c r="BA201" i="5"/>
  <c r="BA201" i="5" a="1"/>
  <c r="BI200" i="5"/>
  <c r="BI200" i="5" a="1"/>
  <c r="BH200" i="5"/>
  <c r="BH200" i="5" a="1"/>
  <c r="BE200" i="5"/>
  <c r="BE200" i="5" a="1"/>
  <c r="BD200" i="5"/>
  <c r="BC200" i="5"/>
  <c r="BC200" i="5" a="1"/>
  <c r="BB200" i="5"/>
  <c r="BB200" i="5" a="1"/>
  <c r="BA200" i="5"/>
  <c r="BA200" i="5" a="1"/>
  <c r="BI199" i="5"/>
  <c r="BI199" i="5" a="1"/>
  <c r="BH199" i="5"/>
  <c r="BH199" i="5" a="1"/>
  <c r="BE199" i="5"/>
  <c r="BE199" i="5" a="1"/>
  <c r="BD199" i="5"/>
  <c r="BC199" i="5"/>
  <c r="BC199" i="5" a="1"/>
  <c r="BB199" i="5"/>
  <c r="BB199" i="5" a="1"/>
  <c r="BA199" i="5"/>
  <c r="BA199" i="5" a="1"/>
  <c r="BI198" i="5"/>
  <c r="BI198" i="5" a="1"/>
  <c r="BH198" i="5"/>
  <c r="BH198" i="5" a="1"/>
  <c r="BE198" i="5"/>
  <c r="BE198" i="5" a="1"/>
  <c r="BD198" i="5"/>
  <c r="BC198" i="5"/>
  <c r="BC198" i="5" a="1"/>
  <c r="BB198" i="5"/>
  <c r="BB198" i="5" a="1"/>
  <c r="BA198" i="5"/>
  <c r="BA198" i="5" a="1"/>
  <c r="BI197" i="5"/>
  <c r="BI197" i="5" a="1"/>
  <c r="BH197" i="5"/>
  <c r="BH197" i="5" a="1"/>
  <c r="BE197" i="5"/>
  <c r="BE197" i="5" a="1"/>
  <c r="BD197" i="5"/>
  <c r="BC197" i="5"/>
  <c r="BC197" i="5" a="1"/>
  <c r="BB197" i="5"/>
  <c r="BB197" i="5" a="1"/>
  <c r="BA197" i="5"/>
  <c r="BA197" i="5" a="1"/>
  <c r="BI196" i="5"/>
  <c r="BI196" i="5" a="1"/>
  <c r="BH196" i="5"/>
  <c r="BH196" i="5" a="1"/>
  <c r="BE196" i="5"/>
  <c r="BE196" i="5" a="1"/>
  <c r="BD196" i="5"/>
  <c r="BC196" i="5"/>
  <c r="BC196" i="5" a="1"/>
  <c r="BB196" i="5"/>
  <c r="BB196" i="5" a="1"/>
  <c r="BA196" i="5"/>
  <c r="BA196" i="5" a="1"/>
  <c r="BI195" i="5"/>
  <c r="BI195" i="5" a="1"/>
  <c r="BH195" i="5"/>
  <c r="BH195" i="5" a="1"/>
  <c r="BE195" i="5"/>
  <c r="BE195" i="5" a="1"/>
  <c r="BD195" i="5"/>
  <c r="BC195" i="5"/>
  <c r="BC195" i="5" a="1"/>
  <c r="BB195" i="5"/>
  <c r="BB195" i="5" a="1"/>
  <c r="BA195" i="5"/>
  <c r="BA195" i="5" a="1"/>
  <c r="BI194" i="5"/>
  <c r="BI194" i="5" a="1"/>
  <c r="BH194" i="5"/>
  <c r="BH194" i="5" a="1"/>
  <c r="BE194" i="5"/>
  <c r="BE194" i="5" a="1"/>
  <c r="BD194" i="5"/>
  <c r="BC194" i="5"/>
  <c r="BC194" i="5" a="1"/>
  <c r="BB194" i="5"/>
  <c r="BB194" i="5" a="1"/>
  <c r="BA194" i="5"/>
  <c r="BA194" i="5" a="1"/>
  <c r="BI193" i="5"/>
  <c r="BI193" i="5" a="1"/>
  <c r="BH193" i="5"/>
  <c r="BH193" i="5" a="1"/>
  <c r="BE193" i="5"/>
  <c r="BE193" i="5" a="1"/>
  <c r="BD193" i="5"/>
  <c r="BC193" i="5"/>
  <c r="BC193" i="5" a="1"/>
  <c r="BB193" i="5"/>
  <c r="BB193" i="5" a="1"/>
  <c r="BA193" i="5"/>
  <c r="BA193" i="5" a="1"/>
  <c r="BI192" i="5"/>
  <c r="BI192" i="5" a="1"/>
  <c r="BH192" i="5"/>
  <c r="BH192" i="5" a="1"/>
  <c r="BE192" i="5"/>
  <c r="BE192" i="5" a="1"/>
  <c r="BD192" i="5"/>
  <c r="BC192" i="5"/>
  <c r="BC192" i="5" a="1"/>
  <c r="BB192" i="5"/>
  <c r="BB192" i="5" a="1"/>
  <c r="BA192" i="5"/>
  <c r="BA192" i="5" a="1"/>
  <c r="BI191" i="5"/>
  <c r="BI191" i="5" a="1"/>
  <c r="BH191" i="5"/>
  <c r="BH191" i="5" a="1"/>
  <c r="BE191" i="5"/>
  <c r="BE191" i="5" a="1"/>
  <c r="BD191" i="5"/>
  <c r="BC191" i="5"/>
  <c r="BC191" i="5" a="1"/>
  <c r="BB191" i="5"/>
  <c r="BB191" i="5" a="1"/>
  <c r="BA191" i="5"/>
  <c r="BA191" i="5" a="1"/>
  <c r="BI190" i="5"/>
  <c r="BI190" i="5" a="1"/>
  <c r="BH190" i="5"/>
  <c r="BH190" i="5" a="1"/>
  <c r="BE190" i="5"/>
  <c r="BE190" i="5" a="1"/>
  <c r="BD190" i="5"/>
  <c r="BC190" i="5"/>
  <c r="BC190" i="5" a="1"/>
  <c r="BB190" i="5"/>
  <c r="BB190" i="5" a="1"/>
  <c r="BA190" i="5"/>
  <c r="BA190" i="5" a="1"/>
  <c r="BI189" i="5"/>
  <c r="BI189" i="5" a="1"/>
  <c r="BH189" i="5"/>
  <c r="BH189" i="5" a="1"/>
  <c r="BE189" i="5"/>
  <c r="BE189" i="5" a="1"/>
  <c r="BD189" i="5"/>
  <c r="BC189" i="5"/>
  <c r="BC189" i="5" a="1"/>
  <c r="BB189" i="5"/>
  <c r="BB189" i="5" a="1"/>
  <c r="BA189" i="5"/>
  <c r="BA189" i="5" a="1"/>
  <c r="BI188" i="5"/>
  <c r="BI188" i="5" a="1"/>
  <c r="BH188" i="5"/>
  <c r="BH188" i="5" a="1"/>
  <c r="BE188" i="5"/>
  <c r="BE188" i="5" a="1"/>
  <c r="BD188" i="5"/>
  <c r="BC188" i="5"/>
  <c r="BC188" i="5" a="1"/>
  <c r="BB188" i="5"/>
  <c r="BB188" i="5" a="1"/>
  <c r="BA188" i="5"/>
  <c r="BA188" i="5" a="1"/>
  <c r="BI187" i="5"/>
  <c r="BI187" i="5" a="1"/>
  <c r="BH187" i="5"/>
  <c r="BH187" i="5" a="1"/>
  <c r="BE187" i="5"/>
  <c r="BE187" i="5" a="1"/>
  <c r="BD187" i="5"/>
  <c r="BC187" i="5"/>
  <c r="BC187" i="5" a="1"/>
  <c r="BB187" i="5"/>
  <c r="BB187" i="5" a="1"/>
  <c r="BA187" i="5"/>
  <c r="BA187" i="5" a="1"/>
  <c r="BI186" i="5"/>
  <c r="BI186" i="5" a="1"/>
  <c r="BH186" i="5"/>
  <c r="BH186" i="5" a="1"/>
  <c r="BE186" i="5"/>
  <c r="BE186" i="5" a="1"/>
  <c r="BD186" i="5"/>
  <c r="BC186" i="5"/>
  <c r="BC186" i="5" a="1"/>
  <c r="BB186" i="5"/>
  <c r="BB186" i="5" a="1"/>
  <c r="BA186" i="5"/>
  <c r="BA186" i="5" a="1"/>
  <c r="BI185" i="5"/>
  <c r="BI185" i="5" a="1"/>
  <c r="BH185" i="5"/>
  <c r="BH185" i="5" a="1"/>
  <c r="BE185" i="5"/>
  <c r="BE185" i="5" a="1"/>
  <c r="BD185" i="5"/>
  <c r="BC185" i="5"/>
  <c r="BC185" i="5" a="1"/>
  <c r="BB185" i="5"/>
  <c r="BB185" i="5" a="1"/>
  <c r="BA185" i="5"/>
  <c r="BA185" i="5" a="1"/>
  <c r="BI184" i="5"/>
  <c r="BI184" i="5" a="1"/>
  <c r="BH184" i="5"/>
  <c r="BH184" i="5" a="1"/>
  <c r="BE184" i="5"/>
  <c r="BE184" i="5" a="1"/>
  <c r="BD184" i="5"/>
  <c r="BC184" i="5"/>
  <c r="BC184" i="5" a="1"/>
  <c r="BB184" i="5"/>
  <c r="BB184" i="5" a="1"/>
  <c r="BA184" i="5"/>
  <c r="BA184" i="5" a="1"/>
  <c r="BI183" i="5"/>
  <c r="BI183" i="5" a="1"/>
  <c r="BH183" i="5"/>
  <c r="BH183" i="5" a="1"/>
  <c r="BE183" i="5"/>
  <c r="BE183" i="5" a="1"/>
  <c r="BD183" i="5"/>
  <c r="BC183" i="5"/>
  <c r="BC183" i="5" a="1"/>
  <c r="BB183" i="5"/>
  <c r="BB183" i="5" a="1"/>
  <c r="BA183" i="5"/>
  <c r="BA183" i="5" a="1"/>
  <c r="BI182" i="5"/>
  <c r="BI182" i="5" a="1"/>
  <c r="BH182" i="5"/>
  <c r="BH182" i="5" a="1"/>
  <c r="BE182" i="5"/>
  <c r="BE182" i="5" a="1"/>
  <c r="BD182" i="5"/>
  <c r="BC182" i="5"/>
  <c r="BC182" i="5" a="1"/>
  <c r="BB182" i="5"/>
  <c r="BB182" i="5" a="1"/>
  <c r="BA182" i="5"/>
  <c r="BA182" i="5" a="1"/>
  <c r="BI181" i="5"/>
  <c r="BI181" i="5" a="1"/>
  <c r="BH181" i="5"/>
  <c r="BH181" i="5" a="1"/>
  <c r="BE181" i="5"/>
  <c r="BE181" i="5" a="1"/>
  <c r="BD181" i="5"/>
  <c r="BC181" i="5"/>
  <c r="BC181" i="5" a="1"/>
  <c r="BB181" i="5"/>
  <c r="BB181" i="5" a="1"/>
  <c r="BA181" i="5"/>
  <c r="BA181" i="5" a="1"/>
  <c r="BI180" i="5"/>
  <c r="BI180" i="5" a="1"/>
  <c r="BH180" i="5"/>
  <c r="BH180" i="5" a="1"/>
  <c r="BE180" i="5"/>
  <c r="BE180" i="5" a="1"/>
  <c r="BD180" i="5"/>
  <c r="BC180" i="5"/>
  <c r="BC180" i="5" a="1"/>
  <c r="BB180" i="5"/>
  <c r="BB180" i="5" a="1"/>
  <c r="BA180" i="5"/>
  <c r="BA180" i="5" a="1"/>
  <c r="BI179" i="5"/>
  <c r="BI179" i="5" a="1"/>
  <c r="BH179" i="5"/>
  <c r="BH179" i="5" a="1"/>
  <c r="BE179" i="5"/>
  <c r="BE179" i="5" a="1"/>
  <c r="BD179" i="5"/>
  <c r="BC179" i="5"/>
  <c r="BC179" i="5" a="1"/>
  <c r="BB179" i="5"/>
  <c r="BB179" i="5" a="1"/>
  <c r="BA179" i="5"/>
  <c r="BA179" i="5" a="1"/>
  <c r="BI178" i="5"/>
  <c r="BI178" i="5" a="1"/>
  <c r="BH178" i="5"/>
  <c r="BH178" i="5" a="1"/>
  <c r="BE178" i="5"/>
  <c r="BE178" i="5" a="1"/>
  <c r="BD178" i="5"/>
  <c r="BC178" i="5"/>
  <c r="BC178" i="5" a="1"/>
  <c r="BB178" i="5"/>
  <c r="BB178" i="5" a="1"/>
  <c r="BA178" i="5"/>
  <c r="BA178" i="5" a="1"/>
  <c r="BI177" i="5"/>
  <c r="BI177" i="5" a="1"/>
  <c r="BH177" i="5"/>
  <c r="BH177" i="5" a="1"/>
  <c r="BE177" i="5"/>
  <c r="BE177" i="5" a="1"/>
  <c r="BD177" i="5"/>
  <c r="BC177" i="5"/>
  <c r="BC177" i="5" a="1"/>
  <c r="BB177" i="5"/>
  <c r="BB177" i="5" a="1"/>
  <c r="BA177" i="5"/>
  <c r="BA177" i="5" a="1"/>
  <c r="BI176" i="5"/>
  <c r="BI176" i="5" a="1"/>
  <c r="BH176" i="5"/>
  <c r="BH176" i="5" a="1"/>
  <c r="BE176" i="5"/>
  <c r="BE176" i="5" a="1"/>
  <c r="BD176" i="5"/>
  <c r="BC176" i="5"/>
  <c r="BC176" i="5" a="1"/>
  <c r="BB176" i="5"/>
  <c r="BB176" i="5" a="1"/>
  <c r="BA176" i="5"/>
  <c r="BA176" i="5" a="1"/>
  <c r="BI175" i="5"/>
  <c r="BI175" i="5" a="1"/>
  <c r="BH175" i="5"/>
  <c r="BH175" i="5" a="1"/>
  <c r="BE175" i="5"/>
  <c r="BE175" i="5" a="1"/>
  <c r="BD175" i="5"/>
  <c r="BC175" i="5"/>
  <c r="BC175" i="5" a="1"/>
  <c r="BB175" i="5"/>
  <c r="BB175" i="5" a="1"/>
  <c r="BA175" i="5"/>
  <c r="BA175" i="5" a="1"/>
  <c r="BI174" i="5"/>
  <c r="BI174" i="5" a="1"/>
  <c r="BH174" i="5"/>
  <c r="BH174" i="5" a="1"/>
  <c r="BE174" i="5"/>
  <c r="BE174" i="5" a="1"/>
  <c r="BD174" i="5"/>
  <c r="BC174" i="5"/>
  <c r="BC174" i="5" a="1"/>
  <c r="BB174" i="5"/>
  <c r="BB174" i="5" a="1"/>
  <c r="BA174" i="5"/>
  <c r="BA174" i="5" a="1"/>
  <c r="BI173" i="5"/>
  <c r="BI173" i="5" a="1"/>
  <c r="BH173" i="5"/>
  <c r="BH173" i="5" a="1"/>
  <c r="BE173" i="5"/>
  <c r="BE173" i="5" a="1"/>
  <c r="BD173" i="5"/>
  <c r="BC173" i="5"/>
  <c r="BC173" i="5" a="1"/>
  <c r="BB173" i="5"/>
  <c r="BB173" i="5" a="1"/>
  <c r="BA173" i="5"/>
  <c r="BA173" i="5" a="1"/>
  <c r="BI172" i="5"/>
  <c r="BI172" i="5" a="1"/>
  <c r="BH172" i="5"/>
  <c r="BH172" i="5" a="1"/>
  <c r="BE172" i="5"/>
  <c r="BE172" i="5" a="1"/>
  <c r="BD172" i="5"/>
  <c r="BC172" i="5"/>
  <c r="BC172" i="5" a="1"/>
  <c r="BB172" i="5"/>
  <c r="BB172" i="5" a="1"/>
  <c r="BA172" i="5"/>
  <c r="BA172" i="5" a="1"/>
  <c r="BI171" i="5"/>
  <c r="BI171" i="5" a="1"/>
  <c r="BH171" i="5"/>
  <c r="BH171" i="5" a="1"/>
  <c r="BE171" i="5"/>
  <c r="BE171" i="5" a="1"/>
  <c r="BD171" i="5"/>
  <c r="BC171" i="5"/>
  <c r="BC171" i="5" a="1"/>
  <c r="BB171" i="5"/>
  <c r="BB171" i="5" a="1"/>
  <c r="BA171" i="5"/>
  <c r="BA171" i="5" a="1"/>
  <c r="BI170" i="5"/>
  <c r="BI170" i="5" a="1"/>
  <c r="BH170" i="5"/>
  <c r="BH170" i="5" a="1"/>
  <c r="BE170" i="5"/>
  <c r="BE170" i="5" a="1"/>
  <c r="BD170" i="5"/>
  <c r="BC170" i="5"/>
  <c r="BC170" i="5" a="1"/>
  <c r="BB170" i="5"/>
  <c r="BB170" i="5" a="1"/>
  <c r="BA170" i="5"/>
  <c r="BA170" i="5" a="1"/>
  <c r="BI169" i="5"/>
  <c r="BI169" i="5" a="1"/>
  <c r="BH169" i="5"/>
  <c r="BH169" i="5" a="1"/>
  <c r="BE169" i="5"/>
  <c r="BE169" i="5" a="1"/>
  <c r="BD169" i="5"/>
  <c r="BC169" i="5"/>
  <c r="BC169" i="5" a="1"/>
  <c r="BB169" i="5"/>
  <c r="BB169" i="5" a="1"/>
  <c r="BA169" i="5"/>
  <c r="BA169" i="5" a="1"/>
  <c r="BI168" i="5"/>
  <c r="BI168" i="5" a="1"/>
  <c r="BH168" i="5"/>
  <c r="BH168" i="5" a="1"/>
  <c r="BE168" i="5"/>
  <c r="BE168" i="5" a="1"/>
  <c r="BD168" i="5"/>
  <c r="BC168" i="5"/>
  <c r="BC168" i="5" a="1"/>
  <c r="BB168" i="5"/>
  <c r="BB168" i="5" a="1"/>
  <c r="BA168" i="5"/>
  <c r="BA168" i="5" a="1"/>
  <c r="BI167" i="5"/>
  <c r="BI167" i="5" a="1"/>
  <c r="BH167" i="5"/>
  <c r="BH167" i="5" a="1"/>
  <c r="BE167" i="5"/>
  <c r="BE167" i="5" a="1"/>
  <c r="BD167" i="5"/>
  <c r="BC167" i="5"/>
  <c r="BC167" i="5" a="1"/>
  <c r="BB167" i="5"/>
  <c r="BB167" i="5" a="1"/>
  <c r="BA167" i="5"/>
  <c r="BA167" i="5" a="1"/>
  <c r="BI166" i="5"/>
  <c r="BI166" i="5" a="1"/>
  <c r="BH166" i="5"/>
  <c r="BH166" i="5" a="1"/>
  <c r="BE166" i="5"/>
  <c r="BE166" i="5" a="1"/>
  <c r="BD166" i="5"/>
  <c r="BC166" i="5"/>
  <c r="BC166" i="5" a="1"/>
  <c r="BB166" i="5"/>
  <c r="BB166" i="5" a="1"/>
  <c r="BA166" i="5"/>
  <c r="BA166" i="5" a="1"/>
  <c r="BI165" i="5"/>
  <c r="BI165" i="5" a="1"/>
  <c r="BH165" i="5"/>
  <c r="BH165" i="5" a="1"/>
  <c r="BE165" i="5"/>
  <c r="BE165" i="5" a="1"/>
  <c r="BD165" i="5"/>
  <c r="BC165" i="5"/>
  <c r="BC165" i="5" a="1"/>
  <c r="BB165" i="5"/>
  <c r="BB165" i="5" a="1"/>
  <c r="BA165" i="5"/>
  <c r="BA165" i="5" a="1"/>
  <c r="BI164" i="5"/>
  <c r="BI164" i="5" a="1"/>
  <c r="BH164" i="5"/>
  <c r="BH164" i="5" a="1"/>
  <c r="BE164" i="5"/>
  <c r="BE164" i="5" a="1"/>
  <c r="BD164" i="5"/>
  <c r="BC164" i="5"/>
  <c r="BC164" i="5" a="1"/>
  <c r="BB164" i="5"/>
  <c r="BB164" i="5" a="1"/>
  <c r="BA164" i="5"/>
  <c r="BA164" i="5" a="1"/>
  <c r="BI163" i="5"/>
  <c r="BI163" i="5" a="1"/>
  <c r="BH163" i="5"/>
  <c r="BH163" i="5" a="1"/>
  <c r="BE163" i="5"/>
  <c r="BE163" i="5" a="1"/>
  <c r="BD163" i="5"/>
  <c r="BC163" i="5"/>
  <c r="BC163" i="5" a="1"/>
  <c r="BB163" i="5"/>
  <c r="BB163" i="5" a="1"/>
  <c r="BA163" i="5"/>
  <c r="BA163" i="5" a="1"/>
  <c r="BI162" i="5"/>
  <c r="BI162" i="5" a="1"/>
  <c r="BH162" i="5"/>
  <c r="BH162" i="5" a="1"/>
  <c r="BE162" i="5"/>
  <c r="BE162" i="5" a="1"/>
  <c r="BD162" i="5"/>
  <c r="BC162" i="5"/>
  <c r="BC162" i="5" a="1"/>
  <c r="BB162" i="5"/>
  <c r="BB162" i="5" a="1"/>
  <c r="BA162" i="5"/>
  <c r="BA162" i="5" a="1"/>
  <c r="BI161" i="5"/>
  <c r="BI161" i="5" a="1"/>
  <c r="BH161" i="5"/>
  <c r="BH161" i="5" a="1"/>
  <c r="BE161" i="5"/>
  <c r="BE161" i="5" a="1"/>
  <c r="BD161" i="5"/>
  <c r="BC161" i="5"/>
  <c r="BC161" i="5" a="1"/>
  <c r="BB161" i="5"/>
  <c r="BB161" i="5" a="1"/>
  <c r="BA161" i="5"/>
  <c r="BA161" i="5" a="1"/>
  <c r="BI160" i="5"/>
  <c r="BI160" i="5" a="1"/>
  <c r="BH160" i="5"/>
  <c r="BH160" i="5" a="1"/>
  <c r="BE160" i="5"/>
  <c r="BE160" i="5" a="1"/>
  <c r="BD160" i="5"/>
  <c r="BC160" i="5"/>
  <c r="BC160" i="5" a="1"/>
  <c r="BB160" i="5"/>
  <c r="BB160" i="5" a="1"/>
  <c r="BA160" i="5"/>
  <c r="BA160" i="5" a="1"/>
  <c r="BI159" i="5"/>
  <c r="BI159" i="5" a="1"/>
  <c r="BH159" i="5"/>
  <c r="BH159" i="5" a="1"/>
  <c r="BE159" i="5"/>
  <c r="BE159" i="5" a="1"/>
  <c r="BD159" i="5"/>
  <c r="BC159" i="5"/>
  <c r="BC159" i="5" a="1"/>
  <c r="BB159" i="5"/>
  <c r="BB159" i="5" a="1"/>
  <c r="BA159" i="5"/>
  <c r="BA159" i="5" a="1"/>
  <c r="BI158" i="5"/>
  <c r="BI158" i="5" a="1"/>
  <c r="BH158" i="5"/>
  <c r="BH158" i="5" a="1"/>
  <c r="BE158" i="5"/>
  <c r="BE158" i="5" a="1"/>
  <c r="BD158" i="5"/>
  <c r="BC158" i="5"/>
  <c r="BC158" i="5" a="1"/>
  <c r="BB158" i="5"/>
  <c r="BB158" i="5" a="1"/>
  <c r="BA158" i="5"/>
  <c r="BA158" i="5" a="1"/>
  <c r="BI157" i="5"/>
  <c r="BI157" i="5" a="1"/>
  <c r="BH157" i="5"/>
  <c r="BH157" i="5" a="1"/>
  <c r="BE157" i="5"/>
  <c r="BE157" i="5" a="1"/>
  <c r="BD157" i="5"/>
  <c r="BC157" i="5"/>
  <c r="BC157" i="5" a="1"/>
  <c r="BB157" i="5"/>
  <c r="BB157" i="5" a="1"/>
  <c r="BA157" i="5"/>
  <c r="BA157" i="5" a="1"/>
  <c r="BI156" i="5"/>
  <c r="BI156" i="5" a="1"/>
  <c r="BH156" i="5"/>
  <c r="BH156" i="5" a="1"/>
  <c r="BE156" i="5"/>
  <c r="BE156" i="5" a="1"/>
  <c r="BD156" i="5"/>
  <c r="BC156" i="5"/>
  <c r="BC156" i="5" a="1"/>
  <c r="BB156" i="5"/>
  <c r="BB156" i="5" a="1"/>
  <c r="BA156" i="5"/>
  <c r="BA156" i="5" a="1"/>
  <c r="BI155" i="5"/>
  <c r="BI155" i="5" a="1"/>
  <c r="BH155" i="5"/>
  <c r="BH155" i="5" a="1"/>
  <c r="BE155" i="5"/>
  <c r="BE155" i="5" a="1"/>
  <c r="BD155" i="5"/>
  <c r="BC155" i="5"/>
  <c r="BC155" i="5" a="1"/>
  <c r="BB155" i="5"/>
  <c r="BB155" i="5" a="1"/>
  <c r="BA155" i="5"/>
  <c r="BA155" i="5" a="1"/>
  <c r="BI154" i="5"/>
  <c r="BI154" i="5" a="1"/>
  <c r="BH154" i="5"/>
  <c r="BH154" i="5" a="1"/>
  <c r="BE154" i="5"/>
  <c r="BE154" i="5" a="1"/>
  <c r="BD154" i="5"/>
  <c r="BC154" i="5"/>
  <c r="BC154" i="5" a="1"/>
  <c r="BB154" i="5"/>
  <c r="BB154" i="5" a="1"/>
  <c r="BA154" i="5"/>
  <c r="BA154" i="5" a="1"/>
  <c r="BI153" i="5"/>
  <c r="BI153" i="5" a="1"/>
  <c r="BH153" i="5"/>
  <c r="BH153" i="5" a="1"/>
  <c r="BE153" i="5"/>
  <c r="BE153" i="5" a="1"/>
  <c r="BD153" i="5"/>
  <c r="BC153" i="5"/>
  <c r="BC153" i="5" a="1"/>
  <c r="BB153" i="5"/>
  <c r="BB153" i="5" a="1"/>
  <c r="BA153" i="5"/>
  <c r="BA153" i="5" a="1"/>
  <c r="BI152" i="5"/>
  <c r="BI152" i="5" a="1"/>
  <c r="BH152" i="5"/>
  <c r="BH152" i="5" a="1"/>
  <c r="BE152" i="5"/>
  <c r="BE152" i="5" a="1"/>
  <c r="BD152" i="5"/>
  <c r="BC152" i="5"/>
  <c r="BC152" i="5" a="1"/>
  <c r="BB152" i="5"/>
  <c r="BB152" i="5" a="1"/>
  <c r="BA152" i="5"/>
  <c r="BA152" i="5" a="1"/>
  <c r="BI151" i="5"/>
  <c r="BI151" i="5" a="1"/>
  <c r="BH151" i="5"/>
  <c r="BH151" i="5" a="1"/>
  <c r="BE151" i="5"/>
  <c r="BE151" i="5" a="1"/>
  <c r="BD151" i="5"/>
  <c r="BC151" i="5"/>
  <c r="BC151" i="5" a="1"/>
  <c r="BB151" i="5"/>
  <c r="BB151" i="5" a="1"/>
  <c r="BA151" i="5"/>
  <c r="BA151" i="5" a="1"/>
  <c r="BI150" i="5"/>
  <c r="BI150" i="5" a="1"/>
  <c r="BH150" i="5"/>
  <c r="BH150" i="5" a="1"/>
  <c r="BE150" i="5"/>
  <c r="BE150" i="5" a="1"/>
  <c r="BD150" i="5"/>
  <c r="BC150" i="5"/>
  <c r="BC150" i="5" a="1"/>
  <c r="BB150" i="5"/>
  <c r="BB150" i="5" a="1"/>
  <c r="BA150" i="5"/>
  <c r="BA150" i="5" a="1"/>
  <c r="BI149" i="5"/>
  <c r="BI149" i="5" a="1"/>
  <c r="BH149" i="5"/>
  <c r="BH149" i="5" a="1"/>
  <c r="BE149" i="5"/>
  <c r="BE149" i="5" a="1"/>
  <c r="BD149" i="5"/>
  <c r="BC149" i="5"/>
  <c r="BC149" i="5" a="1"/>
  <c r="BB149" i="5"/>
  <c r="BB149" i="5" a="1"/>
  <c r="BA149" i="5"/>
  <c r="BA149" i="5" a="1"/>
  <c r="BI148" i="5"/>
  <c r="BI148" i="5" a="1"/>
  <c r="BH148" i="5"/>
  <c r="BH148" i="5" a="1"/>
  <c r="BE148" i="5"/>
  <c r="BE148" i="5" a="1"/>
  <c r="BD148" i="5"/>
  <c r="BC148" i="5"/>
  <c r="BC148" i="5" a="1"/>
  <c r="BB148" i="5"/>
  <c r="BB148" i="5" a="1"/>
  <c r="BA148" i="5"/>
  <c r="BA148" i="5" a="1"/>
  <c r="BI147" i="5"/>
  <c r="BI147" i="5" a="1"/>
  <c r="BH147" i="5"/>
  <c r="BH147" i="5" a="1"/>
  <c r="BE147" i="5"/>
  <c r="BE147" i="5" a="1"/>
  <c r="BD147" i="5"/>
  <c r="BC147" i="5"/>
  <c r="BC147" i="5" a="1"/>
  <c r="BB147" i="5"/>
  <c r="BB147" i="5" a="1"/>
  <c r="BA147" i="5"/>
  <c r="BA147" i="5" a="1"/>
  <c r="BI146" i="5"/>
  <c r="BI146" i="5" a="1"/>
  <c r="BH146" i="5"/>
  <c r="BH146" i="5" a="1"/>
  <c r="BE146" i="5"/>
  <c r="BE146" i="5" a="1"/>
  <c r="BD146" i="5"/>
  <c r="BC146" i="5"/>
  <c r="BC146" i="5" a="1"/>
  <c r="BB146" i="5"/>
  <c r="BB146" i="5" a="1"/>
  <c r="BA146" i="5"/>
  <c r="BA146" i="5" a="1"/>
  <c r="BI145" i="5"/>
  <c r="BI145" i="5" a="1"/>
  <c r="BH145" i="5"/>
  <c r="BH145" i="5" a="1"/>
  <c r="BE145" i="5"/>
  <c r="BE145" i="5" a="1"/>
  <c r="BD145" i="5"/>
  <c r="BC145" i="5"/>
  <c r="BC145" i="5" a="1"/>
  <c r="BB145" i="5"/>
  <c r="BB145" i="5" a="1"/>
  <c r="BA145" i="5"/>
  <c r="BA145" i="5" a="1"/>
  <c r="BI144" i="5"/>
  <c r="BI144" i="5" a="1"/>
  <c r="BH144" i="5"/>
  <c r="BH144" i="5" a="1"/>
  <c r="BE144" i="5"/>
  <c r="BE144" i="5" a="1"/>
  <c r="BD144" i="5"/>
  <c r="BC144" i="5"/>
  <c r="BC144" i="5" a="1"/>
  <c r="BB144" i="5"/>
  <c r="BB144" i="5" a="1"/>
  <c r="BA144" i="5"/>
  <c r="BA144" i="5" a="1"/>
  <c r="BI143" i="5"/>
  <c r="BI143" i="5" a="1"/>
  <c r="BH143" i="5"/>
  <c r="BH143" i="5" a="1"/>
  <c r="BE143" i="5"/>
  <c r="BE143" i="5" a="1"/>
  <c r="BD143" i="5"/>
  <c r="BC143" i="5"/>
  <c r="BC143" i="5" a="1"/>
  <c r="BB143" i="5"/>
  <c r="BB143" i="5" a="1"/>
  <c r="BA143" i="5"/>
  <c r="BA143" i="5" a="1"/>
  <c r="BI142" i="5"/>
  <c r="BI142" i="5" a="1"/>
  <c r="BH142" i="5"/>
  <c r="BH142" i="5" a="1"/>
  <c r="BE142" i="5"/>
  <c r="BE142" i="5" a="1"/>
  <c r="BD142" i="5"/>
  <c r="BC142" i="5"/>
  <c r="BC142" i="5" a="1"/>
  <c r="BB142" i="5"/>
  <c r="BB142" i="5" a="1"/>
  <c r="BA142" i="5"/>
  <c r="BA142" i="5" a="1"/>
  <c r="BI141" i="5"/>
  <c r="BI141" i="5" a="1"/>
  <c r="BH141" i="5"/>
  <c r="BH141" i="5" a="1"/>
  <c r="BE141" i="5"/>
  <c r="BE141" i="5" a="1"/>
  <c r="BD141" i="5"/>
  <c r="BC141" i="5"/>
  <c r="BC141" i="5" a="1"/>
  <c r="BB141" i="5"/>
  <c r="BB141" i="5" a="1"/>
  <c r="BA141" i="5"/>
  <c r="BA141" i="5" a="1"/>
  <c r="BI140" i="5"/>
  <c r="BI140" i="5" a="1"/>
  <c r="BH140" i="5"/>
  <c r="BH140" i="5" a="1"/>
  <c r="BE140" i="5"/>
  <c r="BE140" i="5" a="1"/>
  <c r="BD140" i="5"/>
  <c r="BC140" i="5"/>
  <c r="BC140" i="5" a="1"/>
  <c r="BB140" i="5"/>
  <c r="BB140" i="5" a="1"/>
  <c r="BA140" i="5"/>
  <c r="BA140" i="5" a="1"/>
  <c r="BI139" i="5"/>
  <c r="BI139" i="5" a="1"/>
  <c r="BH139" i="5"/>
  <c r="BH139" i="5" a="1"/>
  <c r="BE139" i="5"/>
  <c r="BE139" i="5" a="1"/>
  <c r="BD139" i="5"/>
  <c r="BC139" i="5"/>
  <c r="BC139" i="5" a="1"/>
  <c r="BB139" i="5"/>
  <c r="BB139" i="5" a="1"/>
  <c r="BA139" i="5"/>
  <c r="BA139" i="5" a="1"/>
  <c r="BI138" i="5"/>
  <c r="BI138" i="5" a="1"/>
  <c r="BH138" i="5"/>
  <c r="BH138" i="5" a="1"/>
  <c r="BE138" i="5"/>
  <c r="BE138" i="5" a="1"/>
  <c r="BD138" i="5"/>
  <c r="BC138" i="5"/>
  <c r="BC138" i="5" a="1"/>
  <c r="BB138" i="5"/>
  <c r="BB138" i="5" a="1"/>
  <c r="BA138" i="5"/>
  <c r="BA138" i="5" a="1"/>
  <c r="BI137" i="5"/>
  <c r="BI137" i="5" a="1"/>
  <c r="BH137" i="5"/>
  <c r="BH137" i="5" a="1"/>
  <c r="BE137" i="5"/>
  <c r="BE137" i="5" a="1"/>
  <c r="BD137" i="5"/>
  <c r="BC137" i="5"/>
  <c r="BC137" i="5" a="1"/>
  <c r="BB137" i="5"/>
  <c r="BB137" i="5" a="1"/>
  <c r="BA137" i="5"/>
  <c r="BA137" i="5" a="1"/>
  <c r="BI136" i="5"/>
  <c r="BI136" i="5" a="1"/>
  <c r="BH136" i="5"/>
  <c r="BH136" i="5" a="1"/>
  <c r="BE136" i="5"/>
  <c r="BE136" i="5" a="1"/>
  <c r="BD136" i="5"/>
  <c r="BC136" i="5"/>
  <c r="BC136" i="5" a="1"/>
  <c r="BB136" i="5"/>
  <c r="BB136" i="5" a="1"/>
  <c r="BA136" i="5"/>
  <c r="BA136" i="5" a="1"/>
  <c r="BI135" i="5"/>
  <c r="BI135" i="5" a="1"/>
  <c r="BH135" i="5"/>
  <c r="BH135" i="5" a="1"/>
  <c r="BE135" i="5"/>
  <c r="BE135" i="5" a="1"/>
  <c r="BD135" i="5"/>
  <c r="BC135" i="5"/>
  <c r="BC135" i="5" a="1"/>
  <c r="BB135" i="5"/>
  <c r="BB135" i="5" a="1"/>
  <c r="BA135" i="5"/>
  <c r="BA135" i="5" a="1"/>
  <c r="BI134" i="5"/>
  <c r="BI134" i="5" a="1"/>
  <c r="BH134" i="5"/>
  <c r="BH134" i="5" a="1"/>
  <c r="BE134" i="5"/>
  <c r="BE134" i="5" a="1"/>
  <c r="BD134" i="5"/>
  <c r="BC134" i="5"/>
  <c r="BC134" i="5" a="1"/>
  <c r="BB134" i="5"/>
  <c r="BB134" i="5" a="1"/>
  <c r="BA134" i="5"/>
  <c r="BA134" i="5" a="1"/>
  <c r="BI133" i="5"/>
  <c r="BI133" i="5" a="1"/>
  <c r="BH133" i="5"/>
  <c r="BH133" i="5" a="1"/>
  <c r="BE133" i="5"/>
  <c r="BE133" i="5" a="1"/>
  <c r="BD133" i="5"/>
  <c r="BC133" i="5"/>
  <c r="BC133" i="5" a="1"/>
  <c r="BB133" i="5"/>
  <c r="BB133" i="5" a="1"/>
  <c r="BA133" i="5"/>
  <c r="BA133" i="5" a="1"/>
  <c r="BI132" i="5"/>
  <c r="BI132" i="5" a="1"/>
  <c r="BH132" i="5"/>
  <c r="BH132" i="5" a="1"/>
  <c r="BE132" i="5"/>
  <c r="BE132" i="5" a="1"/>
  <c r="BD132" i="5"/>
  <c r="BC132" i="5"/>
  <c r="BC132" i="5" a="1"/>
  <c r="BB132" i="5"/>
  <c r="BB132" i="5" a="1"/>
  <c r="BA132" i="5"/>
  <c r="BA132" i="5" a="1"/>
  <c r="BI131" i="5"/>
  <c r="BI131" i="5" a="1"/>
  <c r="BH131" i="5"/>
  <c r="BH131" i="5" a="1"/>
  <c r="BE131" i="5"/>
  <c r="BE131" i="5" a="1"/>
  <c r="BD131" i="5"/>
  <c r="BC131" i="5"/>
  <c r="BC131" i="5" a="1"/>
  <c r="BB131" i="5"/>
  <c r="BB131" i="5" a="1"/>
  <c r="BA131" i="5"/>
  <c r="BA131" i="5" a="1"/>
  <c r="BI130" i="5"/>
  <c r="BI130" i="5" a="1"/>
  <c r="BH130" i="5"/>
  <c r="BH130" i="5" a="1"/>
  <c r="BE130" i="5"/>
  <c r="BE130" i="5" a="1"/>
  <c r="BD130" i="5"/>
  <c r="BC130" i="5"/>
  <c r="BC130" i="5" a="1"/>
  <c r="BB130" i="5"/>
  <c r="BB130" i="5" a="1"/>
  <c r="BA130" i="5"/>
  <c r="BA130" i="5" a="1"/>
  <c r="BI129" i="5"/>
  <c r="BI129" i="5" a="1"/>
  <c r="BH129" i="5"/>
  <c r="BH129" i="5" a="1"/>
  <c r="BE129" i="5"/>
  <c r="BE129" i="5" a="1"/>
  <c r="BD129" i="5"/>
  <c r="BC129" i="5"/>
  <c r="BC129" i="5" a="1"/>
  <c r="BB129" i="5"/>
  <c r="BB129" i="5" a="1"/>
  <c r="BA129" i="5"/>
  <c r="BA129" i="5" a="1"/>
  <c r="BI128" i="5"/>
  <c r="BI128" i="5" a="1"/>
  <c r="BH128" i="5"/>
  <c r="BH128" i="5" a="1"/>
  <c r="BE128" i="5"/>
  <c r="BE128" i="5" a="1"/>
  <c r="BD128" i="5"/>
  <c r="BC128" i="5"/>
  <c r="BC128" i="5" a="1"/>
  <c r="BB128" i="5"/>
  <c r="BB128" i="5" a="1"/>
  <c r="BA128" i="5"/>
  <c r="BA128" i="5" a="1"/>
  <c r="BI127" i="5"/>
  <c r="BI127" i="5" a="1"/>
  <c r="BH127" i="5"/>
  <c r="BH127" i="5" a="1"/>
  <c r="BE127" i="5"/>
  <c r="BE127" i="5" a="1"/>
  <c r="BD127" i="5"/>
  <c r="BC127" i="5"/>
  <c r="BC127" i="5" a="1"/>
  <c r="BB127" i="5"/>
  <c r="BB127" i="5" a="1"/>
  <c r="BA127" i="5"/>
  <c r="BA127" i="5" a="1"/>
  <c r="BI126" i="5"/>
  <c r="BI126" i="5" a="1"/>
  <c r="BH126" i="5"/>
  <c r="BH126" i="5" a="1"/>
  <c r="BE126" i="5"/>
  <c r="BE126" i="5" a="1"/>
  <c r="BD126" i="5"/>
  <c r="BC126" i="5"/>
  <c r="BC126" i="5" a="1"/>
  <c r="BB126" i="5"/>
  <c r="BB126" i="5" a="1"/>
  <c r="BA126" i="5"/>
  <c r="BA126" i="5" a="1"/>
  <c r="BI125" i="5"/>
  <c r="BI125" i="5" a="1"/>
  <c r="BH125" i="5"/>
  <c r="BH125" i="5" a="1"/>
  <c r="BE125" i="5"/>
  <c r="BE125" i="5" a="1"/>
  <c r="BD125" i="5"/>
  <c r="BC125" i="5"/>
  <c r="BC125" i="5" a="1"/>
  <c r="BB125" i="5"/>
  <c r="BB125" i="5" a="1"/>
  <c r="BA125" i="5"/>
  <c r="BA125" i="5" a="1"/>
  <c r="BI124" i="5"/>
  <c r="BI124" i="5" a="1"/>
  <c r="BH124" i="5"/>
  <c r="BH124" i="5" a="1"/>
  <c r="BE124" i="5"/>
  <c r="BE124" i="5" a="1"/>
  <c r="BD124" i="5"/>
  <c r="BC124" i="5"/>
  <c r="BC124" i="5" a="1"/>
  <c r="BB124" i="5"/>
  <c r="BB124" i="5" a="1"/>
  <c r="BA124" i="5"/>
  <c r="BA124" i="5" a="1"/>
  <c r="BI123" i="5"/>
  <c r="BI123" i="5" a="1"/>
  <c r="BH123" i="5"/>
  <c r="BH123" i="5" a="1"/>
  <c r="BE123" i="5"/>
  <c r="BE123" i="5" a="1"/>
  <c r="BD123" i="5"/>
  <c r="BC123" i="5"/>
  <c r="BC123" i="5" a="1"/>
  <c r="BB123" i="5"/>
  <c r="BB123" i="5" a="1"/>
  <c r="BA123" i="5"/>
  <c r="BA123" i="5" a="1"/>
  <c r="BI122" i="5"/>
  <c r="BI122" i="5" a="1"/>
  <c r="BH122" i="5"/>
  <c r="BH122" i="5" a="1"/>
  <c r="BE122" i="5"/>
  <c r="BE122" i="5" a="1"/>
  <c r="BD122" i="5"/>
  <c r="BC122" i="5"/>
  <c r="BC122" i="5" a="1"/>
  <c r="BB122" i="5"/>
  <c r="BB122" i="5" a="1"/>
  <c r="BA122" i="5"/>
  <c r="BA122" i="5" a="1"/>
  <c r="BI121" i="5"/>
  <c r="BI121" i="5" a="1"/>
  <c r="BH121" i="5"/>
  <c r="BH121" i="5" a="1"/>
  <c r="BE121" i="5"/>
  <c r="BE121" i="5" a="1"/>
  <c r="BD121" i="5"/>
  <c r="BC121" i="5"/>
  <c r="BC121" i="5" a="1"/>
  <c r="BB121" i="5"/>
  <c r="BB121" i="5" a="1"/>
  <c r="BA121" i="5"/>
  <c r="BA121" i="5" a="1"/>
  <c r="BI120" i="5"/>
  <c r="BI120" i="5" a="1"/>
  <c r="BH120" i="5"/>
  <c r="BH120" i="5" a="1"/>
  <c r="BE120" i="5"/>
  <c r="BE120" i="5" a="1"/>
  <c r="BD120" i="5"/>
  <c r="BC120" i="5"/>
  <c r="BC120" i="5" a="1"/>
  <c r="BB120" i="5"/>
  <c r="BB120" i="5" a="1"/>
  <c r="BA120" i="5"/>
  <c r="BA120" i="5" a="1"/>
  <c r="BI119" i="5"/>
  <c r="BI119" i="5" a="1"/>
  <c r="BH119" i="5"/>
  <c r="BH119" i="5" a="1"/>
  <c r="BE119" i="5"/>
  <c r="BE119" i="5" a="1"/>
  <c r="BD119" i="5"/>
  <c r="BC119" i="5"/>
  <c r="BC119" i="5" a="1"/>
  <c r="BB119" i="5"/>
  <c r="BB119" i="5" a="1"/>
  <c r="BA119" i="5"/>
  <c r="BA119" i="5" a="1"/>
  <c r="BI118" i="5"/>
  <c r="BI118" i="5" a="1"/>
  <c r="BH118" i="5"/>
  <c r="BH118" i="5" a="1"/>
  <c r="BE118" i="5"/>
  <c r="BE118" i="5" a="1"/>
  <c r="BD118" i="5"/>
  <c r="BC118" i="5"/>
  <c r="BC118" i="5" a="1"/>
  <c r="BB118" i="5"/>
  <c r="BB118" i="5" a="1"/>
  <c r="BA118" i="5"/>
  <c r="BA118" i="5" a="1"/>
  <c r="BI117" i="5"/>
  <c r="BI117" i="5" a="1"/>
  <c r="BH117" i="5"/>
  <c r="BH117" i="5" a="1"/>
  <c r="BE117" i="5"/>
  <c r="BE117" i="5" a="1"/>
  <c r="BD117" i="5"/>
  <c r="BC117" i="5"/>
  <c r="BC117" i="5" a="1"/>
  <c r="BB117" i="5"/>
  <c r="BB117" i="5" a="1"/>
  <c r="BA117" i="5"/>
  <c r="BA117" i="5" a="1"/>
  <c r="BI116" i="5"/>
  <c r="BI116" i="5" a="1"/>
  <c r="BH116" i="5"/>
  <c r="BH116" i="5" a="1"/>
  <c r="BE116" i="5"/>
  <c r="BE116" i="5" a="1"/>
  <c r="BD116" i="5"/>
  <c r="BC116" i="5"/>
  <c r="BC116" i="5" a="1"/>
  <c r="BB116" i="5"/>
  <c r="BB116" i="5" a="1"/>
  <c r="BA116" i="5"/>
  <c r="BA116" i="5" a="1"/>
  <c r="BI115" i="5"/>
  <c r="BI115" i="5" a="1"/>
  <c r="BH115" i="5"/>
  <c r="BH115" i="5" a="1"/>
  <c r="BE115" i="5"/>
  <c r="BE115" i="5" a="1"/>
  <c r="BD115" i="5"/>
  <c r="BC115" i="5"/>
  <c r="BC115" i="5" a="1"/>
  <c r="BB115" i="5"/>
  <c r="BB115" i="5" a="1"/>
  <c r="BA115" i="5"/>
  <c r="BA115" i="5" a="1"/>
  <c r="BI114" i="5"/>
  <c r="BI114" i="5" a="1"/>
  <c r="BH114" i="5"/>
  <c r="BH114" i="5" a="1"/>
  <c r="BE114" i="5"/>
  <c r="BE114" i="5" a="1"/>
  <c r="BD114" i="5"/>
  <c r="BC114" i="5"/>
  <c r="BC114" i="5" a="1"/>
  <c r="BB114" i="5"/>
  <c r="BB114" i="5" a="1"/>
  <c r="BA114" i="5"/>
  <c r="BA114" i="5" a="1"/>
  <c r="AV114" i="5"/>
  <c r="AV114" i="5" a="1"/>
  <c r="BI113" i="5"/>
  <c r="BI113" i="5" a="1"/>
  <c r="BH113" i="5"/>
  <c r="BH113" i="5" a="1"/>
  <c r="BE113" i="5"/>
  <c r="BE113" i="5" a="1"/>
  <c r="BD113" i="5"/>
  <c r="BC113" i="5"/>
  <c r="BC113" i="5" a="1"/>
  <c r="BB113" i="5"/>
  <c r="BB113" i="5" a="1"/>
  <c r="BA113" i="5"/>
  <c r="BA113" i="5" a="1"/>
  <c r="AV113" i="5"/>
  <c r="AV113" i="5" a="1"/>
  <c r="BI112" i="5"/>
  <c r="BI112" i="5" a="1"/>
  <c r="BH112" i="5"/>
  <c r="BH112" i="5" a="1"/>
  <c r="BE112" i="5"/>
  <c r="BE112" i="5" a="1"/>
  <c r="BD112" i="5"/>
  <c r="BC112" i="5"/>
  <c r="BC112" i="5" a="1"/>
  <c r="BB112" i="5"/>
  <c r="BB112" i="5" a="1"/>
  <c r="BA112" i="5"/>
  <c r="BA112" i="5" a="1"/>
  <c r="AV112" i="5"/>
  <c r="AV112" i="5" a="1"/>
  <c r="BI111" i="5"/>
  <c r="BI111" i="5" a="1"/>
  <c r="BH111" i="5"/>
  <c r="BH111" i="5" a="1"/>
  <c r="BE111" i="5"/>
  <c r="BE111" i="5" a="1"/>
  <c r="BD111" i="5"/>
  <c r="BC111" i="5"/>
  <c r="BC111" i="5" a="1"/>
  <c r="BB111" i="5"/>
  <c r="BB111" i="5" a="1"/>
  <c r="BA111" i="5"/>
  <c r="BA111" i="5" a="1"/>
  <c r="AV111" i="5"/>
  <c r="AV111" i="5" a="1"/>
  <c r="BI110" i="5"/>
  <c r="BI110" i="5" a="1"/>
  <c r="BH110" i="5"/>
  <c r="BH110" i="5" a="1"/>
  <c r="BE110" i="5"/>
  <c r="BE110" i="5" a="1"/>
  <c r="BD110" i="5"/>
  <c r="BC110" i="5"/>
  <c r="BC110" i="5" a="1"/>
  <c r="BB110" i="5"/>
  <c r="BB110" i="5" a="1"/>
  <c r="BA110" i="5"/>
  <c r="BA110" i="5" a="1"/>
  <c r="AV110" i="5"/>
  <c r="AV110" i="5" a="1"/>
  <c r="BI109" i="5"/>
  <c r="BI109" i="5" a="1"/>
  <c r="BH109" i="5"/>
  <c r="BH109" i="5" a="1"/>
  <c r="BE109" i="5"/>
  <c r="BE109" i="5" a="1"/>
  <c r="BD109" i="5"/>
  <c r="BC109" i="5"/>
  <c r="BC109" i="5" a="1"/>
  <c r="BB109" i="5"/>
  <c r="BB109" i="5" a="1"/>
  <c r="BA109" i="5"/>
  <c r="BA109" i="5" a="1"/>
  <c r="AV109" i="5"/>
  <c r="AV109" i="5" a="1"/>
  <c r="BI108" i="5"/>
  <c r="BI108" i="5" a="1"/>
  <c r="BH108" i="5"/>
  <c r="BH108" i="5" a="1"/>
  <c r="BE108" i="5"/>
  <c r="BE108" i="5" a="1"/>
  <c r="BD108" i="5"/>
  <c r="BC108" i="5"/>
  <c r="BC108" i="5" a="1"/>
  <c r="BB108" i="5"/>
  <c r="BB108" i="5" a="1"/>
  <c r="BA108" i="5"/>
  <c r="BA108" i="5" a="1"/>
  <c r="AV108" i="5"/>
  <c r="AV108" i="5" a="1"/>
  <c r="BI107" i="5"/>
  <c r="BI107" i="5" a="1"/>
  <c r="BH107" i="5"/>
  <c r="BH107" i="5" a="1"/>
  <c r="BE107" i="5"/>
  <c r="BE107" i="5" a="1"/>
  <c r="BD107" i="5"/>
  <c r="BC107" i="5"/>
  <c r="BC107" i="5" a="1"/>
  <c r="BB107" i="5"/>
  <c r="BB107" i="5" a="1"/>
  <c r="BA107" i="5"/>
  <c r="BA107" i="5" a="1"/>
  <c r="AV107" i="5"/>
  <c r="AV107" i="5" a="1"/>
  <c r="BI106" i="5"/>
  <c r="BI106" i="5" a="1"/>
  <c r="BH106" i="5"/>
  <c r="BH106" i="5" a="1"/>
  <c r="BE106" i="5"/>
  <c r="BE106" i="5" a="1"/>
  <c r="BD106" i="5"/>
  <c r="BC106" i="5"/>
  <c r="BC106" i="5" a="1"/>
  <c r="BB106" i="5"/>
  <c r="BB106" i="5" a="1"/>
  <c r="BA106" i="5"/>
  <c r="BA106" i="5" a="1"/>
  <c r="AV106" i="5"/>
  <c r="AV106" i="5" a="1"/>
  <c r="BI105" i="5"/>
  <c r="BI105" i="5" a="1"/>
  <c r="BH105" i="5"/>
  <c r="BH105" i="5" a="1"/>
  <c r="BE105" i="5"/>
  <c r="BE105" i="5" a="1"/>
  <c r="BD105" i="5"/>
  <c r="BC105" i="5"/>
  <c r="BC105" i="5" a="1"/>
  <c r="BB105" i="5"/>
  <c r="BB105" i="5" a="1"/>
  <c r="BA105" i="5"/>
  <c r="BA105" i="5" a="1"/>
  <c r="AV105" i="5"/>
  <c r="AV105" i="5" a="1"/>
  <c r="BI104" i="5"/>
  <c r="BI104" i="5" a="1"/>
  <c r="BH104" i="5"/>
  <c r="BH104" i="5" a="1"/>
  <c r="BE104" i="5"/>
  <c r="BE104" i="5" a="1"/>
  <c r="BD104" i="5"/>
  <c r="BC104" i="5"/>
  <c r="BC104" i="5" a="1"/>
  <c r="BB104" i="5"/>
  <c r="BB104" i="5" a="1"/>
  <c r="BA104" i="5"/>
  <c r="BA104" i="5" a="1"/>
  <c r="AV104" i="5"/>
  <c r="AV104" i="5" a="1"/>
  <c r="BI103" i="5"/>
  <c r="BI103" i="5" a="1"/>
  <c r="BH103" i="5"/>
  <c r="BH103" i="5" a="1"/>
  <c r="BE103" i="5"/>
  <c r="BE103" i="5" a="1"/>
  <c r="BD103" i="5"/>
  <c r="BC103" i="5"/>
  <c r="BC103" i="5" a="1"/>
  <c r="BB103" i="5"/>
  <c r="BB103" i="5" a="1"/>
  <c r="BA103" i="5"/>
  <c r="BA103" i="5" a="1"/>
  <c r="AV103" i="5"/>
  <c r="AV103" i="5" a="1"/>
  <c r="BI102" i="5"/>
  <c r="BI102" i="5" a="1"/>
  <c r="BH102" i="5"/>
  <c r="BH102" i="5" a="1"/>
  <c r="BE102" i="5"/>
  <c r="BE102" i="5" a="1"/>
  <c r="BD102" i="5"/>
  <c r="BC102" i="5"/>
  <c r="BC102" i="5" a="1"/>
  <c r="BB102" i="5"/>
  <c r="BB102" i="5" a="1"/>
  <c r="BA102" i="5"/>
  <c r="BA102" i="5" a="1"/>
  <c r="AV102" i="5"/>
  <c r="AV102" i="5" a="1"/>
  <c r="BI101" i="5"/>
  <c r="BI101" i="5" a="1"/>
  <c r="BH101" i="5"/>
  <c r="BH101" i="5" a="1"/>
  <c r="BE101" i="5"/>
  <c r="BE101" i="5" a="1"/>
  <c r="BD101" i="5"/>
  <c r="BC101" i="5"/>
  <c r="BC101" i="5" a="1"/>
  <c r="BB101" i="5"/>
  <c r="BB101" i="5" a="1"/>
  <c r="BA101" i="5"/>
  <c r="BA101" i="5" a="1"/>
  <c r="AV101" i="5"/>
  <c r="AV101" i="5" a="1"/>
  <c r="BI100" i="5"/>
  <c r="BI100" i="5" a="1"/>
  <c r="BH100" i="5"/>
  <c r="BH100" i="5" a="1"/>
  <c r="BE100" i="5"/>
  <c r="BE100" i="5" a="1"/>
  <c r="BD100" i="5"/>
  <c r="BC100" i="5"/>
  <c r="BC100" i="5" a="1"/>
  <c r="BB100" i="5"/>
  <c r="BB100" i="5" a="1"/>
  <c r="BA100" i="5"/>
  <c r="BA100" i="5" a="1"/>
  <c r="AV100" i="5"/>
  <c r="AV100" i="5" a="1"/>
  <c r="BI99" i="5"/>
  <c r="BI99" i="5" a="1"/>
  <c r="BH99" i="5"/>
  <c r="BH99" i="5" a="1"/>
  <c r="BE99" i="5"/>
  <c r="BE99" i="5" a="1"/>
  <c r="BD99" i="5"/>
  <c r="BC99" i="5"/>
  <c r="BC99" i="5" a="1"/>
  <c r="BB99" i="5"/>
  <c r="BB99" i="5" a="1"/>
  <c r="BA99" i="5"/>
  <c r="BA99" i="5" a="1"/>
  <c r="AV99" i="5"/>
  <c r="AV99" i="5" a="1"/>
  <c r="BI98" i="5"/>
  <c r="BI98" i="5" a="1"/>
  <c r="BH98" i="5"/>
  <c r="BH98" i="5" a="1"/>
  <c r="BE98" i="5"/>
  <c r="BE98" i="5" a="1"/>
  <c r="BD98" i="5"/>
  <c r="BC98" i="5"/>
  <c r="BC98" i="5" a="1"/>
  <c r="BB98" i="5"/>
  <c r="BB98" i="5" a="1"/>
  <c r="BA98" i="5"/>
  <c r="BA98" i="5" a="1"/>
  <c r="AZ98" i="5"/>
  <c r="AV98" i="5"/>
  <c r="AV98" i="5" a="1"/>
  <c r="BI97" i="5"/>
  <c r="BI97" i="5" a="1"/>
  <c r="BH97" i="5"/>
  <c r="BH97" i="5" a="1"/>
  <c r="BE97" i="5"/>
  <c r="BE97" i="5" a="1"/>
  <c r="BD97" i="5"/>
  <c r="BC97" i="5"/>
  <c r="BC97" i="5" a="1"/>
  <c r="BB97" i="5"/>
  <c r="BB97" i="5" a="1"/>
  <c r="BA97" i="5"/>
  <c r="BA97" i="5" a="1"/>
  <c r="AZ97" i="5"/>
  <c r="AV97" i="5"/>
  <c r="AV97" i="5" a="1"/>
  <c r="BI96" i="5"/>
  <c r="BI96" i="5" a="1"/>
  <c r="BH96" i="5"/>
  <c r="BH96" i="5" a="1"/>
  <c r="BE96" i="5"/>
  <c r="BE96" i="5" a="1"/>
  <c r="BD96" i="5"/>
  <c r="BC96" i="5"/>
  <c r="BC96" i="5" a="1"/>
  <c r="BB96" i="5"/>
  <c r="BB96" i="5" a="1"/>
  <c r="BA96" i="5"/>
  <c r="BA96" i="5" a="1"/>
  <c r="AZ96" i="5"/>
  <c r="AV96" i="5"/>
  <c r="AV96" i="5" a="1"/>
  <c r="BI95" i="5"/>
  <c r="BI95" i="5" a="1"/>
  <c r="BH95" i="5"/>
  <c r="BH95" i="5" a="1"/>
  <c r="BE95" i="5"/>
  <c r="BE95" i="5" a="1"/>
  <c r="BD95" i="5"/>
  <c r="BC95" i="5"/>
  <c r="BC95" i="5" a="1"/>
  <c r="BB95" i="5"/>
  <c r="BB95" i="5" a="1"/>
  <c r="BA95" i="5"/>
  <c r="BA95" i="5" a="1"/>
  <c r="AZ95" i="5"/>
  <c r="AV95" i="5"/>
  <c r="AV95" i="5" a="1"/>
  <c r="BI94" i="5"/>
  <c r="BI94" i="5" a="1"/>
  <c r="BH94" i="5"/>
  <c r="BH94" i="5" a="1"/>
  <c r="BE94" i="5"/>
  <c r="BE94" i="5" a="1"/>
  <c r="BD94" i="5"/>
  <c r="BC94" i="5"/>
  <c r="BC94" i="5" a="1"/>
  <c r="BB94" i="5"/>
  <c r="BB94" i="5" a="1"/>
  <c r="BA94" i="5"/>
  <c r="BA94" i="5" a="1"/>
  <c r="AZ94" i="5"/>
  <c r="AV94" i="5"/>
  <c r="AV94" i="5" a="1"/>
  <c r="BI93" i="5"/>
  <c r="BI93" i="5" a="1"/>
  <c r="BH93" i="5"/>
  <c r="BH93" i="5" a="1"/>
  <c r="BE93" i="5"/>
  <c r="BE93" i="5" a="1"/>
  <c r="BD93" i="5"/>
  <c r="BC93" i="5"/>
  <c r="BC93" i="5" a="1"/>
  <c r="BB93" i="5"/>
  <c r="BB93" i="5" a="1"/>
  <c r="BA93" i="5"/>
  <c r="BA93" i="5" a="1"/>
  <c r="AZ93" i="5"/>
  <c r="AV93" i="5"/>
  <c r="AV93" i="5" a="1"/>
  <c r="BI92" i="5"/>
  <c r="BI92" i="5" a="1"/>
  <c r="BH92" i="5"/>
  <c r="BH92" i="5" a="1"/>
  <c r="BE92" i="5"/>
  <c r="BE92" i="5" a="1"/>
  <c r="BD92" i="5"/>
  <c r="BC92" i="5"/>
  <c r="BC92" i="5" a="1"/>
  <c r="BB92" i="5"/>
  <c r="BB92" i="5" a="1"/>
  <c r="BA92" i="5"/>
  <c r="BA92" i="5" a="1"/>
  <c r="AZ92" i="5"/>
  <c r="AV92" i="5"/>
  <c r="AV92" i="5" a="1"/>
  <c r="BI91" i="5"/>
  <c r="BI91" i="5" a="1"/>
  <c r="BH91" i="5"/>
  <c r="BH91" i="5" a="1"/>
  <c r="BE91" i="5"/>
  <c r="BE91" i="5" a="1"/>
  <c r="BD91" i="5"/>
  <c r="BC91" i="5"/>
  <c r="BC91" i="5" a="1"/>
  <c r="BB91" i="5"/>
  <c r="BB91" i="5" a="1"/>
  <c r="BA91" i="5"/>
  <c r="BA91" i="5" a="1"/>
  <c r="AZ91" i="5"/>
  <c r="AV91" i="5"/>
  <c r="AV91" i="5" a="1"/>
  <c r="BI90" i="5"/>
  <c r="BI90" i="5" a="1"/>
  <c r="BH90" i="5"/>
  <c r="BH90" i="5" a="1"/>
  <c r="BE90" i="5"/>
  <c r="BE90" i="5" a="1"/>
  <c r="BD90" i="5"/>
  <c r="BC90" i="5"/>
  <c r="BC90" i="5" a="1"/>
  <c r="BB90" i="5"/>
  <c r="BB90" i="5" a="1"/>
  <c r="BA90" i="5"/>
  <c r="BA90" i="5" a="1"/>
  <c r="AZ90" i="5"/>
  <c r="AV90" i="5"/>
  <c r="AV90" i="5" a="1"/>
  <c r="BI89" i="5"/>
  <c r="BI89" i="5" a="1"/>
  <c r="BH89" i="5"/>
  <c r="BH89" i="5" a="1"/>
  <c r="BE89" i="5"/>
  <c r="BE89" i="5" a="1"/>
  <c r="BD89" i="5"/>
  <c r="BC89" i="5"/>
  <c r="BC89" i="5" a="1"/>
  <c r="BB89" i="5"/>
  <c r="BB89" i="5" a="1"/>
  <c r="BA89" i="5"/>
  <c r="BA89" i="5" a="1"/>
  <c r="AZ89" i="5"/>
  <c r="AV89" i="5"/>
  <c r="AV89" i="5" a="1"/>
  <c r="BI88" i="5"/>
  <c r="BI88" i="5" a="1"/>
  <c r="BH88" i="5"/>
  <c r="BH88" i="5" a="1"/>
  <c r="BE88" i="5"/>
  <c r="BE88" i="5" a="1"/>
  <c r="BD88" i="5"/>
  <c r="BC88" i="5"/>
  <c r="BC88" i="5" a="1"/>
  <c r="BB88" i="5"/>
  <c r="BB88" i="5" a="1"/>
  <c r="BA88" i="5"/>
  <c r="BA88" i="5" a="1"/>
  <c r="AZ88" i="5"/>
  <c r="AV88" i="5"/>
  <c r="AV88" i="5" a="1"/>
  <c r="BI87" i="5"/>
  <c r="BI87" i="5" a="1"/>
  <c r="BH87" i="5"/>
  <c r="BH87" i="5" a="1"/>
  <c r="BE87" i="5"/>
  <c r="BE87" i="5" a="1"/>
  <c r="BD87" i="5"/>
  <c r="BC87" i="5"/>
  <c r="BC87" i="5" a="1"/>
  <c r="BB87" i="5"/>
  <c r="BB87" i="5" a="1"/>
  <c r="BA87" i="5"/>
  <c r="BA87" i="5" a="1"/>
  <c r="AZ87" i="5"/>
  <c r="AV87" i="5"/>
  <c r="AV87" i="5" a="1"/>
  <c r="BI86" i="5"/>
  <c r="BI86" i="5" a="1"/>
  <c r="BH86" i="5"/>
  <c r="BH86" i="5" a="1"/>
  <c r="BE86" i="5"/>
  <c r="BE86" i="5" a="1"/>
  <c r="BD86" i="5"/>
  <c r="BC86" i="5"/>
  <c r="BC86" i="5" a="1"/>
  <c r="BB86" i="5"/>
  <c r="BB86" i="5" a="1"/>
  <c r="BA86" i="5"/>
  <c r="BA86" i="5" a="1"/>
  <c r="AZ86" i="5"/>
  <c r="AV86" i="5"/>
  <c r="AV86" i="5" a="1"/>
  <c r="BI85" i="5"/>
  <c r="BI85" i="5" a="1"/>
  <c r="BH85" i="5"/>
  <c r="BH85" i="5" a="1"/>
  <c r="BE85" i="5"/>
  <c r="BE85" i="5" a="1"/>
  <c r="BD85" i="5"/>
  <c r="BC85" i="5"/>
  <c r="BC85" i="5" a="1"/>
  <c r="BB85" i="5"/>
  <c r="BB85" i="5" a="1"/>
  <c r="BA85" i="5"/>
  <c r="BA85" i="5" a="1"/>
  <c r="AZ85" i="5"/>
  <c r="AV85" i="5"/>
  <c r="AV85" i="5" a="1"/>
  <c r="BI84" i="5"/>
  <c r="BI84" i="5" a="1"/>
  <c r="BH84" i="5"/>
  <c r="BH84" i="5" a="1"/>
  <c r="BE84" i="5"/>
  <c r="BE84" i="5" a="1"/>
  <c r="BD84" i="5"/>
  <c r="BC84" i="5"/>
  <c r="BC84" i="5" a="1"/>
  <c r="BB84" i="5"/>
  <c r="BB84" i="5" a="1"/>
  <c r="BA84" i="5"/>
  <c r="BA84" i="5" a="1"/>
  <c r="AZ84" i="5"/>
  <c r="AV84" i="5"/>
  <c r="AV84" i="5" a="1"/>
  <c r="BI83" i="5"/>
  <c r="BI83" i="5" a="1"/>
  <c r="BH83" i="5"/>
  <c r="BH83" i="5" a="1"/>
  <c r="BE83" i="5"/>
  <c r="BE83" i="5" a="1"/>
  <c r="BD83" i="5"/>
  <c r="BC83" i="5"/>
  <c r="BC83" i="5" a="1"/>
  <c r="BB83" i="5"/>
  <c r="BB83" i="5" a="1"/>
  <c r="BA83" i="5"/>
  <c r="BA83" i="5" a="1"/>
  <c r="AZ83" i="5"/>
  <c r="AV83" i="5"/>
  <c r="AV83" i="5" a="1"/>
  <c r="BI82" i="5"/>
  <c r="BI82" i="5" a="1"/>
  <c r="BH82" i="5"/>
  <c r="BH82" i="5" a="1"/>
  <c r="BE82" i="5"/>
  <c r="BE82" i="5" a="1"/>
  <c r="BD82" i="5"/>
  <c r="BC82" i="5"/>
  <c r="BC82" i="5" a="1"/>
  <c r="BB82" i="5"/>
  <c r="BB82" i="5" a="1"/>
  <c r="BA82" i="5"/>
  <c r="BA82" i="5" a="1"/>
  <c r="AZ82" i="5"/>
  <c r="AV82" i="5"/>
  <c r="AV82" i="5" a="1"/>
  <c r="BI81" i="5"/>
  <c r="BI81" i="5" a="1"/>
  <c r="BH81" i="5"/>
  <c r="BH81" i="5" a="1"/>
  <c r="BE81" i="5"/>
  <c r="BE81" i="5" a="1"/>
  <c r="BD81" i="5"/>
  <c r="BC81" i="5"/>
  <c r="BC81" i="5" a="1"/>
  <c r="BB81" i="5"/>
  <c r="BB81" i="5" a="1"/>
  <c r="BA81" i="5"/>
  <c r="BA81" i="5" a="1"/>
  <c r="AZ81" i="5"/>
  <c r="AV81" i="5"/>
  <c r="AV81" i="5" a="1"/>
  <c r="BI80" i="5"/>
  <c r="BI80" i="5" a="1"/>
  <c r="BH80" i="5"/>
  <c r="BH80" i="5" a="1"/>
  <c r="BE80" i="5"/>
  <c r="BE80" i="5" a="1"/>
  <c r="BD80" i="5"/>
  <c r="BC80" i="5"/>
  <c r="BC80" i="5" a="1"/>
  <c r="BB80" i="5"/>
  <c r="BB80" i="5" a="1"/>
  <c r="BA80" i="5"/>
  <c r="BA80" i="5" a="1"/>
  <c r="AZ80" i="5"/>
  <c r="AV80" i="5"/>
  <c r="AV80" i="5" a="1"/>
  <c r="BI79" i="5"/>
  <c r="BI79" i="5" a="1"/>
  <c r="BH79" i="5"/>
  <c r="BH79" i="5" a="1"/>
  <c r="BE79" i="5"/>
  <c r="BE79" i="5" a="1"/>
  <c r="BD79" i="5"/>
  <c r="BC79" i="5"/>
  <c r="BC79" i="5" a="1"/>
  <c r="BB79" i="5"/>
  <c r="BB79" i="5" a="1"/>
  <c r="BA79" i="5"/>
  <c r="BA79" i="5" a="1"/>
  <c r="AZ79" i="5"/>
  <c r="AV79" i="5"/>
  <c r="AV79" i="5" a="1"/>
  <c r="BI78" i="5"/>
  <c r="BI78" i="5" a="1"/>
  <c r="BH78" i="5"/>
  <c r="BH78" i="5" a="1"/>
  <c r="BE78" i="5"/>
  <c r="BE78" i="5" a="1"/>
  <c r="BD78" i="5"/>
  <c r="BC78" i="5"/>
  <c r="BC78" i="5" a="1"/>
  <c r="BB78" i="5"/>
  <c r="BB78" i="5" a="1"/>
  <c r="BA78" i="5"/>
  <c r="BA78" i="5" a="1"/>
  <c r="AZ78" i="5"/>
  <c r="AV78" i="5"/>
  <c r="AV78" i="5" a="1"/>
  <c r="BI77" i="5"/>
  <c r="BI77" i="5" a="1"/>
  <c r="BH77" i="5"/>
  <c r="BH77" i="5" a="1"/>
  <c r="BE77" i="5"/>
  <c r="BE77" i="5" a="1"/>
  <c r="BD77" i="5"/>
  <c r="BC77" i="5"/>
  <c r="BC77" i="5" a="1"/>
  <c r="BB77" i="5"/>
  <c r="BB77" i="5" a="1"/>
  <c r="BA77" i="5"/>
  <c r="BA77" i="5" a="1"/>
  <c r="AZ77" i="5"/>
  <c r="AV77" i="5"/>
  <c r="AV77" i="5" a="1"/>
  <c r="BI76" i="5"/>
  <c r="BI76" i="5" a="1"/>
  <c r="BH76" i="5"/>
  <c r="BH76" i="5" a="1"/>
  <c r="BE76" i="5"/>
  <c r="BE76" i="5" a="1"/>
  <c r="BD76" i="5"/>
  <c r="BC76" i="5"/>
  <c r="BC76" i="5" a="1"/>
  <c r="BB76" i="5"/>
  <c r="BB76" i="5" a="1"/>
  <c r="BA76" i="5"/>
  <c r="BA76" i="5" a="1"/>
  <c r="AZ76" i="5"/>
  <c r="AV76" i="5"/>
  <c r="AV76" i="5" a="1"/>
  <c r="BI75" i="5"/>
  <c r="BI75" i="5" a="1"/>
  <c r="BH75" i="5"/>
  <c r="BH75" i="5" a="1"/>
  <c r="BE75" i="5"/>
  <c r="BE75" i="5" a="1"/>
  <c r="BD75" i="5"/>
  <c r="BC75" i="5"/>
  <c r="BC75" i="5" a="1"/>
  <c r="BB75" i="5"/>
  <c r="BB75" i="5" a="1"/>
  <c r="BA75" i="5"/>
  <c r="BA75" i="5" a="1"/>
  <c r="AZ75" i="5"/>
  <c r="AV75" i="5"/>
  <c r="AV75" i="5" a="1"/>
  <c r="BI74" i="5"/>
  <c r="BI74" i="5" a="1"/>
  <c r="BH74" i="5"/>
  <c r="BH74" i="5" a="1"/>
  <c r="BE74" i="5"/>
  <c r="BE74" i="5" a="1"/>
  <c r="BD74" i="5"/>
  <c r="BC74" i="5"/>
  <c r="BC74" i="5" a="1"/>
  <c r="BB74" i="5"/>
  <c r="BB74" i="5" a="1"/>
  <c r="BA74" i="5"/>
  <c r="BA74" i="5" a="1"/>
  <c r="AZ74" i="5"/>
  <c r="AV74" i="5"/>
  <c r="AV74" i="5" a="1"/>
  <c r="BI73" i="5"/>
  <c r="BI73" i="5" a="1"/>
  <c r="BH73" i="5"/>
  <c r="BH73" i="5" a="1"/>
  <c r="BE73" i="5"/>
  <c r="BE73" i="5" a="1"/>
  <c r="BD73" i="5"/>
  <c r="BC73" i="5"/>
  <c r="BC73" i="5" a="1"/>
  <c r="BB73" i="5"/>
  <c r="BB73" i="5" a="1"/>
  <c r="BA73" i="5"/>
  <c r="BA73" i="5" a="1"/>
  <c r="AZ73" i="5"/>
  <c r="AV73" i="5"/>
  <c r="AV73" i="5" a="1"/>
  <c r="BI72" i="5"/>
  <c r="BI72" i="5" a="1"/>
  <c r="BH72" i="5"/>
  <c r="BH72" i="5" a="1"/>
  <c r="BE72" i="5"/>
  <c r="BE72" i="5" a="1"/>
  <c r="BD72" i="5"/>
  <c r="BC72" i="5"/>
  <c r="BC72" i="5" a="1"/>
  <c r="BB72" i="5"/>
  <c r="BB72" i="5" a="1"/>
  <c r="BA72" i="5"/>
  <c r="BA72" i="5" a="1"/>
  <c r="AZ72" i="5"/>
  <c r="AV72" i="5"/>
  <c r="AV72" i="5" a="1"/>
  <c r="BI71" i="5"/>
  <c r="BI71" i="5" a="1"/>
  <c r="BH71" i="5"/>
  <c r="BH71" i="5" a="1"/>
  <c r="BE71" i="5"/>
  <c r="BE71" i="5" a="1"/>
  <c r="BD71" i="5"/>
  <c r="BC71" i="5"/>
  <c r="BC71" i="5" a="1"/>
  <c r="BB71" i="5"/>
  <c r="BB71" i="5" a="1"/>
  <c r="BA71" i="5"/>
  <c r="BA71" i="5" a="1"/>
  <c r="AZ71" i="5"/>
  <c r="AV71" i="5"/>
  <c r="AV71" i="5" a="1"/>
  <c r="BI70" i="5"/>
  <c r="BI70" i="5" a="1"/>
  <c r="BH70" i="5"/>
  <c r="BH70" i="5" a="1"/>
  <c r="BE70" i="5"/>
  <c r="BE70" i="5" a="1"/>
  <c r="BD70" i="5"/>
  <c r="BC70" i="5"/>
  <c r="BC70" i="5" a="1"/>
  <c r="BB70" i="5"/>
  <c r="BB70" i="5" a="1"/>
  <c r="BA70" i="5"/>
  <c r="BA70" i="5" a="1"/>
  <c r="AZ70" i="5"/>
  <c r="AV70" i="5"/>
  <c r="AV70" i="5" a="1"/>
  <c r="B70" i="5"/>
  <c r="B70" i="5" a="1"/>
  <c r="BI69" i="5"/>
  <c r="BI69" i="5" a="1"/>
  <c r="BH69" i="5"/>
  <c r="BH69" i="5" a="1"/>
  <c r="BE69" i="5"/>
  <c r="BE69" i="5" a="1"/>
  <c r="BD69" i="5"/>
  <c r="BC69" i="5"/>
  <c r="BC69" i="5" a="1"/>
  <c r="BB69" i="5"/>
  <c r="BB69" i="5" a="1"/>
  <c r="BA69" i="5"/>
  <c r="BA69" i="5" a="1"/>
  <c r="AZ69" i="5"/>
  <c r="AV69" i="5"/>
  <c r="AV69" i="5" a="1"/>
  <c r="B69" i="5"/>
  <c r="B69" i="5" a="1"/>
  <c r="BI68" i="5"/>
  <c r="BI68" i="5" a="1"/>
  <c r="BH68" i="5"/>
  <c r="BH68" i="5" a="1"/>
  <c r="BE68" i="5"/>
  <c r="BE68" i="5" a="1"/>
  <c r="BD68" i="5"/>
  <c r="BC68" i="5"/>
  <c r="BC68" i="5" a="1"/>
  <c r="BB68" i="5"/>
  <c r="BB68" i="5" a="1"/>
  <c r="BA68" i="5"/>
  <c r="BA68" i="5" a="1"/>
  <c r="AZ68" i="5"/>
  <c r="AV68" i="5"/>
  <c r="AV68" i="5" a="1"/>
  <c r="B68" i="5"/>
  <c r="B68" i="5" a="1"/>
  <c r="BI67" i="5"/>
  <c r="BI67" i="5" a="1"/>
  <c r="BH67" i="5"/>
  <c r="BH67" i="5" a="1"/>
  <c r="BE67" i="5"/>
  <c r="BE67" i="5" a="1"/>
  <c r="BD67" i="5"/>
  <c r="BC67" i="5"/>
  <c r="BC67" i="5" a="1"/>
  <c r="BB67" i="5"/>
  <c r="BB67" i="5" a="1"/>
  <c r="BA67" i="5"/>
  <c r="BA67" i="5" a="1"/>
  <c r="AZ67" i="5"/>
  <c r="AW67" i="5"/>
  <c r="AW67" i="5" a="1"/>
  <c r="AV67" i="5"/>
  <c r="AV67" i="5" a="1"/>
  <c r="AU67" i="5"/>
  <c r="AU67" i="5" a="1"/>
  <c r="AT67" i="5"/>
  <c r="AT67" i="5" a="1"/>
  <c r="B67" i="5"/>
  <c r="B67" i="5" a="1"/>
  <c r="BI66" i="5"/>
  <c r="BI66" i="5" a="1"/>
  <c r="BH66" i="5"/>
  <c r="BH66" i="5" a="1"/>
  <c r="BE66" i="5"/>
  <c r="BE66" i="5" a="1"/>
  <c r="BD66" i="5"/>
  <c r="BC66" i="5"/>
  <c r="BC66" i="5" a="1"/>
  <c r="BB66" i="5"/>
  <c r="BB66" i="5" a="1"/>
  <c r="BA66" i="5"/>
  <c r="BA66" i="5" a="1"/>
  <c r="AZ66" i="5"/>
  <c r="AW66" i="5"/>
  <c r="AW66" i="5" a="1"/>
  <c r="AV66" i="5"/>
  <c r="AV66" i="5" a="1"/>
  <c r="AU66" i="5"/>
  <c r="AU66" i="5" a="1"/>
  <c r="AT66" i="5"/>
  <c r="AT66" i="5" a="1"/>
  <c r="B66" i="5"/>
  <c r="B66" i="5" a="1"/>
  <c r="BI65" i="5"/>
  <c r="BI65" i="5" a="1"/>
  <c r="BH65" i="5"/>
  <c r="BH65" i="5" a="1"/>
  <c r="BE65" i="5"/>
  <c r="BE65" i="5" a="1"/>
  <c r="BD65" i="5"/>
  <c r="BC65" i="5"/>
  <c r="BC65" i="5" a="1"/>
  <c r="BB65" i="5"/>
  <c r="BB65" i="5" a="1"/>
  <c r="BA65" i="5"/>
  <c r="BA65" i="5" a="1"/>
  <c r="AZ65" i="5"/>
  <c r="AW65" i="5"/>
  <c r="AW65" i="5" a="1"/>
  <c r="AV65" i="5"/>
  <c r="AV65" i="5" a="1"/>
  <c r="AU65" i="5"/>
  <c r="AU65" i="5" a="1"/>
  <c r="AT65" i="5"/>
  <c r="AT65" i="5" a="1"/>
  <c r="B65" i="5"/>
  <c r="B65" i="5" a="1"/>
  <c r="BI64" i="5"/>
  <c r="BI64" i="5" a="1"/>
  <c r="BH64" i="5"/>
  <c r="BH64" i="5" a="1"/>
  <c r="BE64" i="5"/>
  <c r="BE64" i="5" a="1"/>
  <c r="BD64" i="5"/>
  <c r="BC64" i="5"/>
  <c r="BC64" i="5" a="1"/>
  <c r="BB64" i="5"/>
  <c r="BB64" i="5" a="1"/>
  <c r="BA64" i="5"/>
  <c r="BA64" i="5" a="1"/>
  <c r="AZ64" i="5"/>
  <c r="AW64" i="5"/>
  <c r="AW64" i="5" a="1"/>
  <c r="AV64" i="5"/>
  <c r="AV64" i="5" a="1"/>
  <c r="AU64" i="5"/>
  <c r="AU64" i="5" a="1"/>
  <c r="AT64" i="5"/>
  <c r="AT64" i="5" a="1"/>
  <c r="B64" i="5"/>
  <c r="B64" i="5" a="1"/>
  <c r="BI63" i="5"/>
  <c r="BI63" i="5" a="1"/>
  <c r="BH63" i="5"/>
  <c r="BH63" i="5" a="1"/>
  <c r="BE63" i="5"/>
  <c r="BE63" i="5" a="1"/>
  <c r="BD63" i="5"/>
  <c r="BC63" i="5"/>
  <c r="BC63" i="5" a="1"/>
  <c r="BB63" i="5"/>
  <c r="BB63" i="5" a="1"/>
  <c r="BA63" i="5"/>
  <c r="BA63" i="5" a="1"/>
  <c r="AZ63" i="5"/>
  <c r="AW63" i="5"/>
  <c r="AW63" i="5" a="1"/>
  <c r="AV63" i="5"/>
  <c r="AV63" i="5" a="1"/>
  <c r="AU63" i="5"/>
  <c r="AU63" i="5" a="1"/>
  <c r="AT63" i="5"/>
  <c r="AT63" i="5" a="1"/>
  <c r="B63" i="5"/>
  <c r="B63" i="5" a="1"/>
  <c r="BI62" i="5"/>
  <c r="BI62" i="5" a="1"/>
  <c r="BH62" i="5"/>
  <c r="BH62" i="5" a="1"/>
  <c r="BE62" i="5"/>
  <c r="BE62" i="5" a="1"/>
  <c r="BD62" i="5"/>
  <c r="BC62" i="5"/>
  <c r="BC62" i="5" a="1"/>
  <c r="BB62" i="5"/>
  <c r="BB62" i="5" a="1"/>
  <c r="BA62" i="5"/>
  <c r="BA62" i="5" a="1"/>
  <c r="AZ62" i="5"/>
  <c r="AW62" i="5"/>
  <c r="AW62" i="5" a="1"/>
  <c r="AV62" i="5"/>
  <c r="AV62" i="5" a="1"/>
  <c r="AU62" i="5"/>
  <c r="AU62" i="5" a="1"/>
  <c r="AT62" i="5"/>
  <c r="AT62" i="5" a="1"/>
  <c r="AR62" i="5"/>
  <c r="AR62" i="5" a="1"/>
  <c r="B62" i="5"/>
  <c r="B62" i="5" a="1"/>
  <c r="BI61" i="5"/>
  <c r="BI61" i="5" a="1"/>
  <c r="BH61" i="5"/>
  <c r="BH61" i="5" a="1"/>
  <c r="BE61" i="5"/>
  <c r="BE61" i="5" a="1"/>
  <c r="BD61" i="5"/>
  <c r="BC61" i="5"/>
  <c r="BC61" i="5" a="1"/>
  <c r="BB61" i="5"/>
  <c r="BB61" i="5" a="1"/>
  <c r="BA61" i="5"/>
  <c r="BA61" i="5" a="1"/>
  <c r="AZ61" i="5"/>
  <c r="AW61" i="5"/>
  <c r="AW61" i="5" a="1"/>
  <c r="AV61" i="5"/>
  <c r="AV61" i="5" a="1"/>
  <c r="AU61" i="5"/>
  <c r="AU61" i="5" a="1"/>
  <c r="AT61" i="5"/>
  <c r="AT61" i="5" a="1"/>
  <c r="AR61" i="5"/>
  <c r="AR61" i="5" a="1"/>
  <c r="B61" i="5"/>
  <c r="B61" i="5" a="1"/>
  <c r="BI60" i="5"/>
  <c r="BI60" i="5" a="1"/>
  <c r="BH60" i="5"/>
  <c r="BH60" i="5" a="1"/>
  <c r="BE60" i="5"/>
  <c r="BE60" i="5" a="1"/>
  <c r="BD60" i="5"/>
  <c r="BC60" i="5"/>
  <c r="BC60" i="5" a="1"/>
  <c r="BB60" i="5"/>
  <c r="BB60" i="5" a="1"/>
  <c r="BA60" i="5"/>
  <c r="BA60" i="5" a="1"/>
  <c r="AZ60" i="5"/>
  <c r="AW60" i="5"/>
  <c r="AW60" i="5" a="1"/>
  <c r="AV60" i="5"/>
  <c r="AV60" i="5" a="1"/>
  <c r="AU60" i="5"/>
  <c r="AU60" i="5" a="1"/>
  <c r="AT60" i="5"/>
  <c r="AT60" i="5" a="1"/>
  <c r="AR60" i="5"/>
  <c r="AR60" i="5" a="1"/>
  <c r="B60" i="5"/>
  <c r="B60" i="5" a="1"/>
  <c r="BI59" i="5"/>
  <c r="BI59" i="5" a="1"/>
  <c r="BH59" i="5"/>
  <c r="BH59" i="5" a="1"/>
  <c r="BE59" i="5"/>
  <c r="BE59" i="5" a="1"/>
  <c r="BD59" i="5"/>
  <c r="BC59" i="5"/>
  <c r="BC59" i="5" a="1"/>
  <c r="BB59" i="5"/>
  <c r="BB59" i="5" a="1"/>
  <c r="BA59" i="5"/>
  <c r="BA59" i="5" a="1"/>
  <c r="AZ59" i="5"/>
  <c r="AW59" i="5"/>
  <c r="AW59" i="5" a="1"/>
  <c r="AV59" i="5"/>
  <c r="AV59" i="5" a="1"/>
  <c r="AU59" i="5"/>
  <c r="AU59" i="5" a="1"/>
  <c r="AT59" i="5"/>
  <c r="AT59" i="5" a="1"/>
  <c r="AR59" i="5"/>
  <c r="AR59" i="5" a="1"/>
  <c r="B59" i="5"/>
  <c r="B59" i="5" a="1"/>
  <c r="BI58" i="5"/>
  <c r="BI58" i="5" a="1"/>
  <c r="BH58" i="5"/>
  <c r="BH58" i="5" a="1"/>
  <c r="BE58" i="5"/>
  <c r="BE58" i="5" a="1"/>
  <c r="BD58" i="5"/>
  <c r="BC58" i="5"/>
  <c r="BC58" i="5" a="1"/>
  <c r="BB58" i="5"/>
  <c r="BB58" i="5" a="1"/>
  <c r="BA58" i="5"/>
  <c r="BA58" i="5" a="1"/>
  <c r="AZ58" i="5"/>
  <c r="AW58" i="5"/>
  <c r="AW58" i="5" a="1"/>
  <c r="AV58" i="5"/>
  <c r="AV58" i="5" a="1"/>
  <c r="AU58" i="5"/>
  <c r="AU58" i="5" a="1"/>
  <c r="AT58" i="5"/>
  <c r="AT58" i="5" a="1"/>
  <c r="AR58" i="5"/>
  <c r="AR58" i="5" a="1"/>
  <c r="B58" i="5"/>
  <c r="B58" i="5" a="1"/>
  <c r="BI57" i="5"/>
  <c r="BI57" i="5" a="1"/>
  <c r="BH57" i="5"/>
  <c r="BH57" i="5" a="1"/>
  <c r="BE57" i="5"/>
  <c r="BE57" i="5" a="1"/>
  <c r="BD57" i="5"/>
  <c r="BC57" i="5"/>
  <c r="BC57" i="5" a="1"/>
  <c r="BB57" i="5"/>
  <c r="BB57" i="5" a="1"/>
  <c r="BA57" i="5"/>
  <c r="BA57" i="5" a="1"/>
  <c r="AZ57" i="5"/>
  <c r="AV57" i="5"/>
  <c r="AV57" i="5" a="1"/>
  <c r="B57" i="5"/>
  <c r="B57" i="5" a="1"/>
  <c r="BI56" i="5"/>
  <c r="BI56" i="5" a="1"/>
  <c r="BH56" i="5"/>
  <c r="BH56" i="5" a="1"/>
  <c r="BE56" i="5"/>
  <c r="BE56" i="5" a="1"/>
  <c r="BD56" i="5"/>
  <c r="BC56" i="5"/>
  <c r="BC56" i="5" a="1"/>
  <c r="BB56" i="5"/>
  <c r="BB56" i="5" a="1"/>
  <c r="BA56" i="5"/>
  <c r="BA56" i="5" a="1"/>
  <c r="AZ56" i="5"/>
  <c r="AY56" i="5"/>
  <c r="AY56" i="5" a="1"/>
  <c r="AV56" i="5"/>
  <c r="AV56" i="5" a="1"/>
  <c r="B56" i="5"/>
  <c r="B56" i="5" a="1"/>
  <c r="BI55" i="5"/>
  <c r="BI55" i="5" a="1"/>
  <c r="BH55" i="5"/>
  <c r="BH55" i="5" a="1"/>
  <c r="BE55" i="5"/>
  <c r="BE55" i="5" a="1"/>
  <c r="BD55" i="5"/>
  <c r="BC55" i="5"/>
  <c r="BC55" i="5" a="1"/>
  <c r="BB55" i="5"/>
  <c r="BB55" i="5" a="1"/>
  <c r="BA55" i="5"/>
  <c r="BA55" i="5" a="1"/>
  <c r="AZ55" i="5"/>
  <c r="AY55" i="5"/>
  <c r="AY55" i="5" a="1"/>
  <c r="AV55" i="5"/>
  <c r="AV55" i="5" a="1"/>
  <c r="B55" i="5"/>
  <c r="B55" i="5" a="1"/>
  <c r="BI54" i="5"/>
  <c r="BI54" i="5" a="1"/>
  <c r="BH54" i="5"/>
  <c r="BH54" i="5" a="1"/>
  <c r="BE54" i="5"/>
  <c r="BE54" i="5" a="1"/>
  <c r="BD54" i="5"/>
  <c r="BC54" i="5"/>
  <c r="BC54" i="5" a="1"/>
  <c r="BB54" i="5"/>
  <c r="BB54" i="5" a="1"/>
  <c r="BA54" i="5"/>
  <c r="BA54" i="5" a="1"/>
  <c r="AY54" i="5"/>
  <c r="AY54" i="5" a="1"/>
  <c r="AV54" i="5"/>
  <c r="AV54" i="5" a="1"/>
  <c r="B54" i="5"/>
  <c r="B54" i="5" a="1"/>
  <c r="BI53" i="5"/>
  <c r="BI53" i="5" a="1"/>
  <c r="BH53" i="5"/>
  <c r="BH53" i="5" a="1"/>
  <c r="BE53" i="5"/>
  <c r="BE53" i="5" a="1"/>
  <c r="BD53" i="5"/>
  <c r="BC53" i="5"/>
  <c r="BC53" i="5" a="1"/>
  <c r="BB53" i="5"/>
  <c r="BB53" i="5" a="1"/>
  <c r="BA53" i="5"/>
  <c r="BA53" i="5" a="1"/>
  <c r="AY53" i="5"/>
  <c r="AY53" i="5" a="1"/>
  <c r="AV53" i="5"/>
  <c r="AV53" i="5" a="1"/>
  <c r="B53" i="5"/>
  <c r="B53" i="5" a="1"/>
  <c r="BI52" i="5"/>
  <c r="BI52" i="5" a="1"/>
  <c r="BH52" i="5"/>
  <c r="BH52" i="5" a="1"/>
  <c r="BE52" i="5"/>
  <c r="BE52" i="5" a="1"/>
  <c r="BD52" i="5"/>
  <c r="BC52" i="5"/>
  <c r="BC52" i="5" a="1"/>
  <c r="BB52" i="5"/>
  <c r="BB52" i="5" a="1"/>
  <c r="BA52" i="5"/>
  <c r="BA52" i="5" a="1"/>
  <c r="AV52" i="5"/>
  <c r="AV52" i="5" a="1"/>
  <c r="B52" i="5"/>
  <c r="B52" i="5" a="1"/>
  <c r="BI51" i="5"/>
  <c r="BI51" i="5" a="1"/>
  <c r="BH51" i="5"/>
  <c r="BH51" i="5" a="1"/>
  <c r="BE51" i="5"/>
  <c r="BE51" i="5" a="1"/>
  <c r="BD51" i="5"/>
  <c r="BC51" i="5"/>
  <c r="BC51" i="5" a="1"/>
  <c r="BB51" i="5"/>
  <c r="BB51" i="5" a="1"/>
  <c r="BA51" i="5"/>
  <c r="BA51" i="5" a="1"/>
  <c r="AV51" i="5"/>
  <c r="AV51" i="5" a="1"/>
  <c r="B51" i="5"/>
  <c r="B51" i="5" a="1"/>
  <c r="BR50" i="5"/>
  <c r="BQ50" i="5"/>
  <c r="BS50" i="5" s="1" a="1"/>
  <c r="BS50" i="5" s="1"/>
  <c r="BP50" i="5"/>
  <c r="BO50" i="5"/>
  <c r="BN50" i="5"/>
  <c r="BI50" i="5"/>
  <c r="BI50" i="5" a="1"/>
  <c r="BH50" i="5"/>
  <c r="BH50" i="5" a="1"/>
  <c r="BE50" i="5"/>
  <c r="BE50" i="5" a="1"/>
  <c r="BD50" i="5"/>
  <c r="BC50" i="5"/>
  <c r="BC50" i="5" a="1"/>
  <c r="BB50" i="5"/>
  <c r="BB50" i="5" a="1"/>
  <c r="BA50" i="5"/>
  <c r="BA50" i="5" a="1"/>
  <c r="AV50" i="5"/>
  <c r="AV50" i="5" a="1"/>
  <c r="B50" i="5"/>
  <c r="B50" i="5" a="1"/>
  <c r="BR49" i="5"/>
  <c r="BQ49" i="5"/>
  <c r="BS49" i="5" s="1" a="1"/>
  <c r="BS49" i="5" s="1"/>
  <c r="BP49" i="5"/>
  <c r="BO49" i="5"/>
  <c r="BN49" i="5"/>
  <c r="BI49" i="5"/>
  <c r="BI49" i="5" a="1"/>
  <c r="BH49" i="5"/>
  <c r="BH49" i="5" a="1"/>
  <c r="BE49" i="5"/>
  <c r="BE49" i="5" a="1"/>
  <c r="BD49" i="5"/>
  <c r="BC49" i="5"/>
  <c r="BC49" i="5" a="1"/>
  <c r="BB49" i="5"/>
  <c r="BB49" i="5" a="1"/>
  <c r="BA49" i="5"/>
  <c r="BA49" i="5" a="1"/>
  <c r="AV49" i="5"/>
  <c r="AV49" i="5" a="1"/>
  <c r="B49" i="5"/>
  <c r="B49" i="5" a="1"/>
  <c r="BR48" i="5"/>
  <c r="BQ48" i="5"/>
  <c r="BS48" i="5" s="1" a="1"/>
  <c r="BS48" i="5" s="1"/>
  <c r="BP48" i="5"/>
  <c r="BO48" i="5"/>
  <c r="BN48" i="5"/>
  <c r="BI48" i="5"/>
  <c r="BI48" i="5" a="1"/>
  <c r="BH48" i="5"/>
  <c r="BH48" i="5" a="1"/>
  <c r="BE48" i="5"/>
  <c r="BE48" i="5" a="1"/>
  <c r="BD48" i="5"/>
  <c r="BC48" i="5"/>
  <c r="BC48" i="5" a="1"/>
  <c r="BB48" i="5"/>
  <c r="BB48" i="5" a="1"/>
  <c r="BA48" i="5"/>
  <c r="BA48" i="5" a="1"/>
  <c r="AV48" i="5"/>
  <c r="AV48" i="5" a="1"/>
  <c r="B48" i="5"/>
  <c r="B48" i="5" a="1"/>
  <c r="BR47" i="5"/>
  <c r="BQ47" i="5"/>
  <c r="BS47" i="5" s="1" a="1"/>
  <c r="BS47" i="5" s="1"/>
  <c r="BP47" i="5"/>
  <c r="BO47" i="5"/>
  <c r="BN47" i="5"/>
  <c r="BI47" i="5"/>
  <c r="BI47" i="5" a="1"/>
  <c r="BH47" i="5"/>
  <c r="BH47" i="5" a="1"/>
  <c r="BE47" i="5"/>
  <c r="BE47" i="5" a="1"/>
  <c r="BD47" i="5"/>
  <c r="BC47" i="5"/>
  <c r="BC47" i="5" a="1"/>
  <c r="BB47" i="5"/>
  <c r="BB47" i="5" a="1"/>
  <c r="BA47" i="5"/>
  <c r="BA47" i="5" a="1"/>
  <c r="AV47" i="5"/>
  <c r="AV47" i="5" a="1"/>
  <c r="BR46" i="5"/>
  <c r="BQ46" i="5"/>
  <c r="BS46" i="5" s="1" a="1"/>
  <c r="BS46" i="5" s="1"/>
  <c r="BP46" i="5"/>
  <c r="BO46" i="5"/>
  <c r="BN46" i="5"/>
  <c r="BI46" i="5"/>
  <c r="BI46" i="5" a="1"/>
  <c r="BH46" i="5"/>
  <c r="BH46" i="5" a="1"/>
  <c r="BE46" i="5"/>
  <c r="BE46" i="5" a="1"/>
  <c r="BD46" i="5"/>
  <c r="BC46" i="5"/>
  <c r="BC46" i="5" a="1"/>
  <c r="BB46" i="5"/>
  <c r="BB46" i="5" a="1"/>
  <c r="BA46" i="5"/>
  <c r="BA46" i="5" a="1"/>
  <c r="AV46" i="5"/>
  <c r="AV46" i="5" a="1"/>
  <c r="BR45" i="5"/>
  <c r="BQ45" i="5"/>
  <c r="BS45" i="5" s="1" a="1"/>
  <c r="BS45" i="5" s="1"/>
  <c r="BP45" i="5"/>
  <c r="BO45" i="5"/>
  <c r="BN45" i="5"/>
  <c r="BI45" i="5"/>
  <c r="BI45" i="5" a="1"/>
  <c r="BH45" i="5"/>
  <c r="BH45" i="5" a="1"/>
  <c r="BE45" i="5"/>
  <c r="BE45" i="5" a="1"/>
  <c r="BD45" i="5"/>
  <c r="BC45" i="5"/>
  <c r="BC45" i="5" a="1"/>
  <c r="BB45" i="5"/>
  <c r="BB45" i="5" a="1"/>
  <c r="BA45" i="5"/>
  <c r="BA45" i="5" a="1"/>
  <c r="AV45" i="5"/>
  <c r="AV45" i="5" a="1"/>
  <c r="BR44" i="5"/>
  <c r="BQ44" i="5"/>
  <c r="BS44" i="5" s="1" a="1"/>
  <c r="BS44" i="5" s="1"/>
  <c r="BP44" i="5"/>
  <c r="BO44" i="5"/>
  <c r="BN44" i="5"/>
  <c r="BI44" i="5"/>
  <c r="BI44" i="5" a="1"/>
  <c r="BH44" i="5"/>
  <c r="BH44" i="5" a="1"/>
  <c r="BE44" i="5"/>
  <c r="BE44" i="5" a="1"/>
  <c r="BD44" i="5"/>
  <c r="BC44" i="5"/>
  <c r="BC44" i="5" a="1"/>
  <c r="BB44" i="5"/>
  <c r="BB44" i="5" a="1"/>
  <c r="BA44" i="5"/>
  <c r="BA44" i="5" a="1"/>
  <c r="AV44" i="5"/>
  <c r="AV44" i="5" a="1"/>
  <c r="BR43" i="5"/>
  <c r="BQ43" i="5"/>
  <c r="BS43" i="5" s="1" a="1"/>
  <c r="BS43" i="5" s="1"/>
  <c r="BP43" i="5"/>
  <c r="BO43" i="5"/>
  <c r="BN43" i="5"/>
  <c r="BI43" i="5"/>
  <c r="BI43" i="5" a="1"/>
  <c r="BH43" i="5"/>
  <c r="BH43" i="5" a="1"/>
  <c r="BE43" i="5"/>
  <c r="BE43" i="5" a="1"/>
  <c r="BD43" i="5"/>
  <c r="BC43" i="5"/>
  <c r="BC43" i="5" a="1"/>
  <c r="BB43" i="5"/>
  <c r="BB43" i="5" a="1"/>
  <c r="BA43" i="5"/>
  <c r="BA43" i="5" a="1"/>
  <c r="AV43" i="5"/>
  <c r="AV43" i="5" a="1"/>
  <c r="BR42" i="5"/>
  <c r="BQ42" i="5"/>
  <c r="BS42" i="5" s="1" a="1"/>
  <c r="BS42" i="5" s="1"/>
  <c r="BP42" i="5"/>
  <c r="BO42" i="5"/>
  <c r="BN42" i="5"/>
  <c r="BI42" i="5"/>
  <c r="BI42" i="5" a="1"/>
  <c r="BH42" i="5"/>
  <c r="BH42" i="5" a="1"/>
  <c r="BE42" i="5"/>
  <c r="BE42" i="5" a="1"/>
  <c r="BD42" i="5"/>
  <c r="BC42" i="5"/>
  <c r="BC42" i="5" a="1"/>
  <c r="BB42" i="5"/>
  <c r="BB42" i="5" a="1"/>
  <c r="BA42" i="5"/>
  <c r="BA42" i="5" a="1"/>
  <c r="AV42" i="5"/>
  <c r="AV42" i="5" a="1"/>
  <c r="BR41" i="5"/>
  <c r="BQ41" i="5"/>
  <c r="BS41" i="5" s="1" a="1"/>
  <c r="BS41" i="5" s="1"/>
  <c r="BP41" i="5"/>
  <c r="BO41" i="5"/>
  <c r="BN41" i="5"/>
  <c r="BI41" i="5"/>
  <c r="BI41" i="5" a="1"/>
  <c r="BH41" i="5"/>
  <c r="BH41" i="5" a="1"/>
  <c r="BE41" i="5"/>
  <c r="BE41" i="5" a="1"/>
  <c r="BD41" i="5"/>
  <c r="BC41" i="5"/>
  <c r="BC41" i="5" a="1"/>
  <c r="BB41" i="5"/>
  <c r="BB41" i="5" a="1"/>
  <c r="BA41" i="5"/>
  <c r="BA41" i="5" a="1"/>
  <c r="BR40" i="5"/>
  <c r="BQ40" i="5"/>
  <c r="BS40" i="5" s="1" a="1"/>
  <c r="BS40" i="5" s="1"/>
  <c r="BP40" i="5"/>
  <c r="BO40" i="5"/>
  <c r="BN40" i="5"/>
  <c r="BI40" i="5"/>
  <c r="BI40" i="5" a="1"/>
  <c r="BH40" i="5"/>
  <c r="BH40" i="5" a="1"/>
  <c r="BE40" i="5"/>
  <c r="BE40" i="5" a="1"/>
  <c r="BD40" i="5"/>
  <c r="BC40" i="5"/>
  <c r="BC40" i="5" a="1"/>
  <c r="BB40" i="5"/>
  <c r="BB40" i="5" a="1"/>
  <c r="BA40" i="5"/>
  <c r="BA40" i="5" a="1"/>
  <c r="BR39" i="5"/>
  <c r="BQ39" i="5"/>
  <c r="BS39" i="5" s="1" a="1"/>
  <c r="BS39" i="5" s="1"/>
  <c r="BP39" i="5"/>
  <c r="BO39" i="5"/>
  <c r="BN39" i="5"/>
  <c r="BI39" i="5"/>
  <c r="BI39" i="5" a="1"/>
  <c r="BH39" i="5"/>
  <c r="BH39" i="5" a="1"/>
  <c r="BE39" i="5"/>
  <c r="BE39" i="5" a="1"/>
  <c r="BD39" i="5"/>
  <c r="BC39" i="5"/>
  <c r="BC39" i="5" a="1"/>
  <c r="BB39" i="5"/>
  <c r="BB39" i="5" a="1"/>
  <c r="BA39" i="5"/>
  <c r="BA39" i="5" a="1"/>
  <c r="AR39" i="5"/>
  <c r="AQ39" i="5"/>
  <c r="BR38" i="5"/>
  <c r="BQ38" i="5"/>
  <c r="BS38" i="5" s="1" a="1"/>
  <c r="BS38" i="5" s="1"/>
  <c r="BP38" i="5"/>
  <c r="BO38" i="5"/>
  <c r="BN38" i="5"/>
  <c r="BI38" i="5"/>
  <c r="BI38" i="5" a="1"/>
  <c r="BH38" i="5"/>
  <c r="BH38" i="5" a="1"/>
  <c r="BE38" i="5"/>
  <c r="BE38" i="5" a="1"/>
  <c r="BD38" i="5"/>
  <c r="BC38" i="5"/>
  <c r="BC38" i="5" a="1"/>
  <c r="BB38" i="5"/>
  <c r="BB38" i="5" a="1"/>
  <c r="BA38" i="5"/>
  <c r="BA38" i="5" a="1"/>
  <c r="BR37" i="5"/>
  <c r="BQ37" i="5"/>
  <c r="BS37" i="5" s="1" a="1"/>
  <c r="BS37" i="5" s="1"/>
  <c r="BP37" i="5"/>
  <c r="BO37" i="5"/>
  <c r="BN37" i="5"/>
  <c r="BI37" i="5"/>
  <c r="BI37" i="5" a="1"/>
  <c r="BH37" i="5"/>
  <c r="BH37" i="5" a="1"/>
  <c r="BE37" i="5"/>
  <c r="BE37" i="5" a="1"/>
  <c r="BD37" i="5"/>
  <c r="BC37" i="5"/>
  <c r="BC37" i="5" a="1"/>
  <c r="BB37" i="5"/>
  <c r="BB37" i="5" a="1"/>
  <c r="BA37" i="5"/>
  <c r="BA37" i="5" a="1"/>
  <c r="BR36" i="5"/>
  <c r="BQ36" i="5"/>
  <c r="BS36" i="5" s="1" a="1"/>
  <c r="BS36" i="5" s="1"/>
  <c r="BP36" i="5"/>
  <c r="BO36" i="5"/>
  <c r="BN36" i="5"/>
  <c r="BI36" i="5"/>
  <c r="BI36" i="5" a="1"/>
  <c r="BH36" i="5"/>
  <c r="BH36" i="5" a="1"/>
  <c r="BE36" i="5"/>
  <c r="BE36" i="5" a="1"/>
  <c r="BD36" i="5"/>
  <c r="BC36" i="5"/>
  <c r="BC36" i="5" a="1"/>
  <c r="BB36" i="5"/>
  <c r="BB36" i="5" a="1"/>
  <c r="BA36" i="5"/>
  <c r="BA36" i="5" a="1"/>
  <c r="BR35" i="5"/>
  <c r="BQ35" i="5"/>
  <c r="BS35" i="5" s="1" a="1"/>
  <c r="BS35" i="5" s="1"/>
  <c r="BP35" i="5"/>
  <c r="BO35" i="5"/>
  <c r="BN35" i="5"/>
  <c r="BI35" i="5"/>
  <c r="BI35" i="5" a="1"/>
  <c r="BH35" i="5"/>
  <c r="BH35" i="5" a="1"/>
  <c r="BE35" i="5"/>
  <c r="BE35" i="5" a="1"/>
  <c r="BD35" i="5"/>
  <c r="BC35" i="5"/>
  <c r="BC35" i="5" a="1"/>
  <c r="BB35" i="5"/>
  <c r="BB35" i="5" a="1"/>
  <c r="BA35" i="5"/>
  <c r="BA35" i="5" a="1"/>
  <c r="BR34" i="5"/>
  <c r="BQ34" i="5"/>
  <c r="BS34" i="5" s="1" a="1"/>
  <c r="BS34" i="5" s="1"/>
  <c r="BP34" i="5"/>
  <c r="BO34" i="5"/>
  <c r="BN34" i="5"/>
  <c r="BI34" i="5"/>
  <c r="BI34" i="5" a="1"/>
  <c r="BH34" i="5"/>
  <c r="BH34" i="5" a="1"/>
  <c r="BE34" i="5"/>
  <c r="BE34" i="5" a="1"/>
  <c r="BD34" i="5"/>
  <c r="BC34" i="5"/>
  <c r="BC34" i="5" a="1"/>
  <c r="BB34" i="5"/>
  <c r="BB34" i="5" a="1"/>
  <c r="BA34" i="5"/>
  <c r="BA34" i="5" a="1"/>
  <c r="BR33" i="5"/>
  <c r="BQ33" i="5"/>
  <c r="BS33" i="5" s="1" a="1"/>
  <c r="BS33" i="5" s="1"/>
  <c r="BP33" i="5"/>
  <c r="BO33" i="5"/>
  <c r="BN33" i="5"/>
  <c r="BI33" i="5"/>
  <c r="BI33" i="5" a="1"/>
  <c r="BH33" i="5"/>
  <c r="BH33" i="5" a="1"/>
  <c r="BE33" i="5"/>
  <c r="BE33" i="5" a="1"/>
  <c r="BD33" i="5"/>
  <c r="BC33" i="5"/>
  <c r="BC33" i="5" a="1"/>
  <c r="BB33" i="5"/>
  <c r="BB33" i="5" a="1"/>
  <c r="BA33" i="5"/>
  <c r="BA33" i="5" a="1"/>
  <c r="BR32" i="5"/>
  <c r="BQ32" i="5"/>
  <c r="BS32" i="5" s="1" a="1"/>
  <c r="BS32" i="5" s="1"/>
  <c r="BP32" i="5"/>
  <c r="BO32" i="5"/>
  <c r="BN32" i="5"/>
  <c r="BI32" i="5"/>
  <c r="BI32" i="5" a="1"/>
  <c r="BH32" i="5"/>
  <c r="BH32" i="5" a="1"/>
  <c r="BE32" i="5"/>
  <c r="BE32" i="5" a="1"/>
  <c r="BD32" i="5"/>
  <c r="BC32" i="5"/>
  <c r="BC32" i="5" a="1"/>
  <c r="BB32" i="5"/>
  <c r="BB32" i="5" a="1"/>
  <c r="BA32" i="5"/>
  <c r="BA32" i="5" a="1"/>
  <c r="BR31" i="5"/>
  <c r="BQ31" i="5"/>
  <c r="BS31" i="5" s="1" a="1"/>
  <c r="BS31" i="5" s="1"/>
  <c r="BP31" i="5"/>
  <c r="BO31" i="5"/>
  <c r="BN31" i="5"/>
  <c r="BI31" i="5"/>
  <c r="BI31" i="5" a="1"/>
  <c r="BH31" i="5"/>
  <c r="BH31" i="5" a="1"/>
  <c r="BE31" i="5"/>
  <c r="BE31" i="5" a="1"/>
  <c r="BD31" i="5"/>
  <c r="BC31" i="5"/>
  <c r="BC31" i="5" a="1"/>
  <c r="BB31" i="5"/>
  <c r="BB31" i="5" a="1"/>
  <c r="BA31" i="5"/>
  <c r="BA31" i="5" a="1"/>
  <c r="BR30" i="5"/>
  <c r="BQ30" i="5"/>
  <c r="BS30" i="5" s="1" a="1"/>
  <c r="BS30" i="5" s="1"/>
  <c r="BP30" i="5"/>
  <c r="BO30" i="5"/>
  <c r="BN30" i="5"/>
  <c r="BI30" i="5"/>
  <c r="BI30" i="5" a="1"/>
  <c r="BH30" i="5"/>
  <c r="BH30" i="5" a="1"/>
  <c r="BE30" i="5"/>
  <c r="BE30" i="5" a="1"/>
  <c r="BD30" i="5"/>
  <c r="BC30" i="5"/>
  <c r="BC30" i="5" a="1"/>
  <c r="BB30" i="5"/>
  <c r="BB30" i="5" a="1"/>
  <c r="BA30" i="5"/>
  <c r="BA30" i="5" a="1"/>
  <c r="BR29" i="5"/>
  <c r="BQ29" i="5"/>
  <c r="BS29" i="5" s="1" a="1"/>
  <c r="BS29" i="5" s="1"/>
  <c r="BP29" i="5"/>
  <c r="BO29" i="5"/>
  <c r="BN29" i="5"/>
  <c r="BI29" i="5"/>
  <c r="BI29" i="5" a="1"/>
  <c r="BH29" i="5"/>
  <c r="BH29" i="5" a="1"/>
  <c r="BE29" i="5"/>
  <c r="BE29" i="5" a="1"/>
  <c r="BD29" i="5"/>
  <c r="BC29" i="5"/>
  <c r="BC29" i="5" a="1"/>
  <c r="BB29" i="5"/>
  <c r="BB29" i="5" a="1"/>
  <c r="BA29" i="5"/>
  <c r="BA29" i="5" a="1"/>
  <c r="BR28" i="5"/>
  <c r="BQ28" i="5"/>
  <c r="BS28" i="5" s="1" a="1"/>
  <c r="BS28" i="5" s="1"/>
  <c r="BP28" i="5"/>
  <c r="BO28" i="5"/>
  <c r="BN28" i="5"/>
  <c r="BI28" i="5"/>
  <c r="BI28" i="5" a="1"/>
  <c r="BH28" i="5"/>
  <c r="BH28" i="5" a="1"/>
  <c r="BE28" i="5"/>
  <c r="BE28" i="5" a="1"/>
  <c r="BD28" i="5"/>
  <c r="BC28" i="5"/>
  <c r="BC28" i="5" a="1"/>
  <c r="BB28" i="5"/>
  <c r="BB28" i="5" a="1"/>
  <c r="BA28" i="5"/>
  <c r="BA28" i="5" a="1"/>
  <c r="BR27" i="5"/>
  <c r="BQ27" i="5"/>
  <c r="BS27" i="5" s="1" a="1"/>
  <c r="BS27" i="5" s="1"/>
  <c r="BP27" i="5"/>
  <c r="BO27" i="5"/>
  <c r="BN27" i="5"/>
  <c r="BI27" i="5"/>
  <c r="BI27" i="5" a="1"/>
  <c r="BH27" i="5"/>
  <c r="BH27" i="5" a="1"/>
  <c r="BE27" i="5"/>
  <c r="BE27" i="5" a="1"/>
  <c r="BD27" i="5"/>
  <c r="BC27" i="5"/>
  <c r="BC27" i="5" a="1"/>
  <c r="BB27" i="5"/>
  <c r="BB27" i="5" a="1"/>
  <c r="BA27" i="5"/>
  <c r="BA27" i="5" a="1"/>
  <c r="BR26" i="5"/>
  <c r="BQ26" i="5"/>
  <c r="BS26" i="5" s="1" a="1"/>
  <c r="BS26" i="5" s="1"/>
  <c r="BP26" i="5"/>
  <c r="BO26" i="5"/>
  <c r="BN26" i="5"/>
  <c r="BI26" i="5"/>
  <c r="BI26" i="5" a="1"/>
  <c r="BH26" i="5"/>
  <c r="BH26" i="5" a="1"/>
  <c r="BE26" i="5"/>
  <c r="BE26" i="5" a="1"/>
  <c r="BD26" i="5"/>
  <c r="BC26" i="5"/>
  <c r="BC26" i="5" a="1"/>
  <c r="BB26" i="5"/>
  <c r="BB26" i="5" a="1"/>
  <c r="BA26" i="5"/>
  <c r="BA26" i="5" a="1"/>
  <c r="BR25" i="5"/>
  <c r="BQ25" i="5"/>
  <c r="BS25" i="5" s="1" a="1"/>
  <c r="BS25" i="5" s="1"/>
  <c r="BP25" i="5"/>
  <c r="BO25" i="5"/>
  <c r="BN25" i="5"/>
  <c r="BI25" i="5"/>
  <c r="BI25" i="5" a="1"/>
  <c r="BH25" i="5"/>
  <c r="BH25" i="5" a="1"/>
  <c r="BE25" i="5"/>
  <c r="BE25" i="5" a="1"/>
  <c r="BD25" i="5"/>
  <c r="BC25" i="5"/>
  <c r="BC25" i="5" a="1"/>
  <c r="BB25" i="5"/>
  <c r="BB25" i="5" a="1"/>
  <c r="BA25" i="5"/>
  <c r="BA25" i="5" a="1"/>
  <c r="BR24" i="5"/>
  <c r="BQ24" i="5"/>
  <c r="BS24" i="5" s="1" a="1"/>
  <c r="BS24" i="5" s="1"/>
  <c r="BP24" i="5"/>
  <c r="BO24" i="5"/>
  <c r="BN24" i="5"/>
  <c r="BI24" i="5"/>
  <c r="BI24" i="5" a="1"/>
  <c r="BH24" i="5"/>
  <c r="BH24" i="5" a="1"/>
  <c r="BE24" i="5"/>
  <c r="BE24" i="5" a="1"/>
  <c r="BD24" i="5"/>
  <c r="BC24" i="5"/>
  <c r="BC24" i="5" a="1"/>
  <c r="BB24" i="5"/>
  <c r="BB24" i="5" a="1"/>
  <c r="BA24" i="5"/>
  <c r="BA24" i="5" a="1"/>
  <c r="BR23" i="5"/>
  <c r="BQ23" i="5"/>
  <c r="BS23" i="5" s="1" a="1"/>
  <c r="BS23" i="5" s="1"/>
  <c r="BP23" i="5"/>
  <c r="BO23" i="5"/>
  <c r="BN23" i="5"/>
  <c r="BI23" i="5"/>
  <c r="BI23" i="5" a="1"/>
  <c r="BH23" i="5"/>
  <c r="BH23" i="5" a="1"/>
  <c r="BE23" i="5"/>
  <c r="BE23" i="5" a="1"/>
  <c r="BD23" i="5"/>
  <c r="BC23" i="5"/>
  <c r="BC23" i="5" a="1"/>
  <c r="BB23" i="5"/>
  <c r="BB23" i="5" a="1"/>
  <c r="BA23" i="5"/>
  <c r="BA23" i="5" a="1"/>
  <c r="BR22" i="5"/>
  <c r="BQ22" i="5"/>
  <c r="BS22" i="5" s="1" a="1"/>
  <c r="BS22" i="5" s="1"/>
  <c r="BP22" i="5"/>
  <c r="BO22" i="5"/>
  <c r="BN22" i="5"/>
  <c r="BI22" i="5"/>
  <c r="BI22" i="5" a="1"/>
  <c r="BH22" i="5"/>
  <c r="BH22" i="5" a="1"/>
  <c r="BE22" i="5"/>
  <c r="BE22" i="5" a="1"/>
  <c r="BD22" i="5"/>
  <c r="BC22" i="5"/>
  <c r="BC22" i="5" a="1"/>
  <c r="BB22" i="5"/>
  <c r="BB22" i="5" a="1"/>
  <c r="BA22" i="5"/>
  <c r="BA22" i="5" a="1"/>
  <c r="BR21" i="5"/>
  <c r="BQ21" i="5"/>
  <c r="BS21" i="5" s="1" a="1"/>
  <c r="BS21" i="5" s="1"/>
  <c r="BP21" i="5"/>
  <c r="BO21" i="5"/>
  <c r="BN21" i="5"/>
  <c r="BI21" i="5"/>
  <c r="BI21" i="5" a="1"/>
  <c r="BH21" i="5"/>
  <c r="BH21" i="5" a="1"/>
  <c r="BE21" i="5"/>
  <c r="BE21" i="5" a="1"/>
  <c r="BD21" i="5"/>
  <c r="BC21" i="5"/>
  <c r="BC21" i="5" a="1"/>
  <c r="BB21" i="5"/>
  <c r="BB21" i="5" a="1"/>
  <c r="BA21" i="5"/>
  <c r="BA21" i="5" a="1"/>
  <c r="BR20" i="5"/>
  <c r="BQ20" i="5"/>
  <c r="BS20" i="5" s="1" a="1"/>
  <c r="BS20" i="5" s="1"/>
  <c r="BP20" i="5"/>
  <c r="BO20" i="5"/>
  <c r="BN20" i="5"/>
  <c r="BI20" i="5"/>
  <c r="BI20" i="5" a="1"/>
  <c r="BH20" i="5"/>
  <c r="BH20" i="5" a="1"/>
  <c r="BE20" i="5"/>
  <c r="BE20" i="5" a="1"/>
  <c r="BD20" i="5"/>
  <c r="BC20" i="5"/>
  <c r="BC20" i="5" a="1"/>
  <c r="BB20" i="5"/>
  <c r="BB20" i="5" a="1"/>
  <c r="BA20" i="5"/>
  <c r="BA20" i="5" a="1"/>
  <c r="BR19" i="5"/>
  <c r="BQ19" i="5"/>
  <c r="BS19" i="5" s="1" a="1"/>
  <c r="BS19" i="5" s="1"/>
  <c r="BP19" i="5"/>
  <c r="BO19" i="5"/>
  <c r="BN19" i="5"/>
  <c r="BI19" i="5"/>
  <c r="BI19" i="5" a="1"/>
  <c r="BH19" i="5"/>
  <c r="BH19" i="5" a="1"/>
  <c r="BE19" i="5"/>
  <c r="BE19" i="5" a="1"/>
  <c r="BD19" i="5"/>
  <c r="BC19" i="5"/>
  <c r="BC19" i="5" a="1"/>
  <c r="BB19" i="5"/>
  <c r="BB19" i="5" a="1"/>
  <c r="BA19" i="5"/>
  <c r="BA19" i="5" a="1"/>
  <c r="BR18" i="5"/>
  <c r="BQ18" i="5"/>
  <c r="BS18" i="5" s="1" a="1"/>
  <c r="BS18" i="5" s="1"/>
  <c r="BP18" i="5"/>
  <c r="BO18" i="5"/>
  <c r="BN18" i="5"/>
  <c r="BI18" i="5"/>
  <c r="BI18" i="5" a="1"/>
  <c r="BH18" i="5"/>
  <c r="BH18" i="5" a="1"/>
  <c r="BE18" i="5"/>
  <c r="BE18" i="5" a="1"/>
  <c r="BD18" i="5"/>
  <c r="BC18" i="5"/>
  <c r="BC18" i="5" a="1"/>
  <c r="BB18" i="5"/>
  <c r="BB18" i="5" a="1"/>
  <c r="BA18" i="5"/>
  <c r="BA18" i="5" a="1"/>
  <c r="BR17" i="5"/>
  <c r="BQ17" i="5"/>
  <c r="BS17" i="5" s="1" a="1"/>
  <c r="BS17" i="5" s="1"/>
  <c r="BP17" i="5"/>
  <c r="BO17" i="5"/>
  <c r="BN17" i="5"/>
  <c r="BI17" i="5"/>
  <c r="BI17" i="5" a="1"/>
  <c r="BH17" i="5"/>
  <c r="BH17" i="5" a="1"/>
  <c r="BE17" i="5"/>
  <c r="BE17" i="5" a="1"/>
  <c r="BD17" i="5"/>
  <c r="BC17" i="5"/>
  <c r="BC17" i="5" a="1"/>
  <c r="BB17" i="5"/>
  <c r="BB17" i="5" a="1"/>
  <c r="BA17" i="5"/>
  <c r="BA17" i="5" a="1"/>
  <c r="BR16" i="5"/>
  <c r="BQ16" i="5"/>
  <c r="BS16" i="5" s="1" a="1"/>
  <c r="BS16" i="5" s="1"/>
  <c r="BP16" i="5"/>
  <c r="BO16" i="5"/>
  <c r="BN16" i="5"/>
  <c r="BI16" i="5"/>
  <c r="BI16" i="5" a="1"/>
  <c r="BH16" i="5"/>
  <c r="BH16" i="5" a="1"/>
  <c r="BE16" i="5"/>
  <c r="BE16" i="5" a="1"/>
  <c r="BD16" i="5"/>
  <c r="BC16" i="5"/>
  <c r="BC16" i="5" a="1"/>
  <c r="BB16" i="5"/>
  <c r="BB16" i="5" a="1"/>
  <c r="BA16" i="5"/>
  <c r="BA16" i="5" a="1"/>
  <c r="BR15" i="5"/>
  <c r="BQ15" i="5"/>
  <c r="BS15" i="5" s="1" a="1"/>
  <c r="BS15" i="5" s="1"/>
  <c r="BP15" i="5"/>
  <c r="BO15" i="5"/>
  <c r="BN15" i="5"/>
  <c r="BI15" i="5"/>
  <c r="BI15" i="5" a="1"/>
  <c r="BH15" i="5"/>
  <c r="BH15" i="5" a="1"/>
  <c r="BE15" i="5"/>
  <c r="BE15" i="5" a="1"/>
  <c r="BD15" i="5"/>
  <c r="BC15" i="5"/>
  <c r="BC15" i="5" a="1"/>
  <c r="BB15" i="5"/>
  <c r="BB15" i="5" a="1"/>
  <c r="BA15" i="5"/>
  <c r="BA15" i="5" a="1"/>
  <c r="BR14" i="5"/>
  <c r="BQ14" i="5"/>
  <c r="BS14" i="5" s="1" a="1"/>
  <c r="BS14" i="5" s="1"/>
  <c r="BP14" i="5"/>
  <c r="BO14" i="5"/>
  <c r="BN14" i="5"/>
  <c r="BI14" i="5"/>
  <c r="BI14" i="5" a="1"/>
  <c r="BH14" i="5"/>
  <c r="BH14" i="5" a="1"/>
  <c r="BE14" i="5"/>
  <c r="BE14" i="5" a="1"/>
  <c r="BD14" i="5"/>
  <c r="BC14" i="5"/>
  <c r="BC14" i="5" a="1"/>
  <c r="BB14" i="5"/>
  <c r="BB14" i="5" a="1"/>
  <c r="BA14" i="5"/>
  <c r="BA14" i="5" a="1"/>
  <c r="BR13" i="5"/>
  <c r="BQ13" i="5"/>
  <c r="BS13" i="5" s="1" a="1"/>
  <c r="BS13" i="5" s="1"/>
  <c r="BP13" i="5"/>
  <c r="BO13" i="5"/>
  <c r="BN13" i="5"/>
  <c r="BI13" i="5"/>
  <c r="BI13" i="5" a="1"/>
  <c r="BH13" i="5"/>
  <c r="BH13" i="5" a="1"/>
  <c r="BE13" i="5"/>
  <c r="BE13" i="5" a="1"/>
  <c r="BD13" i="5"/>
  <c r="BC13" i="5"/>
  <c r="BC13" i="5" a="1"/>
  <c r="BB13" i="5"/>
  <c r="BB13" i="5" a="1"/>
  <c r="BA13" i="5"/>
  <c r="BA13" i="5" a="1"/>
  <c r="BR12" i="5"/>
  <c r="BQ12" i="5"/>
  <c r="BS12" i="5" s="1" a="1"/>
  <c r="BS12" i="5" s="1"/>
  <c r="BP12" i="5"/>
  <c r="BO12" i="5"/>
  <c r="BN12" i="5"/>
  <c r="BI12" i="5"/>
  <c r="BI12" i="5" a="1"/>
  <c r="BH12" i="5"/>
  <c r="BH12" i="5" a="1"/>
  <c r="BE12" i="5"/>
  <c r="BE12" i="5" a="1"/>
  <c r="BD12" i="5"/>
  <c r="BC12" i="5"/>
  <c r="BC12" i="5" a="1"/>
  <c r="BB12" i="5"/>
  <c r="BB12" i="5" a="1"/>
  <c r="BA12" i="5"/>
  <c r="BA12" i="5" a="1"/>
  <c r="BR11" i="5"/>
  <c r="BQ11" i="5"/>
  <c r="BS11" i="5" s="1" a="1"/>
  <c r="BS11" i="5" s="1"/>
  <c r="BP11" i="5"/>
  <c r="BO11" i="5"/>
  <c r="BN11" i="5"/>
  <c r="BI11" i="5"/>
  <c r="BI11" i="5" a="1"/>
  <c r="BH11" i="5"/>
  <c r="BH11" i="5" a="1"/>
  <c r="BE11" i="5"/>
  <c r="BE11" i="5" a="1"/>
  <c r="BD11" i="5"/>
  <c r="BC11" i="5"/>
  <c r="BC11" i="5" a="1"/>
  <c r="BB11" i="5"/>
  <c r="BB11" i="5" a="1"/>
  <c r="BA11" i="5"/>
  <c r="BA11" i="5" a="1"/>
  <c r="BR10" i="5"/>
  <c r="BQ10" i="5"/>
  <c r="BS10" i="5" s="1" a="1"/>
  <c r="BS10" i="5" s="1"/>
  <c r="BP10" i="5"/>
  <c r="BO10" i="5"/>
  <c r="BN10" i="5"/>
  <c r="BI10" i="5"/>
  <c r="BI10" i="5" a="1"/>
  <c r="BH10" i="5"/>
  <c r="BH10" i="5" a="1"/>
  <c r="BE10" i="5"/>
  <c r="BE10" i="5" a="1"/>
  <c r="BD10" i="5"/>
  <c r="BC10" i="5"/>
  <c r="BC10" i="5" a="1"/>
  <c r="BB10" i="5"/>
  <c r="BB10" i="5" a="1"/>
  <c r="BA10" i="5"/>
  <c r="BA10" i="5" a="1"/>
  <c r="BR9" i="5"/>
  <c r="BQ9" i="5"/>
  <c r="BS9" i="5" s="1" a="1"/>
  <c r="BS9" i="5" s="1"/>
  <c r="BP9" i="5"/>
  <c r="BO9" i="5"/>
  <c r="BN9" i="5"/>
  <c r="BI9" i="5"/>
  <c r="BI9" i="5" a="1"/>
  <c r="BH9" i="5"/>
  <c r="BH9" i="5" a="1"/>
  <c r="BE9" i="5"/>
  <c r="BE9" i="5" a="1"/>
  <c r="BD9" i="5"/>
  <c r="BC9" i="5"/>
  <c r="BC9" i="5" a="1"/>
  <c r="BB9" i="5"/>
  <c r="BB9" i="5" a="1"/>
  <c r="BA9" i="5"/>
  <c r="BA9" i="5" a="1"/>
  <c r="BR8" i="5"/>
  <c r="BQ8" i="5"/>
  <c r="BS8" i="5" s="1" a="1"/>
  <c r="BS8" i="5" s="1"/>
  <c r="BP8" i="5"/>
  <c r="BO8" i="5"/>
  <c r="BN8" i="5"/>
  <c r="BI8" i="5"/>
  <c r="BI8" i="5" a="1"/>
  <c r="BH8" i="5"/>
  <c r="BH8" i="5" a="1"/>
  <c r="BE8" i="5"/>
  <c r="BE8" i="5" a="1"/>
  <c r="BD8" i="5"/>
  <c r="BC8" i="5"/>
  <c r="BC8" i="5" a="1"/>
  <c r="BB8" i="5"/>
  <c r="BB8" i="5" a="1"/>
  <c r="BA8" i="5"/>
  <c r="BA8" i="5" a="1"/>
  <c r="BO7" i="5"/>
  <c r="BN7" i="5"/>
  <c r="BI7" i="5"/>
  <c r="BI7" i="5" a="1"/>
  <c r="BH7" i="5"/>
  <c r="BH7" i="5" a="1"/>
  <c r="BE7" i="5"/>
  <c r="BE7" i="5" a="1"/>
  <c r="BD7" i="5"/>
  <c r="BC7" i="5"/>
  <c r="BC7" i="5" a="1"/>
  <c r="BB7" i="5"/>
  <c r="BB7" i="5" a="1"/>
  <c r="BA7" i="5"/>
  <c r="BA7" i="5" a="1"/>
  <c r="BM6" i="5"/>
  <c r="BM6" i="5" a="1"/>
  <c r="BI6" i="5"/>
  <c r="BI6" i="5" a="1"/>
  <c r="BH6" i="5"/>
  <c r="BH6" i="5" a="1"/>
  <c r="BE6" i="5"/>
  <c r="BE6" i="5" a="1"/>
  <c r="BD6" i="5"/>
  <c r="BC6" i="5"/>
  <c r="BC6" i="5" a="1"/>
  <c r="BB6" i="5"/>
  <c r="BB6" i="5" a="1"/>
  <c r="BA6" i="5"/>
  <c r="BA6" i="5" a="1"/>
  <c r="B6" i="5"/>
  <c r="B6" i="5" a="1"/>
  <c r="BE4" i="5"/>
  <c r="AQ1" i="5"/>
  <c r="AQ4" i="5" s="1"/>
  <c r="X33" i="15" l="1"/>
  <c r="X45" i="15"/>
  <c r="X29" i="15"/>
  <c r="X43" i="15"/>
  <c r="X22" i="15"/>
  <c r="X28" i="15"/>
  <c r="X32" i="15"/>
  <c r="X18" i="15"/>
  <c r="X57" i="15"/>
  <c r="X55" i="15"/>
  <c r="X8" i="15"/>
  <c r="X6" i="15"/>
  <c r="X30" i="15"/>
  <c r="X38" i="15"/>
  <c r="X58" i="15"/>
  <c r="AQ8" i="5"/>
  <c r="AI4" i="5"/>
  <c r="AI26" i="5" s="1"/>
  <c r="AQ2" i="5"/>
  <c r="H4" i="11"/>
  <c r="C8" i="11"/>
  <c r="C3" i="11"/>
  <c r="C10" i="11"/>
  <c r="C27" i="11"/>
  <c r="AW112" i="5" a="1"/>
  <c r="AW112" i="5" s="1"/>
  <c r="AT110" i="5" a="1"/>
  <c r="AT110" i="5" s="1"/>
  <c r="AU108" i="5" a="1"/>
  <c r="AU108" i="5" s="1"/>
  <c r="AW104" i="5" a="1"/>
  <c r="AW104" i="5" s="1"/>
  <c r="AT102" i="5" a="1"/>
  <c r="AT102" i="5" s="1"/>
  <c r="AU100" i="5" a="1"/>
  <c r="AU100" i="5" s="1"/>
  <c r="AU54" i="5" a="1"/>
  <c r="AU54" i="5" s="1"/>
  <c r="AY52" i="5" a="1"/>
  <c r="AY52" i="5" s="1"/>
  <c r="AT52" i="5" a="1"/>
  <c r="AT52" i="5" s="1"/>
  <c r="AT113" i="5" a="1"/>
  <c r="AT113" i="5" s="1"/>
  <c r="AU111" i="5" a="1"/>
  <c r="AU111" i="5" s="1"/>
  <c r="AW107" i="5" a="1"/>
  <c r="AW107" i="5" s="1"/>
  <c r="AT105" i="5" a="1"/>
  <c r="AT105" i="5" s="1"/>
  <c r="AU103" i="5" a="1"/>
  <c r="AU103" i="5" s="1"/>
  <c r="AW99" i="5" a="1"/>
  <c r="AW99" i="5" s="1"/>
  <c r="AU97" i="5" a="1"/>
  <c r="AU97" i="5" s="1"/>
  <c r="AT96" i="5" a="1"/>
  <c r="AT96" i="5" s="1"/>
  <c r="AW95" i="5" a="1"/>
  <c r="AW95" i="5" s="1"/>
  <c r="AU114" i="5" a="1"/>
  <c r="AU114" i="5" s="1"/>
  <c r="AW110" i="5" a="1"/>
  <c r="AW110" i="5" s="1"/>
  <c r="AT108" i="5" a="1"/>
  <c r="AT108" i="5" s="1"/>
  <c r="AU106" i="5" a="1"/>
  <c r="AU106" i="5" s="1"/>
  <c r="AW102" i="5" a="1"/>
  <c r="AW102" i="5" s="1"/>
  <c r="AT100" i="5" a="1"/>
  <c r="AT100" i="5" s="1"/>
  <c r="AT54" i="5" a="1"/>
  <c r="AT54" i="5" s="1"/>
  <c r="AW52" i="5" a="1"/>
  <c r="AW52" i="5" s="1"/>
  <c r="AQ52" i="5" a="1"/>
  <c r="AQ52" i="5" s="1"/>
  <c r="AW113" i="5" a="1"/>
  <c r="AW113" i="5" s="1"/>
  <c r="AT111" i="5" a="1"/>
  <c r="AT111" i="5" s="1"/>
  <c r="AU109" i="5" a="1"/>
  <c r="AU109" i="5" s="1"/>
  <c r="AW105" i="5" a="1"/>
  <c r="AW105" i="5" s="1"/>
  <c r="AT103" i="5" a="1"/>
  <c r="AT103" i="5" s="1"/>
  <c r="AU101" i="5" a="1"/>
  <c r="AU101" i="5" s="1"/>
  <c r="AU98" i="5" a="1"/>
  <c r="AU98" i="5" s="1"/>
  <c r="AT97" i="5" a="1"/>
  <c r="AT97" i="5" s="1"/>
  <c r="AW96" i="5" a="1"/>
  <c r="AW96" i="5" s="1"/>
  <c r="AT114" i="5" a="1"/>
  <c r="AT114" i="5" s="1"/>
  <c r="AU112" i="5" a="1"/>
  <c r="AU112" i="5" s="1"/>
  <c r="AW108" i="5" a="1"/>
  <c r="AW108" i="5" s="1"/>
  <c r="AT106" i="5" a="1"/>
  <c r="AT106" i="5" s="1"/>
  <c r="AU104" i="5" a="1"/>
  <c r="AU104" i="5" s="1"/>
  <c r="AW100" i="5" a="1"/>
  <c r="AW100" i="5" s="1"/>
  <c r="AW54" i="5" a="1"/>
  <c r="AW54" i="5" s="1"/>
  <c r="AQ54" i="5" a="1"/>
  <c r="AQ54" i="5" s="1"/>
  <c r="AW111" i="5" a="1"/>
  <c r="AW111" i="5" s="1"/>
  <c r="AT109" i="5" a="1"/>
  <c r="AT109" i="5" s="1"/>
  <c r="AU107" i="5" a="1"/>
  <c r="AU107" i="5" s="1"/>
  <c r="AW114" i="5" a="1"/>
  <c r="AW114" i="5" s="1"/>
  <c r="AU113" i="5" a="1"/>
  <c r="AU113" i="5" s="1"/>
  <c r="AW109" i="5" a="1"/>
  <c r="AW109" i="5" s="1"/>
  <c r="AT107" i="5" a="1"/>
  <c r="AT107" i="5" s="1"/>
  <c r="AU105" i="5" a="1"/>
  <c r="AU105" i="5" s="1"/>
  <c r="AW101" i="5" a="1"/>
  <c r="AW101" i="5" s="1"/>
  <c r="AT99" i="5" a="1"/>
  <c r="AT99" i="5" s="1"/>
  <c r="AW98" i="5" a="1"/>
  <c r="AW98" i="5" s="1"/>
  <c r="AU96" i="5" a="1"/>
  <c r="AU96" i="5" s="1"/>
  <c r="AT95" i="5" a="1"/>
  <c r="AT95" i="5" s="1"/>
  <c r="AT101" i="5" a="1"/>
  <c r="AT101" i="5" s="1"/>
  <c r="AU92" i="5" a="1"/>
  <c r="AU92" i="5" s="1"/>
  <c r="AW91" i="5" a="1"/>
  <c r="AW91" i="5" s="1"/>
  <c r="AU90" i="5" a="1"/>
  <c r="AU90" i="5" s="1"/>
  <c r="AW89" i="5" a="1"/>
  <c r="AW89" i="5" s="1"/>
  <c r="AT88" i="5" a="1"/>
  <c r="AT88" i="5" s="1"/>
  <c r="AT86" i="5" a="1"/>
  <c r="AT86" i="5" s="1"/>
  <c r="AU79" i="5" a="1"/>
  <c r="AU79" i="5" s="1"/>
  <c r="AU77" i="5" a="1"/>
  <c r="AU77" i="5" s="1"/>
  <c r="AW76" i="5" a="1"/>
  <c r="AW76" i="5" s="1"/>
  <c r="AT73" i="5" a="1"/>
  <c r="AT73" i="5" s="1"/>
  <c r="AT71" i="5" a="1"/>
  <c r="AT71" i="5" s="1"/>
  <c r="AW70" i="5" a="1"/>
  <c r="AW70" i="5" s="1"/>
  <c r="AT68" i="5" a="1"/>
  <c r="AT68" i="5" s="1"/>
  <c r="AT57" i="5" a="1"/>
  <c r="AT57" i="5" s="1"/>
  <c r="AW97" i="5" a="1"/>
  <c r="AW97" i="5" s="1"/>
  <c r="AU94" i="5" a="1"/>
  <c r="AU94" i="5" s="1"/>
  <c r="AW93" i="5" a="1"/>
  <c r="AW93" i="5" s="1"/>
  <c r="AT92" i="5" a="1"/>
  <c r="AT92" i="5" s="1"/>
  <c r="AT90" i="5" a="1"/>
  <c r="AT90" i="5" s="1"/>
  <c r="AU83" i="5" a="1"/>
  <c r="AU83" i="5" s="1"/>
  <c r="AU81" i="5" a="1"/>
  <c r="AU81" i="5" s="1"/>
  <c r="AW80" i="5" a="1"/>
  <c r="AW80" i="5" s="1"/>
  <c r="AT77" i="5" a="1"/>
  <c r="AT77" i="5" s="1"/>
  <c r="AT75" i="5" a="1"/>
  <c r="AT75" i="5" s="1"/>
  <c r="AW74" i="5" a="1"/>
  <c r="AW74" i="5" s="1"/>
  <c r="AU69" i="5" a="1"/>
  <c r="AU69" i="5" s="1"/>
  <c r="AR57" i="5" a="1"/>
  <c r="AR57" i="5" s="1"/>
  <c r="AQ56" i="5" a="1"/>
  <c r="AQ56" i="5" s="1"/>
  <c r="AT55" i="5" a="1"/>
  <c r="AT55" i="5" s="1"/>
  <c r="AT51" i="5" a="1"/>
  <c r="AT51" i="5" s="1"/>
  <c r="AY50" i="5" a="1"/>
  <c r="AY50" i="5" s="1"/>
  <c r="AT49" i="5" a="1"/>
  <c r="AT49" i="5" s="1"/>
  <c r="AT98" i="5" a="1"/>
  <c r="AT98" i="5" s="1"/>
  <c r="AT94" i="5" a="1"/>
  <c r="AT94" i="5" s="1"/>
  <c r="AU87" i="5" a="1"/>
  <c r="AU87" i="5" s="1"/>
  <c r="AU85" i="5" a="1"/>
  <c r="AU85" i="5" s="1"/>
  <c r="AW84" i="5" a="1"/>
  <c r="AW84" i="5" s="1"/>
  <c r="AT81" i="5" a="1"/>
  <c r="AT81" i="5" s="1"/>
  <c r="AT79" i="5" a="1"/>
  <c r="AT79" i="5" s="1"/>
  <c r="AW78" i="5" a="1"/>
  <c r="AW78" i="5" s="1"/>
  <c r="AT69" i="5" a="1"/>
  <c r="AT69" i="5" s="1"/>
  <c r="AQ55" i="5" a="1"/>
  <c r="AQ55" i="5" s="1"/>
  <c r="AQ53" i="5" a="1"/>
  <c r="AQ53" i="5" s="1"/>
  <c r="AY51" i="5" a="1"/>
  <c r="AY51" i="5" s="1"/>
  <c r="AQ51" i="5" a="1"/>
  <c r="AQ51" i="5" s="1"/>
  <c r="AQ50" i="5" a="1"/>
  <c r="AQ50" i="5" s="1"/>
  <c r="AY49" i="5" a="1"/>
  <c r="AY49" i="5" s="1"/>
  <c r="AU47" i="5" a="1"/>
  <c r="AU47" i="5" s="1"/>
  <c r="AT46" i="5" a="1"/>
  <c r="AT46" i="5" s="1"/>
  <c r="AW106" i="5" a="1"/>
  <c r="AW106" i="5" s="1"/>
  <c r="AU91" i="5" a="1"/>
  <c r="AU91" i="5" s="1"/>
  <c r="AU89" i="5" a="1"/>
  <c r="AU89" i="5" s="1"/>
  <c r="AW88" i="5" a="1"/>
  <c r="AW88" i="5" s="1"/>
  <c r="AT85" i="5" a="1"/>
  <c r="AT85" i="5" s="1"/>
  <c r="AT83" i="5" a="1"/>
  <c r="AT83" i="5" s="1"/>
  <c r="AW82" i="5" a="1"/>
  <c r="AW82" i="5" s="1"/>
  <c r="AU72" i="5" a="1"/>
  <c r="AU72" i="5" s="1"/>
  <c r="AW71" i="5" a="1"/>
  <c r="AW71" i="5" s="1"/>
  <c r="AU70" i="5" a="1"/>
  <c r="AU70" i="5" s="1"/>
  <c r="AW57" i="5" a="1"/>
  <c r="AW57" i="5" s="1"/>
  <c r="AW51" i="5" a="1"/>
  <c r="AW51" i="5" s="1"/>
  <c r="AW50" i="5" a="1"/>
  <c r="AW50" i="5" s="1"/>
  <c r="AQ49" i="5" a="1"/>
  <c r="AQ49" i="5" s="1"/>
  <c r="AY48" i="5" a="1"/>
  <c r="AY48" i="5" s="1"/>
  <c r="AW103" i="5" a="1"/>
  <c r="AW103" i="5" s="1"/>
  <c r="AU93" i="5" a="1"/>
  <c r="AU93" i="5" s="1"/>
  <c r="AW92" i="5" a="1"/>
  <c r="AW92" i="5" s="1"/>
  <c r="AT89" i="5" a="1"/>
  <c r="AT89" i="5" s="1"/>
  <c r="AT87" i="5" a="1"/>
  <c r="AT87" i="5" s="1"/>
  <c r="AW86" i="5" a="1"/>
  <c r="AW86" i="5" s="1"/>
  <c r="AU76" i="5" a="1"/>
  <c r="AU76" i="5" s="1"/>
  <c r="AW75" i="5" a="1"/>
  <c r="AW75" i="5" s="1"/>
  <c r="AU74" i="5" a="1"/>
  <c r="AU74" i="5" s="1"/>
  <c r="AW73" i="5" a="1"/>
  <c r="AW73" i="5" s="1"/>
  <c r="AT72" i="5" a="1"/>
  <c r="AT72" i="5" s="1"/>
  <c r="AT70" i="5" a="1"/>
  <c r="AT70" i="5" s="1"/>
  <c r="AW68" i="5" a="1"/>
  <c r="AW68" i="5" s="1"/>
  <c r="AU110" i="5" a="1"/>
  <c r="AU110" i="5" s="1"/>
  <c r="AU95" i="5" a="1"/>
  <c r="AU95" i="5" s="1"/>
  <c r="AT93" i="5" a="1"/>
  <c r="AT93" i="5" s="1"/>
  <c r="AT91" i="5" a="1"/>
  <c r="AT91" i="5" s="1"/>
  <c r="AT112" i="5" a="1"/>
  <c r="AT112" i="5" s="1"/>
  <c r="AT104" i="5" a="1"/>
  <c r="AT104" i="5" s="1"/>
  <c r="AW94" i="5" a="1"/>
  <c r="AW94" i="5" s="1"/>
  <c r="AU84" i="5" a="1"/>
  <c r="AU84" i="5" s="1"/>
  <c r="AW83" i="5" a="1"/>
  <c r="AW83" i="5" s="1"/>
  <c r="AU82" i="5" a="1"/>
  <c r="AU82" i="5" s="1"/>
  <c r="AW81" i="5" a="1"/>
  <c r="AW81" i="5" s="1"/>
  <c r="AT80" i="5" a="1"/>
  <c r="AT80" i="5" s="1"/>
  <c r="AT78" i="5" a="1"/>
  <c r="AT78" i="5" s="1"/>
  <c r="AU71" i="5" a="1"/>
  <c r="AU71" i="5" s="1"/>
  <c r="AW69" i="5" a="1"/>
  <c r="AW69" i="5" s="1"/>
  <c r="AU57" i="5" a="1"/>
  <c r="AU57" i="5" s="1"/>
  <c r="AW47" i="5" a="1"/>
  <c r="AW47" i="5" s="1"/>
  <c r="AU45" i="5" a="1"/>
  <c r="AU45" i="5" s="1"/>
  <c r="AT44" i="5" a="1"/>
  <c r="AT44" i="5" s="1"/>
  <c r="AW43" i="5" a="1"/>
  <c r="AW43" i="5" s="1"/>
  <c r="AU102" i="5" a="1"/>
  <c r="AU102" i="5" s="1"/>
  <c r="AU99" i="5" a="1"/>
  <c r="AU99" i="5" s="1"/>
  <c r="AU88" i="5" a="1"/>
  <c r="AU88" i="5" s="1"/>
  <c r="AW87" i="5" a="1"/>
  <c r="AW87" i="5" s="1"/>
  <c r="AU86" i="5" a="1"/>
  <c r="AU86" i="5" s="1"/>
  <c r="AW85" i="5" a="1"/>
  <c r="AW85" i="5" s="1"/>
  <c r="AT84" i="5" a="1"/>
  <c r="AT84" i="5" s="1"/>
  <c r="AT82" i="5" a="1"/>
  <c r="AT82" i="5" s="1"/>
  <c r="AU75" i="5" a="1"/>
  <c r="AU75" i="5" s="1"/>
  <c r="AU73" i="5" a="1"/>
  <c r="AU73" i="5" s="1"/>
  <c r="AW72" i="5" a="1"/>
  <c r="AW72" i="5" s="1"/>
  <c r="AU68" i="5" a="1"/>
  <c r="AU68" i="5" s="1"/>
  <c r="AU56" i="5" a="1"/>
  <c r="AU56" i="5" s="1"/>
  <c r="AU55" i="5" a="1"/>
  <c r="AU55" i="5" s="1"/>
  <c r="AU53" i="5" a="1"/>
  <c r="AU53" i="5" s="1"/>
  <c r="AU52" i="5" a="1"/>
  <c r="AU52" i="5" s="1"/>
  <c r="AU51" i="5" a="1"/>
  <c r="AU51" i="5" s="1"/>
  <c r="AQ46" i="5" a="1"/>
  <c r="AQ46" i="5" s="1"/>
  <c r="AW79" i="5" a="1"/>
  <c r="AW79" i="5" s="1"/>
  <c r="AU80" i="5" a="1"/>
  <c r="AU80" i="5" s="1"/>
  <c r="AW46" i="5" a="1"/>
  <c r="AW46" i="5" s="1"/>
  <c r="AW77" i="5" a="1"/>
  <c r="AW77" i="5" s="1"/>
  <c r="AW56" i="5" a="1"/>
  <c r="AW56" i="5" s="1"/>
  <c r="AU78" i="5" a="1"/>
  <c r="AU78" i="5" s="1"/>
  <c r="AT50" i="5" a="1"/>
  <c r="AT50" i="5" s="1"/>
  <c r="AW90" i="5" a="1"/>
  <c r="AW90" i="5" s="1"/>
  <c r="AT76" i="5" a="1"/>
  <c r="AT76" i="5" s="1"/>
  <c r="AT74" i="5" a="1"/>
  <c r="AT74" i="5" s="1"/>
  <c r="AW55" i="5" a="1"/>
  <c r="AW55" i="5" s="1"/>
  <c r="AQ48" i="5" a="1"/>
  <c r="AQ48" i="5" s="1"/>
  <c r="AW53" i="5" a="1"/>
  <c r="AW53" i="5" s="1"/>
  <c r="AU49" i="5" a="1"/>
  <c r="AU49" i="5" s="1"/>
  <c r="AY44" i="5" a="1"/>
  <c r="AY44" i="5" s="1"/>
  <c r="AU43" i="5" a="1"/>
  <c r="AU43" i="5" s="1"/>
  <c r="AW48" i="5" a="1"/>
  <c r="AW48" i="5" s="1"/>
  <c r="AY46" i="5" a="1"/>
  <c r="AY46" i="5" s="1"/>
  <c r="AW44" i="5" a="1"/>
  <c r="AW44" i="5" s="1"/>
  <c r="AT45" i="5" a="1"/>
  <c r="AT45" i="5" s="1"/>
  <c r="AT43" i="5" a="1"/>
  <c r="AT43" i="5" s="1"/>
  <c r="AW42" i="5" a="1"/>
  <c r="AW42" i="5" s="1"/>
  <c r="AT53" i="5" a="1"/>
  <c r="AT53" i="5" s="1"/>
  <c r="AT47" i="5" a="1"/>
  <c r="AT47" i="5" s="1"/>
  <c r="AQ45" i="5" a="1"/>
  <c r="AQ45" i="5" s="1"/>
  <c r="AT56" i="5" a="1"/>
  <c r="AT56" i="5" s="1"/>
  <c r="AU48" i="5" a="1"/>
  <c r="AU48" i="5" s="1"/>
  <c r="AQ47" i="5" a="1"/>
  <c r="AQ47" i="5" s="1"/>
  <c r="AW49" i="5" a="1"/>
  <c r="AW49" i="5" s="1"/>
  <c r="AT48" i="5" a="1"/>
  <c r="AT48" i="5" s="1"/>
  <c r="AU46" i="5" a="1"/>
  <c r="AU46" i="5" s="1"/>
  <c r="AW45" i="5" a="1"/>
  <c r="AW45" i="5" s="1"/>
  <c r="AU50" i="5" a="1"/>
  <c r="AU50" i="5" s="1"/>
  <c r="AQ44" i="5" a="1"/>
  <c r="AQ44" i="5" s="1"/>
  <c r="AQ43" i="5" a="1"/>
  <c r="AQ43" i="5" s="1"/>
  <c r="AU42" i="5" a="1"/>
  <c r="AU42" i="5" s="1"/>
  <c r="AT39" i="5"/>
  <c r="AY43" i="5" a="1"/>
  <c r="AY43" i="5" s="1"/>
  <c r="AY45" i="5" a="1"/>
  <c r="AY45" i="5" s="1"/>
  <c r="AQ42" i="5" a="1"/>
  <c r="AQ42" i="5" s="1"/>
  <c r="AY42" i="5" a="1"/>
  <c r="AY42" i="5" s="1"/>
  <c r="AT42" i="5" a="1"/>
  <c r="AT42" i="5" s="1"/>
  <c r="AU44" i="5" a="1"/>
  <c r="AU44" i="5" s="1"/>
  <c r="AY47" i="5" a="1"/>
  <c r="AY47" i="5" s="1"/>
  <c r="AI27" i="5"/>
  <c r="AI20" i="5"/>
  <c r="AI10" i="5"/>
  <c r="AA4" i="5"/>
  <c r="AI11" i="5"/>
  <c r="AI13" i="5"/>
  <c r="AI6" i="5"/>
  <c r="AI2" i="5"/>
  <c r="AI30" i="5"/>
  <c r="AI3" i="5"/>
  <c r="AI9" i="5"/>
  <c r="AI8" i="5"/>
  <c r="AQ30" i="5"/>
  <c r="AQ10" i="5"/>
  <c r="AQ3" i="5"/>
  <c r="AQ20" i="5"/>
  <c r="AQ12" i="5"/>
  <c r="AQ7" i="5"/>
  <c r="AQ26" i="5"/>
  <c r="AR4" i="5"/>
  <c r="AQ6" i="5"/>
  <c r="AQ11" i="5"/>
  <c r="AQ27" i="5"/>
  <c r="AQ13" i="5"/>
  <c r="AQ9" i="5"/>
  <c r="F4" i="11"/>
  <c r="H9" i="11"/>
  <c r="C12" i="11"/>
  <c r="H30" i="11"/>
  <c r="G4" i="11"/>
  <c r="H8" i="11"/>
  <c r="C11" i="11"/>
  <c r="H27" i="11"/>
  <c r="H7" i="11"/>
  <c r="H26" i="11"/>
  <c r="H2" i="11"/>
  <c r="I4" i="11"/>
  <c r="H6" i="11"/>
  <c r="C9" i="11"/>
  <c r="H20" i="11"/>
  <c r="C30" i="11"/>
  <c r="H13" i="11"/>
  <c r="C7" i="11"/>
  <c r="H12" i="11"/>
  <c r="C26" i="11"/>
  <c r="C2" i="11"/>
  <c r="D4" i="11"/>
  <c r="C6" i="11"/>
  <c r="H11" i="11"/>
  <c r="C20" i="11"/>
  <c r="E4" i="11"/>
  <c r="AI7" i="5" l="1"/>
  <c r="AI12" i="5"/>
  <c r="AV39" i="5"/>
  <c r="H10" i="11"/>
  <c r="H32" i="11" s="1"/>
  <c r="H34" i="11" s="1"/>
  <c r="H3" i="11"/>
  <c r="I11" i="11"/>
  <c r="I12" i="11"/>
  <c r="I13" i="11"/>
  <c r="I20" i="11"/>
  <c r="I6" i="11"/>
  <c r="I2" i="11"/>
  <c r="I26" i="11"/>
  <c r="I7" i="11"/>
  <c r="I3" i="11"/>
  <c r="I27" i="11"/>
  <c r="I8" i="11"/>
  <c r="I30" i="11"/>
  <c r="I9" i="11"/>
  <c r="I10" i="11"/>
  <c r="AQ32" i="5"/>
  <c r="AQ34" i="5" s="1"/>
  <c r="AR26" i="5"/>
  <c r="AR20" i="5"/>
  <c r="AR12" i="5"/>
  <c r="AR10" i="5"/>
  <c r="AR27" i="5"/>
  <c r="AR6" i="5"/>
  <c r="AR7" i="5"/>
  <c r="AJ4" i="5"/>
  <c r="AR11" i="5"/>
  <c r="AR13" i="5"/>
  <c r="AR8" i="5"/>
  <c r="AR2" i="5"/>
  <c r="AS4" i="5"/>
  <c r="AR3" i="5"/>
  <c r="AR30" i="5"/>
  <c r="AR9" i="5"/>
  <c r="AA13" i="5"/>
  <c r="AA12" i="5"/>
  <c r="AA11" i="5"/>
  <c r="AA27" i="5"/>
  <c r="AA30" i="5"/>
  <c r="AA6" i="5"/>
  <c r="AA10" i="5"/>
  <c r="AA2" i="5"/>
  <c r="AA20" i="5"/>
  <c r="AA8" i="5"/>
  <c r="AA26" i="5"/>
  <c r="AA9" i="5"/>
  <c r="AA3" i="5"/>
  <c r="S4" i="5"/>
  <c r="AA7" i="5"/>
  <c r="E26" i="11"/>
  <c r="E7" i="11"/>
  <c r="E3" i="11"/>
  <c r="E27" i="11"/>
  <c r="E8" i="11"/>
  <c r="E30" i="11"/>
  <c r="E9" i="11"/>
  <c r="E10" i="11"/>
  <c r="E11" i="11"/>
  <c r="E12" i="11"/>
  <c r="E13" i="11"/>
  <c r="E20" i="11"/>
  <c r="E6" i="11"/>
  <c r="E2" i="11"/>
  <c r="F27" i="11"/>
  <c r="F8" i="11"/>
  <c r="F30" i="11"/>
  <c r="F9" i="11"/>
  <c r="F10" i="11"/>
  <c r="F11" i="11"/>
  <c r="F12" i="11"/>
  <c r="F13" i="11"/>
  <c r="F20" i="11"/>
  <c r="F6" i="11"/>
  <c r="F2" i="11"/>
  <c r="F26" i="11"/>
  <c r="F7" i="11"/>
  <c r="F3" i="11"/>
  <c r="C32" i="11"/>
  <c r="C34" i="11" s="1"/>
  <c r="G30" i="11"/>
  <c r="G9" i="11"/>
  <c r="G10" i="11"/>
  <c r="G11" i="11"/>
  <c r="G12" i="11"/>
  <c r="G13" i="11"/>
  <c r="G20" i="11"/>
  <c r="G6" i="11"/>
  <c r="G2" i="11"/>
  <c r="G26" i="11"/>
  <c r="G7" i="11"/>
  <c r="G3" i="11"/>
  <c r="G27" i="11"/>
  <c r="G8" i="11"/>
  <c r="D20" i="11"/>
  <c r="D6" i="11"/>
  <c r="D2" i="11"/>
  <c r="D26" i="11"/>
  <c r="D7" i="11"/>
  <c r="D3" i="11"/>
  <c r="D27" i="11"/>
  <c r="D8" i="11"/>
  <c r="D30" i="11"/>
  <c r="D9" i="11"/>
  <c r="D10" i="11"/>
  <c r="D11" i="11"/>
  <c r="D12" i="11"/>
  <c r="D13" i="11"/>
  <c r="AI32" i="5" l="1"/>
  <c r="AI34" i="5" s="1"/>
  <c r="F32" i="11"/>
  <c r="F34" i="11" s="1"/>
  <c r="AJ26" i="5"/>
  <c r="AJ20" i="5"/>
  <c r="AJ12" i="5"/>
  <c r="AJ10" i="5"/>
  <c r="AJ6" i="5"/>
  <c r="AJ11" i="5"/>
  <c r="AJ27" i="5"/>
  <c r="AJ30" i="5"/>
  <c r="AJ9" i="5"/>
  <c r="AJ8" i="5"/>
  <c r="AJ2" i="5"/>
  <c r="AJ3" i="5"/>
  <c r="AJ13" i="5"/>
  <c r="AJ7" i="5"/>
  <c r="AB4" i="5"/>
  <c r="S11" i="5"/>
  <c r="S26" i="5"/>
  <c r="S10" i="5"/>
  <c r="K4" i="5"/>
  <c r="S9" i="5"/>
  <c r="S8" i="5"/>
  <c r="S12" i="5"/>
  <c r="S7" i="5"/>
  <c r="S3" i="5"/>
  <c r="S2" i="5"/>
  <c r="S20" i="5"/>
  <c r="S13" i="5"/>
  <c r="S27" i="5"/>
  <c r="S30" i="5"/>
  <c r="S6" i="5"/>
  <c r="AA32" i="5"/>
  <c r="AA34" i="5" s="1"/>
  <c r="AR32" i="5"/>
  <c r="AR34" i="5" s="1"/>
  <c r="I32" i="11"/>
  <c r="I34" i="11" s="1"/>
  <c r="D32" i="11"/>
  <c r="D34" i="11" s="1"/>
  <c r="E32" i="11"/>
  <c r="E34" i="11" s="1"/>
  <c r="AS20" i="5"/>
  <c r="AS10" i="5"/>
  <c r="AS7" i="5"/>
  <c r="AS12" i="5"/>
  <c r="AK4" i="5"/>
  <c r="AS26" i="5"/>
  <c r="AT4" i="5"/>
  <c r="AS2" i="5"/>
  <c r="AS8" i="5"/>
  <c r="AS11" i="5"/>
  <c r="AS6" i="5"/>
  <c r="AS30" i="5"/>
  <c r="AS9" i="5"/>
  <c r="AS13" i="5"/>
  <c r="AS27" i="5"/>
  <c r="AS3" i="5"/>
  <c r="G32" i="11"/>
  <c r="G34" i="11" s="1"/>
  <c r="AK11" i="5" l="1"/>
  <c r="AK7" i="5"/>
  <c r="AK20" i="5"/>
  <c r="AK13" i="5"/>
  <c r="AC4" i="5"/>
  <c r="AK27" i="5"/>
  <c r="AK30" i="5"/>
  <c r="AK6" i="5"/>
  <c r="AK26" i="5"/>
  <c r="AK12" i="5"/>
  <c r="AK10" i="5"/>
  <c r="AK2" i="5"/>
  <c r="AK8" i="5"/>
  <c r="AK3" i="5"/>
  <c r="AK9" i="5"/>
  <c r="AB26" i="5"/>
  <c r="AB20" i="5"/>
  <c r="AB12" i="5"/>
  <c r="AB10" i="5"/>
  <c r="AB11" i="5"/>
  <c r="AB6" i="5"/>
  <c r="AB27" i="5"/>
  <c r="T4" i="5"/>
  <c r="AB30" i="5"/>
  <c r="AB13" i="5"/>
  <c r="AB9" i="5"/>
  <c r="AB8" i="5"/>
  <c r="AB3" i="5"/>
  <c r="AB7" i="5"/>
  <c r="AB2" i="5"/>
  <c r="AS32" i="5"/>
  <c r="AS34" i="5" s="1"/>
  <c r="S32" i="5"/>
  <c r="S34" i="5" s="1"/>
  <c r="AJ32" i="5"/>
  <c r="AJ34" i="5" s="1"/>
  <c r="K30" i="5"/>
  <c r="K3" i="5"/>
  <c r="K7" i="5"/>
  <c r="K2" i="5"/>
  <c r="K27" i="5"/>
  <c r="K13" i="5"/>
  <c r="C4" i="5"/>
  <c r="K8" i="5"/>
  <c r="K6" i="5"/>
  <c r="K12" i="5"/>
  <c r="K10" i="5"/>
  <c r="K9" i="5"/>
  <c r="K20" i="5"/>
  <c r="K11" i="5"/>
  <c r="K26" i="5"/>
  <c r="AT11" i="5"/>
  <c r="AT8" i="5"/>
  <c r="AU4" i="5"/>
  <c r="AT3" i="5"/>
  <c r="AL4" i="5"/>
  <c r="AT26" i="5"/>
  <c r="AT20" i="5"/>
  <c r="AT27" i="5"/>
  <c r="AT13" i="5"/>
  <c r="AT9" i="5"/>
  <c r="AT6" i="5"/>
  <c r="AT12" i="5"/>
  <c r="AT10" i="5"/>
  <c r="AT30" i="5"/>
  <c r="AT7" i="5"/>
  <c r="AT2" i="5"/>
  <c r="K32" i="5" l="1"/>
  <c r="K34" i="5" s="1"/>
  <c r="C12" i="5"/>
  <c r="C8" i="5"/>
  <c r="C3" i="5"/>
  <c r="C27" i="5"/>
  <c r="C13" i="5"/>
  <c r="C2" i="5"/>
  <c r="C30" i="5"/>
  <c r="C10" i="5"/>
  <c r="C6" i="5"/>
  <c r="C11" i="5"/>
  <c r="C20" i="5"/>
  <c r="C7" i="5"/>
  <c r="C26" i="5"/>
  <c r="C9" i="5"/>
  <c r="AK32" i="5"/>
  <c r="AK34" i="5" s="1"/>
  <c r="T26" i="5"/>
  <c r="T20" i="5"/>
  <c r="T12" i="5"/>
  <c r="T10" i="5"/>
  <c r="T6" i="5"/>
  <c r="T3" i="5"/>
  <c r="T2" i="5"/>
  <c r="T11" i="5"/>
  <c r="T27" i="5"/>
  <c r="T9" i="5"/>
  <c r="T8" i="5"/>
  <c r="L4" i="5"/>
  <c r="T30" i="5"/>
  <c r="T13" i="5"/>
  <c r="T7" i="5"/>
  <c r="AL8" i="5"/>
  <c r="AL27" i="5"/>
  <c r="AL12" i="5"/>
  <c r="AL11" i="5"/>
  <c r="AL30" i="5"/>
  <c r="AL13" i="5"/>
  <c r="AL9" i="5"/>
  <c r="AL6" i="5"/>
  <c r="AL2" i="5"/>
  <c r="AL3" i="5"/>
  <c r="AD4" i="5"/>
  <c r="AL20" i="5"/>
  <c r="AL10" i="5"/>
  <c r="AL26" i="5"/>
  <c r="AL7" i="5"/>
  <c r="AB32" i="5"/>
  <c r="AB34" i="5" s="1"/>
  <c r="AC7" i="5"/>
  <c r="AC9" i="5"/>
  <c r="AC8" i="5"/>
  <c r="AC6" i="5"/>
  <c r="AC2" i="5"/>
  <c r="AC26" i="5"/>
  <c r="AC12" i="5"/>
  <c r="AC27" i="5"/>
  <c r="U4" i="5"/>
  <c r="AC3" i="5"/>
  <c r="AC11" i="5"/>
  <c r="AC10" i="5"/>
  <c r="AC20" i="5"/>
  <c r="AC13" i="5"/>
  <c r="AC30" i="5"/>
  <c r="AT32" i="5"/>
  <c r="AT34" i="5" s="1"/>
  <c r="AU30" i="5"/>
  <c r="AM4" i="5"/>
  <c r="AU20" i="5"/>
  <c r="AU13" i="5"/>
  <c r="AV4" i="5"/>
  <c r="AU11" i="5"/>
  <c r="AU2" i="5"/>
  <c r="AU27" i="5"/>
  <c r="AU8" i="5"/>
  <c r="AU26" i="5"/>
  <c r="AU3" i="5"/>
  <c r="AU9" i="5"/>
  <c r="AU7" i="5"/>
  <c r="AU6" i="5"/>
  <c r="AU10" i="5"/>
  <c r="AU12" i="5"/>
  <c r="AL32" i="5" l="1"/>
  <c r="AL34" i="5" s="1"/>
  <c r="AM30" i="5"/>
  <c r="AE4" i="5"/>
  <c r="AM3" i="5"/>
  <c r="AM27" i="5"/>
  <c r="AM13" i="5"/>
  <c r="AM9" i="5"/>
  <c r="AM6" i="5"/>
  <c r="AM2" i="5"/>
  <c r="AM8" i="5"/>
  <c r="AM10" i="5"/>
  <c r="AM26" i="5"/>
  <c r="AM11" i="5"/>
  <c r="AM7" i="5"/>
  <c r="AM20" i="5"/>
  <c r="AM12" i="5"/>
  <c r="AD8" i="5"/>
  <c r="AD26" i="5"/>
  <c r="AD10" i="5"/>
  <c r="AD3" i="5"/>
  <c r="AD2" i="5"/>
  <c r="AD20" i="5"/>
  <c r="AD7" i="5"/>
  <c r="AD27" i="5"/>
  <c r="V4" i="5"/>
  <c r="AD30" i="5"/>
  <c r="AD6" i="5"/>
  <c r="AD13" i="5"/>
  <c r="AD12" i="5"/>
  <c r="AD9" i="5"/>
  <c r="AD11" i="5"/>
  <c r="U7" i="5"/>
  <c r="U30" i="5"/>
  <c r="U8" i="5"/>
  <c r="U3" i="5"/>
  <c r="U12" i="5"/>
  <c r="U10" i="5"/>
  <c r="U2" i="5"/>
  <c r="U26" i="5"/>
  <c r="U20" i="5"/>
  <c r="U11" i="5"/>
  <c r="M4" i="5"/>
  <c r="U13" i="5"/>
  <c r="U6" i="5"/>
  <c r="U27" i="5"/>
  <c r="U9" i="5"/>
  <c r="AU32" i="5"/>
  <c r="AU34" i="5" s="1"/>
  <c r="T32" i="5"/>
  <c r="T34" i="5" s="1"/>
  <c r="AV27" i="5"/>
  <c r="AV13" i="5"/>
  <c r="AV11" i="5"/>
  <c r="AV9" i="5"/>
  <c r="AV12" i="5"/>
  <c r="AW4" i="5"/>
  <c r="AV2" i="5"/>
  <c r="AV6" i="5"/>
  <c r="AV30" i="5"/>
  <c r="AV20" i="5"/>
  <c r="AN4" i="5"/>
  <c r="AV7" i="5"/>
  <c r="AV10" i="5"/>
  <c r="AV26" i="5"/>
  <c r="AV8" i="5"/>
  <c r="AV3" i="5"/>
  <c r="L26" i="5"/>
  <c r="L20" i="5"/>
  <c r="L12" i="5"/>
  <c r="L10" i="5"/>
  <c r="L6" i="5"/>
  <c r="L8" i="5"/>
  <c r="L3" i="5"/>
  <c r="L7" i="5"/>
  <c r="L2" i="5"/>
  <c r="L11" i="5"/>
  <c r="L27" i="5"/>
  <c r="L30" i="5"/>
  <c r="D4" i="5"/>
  <c r="L13" i="5"/>
  <c r="L9" i="5"/>
  <c r="AC32" i="5"/>
  <c r="AC34" i="5" s="1"/>
  <c r="C32" i="5"/>
  <c r="C34" i="5" s="1"/>
  <c r="M12" i="5" l="1"/>
  <c r="M7" i="5"/>
  <c r="M11" i="5"/>
  <c r="M27" i="5"/>
  <c r="M13" i="5"/>
  <c r="E4" i="5"/>
  <c r="M30" i="5"/>
  <c r="M8" i="5"/>
  <c r="M26" i="5"/>
  <c r="M10" i="5"/>
  <c r="M9" i="5"/>
  <c r="M2" i="5"/>
  <c r="M20" i="5"/>
  <c r="M6" i="5"/>
  <c r="M3" i="5"/>
  <c r="V12" i="5"/>
  <c r="V8" i="5"/>
  <c r="V26" i="5"/>
  <c r="V20" i="5"/>
  <c r="V3" i="5"/>
  <c r="V7" i="5"/>
  <c r="V27" i="5"/>
  <c r="V13" i="5"/>
  <c r="V6" i="5"/>
  <c r="V2" i="5"/>
  <c r="V9" i="5"/>
  <c r="V30" i="5"/>
  <c r="N4" i="5"/>
  <c r="V11" i="5"/>
  <c r="V10" i="5"/>
  <c r="AV32" i="5"/>
  <c r="AV34" i="5" s="1"/>
  <c r="AM32" i="5"/>
  <c r="AM34" i="5" s="1"/>
  <c r="AW12" i="5"/>
  <c r="AW27" i="5"/>
  <c r="AW11" i="5"/>
  <c r="AW8" i="5"/>
  <c r="AW3" i="5"/>
  <c r="AW6" i="5"/>
  <c r="AW9" i="5"/>
  <c r="AW30" i="5"/>
  <c r="AO4" i="5"/>
  <c r="AW2" i="5"/>
  <c r="AW10" i="5"/>
  <c r="AW26" i="5"/>
  <c r="AW13" i="5"/>
  <c r="AW7" i="5"/>
  <c r="AX4" i="5"/>
  <c r="AW20" i="5"/>
  <c r="D26" i="5"/>
  <c r="D20" i="5"/>
  <c r="D12" i="5"/>
  <c r="D10" i="5"/>
  <c r="D6" i="5"/>
  <c r="D7" i="5"/>
  <c r="D30" i="5"/>
  <c r="D9" i="5"/>
  <c r="D3" i="5"/>
  <c r="D27" i="5"/>
  <c r="D13" i="5"/>
  <c r="D8" i="5"/>
  <c r="D2" i="5"/>
  <c r="D11" i="5"/>
  <c r="L32" i="5"/>
  <c r="L34" i="5" s="1"/>
  <c r="U32" i="5"/>
  <c r="U34" i="5" s="1"/>
  <c r="AN27" i="5"/>
  <c r="AN13" i="5"/>
  <c r="AN11" i="5"/>
  <c r="AN12" i="5"/>
  <c r="AN26" i="5"/>
  <c r="AN10" i="5"/>
  <c r="AN8" i="5"/>
  <c r="AN30" i="5"/>
  <c r="AN7" i="5"/>
  <c r="AN6" i="5"/>
  <c r="AN9" i="5"/>
  <c r="AN3" i="5"/>
  <c r="AN2" i="5"/>
  <c r="AF4" i="5"/>
  <c r="AN20" i="5"/>
  <c r="AD32" i="5"/>
  <c r="AD34" i="5" s="1"/>
  <c r="AE30" i="5"/>
  <c r="AE12" i="5"/>
  <c r="W4" i="5"/>
  <c r="AE8" i="5"/>
  <c r="AE10" i="5"/>
  <c r="AE3" i="5"/>
  <c r="AE26" i="5"/>
  <c r="AE11" i="5"/>
  <c r="AE2" i="5"/>
  <c r="AE13" i="5"/>
  <c r="AE9" i="5"/>
  <c r="AE7" i="5"/>
  <c r="AE20" i="5"/>
  <c r="AE27" i="5"/>
  <c r="AE6" i="5"/>
  <c r="M32" i="5" l="1"/>
  <c r="M34" i="5" s="1"/>
  <c r="AN32" i="5"/>
  <c r="AN34" i="5" s="1"/>
  <c r="AO9" i="5"/>
  <c r="AO7" i="5"/>
  <c r="AO8" i="5"/>
  <c r="AO3" i="5"/>
  <c r="AO26" i="5"/>
  <c r="AO20" i="5"/>
  <c r="AO12" i="5"/>
  <c r="AO30" i="5"/>
  <c r="AO11" i="5"/>
  <c r="AO10" i="5"/>
  <c r="AG4" i="5"/>
  <c r="AO27" i="5"/>
  <c r="AO2" i="5"/>
  <c r="AO6" i="5"/>
  <c r="AO13" i="5"/>
  <c r="V32" i="5"/>
  <c r="V34" i="5" s="1"/>
  <c r="AE32" i="5"/>
  <c r="AE34" i="5" s="1"/>
  <c r="AX26" i="5"/>
  <c r="AX10" i="5"/>
  <c r="AX7" i="5"/>
  <c r="AX11" i="5"/>
  <c r="AX9" i="5"/>
  <c r="AX30" i="5"/>
  <c r="AX27" i="5"/>
  <c r="AX13" i="5"/>
  <c r="AX8" i="5"/>
  <c r="AX6" i="5"/>
  <c r="AX20" i="5"/>
  <c r="AX12" i="5"/>
  <c r="AP4" i="5"/>
  <c r="E30" i="5"/>
  <c r="E13" i="5"/>
  <c r="E7" i="5"/>
  <c r="E20" i="5"/>
  <c r="E9" i="5"/>
  <c r="E26" i="5"/>
  <c r="E12" i="5"/>
  <c r="E8" i="5"/>
  <c r="E27" i="5"/>
  <c r="E10" i="5"/>
  <c r="E6" i="5"/>
  <c r="E2" i="5"/>
  <c r="E11" i="5"/>
  <c r="E3" i="5"/>
  <c r="AW32" i="5"/>
  <c r="AW34" i="5" s="1"/>
  <c r="D32" i="5"/>
  <c r="D34" i="5" s="1"/>
  <c r="AF27" i="5"/>
  <c r="AF13" i="5"/>
  <c r="AF11" i="5"/>
  <c r="AF30" i="5"/>
  <c r="AF9" i="5"/>
  <c r="AF7" i="5"/>
  <c r="AF10" i="5"/>
  <c r="AF3" i="5"/>
  <c r="AF26" i="5"/>
  <c r="AF20" i="5"/>
  <c r="AF12" i="5"/>
  <c r="X4" i="5"/>
  <c r="AF8" i="5"/>
  <c r="AF6" i="5"/>
  <c r="AF2" i="5"/>
  <c r="N30" i="5"/>
  <c r="N13" i="5"/>
  <c r="N8" i="5"/>
  <c r="N9" i="5"/>
  <c r="N7" i="5"/>
  <c r="N27" i="5"/>
  <c r="F4" i="5"/>
  <c r="N6" i="5"/>
  <c r="N11" i="5"/>
  <c r="N3" i="5"/>
  <c r="N20" i="5"/>
  <c r="N12" i="5"/>
  <c r="N26" i="5"/>
  <c r="N2" i="5"/>
  <c r="N10" i="5"/>
  <c r="W30" i="5"/>
  <c r="W13" i="5"/>
  <c r="O4" i="5"/>
  <c r="W9" i="5"/>
  <c r="W7" i="5"/>
  <c r="W11" i="5"/>
  <c r="W27" i="5"/>
  <c r="W26" i="5"/>
  <c r="W10" i="5"/>
  <c r="W12" i="5"/>
  <c r="W3" i="5"/>
  <c r="W2" i="5"/>
  <c r="W20" i="5"/>
  <c r="W6" i="5"/>
  <c r="W8" i="5"/>
  <c r="O30" i="5" l="1"/>
  <c r="O26" i="5"/>
  <c r="G4" i="5"/>
  <c r="O20" i="5"/>
  <c r="O6" i="5"/>
  <c r="O13" i="5"/>
  <c r="O10" i="5"/>
  <c r="O9" i="5"/>
  <c r="O2" i="5"/>
  <c r="O27" i="5"/>
  <c r="O7" i="5"/>
  <c r="O12" i="5"/>
  <c r="O11" i="5"/>
  <c r="O3" i="5"/>
  <c r="O8" i="5"/>
  <c r="AP30" i="5"/>
  <c r="AP26" i="5"/>
  <c r="AP13" i="5"/>
  <c r="AP9" i="5"/>
  <c r="AP6" i="5"/>
  <c r="AP31" i="5"/>
  <c r="AP10" i="5"/>
  <c r="AP28" i="5"/>
  <c r="AH4" i="5"/>
  <c r="AP7" i="5"/>
  <c r="AP20" i="5"/>
  <c r="AP12" i="5"/>
  <c r="AP8" i="5"/>
  <c r="AP11" i="5"/>
  <c r="AP27" i="5"/>
  <c r="AO32" i="5"/>
  <c r="AO34" i="5" s="1"/>
  <c r="F26" i="5"/>
  <c r="F8" i="5"/>
  <c r="F27" i="5"/>
  <c r="F13" i="5"/>
  <c r="F11" i="5"/>
  <c r="F6" i="5"/>
  <c r="F10" i="5"/>
  <c r="F20" i="5"/>
  <c r="F12" i="5"/>
  <c r="F2" i="5"/>
  <c r="F9" i="5"/>
  <c r="F3" i="5"/>
  <c r="F30" i="5"/>
  <c r="F7" i="5"/>
  <c r="AF32" i="5"/>
  <c r="AF34" i="5" s="1"/>
  <c r="AX32" i="5"/>
  <c r="AX34" i="5" s="1"/>
  <c r="AG30" i="5"/>
  <c r="AG26" i="5"/>
  <c r="AG13" i="5"/>
  <c r="AG6" i="5"/>
  <c r="AG20" i="5"/>
  <c r="AG12" i="5"/>
  <c r="AG7" i="5"/>
  <c r="AG11" i="5"/>
  <c r="AG2" i="5"/>
  <c r="AG10" i="5"/>
  <c r="AG27" i="5"/>
  <c r="AG3" i="5"/>
  <c r="AG9" i="5"/>
  <c r="Y4" i="5"/>
  <c r="AG8" i="5"/>
  <c r="N32" i="5"/>
  <c r="N34" i="5" s="1"/>
  <c r="W32" i="5"/>
  <c r="W34" i="5" s="1"/>
  <c r="X27" i="5"/>
  <c r="X13" i="5"/>
  <c r="X11" i="5"/>
  <c r="X30" i="5"/>
  <c r="X26" i="5"/>
  <c r="X6" i="5"/>
  <c r="X7" i="5"/>
  <c r="P4" i="5"/>
  <c r="X10" i="5"/>
  <c r="X9" i="5"/>
  <c r="X20" i="5"/>
  <c r="X12" i="5"/>
  <c r="X8" i="5"/>
  <c r="X3" i="5"/>
  <c r="X2" i="5"/>
  <c r="E32" i="5"/>
  <c r="E34" i="5" s="1"/>
  <c r="X32" i="5" l="1"/>
  <c r="X34" i="5" s="1"/>
  <c r="P27" i="5"/>
  <c r="P13" i="5"/>
  <c r="P11" i="5"/>
  <c r="P30" i="5"/>
  <c r="P12" i="5"/>
  <c r="P8" i="5"/>
  <c r="H4" i="5"/>
  <c r="P26" i="5"/>
  <c r="P3" i="5"/>
  <c r="P10" i="5"/>
  <c r="P6" i="5"/>
  <c r="P7" i="5"/>
  <c r="P20" i="5"/>
  <c r="P9" i="5"/>
  <c r="P2" i="5"/>
  <c r="AH9" i="5"/>
  <c r="AH28" i="5"/>
  <c r="AH26" i="5"/>
  <c r="AH7" i="5"/>
  <c r="Z4" i="5"/>
  <c r="AH31" i="5"/>
  <c r="AH27" i="5"/>
  <c r="AH20" i="5"/>
  <c r="AH12" i="5"/>
  <c r="AH8" i="5"/>
  <c r="AH11" i="5"/>
  <c r="AH13" i="5"/>
  <c r="AH6" i="5"/>
  <c r="AH10" i="5"/>
  <c r="AH30" i="5"/>
  <c r="Y20" i="5"/>
  <c r="Y11" i="5"/>
  <c r="Q4" i="5"/>
  <c r="Y27" i="5"/>
  <c r="Y30" i="5"/>
  <c r="Y9" i="5"/>
  <c r="Y6" i="5"/>
  <c r="Y13" i="5"/>
  <c r="Y12" i="5"/>
  <c r="Y7" i="5"/>
  <c r="Y3" i="5"/>
  <c r="Y2" i="5"/>
  <c r="Y26" i="5"/>
  <c r="Y10" i="5"/>
  <c r="Y8" i="5"/>
  <c r="F32" i="5"/>
  <c r="F34" i="5" s="1"/>
  <c r="O32" i="5"/>
  <c r="O34" i="5" s="1"/>
  <c r="AP32" i="5"/>
  <c r="AP34" i="5" s="1"/>
  <c r="AG32" i="5"/>
  <c r="AG34" i="5" s="1"/>
  <c r="G30" i="5"/>
  <c r="G27" i="5"/>
  <c r="G12" i="5"/>
  <c r="G10" i="5"/>
  <c r="G9" i="5"/>
  <c r="G6" i="5"/>
  <c r="G26" i="5"/>
  <c r="G3" i="5"/>
  <c r="G20" i="5"/>
  <c r="G13" i="5"/>
  <c r="G7" i="5"/>
  <c r="G8" i="5"/>
  <c r="G11" i="5"/>
  <c r="G2" i="5"/>
  <c r="G32" i="5" l="1"/>
  <c r="G34" i="5" s="1"/>
  <c r="H27" i="5"/>
  <c r="H13" i="5"/>
  <c r="H11" i="5"/>
  <c r="H20" i="5"/>
  <c r="H10" i="5"/>
  <c r="H9" i="5"/>
  <c r="H6" i="5"/>
  <c r="H26" i="5"/>
  <c r="H12" i="5"/>
  <c r="H8" i="5"/>
  <c r="H2" i="5"/>
  <c r="H7" i="5"/>
  <c r="H30" i="5"/>
  <c r="H3" i="5"/>
  <c r="Y32" i="5"/>
  <c r="Y34" i="5" s="1"/>
  <c r="AH32" i="5"/>
  <c r="AH34" i="5" s="1"/>
  <c r="Z27" i="5"/>
  <c r="Z20" i="5"/>
  <c r="Z10" i="5"/>
  <c r="Z9" i="5"/>
  <c r="Z13" i="5"/>
  <c r="Z30" i="5"/>
  <c r="Z31" i="5"/>
  <c r="Z28" i="5"/>
  <c r="Z8" i="5"/>
  <c r="Z7" i="5"/>
  <c r="R4" i="5"/>
  <c r="Z26" i="5"/>
  <c r="Z11" i="5"/>
  <c r="Z6" i="5"/>
  <c r="Z12" i="5"/>
  <c r="P32" i="5"/>
  <c r="P34" i="5" s="1"/>
  <c r="Q27" i="5"/>
  <c r="Q20" i="5"/>
  <c r="Q10" i="5"/>
  <c r="Q13" i="5"/>
  <c r="Q12" i="5"/>
  <c r="Q11" i="5"/>
  <c r="Q30" i="5"/>
  <c r="Q9" i="5"/>
  <c r="Q6" i="5"/>
  <c r="Q26" i="5"/>
  <c r="Q3" i="5"/>
  <c r="Q2" i="5"/>
  <c r="Q8" i="5"/>
  <c r="Q7" i="5"/>
  <c r="I4" i="5"/>
  <c r="Q32" i="5" l="1"/>
  <c r="Q34" i="5" s="1"/>
  <c r="I26" i="5"/>
  <c r="I10" i="5"/>
  <c r="I12" i="5"/>
  <c r="I8" i="5"/>
  <c r="I20" i="5"/>
  <c r="I3" i="5"/>
  <c r="I11" i="5"/>
  <c r="I7" i="5"/>
  <c r="I9" i="5"/>
  <c r="I2" i="5"/>
  <c r="I30" i="5"/>
  <c r="I6" i="5"/>
  <c r="I27" i="5"/>
  <c r="I13" i="5"/>
  <c r="H32" i="5"/>
  <c r="H34" i="5" s="1"/>
  <c r="Z32" i="5"/>
  <c r="Z34" i="5" s="1"/>
  <c r="R28" i="5"/>
  <c r="R9" i="5"/>
  <c r="R27" i="5"/>
  <c r="R6" i="5"/>
  <c r="R10" i="5"/>
  <c r="R8" i="5"/>
  <c r="R26" i="5"/>
  <c r="R20" i="5"/>
  <c r="R31" i="5"/>
  <c r="R30" i="5"/>
  <c r="R11" i="5"/>
  <c r="R12" i="5"/>
  <c r="R7" i="5"/>
  <c r="J4" i="5"/>
  <c r="R13" i="5"/>
  <c r="J31" i="5" l="1"/>
  <c r="J11" i="5"/>
  <c r="J9" i="5"/>
  <c r="J26" i="5"/>
  <c r="J20" i="5"/>
  <c r="J30" i="5"/>
  <c r="J28" i="5"/>
  <c r="J27" i="5"/>
  <c r="J13" i="5"/>
  <c r="J6" i="5"/>
  <c r="J10" i="5"/>
  <c r="J8" i="5"/>
  <c r="J7" i="5"/>
  <c r="J12" i="5"/>
  <c r="R32" i="5"/>
  <c r="R34" i="5" s="1"/>
  <c r="I32" i="5"/>
  <c r="I34" i="5" s="1"/>
  <c r="J32" i="5" l="1"/>
  <c r="J34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<sst xmlns="http://schemas.openxmlformats.org/spreadsheetml/2006/main" count="31732" uniqueCount="10032">
  <si>
    <t>Subject</t>
  </si>
  <si>
    <t>Duration</t>
  </si>
  <si>
    <t>Recurrence</t>
  </si>
  <si>
    <t>Location</t>
  </si>
  <si>
    <t>Start</t>
  </si>
  <si>
    <t>Microsoft Teams Meeting</t>
  </si>
  <si>
    <t>Admin</t>
  </si>
  <si>
    <t>Jason</t>
  </si>
  <si>
    <t>admin</t>
  </si>
  <si>
    <t>jason</t>
  </si>
  <si>
    <t>(None)</t>
  </si>
  <si>
    <t>Week</t>
  </si>
  <si>
    <t>TOTAL</t>
  </si>
  <si>
    <t>NOTSET</t>
  </si>
  <si>
    <t>TOTAL - PERSONAL</t>
  </si>
  <si>
    <t>Day</t>
  </si>
  <si>
    <t>Names</t>
  </si>
  <si>
    <t>alison</t>
  </si>
  <si>
    <t>Category</t>
  </si>
  <si>
    <t>Date</t>
  </si>
  <si>
    <t>Client</t>
  </si>
  <si>
    <t>https://us02web.zoom.us/j/8708608670</t>
  </si>
  <si>
    <t>Total HRS</t>
  </si>
  <si>
    <t>ali</t>
  </si>
  <si>
    <t>Janna</t>
  </si>
  <si>
    <t>II</t>
  </si>
  <si>
    <t>test</t>
  </si>
  <si>
    <t>Microsoft Teams Meeting; 15 Rathbone Place; Boardroom</t>
  </si>
  <si>
    <t>valantic contracts</t>
  </si>
  <si>
    <t>SIX</t>
  </si>
  <si>
    <t>CRD</t>
  </si>
  <si>
    <t>Personal</t>
  </si>
  <si>
    <t>valantic press release</t>
  </si>
  <si>
    <t>Cancelled</t>
  </si>
  <si>
    <t>monday cleanup</t>
  </si>
  <si>
    <t>Monday</t>
  </si>
  <si>
    <t>Bernie</t>
  </si>
  <si>
    <t>About Us</t>
  </si>
  <si>
    <t>USe Cases</t>
  </si>
  <si>
    <t>mum+dad</t>
  </si>
  <si>
    <t>capsule cleanup</t>
  </si>
  <si>
    <t>Ali prep for AIR</t>
  </si>
  <si>
    <t>monday report</t>
  </si>
  <si>
    <t>email / admin</t>
  </si>
  <si>
    <t>Fineqia</t>
  </si>
  <si>
    <t>Month</t>
  </si>
  <si>
    <t>End</t>
  </si>
  <si>
    <t>Jon Butler</t>
  </si>
  <si>
    <t>Ali Moosavi</t>
  </si>
  <si>
    <t>Jim Bunting</t>
  </si>
  <si>
    <t>Alison Hood</t>
  </si>
  <si>
    <t>Mike Powell</t>
  </si>
  <si>
    <t>Jane Lemmon</t>
  </si>
  <si>
    <t>jon.butler@veloxfintech.com</t>
  </si>
  <si>
    <t>alison.hood@veloxfintech.com</t>
  </si>
  <si>
    <t>Alison Hood,Jason Yan,Jon Butler</t>
  </si>
  <si>
    <t>Alison Hood,Jon Butler,Jason Yan</t>
  </si>
  <si>
    <t>Mike Powell,Jon Butler</t>
  </si>
  <si>
    <t>JB</t>
  </si>
  <si>
    <t>client followups</t>
  </si>
  <si>
    <t>ali.moosavi@veloxfintech.com</t>
  </si>
  <si>
    <t>MONTH</t>
  </si>
  <si>
    <t>mike.wilkins@veloxfintech.com</t>
  </si>
  <si>
    <t>frances financial</t>
  </si>
  <si>
    <t xml:space="preserve">NY regional FIX event </t>
  </si>
  <si>
    <t>Ali Moosavi,Jon Butler,Neto,Maloney, Mike</t>
  </si>
  <si>
    <t>HOLD FOR ETFS Quarterly update</t>
  </si>
  <si>
    <t>time to be confirmed</t>
  </si>
  <si>
    <t>Phullar, Rash,Jon Butler</t>
  </si>
  <si>
    <t>Phullar, Rash</t>
  </si>
  <si>
    <t>Carnegie - Velox Intro</t>
  </si>
  <si>
    <t>https://veloxfintech.zoom.us/j/89396805594?pwd=cXlCUUZLaGxIb1BnSXkxdDJEM3Bxdz09</t>
  </si>
  <si>
    <t>Mohamed Arkate,Jon Butler,markus.hoc@carnegie.se,Jonas Lindqvist</t>
  </si>
  <si>
    <t>Mohamed Arkate</t>
  </si>
  <si>
    <t>jim/jon</t>
  </si>
  <si>
    <t>Jim Bunting,Jon Butler</t>
  </si>
  <si>
    <t>Velox/RA catch-up</t>
  </si>
  <si>
    <t>tbc</t>
  </si>
  <si>
    <t xml:space="preserve">Hertshten Group/ Velox technical session </t>
  </si>
  <si>
    <t>https://veloxfintech.zoom.us/j/84691026232?pwd=YVJJRkIyeUlGYi9DNnYrcCtnQ1Y0QT09</t>
  </si>
  <si>
    <t>Mohamed Arkate,Jason Yan,bharat.mittal@hertshtengroup.com,Mike Wilkins,elad@hertshtengroup.com,Jon Butler</t>
  </si>
  <si>
    <t>capsule file deployment</t>
  </si>
  <si>
    <t>carnegie prep</t>
  </si>
  <si>
    <t>field day</t>
  </si>
  <si>
    <t>capsule scripts</t>
  </si>
  <si>
    <t>Perpetua Business case update</t>
  </si>
  <si>
    <t>https://veloxfintech.zoom.us/j/89440660111?pwd=NjZJTEJ3L0pZSUZZa0JRWkREeFJKUT09</t>
  </si>
  <si>
    <t>Mohamed Arkate,Jon Butler</t>
  </si>
  <si>
    <t>Hertshten prep call</t>
  </si>
  <si>
    <t>Mohamed Arkate,Mike Wilkins,Jason Yan,Jon Butler</t>
  </si>
  <si>
    <t>upload ali data</t>
  </si>
  <si>
    <t>ali cosmos upload</t>
  </si>
  <si>
    <t>BNP security issues/velox onboarding</t>
  </si>
  <si>
    <t>Slack</t>
  </si>
  <si>
    <t>Jon Butler,Bernie Thurston,Alison Hood</t>
  </si>
  <si>
    <t>hertzen prep</t>
  </si>
  <si>
    <t>campaigns</t>
  </si>
  <si>
    <t>campaign</t>
  </si>
  <si>
    <t>capsule data for cosmos</t>
  </si>
  <si>
    <t>cosmos campaign</t>
  </si>
  <si>
    <t>cosmos camaign</t>
  </si>
  <si>
    <t>followup with carnegie</t>
  </si>
  <si>
    <t>cosmos campaogn</t>
  </si>
  <si>
    <t>capsule script</t>
  </si>
  <si>
    <t>capsule loader - cosmos camoaign</t>
  </si>
  <si>
    <t>fix the loading issue on the docs page</t>
  </si>
  <si>
    <t>monday report / capsule scripts</t>
  </si>
  <si>
    <t>monday report / debug capsule</t>
  </si>
  <si>
    <t>monday report / adding new boards and fixing bugs</t>
  </si>
  <si>
    <t>Sales Proc Support</t>
  </si>
  <si>
    <t>id=4587887220</t>
  </si>
  <si>
    <t>JPM/Velox - Acceleration development platform intro</t>
  </si>
  <si>
    <t>25 Bank Street, London, E14 5JP</t>
  </si>
  <si>
    <t>Mohamed Arkate,Mohamed Arkate,avillapa@neovest.com,Vivek M Nandha,Jon Butler,Vivek Nandha</t>
  </si>
  <si>
    <t>COSMOS chat - platform type discussion</t>
  </si>
  <si>
    <t>https://veloxfintech.zoom.us/j/81010144656?pwd=T3BoQW9iNXlZbkVoNG5NbFB5OHBsdz09&amp;from=addon</t>
  </si>
  <si>
    <t>Ali Moosavi,Jason Yan,Jon Butler</t>
  </si>
  <si>
    <t>angar</t>
  </si>
  <si>
    <t>mike city</t>
  </si>
  <si>
    <t>meeting notes</t>
  </si>
  <si>
    <t>capsule loaders (filtering)</t>
  </si>
  <si>
    <t>Velox &lt;&gt; Management Update</t>
  </si>
  <si>
    <t>Admin,Boardroom,Chloe Barlass,Theresa Loney,Ian Lansdell,Martyn James,Mark Weeks,Jason Yan,Alison Hood,Jon Butler,Boardroom</t>
  </si>
  <si>
    <t>campaign prep</t>
  </si>
  <si>
    <t>Mizuho next steps</t>
  </si>
  <si>
    <t>Alison Hood,Giles Sarton,Jon Butler</t>
  </si>
  <si>
    <t>camaign prep</t>
  </si>
  <si>
    <t xml:space="preserve">cash eq campaign </t>
  </si>
  <si>
    <t>id=4047601030</t>
  </si>
  <si>
    <t>job title parser</t>
  </si>
  <si>
    <t>miked</t>
  </si>
  <si>
    <t>managemet summary report</t>
  </si>
  <si>
    <t>id=4587848876</t>
  </si>
  <si>
    <t>Hertshten/Velox - Follow-up</t>
  </si>
  <si>
    <t>https://veloxfintech.zoom.us/j/86910877759?pwd=c01jT2poWEh5enZ5b2VxOUZ5SWIyQT09</t>
  </si>
  <si>
    <t>Mohamed Arkate,Jon Butler,Jason Yan,Mike Wilkins,bharat.mittal@hertshtengroup.com,Elad Hertshten</t>
  </si>
  <si>
    <t>BNP Security Questions</t>
  </si>
  <si>
    <t>cash eq campaign</t>
  </si>
  <si>
    <t>cosmos upload</t>
  </si>
  <si>
    <t>cosmos campaign data</t>
  </si>
  <si>
    <t xml:space="preserve">Fwd: Jane in New York </t>
  </si>
  <si>
    <t>Jane Lemmon,Ali Moosavi,Jon Butler,Jason Yan,Bernie Thurston,Giles Sarton,Mat Knapman,Janet Richardson,Adam Herrington</t>
  </si>
  <si>
    <t>eq campaign</t>
  </si>
  <si>
    <t>cosmos campaign dta</t>
  </si>
  <si>
    <t>cosmos data</t>
  </si>
  <si>
    <t>Nikolai Varma's Zoom Meeting</t>
  </si>
  <si>
    <t>https://us02web.zoom.us/j/82488283627?pwd=K0l4Y1k4SS9SMkRncXZSUXdGRlFOZz09</t>
  </si>
  <si>
    <t>nikolaivarma@googlemail.com,Firdaus Ibrahim,Jon Butler,Alison Hood,Firdaus I</t>
  </si>
  <si>
    <t>nikolaivarma@googlemail.com</t>
  </si>
  <si>
    <t>620 : train to city</t>
  </si>
  <si>
    <t>9:20 train to Manhasset</t>
  </si>
  <si>
    <t>Nikolai prep</t>
  </si>
  <si>
    <t>Mo</t>
  </si>
  <si>
    <t>valantic  / andrea</t>
  </si>
  <si>
    <t>docs fix</t>
  </si>
  <si>
    <t>Cosmos Cost allocation</t>
  </si>
  <si>
    <t>Hertschten build capacity estimate</t>
  </si>
  <si>
    <t>https://veloxfintech.zoom.us/j/84762591921?pwd=VXVoS3o3Z3o5NTZudTdGZjhZbzBjQT09</t>
  </si>
  <si>
    <t>Mohamed Arkate,Jon Butler,Jason Yan,Mike Wilkins,govind.jajoo</t>
  </si>
  <si>
    <t>hertschen</t>
  </si>
  <si>
    <t>Sales opp support</t>
  </si>
  <si>
    <t>id=4616945651</t>
  </si>
  <si>
    <t>valantic followups</t>
  </si>
  <si>
    <t>id=4593239115</t>
  </si>
  <si>
    <t>website monitoring capability</t>
  </si>
  <si>
    <t>velox docs video improvement</t>
  </si>
  <si>
    <t>newsletter</t>
  </si>
  <si>
    <t>mo / discussion about websites</t>
  </si>
  <si>
    <t>barclays followus</t>
  </si>
  <si>
    <t>barclays followup</t>
  </si>
  <si>
    <t>JB personal</t>
  </si>
  <si>
    <t>https://veloxfintech.zoom.us/j/87167159316?pwd=aDU4NW5FNmhvZEMxYWZFL29SV0JSdz09</t>
  </si>
  <si>
    <t>Mohamed Arkate,Jon Butler,Jason Yan,govind.jajoo</t>
  </si>
  <si>
    <t>tower deck</t>
  </si>
  <si>
    <t>yogesh</t>
  </si>
  <si>
    <t xml:space="preserve">Hertshten/Velox - budget and project delivery discussion </t>
  </si>
  <si>
    <t>https://veloxfintech.zoom.us/j/84519252132?pwd=U0pMd1U5dUR1cE9VYThMT3FnWGc5UT09</t>
  </si>
  <si>
    <t>Mohamed Arkate,bharat.mittal@hertshtengroup.com,Jon Butler,Jason Yan,Elad Hertshten,govind.jajoo</t>
  </si>
  <si>
    <t>tower / investor</t>
  </si>
  <si>
    <t>tower investor</t>
  </si>
  <si>
    <t>change monday report to be driven from webservice</t>
  </si>
  <si>
    <t>00000000A6C727E4353C314FBD93409EF639422707000D702909B30966478A168622D1D80E2400000000010D00000D702909B30966478A168622D1D80E240002534C93790000</t>
  </si>
  <si>
    <t>00000000A6C727E4353C314FBD93409EF639422707000D702909B30966478A168622D1D80E2400000000010D00000D702909B30966478A168622D1D80E2400026533CC590000</t>
  </si>
  <si>
    <t>00000000A6C727E4353C314FBD93409EF639422707000D702909B30966478A168622D1D80E2400000000010D00000D702909B30966478A168622D1D80E240002534CCB3B0000</t>
  </si>
  <si>
    <t>00000000A6C727E4353C314FBD93409EF639422707000D702909B30966478A168622D1D80E2400000000010D00000D702909B30966478A168622D1D80E240002534CCB720000</t>
  </si>
  <si>
    <t>00000000A6C727E4353C314FBD93409EF639422707000D702909B30966478A168622D1D80E2400000000010D00000D702909B30966478A168622D1D80E240002534CCB7E0000</t>
  </si>
  <si>
    <t>00000000A6C727E4353C314FBD93409EF639422707000D702909B30966478A168622D1D80E2400000000010D00000D702909B30966478A168622D1D80E240003187B17BA0000</t>
  </si>
  <si>
    <t>Start Hour</t>
  </si>
  <si>
    <t>Start Minute</t>
  </si>
  <si>
    <t>End Hour</t>
  </si>
  <si>
    <t>End Minute</t>
  </si>
  <si>
    <t>Start Year</t>
  </si>
  <si>
    <t>Status</t>
  </si>
  <si>
    <t>Recipients</t>
  </si>
  <si>
    <t>Organizer</t>
  </si>
  <si>
    <t>Black</t>
  </si>
  <si>
    <t>Blue</t>
  </si>
  <si>
    <t>Dark Blue</t>
  </si>
  <si>
    <t>Dark Green</t>
  </si>
  <si>
    <t>Dark Maroon</t>
  </si>
  <si>
    <t>Dark Olive</t>
  </si>
  <si>
    <t>Dark Orange</t>
  </si>
  <si>
    <t>Dark Peach</t>
  </si>
  <si>
    <t>Dark Purple</t>
  </si>
  <si>
    <t>Dark Red</t>
  </si>
  <si>
    <t>Dark Steel</t>
  </si>
  <si>
    <t>Dark Teal</t>
  </si>
  <si>
    <t>Dark Yellow</t>
  </si>
  <si>
    <t>Green</t>
  </si>
  <si>
    <t>Maroon</t>
  </si>
  <si>
    <t>No color assigned.</t>
  </si>
  <si>
    <t>Olive</t>
  </si>
  <si>
    <t>Orange</t>
  </si>
  <si>
    <t>Peach</t>
  </si>
  <si>
    <t>Purple</t>
  </si>
  <si>
    <t>Red</t>
  </si>
  <si>
    <t>Steel</t>
  </si>
  <si>
    <t>Teal</t>
  </si>
  <si>
    <t>Yellow</t>
  </si>
  <si>
    <t>categoryColorEnum</t>
  </si>
  <si>
    <t>categoryColor</t>
  </si>
  <si>
    <t>Prospectring</t>
  </si>
  <si>
    <t>Marketing Support</t>
  </si>
  <si>
    <t>Marketing</t>
  </si>
  <si>
    <t>Tech Support</t>
  </si>
  <si>
    <t>Recruiting</t>
  </si>
  <si>
    <t>Tools</t>
  </si>
  <si>
    <t>Delete</t>
  </si>
  <si>
    <t>#E7A1A2</t>
  </si>
  <si>
    <t>#F9BA89</t>
  </si>
  <si>
    <t>#F7DD8F</t>
  </si>
  <si>
    <t>#FCFA90</t>
  </si>
  <si>
    <t>#78D168</t>
  </si>
  <si>
    <t>#9FDCC9</t>
  </si>
  <si>
    <t>#C6D2B0</t>
  </si>
  <si>
    <t>#9DB7E8</t>
  </si>
  <si>
    <t>#B5A1E2</t>
  </si>
  <si>
    <t>#daaec2</t>
  </si>
  <si>
    <t>#dad9dc</t>
  </si>
  <si>
    <t>#6b7994</t>
  </si>
  <si>
    <t>Grey</t>
  </si>
  <si>
    <t>#bfbfbf</t>
  </si>
  <si>
    <t>#6f6f6f</t>
  </si>
  <si>
    <t>#4f4f4f</t>
  </si>
  <si>
    <t>#c11a25</t>
  </si>
  <si>
    <t>#e2620d</t>
  </si>
  <si>
    <t>#c79930</t>
  </si>
  <si>
    <t>#b9b300</t>
  </si>
  <si>
    <t>#368f2b</t>
  </si>
  <si>
    <t>#329b7a</t>
  </si>
  <si>
    <t>#778b45</t>
  </si>
  <si>
    <t>#2858a5</t>
  </si>
  <si>
    <t>#5c3fa3</t>
  </si>
  <si>
    <t>#93446b</t>
  </si>
  <si>
    <t>Dark Grey</t>
  </si>
  <si>
    <t>assignment</t>
  </si>
  <si>
    <t>Weekly</t>
  </si>
  <si>
    <t xml:space="preserve">Canceled: Ali vacation </t>
  </si>
  <si>
    <t>Ali Moosavi,Whereabouts calendar,Mohamed Arkate,Alison Hood</t>
  </si>
  <si>
    <t>00000000A6C727E4353C314FBD93409EF639422707000D702909B30966478A168622D1D80E2400000000010D00000D702909B30966478A168622D1D80E240003187B17BC0000</t>
  </si>
  <si>
    <t xml:space="preserve">Canceled: Ali Vacation </t>
  </si>
  <si>
    <t>00000000A6C727E4353C314FBD93409EF639422707000D702909B30966478A168622D1D80E2400000000010D00000D702909B30966478A168622D1D80E240003187B17BB0000</t>
  </si>
  <si>
    <t>00000000A6C727E4353C314FBD93409EF639422707000D702909B30966478A168622D1D80E2400000000010D00000D702909B30966478A168622D1D80E2400026533CC630000</t>
  </si>
  <si>
    <t>00000000A6C727E4353C314FBD93409EF639422707000D702909B30966478A168622D1D80E2400000000010D00000D702909B30966478A168622D1D80E2400026533CC620000</t>
  </si>
  <si>
    <t>00000000A6C727E4353C314FBD93409EF639422707000D702909B30966478A168622D1D80E2400000000010D00000D702909B30966478A168622D1D80E2400026533CC610000</t>
  </si>
  <si>
    <t>00000000A6C727E4353C314FBD93409EF639422707000D702909B30966478A168622D1D80E2400000000010D00000D702909B30966478A168622D1D80E240002534CCB890000</t>
  </si>
  <si>
    <t>00000000A6C727E4353C314FBD93409EF639422707000D702909B30966478A168622D1D80E2400000000010D00000D702909B30966478A168622D1D80E240002534CCB8A0000</t>
  </si>
  <si>
    <t>00000000A6C727E4353C314FBD93409EF639422707000D702909B30966478A168622D1D80E2400000000010D00000D702909B30966478A168622D1D80E240002534CCB8B0000</t>
  </si>
  <si>
    <t>00000000A6C727E4353C314FBD93409EF639422707000D702909B30966478A168622D1D80E2400000000010D00000D702909B30966478A168622D1D80E240002534CCB8C0000</t>
  </si>
  <si>
    <t>00000000A6C727E4353C314FBD93409EF639422707000D702909B30966478A168622D1D80E2400000000010D00000D702909B30966478A168622D1D80E240002534CCB8D0000</t>
  </si>
  <si>
    <t>00000000A6C727E4353C314FBD93409EF639422707000D702909B30966478A168622D1D80E2400000000010D00000D702909B30966478A168622D1D80E240002534CCB8E0000</t>
  </si>
  <si>
    <t>00000000A6C727E4353C314FBD93409EF639422707000D702909B30966478A168622D1D80E2400000000010D00000D702909B30966478A168622D1D80E240002534CCB8F0000</t>
  </si>
  <si>
    <t>00000000A6C727E4353C314FBD93409EF639422707000D702909B30966478A168622D1D80E2400000000010D00000D702909B30966478A168622D1D80E240002534CCB900000</t>
  </si>
  <si>
    <t>00000000A6C727E4353C314FBD93409EF639422707000D702909B30966478A168622D1D80E2400000000010D00000D702909B30966478A168622D1D80E240002534CCB910000</t>
  </si>
  <si>
    <t>00000000A6C727E4353C314FBD93409EF639422707000D702909B30966478A168622D1D80E2400000000010D00000D702909B30966478A168622D1D80E240002534CCB920000</t>
  </si>
  <si>
    <t>00000000A6C727E4353C314FBD93409EF639422707000D702909B30966478A168622D1D80E2400000000010D00000D702909B30966478A168622D1D80E240002534CCB930000</t>
  </si>
  <si>
    <t>00000000A6C727E4353C314FBD93409EF639422707000D702909B30966478A168622D1D80E2400000000010D00000D702909B30966478A168622D1D80E240002534CCB940000</t>
  </si>
  <si>
    <t>00000000A6C727E4353C314FBD93409EF639422707000D702909B30966478A168622D1D80E2400000000010D00000D702909B30966478A168622D1D80E240002534CCB950000</t>
  </si>
  <si>
    <t>00000000A6C727E4353C314FBD93409EF639422707000D702909B30966478A168622D1D80E2400000000010D00000D702909B30966478A168622D1D80E240002534CCB960000</t>
  </si>
  <si>
    <t>00000000A6C727E4353C314FBD93409EF639422707000D702909B30966478A168622D1D80E2400000000010D00000D702909B30966478A168622D1D80E240002534CCB970000</t>
  </si>
  <si>
    <t>00000000A6C727E4353C314FBD93409EF639422707000D702909B30966478A168622D1D80E2400000000010D00000D702909B30966478A168622D1D80E240002534CCB980000</t>
  </si>
  <si>
    <t>00000000A6C727E4353C314FBD93409EF639422707000D702909B30966478A168622D1D80E2400000000010D00000D702909B30966478A168622D1D80E240002534CCB990000</t>
  </si>
  <si>
    <t>00000000A6C727E4353C314FBD93409EF639422707000D702909B30966478A168622D1D80E2400000000010D00000D702909B30966478A168622D1D80E240002534CCB9A0000</t>
  </si>
  <si>
    <t>00000000A6C727E4353C314FBD93409EF639422707000D702909B30966478A168622D1D80E2400000000010D00000D702909B30966478A168622D1D80E240002534CCB9B0000</t>
  </si>
  <si>
    <t>00000000A6C727E4353C314FBD93409EF639422707000D702909B30966478A168622D1D80E2400000000010D00000D702909B30966478A168622D1D80E240002534CCB9C0000</t>
  </si>
  <si>
    <t>00000000A6C727E4353C314FBD93409EF639422707000D702909B30966478A168622D1D80E2400000000010D00000D702909B30966478A168622D1D80E240002534CCB9D0000</t>
  </si>
  <si>
    <t>00000000A6C727E4353C314FBD93409EF639422707000D702909B30966478A168622D1D80E2400000000010D00000D702909B30966478A168622D1D80E240002534CCB9E0000</t>
  </si>
  <si>
    <t>00000000A6C727E4353C314FBD93409EF639422707000D702909B30966478A168622D1D80E2400000000010D00000D702909B30966478A168622D1D80E240002534CCB9F0000</t>
  </si>
  <si>
    <t>00000000A6C727E4353C314FBD93409EF639422707000D702909B30966478A168622D1D80E2400000000010D00000D702909B30966478A168622D1D80E240002534CCBA00000</t>
  </si>
  <si>
    <t>00000000A6C727E4353C314FBD93409EF639422707000D702909B30966478A168622D1D80E2400000000010D00000D702909B30966478A168622D1D80E240002534CCBA10000</t>
  </si>
  <si>
    <t>00000000A6C727E4353C314FBD93409EF639422707000D702909B30966478A168622D1D80E2400000000010D00000D702909B30966478A168622D1D80E240002534CCBA20000</t>
  </si>
  <si>
    <t>00000000A6C727E4353C314FBD93409EF639422707000D702909B30966478A168622D1D80E2400000000010D00000D702909B30966478A168622D1D80E240002534CCBA30000</t>
  </si>
  <si>
    <t>00000000A6C727E4353C314FBD93409EF639422707000D702909B30966478A168622D1D80E2400000000010D00000D702909B30966478A168622D1D80E240002534CCBA40000</t>
  </si>
  <si>
    <t>00000000A6C727E4353C314FBD93409EF639422707000D702909B30966478A168622D1D80E2400000000010D00000D702909B30966478A168622D1D80E240002534CCBA50000</t>
  </si>
  <si>
    <t>00000000A6C727E4353C314FBD93409EF639422707000D702909B30966478A168622D1D80E2400000000010D00000D702909B30966478A168622D1D80E240002534CCBA60000</t>
  </si>
  <si>
    <t>00000000A6C727E4353C314FBD93409EF639422707000D702909B30966478A168622D1D80E2400000000010D00000D702909B30966478A168622D1D80E240002534CCBA70000</t>
  </si>
  <si>
    <t>00000000A6C727E4353C314FBD93409EF639422707000D702909B30966478A168622D1D80E2400000000010D00000D702909B30966478A168622D1D80E240002534CCBA80000</t>
  </si>
  <si>
    <t>00000000A6C727E4353C314FBD93409EF639422707000D702909B30966478A168622D1D80E2400000000010D00000D702909B30966478A168622D1D80E240002534CCBA90000</t>
  </si>
  <si>
    <t>00000000A6C727E4353C314FBD93409EF639422707000D702909B30966478A168622D1D80E2400000000010D00000D702909B30966478A168622D1D80E240002534CCBAA0000</t>
  </si>
  <si>
    <t>00000000A6C727E4353C314FBD93409EF639422707000D702909B30966478A168622D1D80E2400000000010D00000D702909B30966478A168622D1D80E240002534CCBAB0000</t>
  </si>
  <si>
    <t>00000000A6C727E4353C314FBD93409EF639422707000D702909B30966478A168622D1D80E2400000000010D00000D702909B30966478A168622D1D80E240002534CCBAC0000</t>
  </si>
  <si>
    <t>Mohamed Arkate,avillapa@neovest.com,Vivek M Nandha,Jon Butler,Vivek Nandha</t>
  </si>
  <si>
    <t>00000000A6C727E4353C314FBD93409EF639422707000D702909B30966478A168622D1D80E2400000000010D00000D702909B30966478A168622D1D80E240002534CCBAD0000</t>
  </si>
  <si>
    <t>00000000A6C727E4353C314FBD93409EF639422707000D702909B30966478A168622D1D80E2400000000010D00000D702909B30966478A168622D1D80E240002534CCBAE0000</t>
  </si>
  <si>
    <t>00000000A6C727E4353C314FBD93409EF639422707000D702909B30966478A168622D1D80E2400000000010D00000D702909B30966478A168622D1D80E240002534CCBAF0000</t>
  </si>
  <si>
    <t>00000000A6C727E4353C314FBD93409EF639422707000D702909B30966478A168622D1D80E2400000000010D00000D702909B30966478A168622D1D80E240002534CCBB00000</t>
  </si>
  <si>
    <t>00000000A6C727E4353C314FBD93409EF639422707000D702909B30966478A168622D1D80E2400000000010D00000D702909B30966478A168622D1D80E240002534CCBB10000</t>
  </si>
  <si>
    <t>00000000A6C727E4353C314FBD93409EF639422707000D702909B30966478A168622D1D80E2400000000010D00000D702909B30966478A168622D1D80E240002534CCBB20000</t>
  </si>
  <si>
    <t>00000000A6C727E4353C314FBD93409EF639422707000D702909B30966478A168622D1D80E2400000000010D00000D702909B30966478A168622D1D80E240002534CCBB30000</t>
  </si>
  <si>
    <t>00000000A6C727E4353C314FBD93409EF639422707000D702909B30966478A168622D1D80E2400000000010D00000D702909B30966478A168622D1D80E240002534CCBB50000</t>
  </si>
  <si>
    <t>00000000A6C727E4353C314FBD93409EF639422707000D702909B30966478A168622D1D80E2400000000010D00000D702909B30966478A168622D1D80E240002534CCBB60000</t>
  </si>
  <si>
    <t>00000000A6C727E4353C314FBD93409EF639422707000D702909B30966478A168622D1D80E2400000000010D00000D702909B30966478A168622D1D80E240002534CCBB70000</t>
  </si>
  <si>
    <t>00000000A6C727E4353C314FBD93409EF639422707000D702909B30966478A168622D1D80E2400000000010D00000D702909B30966478A168622D1D80E240002534CCBB80000</t>
  </si>
  <si>
    <t>00000000A6C727E4353C314FBD93409EF639422707000D702909B30966478A168622D1D80E2400000000010D00000D702909B30966478A168622D1D80E240002534CCBB90000</t>
  </si>
  <si>
    <t>00000000A6C727E4353C314FBD93409EF639422707000D702909B30966478A168622D1D80E2400000000010D00000D702909B30966478A168622D1D80E240002534CCBBA0000</t>
  </si>
  <si>
    <t>00000000A6C727E4353C314FBD93409EF639422707000D702909B30966478A168622D1D80E2400000000010D00000D702909B30966478A168622D1D80E240002534CCBBB0000</t>
  </si>
  <si>
    <t>00000000A6C727E4353C314FBD93409EF639422707000D702909B30966478A168622D1D80E2400000000010D00000D702909B30966478A168622D1D80E240002534CCBBC0000</t>
  </si>
  <si>
    <t>00000000A6C727E4353C314FBD93409EF639422707000D702909B30966478A168622D1D80E2400000000010D00000D702909B30966478A168622D1D80E240002534CCBBD0000</t>
  </si>
  <si>
    <t>00000000A6C727E4353C314FBD93409EF639422707000D702909B30966478A168622D1D80E2400000000010D00000D702909B30966478A168622D1D80E240002534CCBBE0000</t>
  </si>
  <si>
    <t>00000000A6C727E4353C314FBD93409EF639422707000D702909B30966478A168622D1D80E2400000000010D00000D702909B30966478A168622D1D80E240002534CCBBF0000</t>
  </si>
  <si>
    <t>00000000A6C727E4353C314FBD93409EF639422707000D702909B30966478A168622D1D80E2400000000010D00000D702909B30966478A168622D1D80E240002534CCBC00000</t>
  </si>
  <si>
    <t>00000000A6C727E4353C314FBD93409EF639422707000D702909B30966478A168622D1D80E2400000000010D00000D702909B30966478A168622D1D80E240002534CCBC10000</t>
  </si>
  <si>
    <t>00000000A6C727E4353C314FBD93409EF639422707000D702909B30966478A168622D1D80E2400000000010D00000D702909B30966478A168622D1D80E240002534CCBC20000</t>
  </si>
  <si>
    <t>00000000A6C727E4353C314FBD93409EF639422707000D702909B30966478A168622D1D80E2400000000010D00000D702909B30966478A168622D1D80E240002534CCBC30000</t>
  </si>
  <si>
    <t>00000000A6C727E4353C314FBD93409EF639422707000D702909B30966478A168622D1D80E2400000000010D00000D702909B30966478A168622D1D80E240002534CCBC40000</t>
  </si>
  <si>
    <t>00000000A6C727E4353C314FBD93409EF639422707000D702909B30966478A168622D1D80E2400000000010D00000D702909B30966478A168622D1D80E240002534CCBC50000</t>
  </si>
  <si>
    <t>00000000A6C727E4353C314FBD93409EF639422707000D702909B30966478A168622D1D80E2400000000010D00000D702909B30966478A168622D1D80E240002534CCBC60000</t>
  </si>
  <si>
    <t>00000000A6C727E4353C314FBD93409EF639422707000D702909B30966478A168622D1D80E2400000000010D00000D702909B30966478A168622D1D80E240002534CCBC70000</t>
  </si>
  <si>
    <t>00000000A6C727E4353C314FBD93409EF639422707000D702909B30966478A168622D1D80E2400000000010D00000D702909B30966478A168622D1D80E240002534CCBC80000</t>
  </si>
  <si>
    <t>00000000A6C727E4353C314FBD93409EF639422707000D702909B30966478A168622D1D80E2400000000010D00000D702909B30966478A168622D1D80E2400031BFD1DA60000</t>
  </si>
  <si>
    <t>00000000A6C727E4353C314FBD93409EF639422707000D702909B30966478A168622D1D80E2400000000010D00000D702909B30966478A168622D1D80E240002534CCBC90000</t>
  </si>
  <si>
    <t>00000000A6C727E4353C314FBD93409EF639422707000D702909B30966478A168622D1D80E2400000000010D00000D702909B30966478A168622D1D80E240002534CCBCA0000</t>
  </si>
  <si>
    <t>00000000A6C727E4353C314FBD93409EF639422707000D702909B30966478A168622D1D80E2400000000010D00000D702909B30966478A168622D1D80E240002534CCBCB0000</t>
  </si>
  <si>
    <t>00000000A6C727E4353C314FBD93409EF639422707000D702909B30966478A168622D1D80E2400000000010D00000D702909B30966478A168622D1D80E240002534CCBCC0000</t>
  </si>
  <si>
    <t>00000000A6C727E4353C314FBD93409EF639422707000D702909B30966478A168622D1D80E2400000000010D00000D702909B30966478A168622D1D80E240002534CCBCD0000</t>
  </si>
  <si>
    <t>00000000A6C727E4353C314FBD93409EF639422707000D702909B30966478A168622D1D80E2400000000010D00000D702909B30966478A168622D1D80E240002534CCBCE0000</t>
  </si>
  <si>
    <t>00000000A6C727E4353C314FBD93409EF639422707000D702909B30966478A168622D1D80E2400000000010D00000D702909B30966478A168622D1D80E240002534CCBCF0000</t>
  </si>
  <si>
    <t>00000000A6C727E4353C314FBD93409EF639422707000D702909B30966478A168622D1D80E2400000000010D00000D702909B30966478A168622D1D80E240002534CCBD00000</t>
  </si>
  <si>
    <t>00000000A6C727E4353C314FBD93409EF639422707000D702909B30966478A168622D1D80E2400000000010D00000D702909B30966478A168622D1D80E240002534CCBD10000</t>
  </si>
  <si>
    <t>00000000A6C727E4353C314FBD93409EF639422707000D702909B30966478A168622D1D80E2400000000010D00000D702909B30966478A168622D1D80E240002534CCBD20000</t>
  </si>
  <si>
    <t>00000000A6C727E4353C314FBD93409EF639422707000D702909B30966478A168622D1D80E2400000000010D00000D702909B30966478A168622D1D80E240002534CCBD30000</t>
  </si>
  <si>
    <t>00000000A6C727E4353C314FBD93409EF639422707000D702909B30966478A168622D1D80E2400000000010D00000D702909B30966478A168622D1D80E2400031BFD1DA80000</t>
  </si>
  <si>
    <t>00000000A6C727E4353C314FBD93409EF639422707000D702909B30966478A168622D1D80E2400000000010D00000D702909B30966478A168622D1D80E240002534CCBD40000</t>
  </si>
  <si>
    <t>00000000A6C727E4353C314FBD93409EF639422707000D702909B30966478A168622D1D80E2400000000010D00000D702909B30966478A168622D1D80E240002534CCBD50000</t>
  </si>
  <si>
    <t>00000000A6C727E4353C314FBD93409EF639422707000D702909B30966478A168622D1D80E2400000000010D00000D702909B30966478A168622D1D80E240002534CCBD60000</t>
  </si>
  <si>
    <t>00000000A6C727E4353C314FBD93409EF639422707000D702909B30966478A168622D1D80E2400000000010D00000D702909B30966478A168622D1D80E240002534CCBD70000</t>
  </si>
  <si>
    <t>00000000A6C727E4353C314FBD93409EF639422707000D702909B30966478A168622D1D80E2400000000010D00000D702909B30966478A168622D1D80E240002534CCBD80000</t>
  </si>
  <si>
    <t>00000000A6C727E4353C314FBD93409EF639422707000D702909B30966478A168622D1D80E2400000000010D00000D702909B30966478A168622D1D80E240002534CCBD90000</t>
  </si>
  <si>
    <t>00000000A6C727E4353C314FBD93409EF639422707000D702909B30966478A168622D1D80E2400000000010D00000D702909B30966478A168622D1D80E240002534CCBDA0000</t>
  </si>
  <si>
    <t>00000000A6C727E4353C314FBD93409EF639422707000D702909B30966478A168622D1D80E2400000000010D00000D702909B30966478A168622D1D80E240002534CCBDB0000</t>
  </si>
  <si>
    <t>00000000A6C727E4353C314FBD93409EF639422707000D702909B30966478A168622D1D80E2400000000010D00000D702909B30966478A168622D1D80E2400031BFD1DA90000</t>
  </si>
  <si>
    <t>00000000A6C727E4353C314FBD93409EF639422707000D702909B30966478A168622D1D80E2400000000010D00000D702909B30966478A168622D1D80E2400031BFD1DAA0000</t>
  </si>
  <si>
    <t>00000000A6C727E4353C314FBD93409EF639422707000D702909B30966478A168622D1D80E2400000000010D00000D702909B30966478A168622D1D80E240002534CCBDC0000</t>
  </si>
  <si>
    <t>00000000A6C727E4353C314FBD93409EF639422707000D702909B30966478A168622D1D80E2400000000010D00000D702909B30966478A168622D1D80E240002534CCBDD0000</t>
  </si>
  <si>
    <t>00000000A6C727E4353C314FBD93409EF639422707000D702909B30966478A168622D1D80E2400000000010D00000D702909B30966478A168622D1D80E240002534CCBDF0000</t>
  </si>
  <si>
    <t>00000000A6C727E4353C314FBD93409EF639422707000D702909B30966478A168622D1D80E2400000000010D00000D702909B30966478A168622D1D80E240002534CCBE00000</t>
  </si>
  <si>
    <t>00000000A6C727E4353C314FBD93409EF639422707000D702909B30966478A168622D1D80E2400000000010D00000D702909B30966478A168622D1D80E240002534CCBE10000</t>
  </si>
  <si>
    <t>00000000A6C727E4353C314FBD93409EF639422707000D702909B30966478A168622D1D80E2400000000010D00000D702909B30966478A168622D1D80E240002534CCBE20000</t>
  </si>
  <si>
    <t>00000000A6C727E4353C314FBD93409EF639422707000D702909B30966478A168622D1D80E2400000000010D00000D702909B30966478A168622D1D80E240002534CCBE30000</t>
  </si>
  <si>
    <t>00000000A6C727E4353C314FBD93409EF639422707000D702909B30966478A168622D1D80E2400000000010D00000D702909B30966478A168622D1D80E240002534CCBE40000</t>
  </si>
  <si>
    <t>00000000A6C727E4353C314FBD93409EF639422707000D702909B30966478A168622D1D80E2400000000010D00000D702909B30966478A168622D1D80E240002534CCBE50000</t>
  </si>
  <si>
    <t>00000000A6C727E4353C314FBD93409EF639422707000D702909B30966478A168622D1D80E2400000000010D00000D702909B30966478A168622D1D80E240002534CCBE60000</t>
  </si>
  <si>
    <t>00000000A6C727E4353C314FBD93409EF639422707000D702909B30966478A168622D1D80E2400000000010D00000D702909B30966478A168622D1D80E240002534CCBE70000</t>
  </si>
  <si>
    <t>00000000A6C727E4353C314FBD93409EF639422707000D702909B30966478A168622D1D80E2400000000010D00000D702909B30966478A168622D1D80E240002534CCBE80000</t>
  </si>
  <si>
    <t>00000000A6C727E4353C314FBD93409EF639422707000D702909B30966478A168622D1D80E2400000000010D00000D702909B30966478A168622D1D80E2400031ED2FC4C0000</t>
  </si>
  <si>
    <t>00000000A6C727E4353C314FBD93409EF639422707000D702909B30966478A168622D1D80E2400000000010D00000D702909B30966478A168622D1D80E240002534CCBE90000</t>
  </si>
  <si>
    <t>00000000A6C727E4353C314FBD93409EF639422707000D702909B30966478A168622D1D80E2400000000010D00000D702909B30966478A168622D1D80E240002534CCBEA0000</t>
  </si>
  <si>
    <t>00000000A6C727E4353C314FBD93409EF639422707000D702909B30966478A168622D1D80E2400000000010D00000D702909B30966478A168622D1D80E240002534CCBEB0000</t>
  </si>
  <si>
    <t>00000000A6C727E4353C314FBD93409EF639422707000D702909B30966478A168622D1D80E2400000000010D00000D702909B30966478A168622D1D80E240002534CCBEC0000</t>
  </si>
  <si>
    <t>00000000A6C727E4353C314FBD93409EF639422707000D702909B30966478A168622D1D80E2400000000010D00000D702909B30966478A168622D1D80E240002534CCBED0000</t>
  </si>
  <si>
    <t>change monday report</t>
  </si>
  <si>
    <t>00000000A6C727E4353C314FBD93409EF639422707000D702909B30966478A168622D1D80E2400000000010D00000D702909B30966478A168622D1D80E240002534CCBEE0000</t>
  </si>
  <si>
    <t>calendar viewer / time tracker</t>
  </si>
  <si>
    <t>00000000A6C727E4353C314FBD93409EF639422707000D702909B30966478A168622D1D80E2400000000010D00000D702909B30966478A168622D1D80E240002534CCBEF0000</t>
  </si>
  <si>
    <t>hertschten</t>
  </si>
  <si>
    <t>00000000A6C727E4353C314FBD93409EF639422707000D702909B30966478A168622D1D80E2400000000010D00000D702909B30966478A168622D1D80E240002534CCBF00000</t>
  </si>
  <si>
    <t>00000000A6C727E4353C314FBD93409EF639422707000D702909B30966478A168622D1D80E2400000000010D00000D702909B30966478A168622D1D80E240002534CCBF10000</t>
  </si>
  <si>
    <t>00000000A6C727E4353C314FBD93409EF639422707000D702909B30966478A168622D1D80E2400000000010D00000D702909B30966478A168622D1D80E2400031F63332D0000</t>
  </si>
  <si>
    <t>00000000A6C727E4353C314FBD93409EF639422707000D702909B30966478A168622D1D80E2400000000010D00000D702909B30966478A168622D1D80E240002534CCBF20000</t>
  </si>
  <si>
    <t>time tracker tool</t>
  </si>
  <si>
    <t>00000000A6C727E4353C314FBD93409EF639422707000D702909B30966478A168622D1D80E2400000000010D00000D702909B30966478A168622D1D80E240002534CCBF30000</t>
  </si>
  <si>
    <t>hertschten scale</t>
  </si>
  <si>
    <t>00000000A6C727E4353C314FBD93409EF639422707000D702909B30966478A168622D1D80E2400000000010D00000D702909B30966478A168622D1D80E240002534CCBF40000</t>
  </si>
  <si>
    <t>00000000A6C727E4353C314FBD93409EF639422707000D702909B30966478A168622D1D80E2400000000010D00000D702909B30966478A168622D1D80E240002534CCBF50000</t>
  </si>
  <si>
    <t>00000000A6C727E4353C314FBD93409EF639422707000D702909B30966478A168622D1D80E2400000000010D00000D702909B30966478A168622D1D80E240002534CCBF60000</t>
  </si>
  <si>
    <t>00000000A6C727E4353C314FBD93409EF639422707000D702909B30966478A168622D1D80E2400000000010D00000D702909B30966478A168622D1D80E240002534CCBF70000</t>
  </si>
  <si>
    <t>00000000A6C727E4353C314FBD93409EF639422707000D702909B30966478A168622D1D80E2400000000010D00000D702909B30966478A168622D1D80E240002534CCBF80000</t>
  </si>
  <si>
    <t>00000000A6C727E4353C314FBD93409EF639422707000D702909B30966478A168622D1D80E2400000000010D00000D702909B30966478A168622D1D80E240002534CCBF90000</t>
  </si>
  <si>
    <t>hertshten group scalability</t>
  </si>
  <si>
    <t>Jon Butler,Mohamed Arkate,govind.jajoo</t>
  </si>
  <si>
    <t>00000000A6C727E4353C314FBD93409EF639422707000D702909B30966478A168622D1D80E2400000000010D00000D702909B30966478A168622D1D80E240002534CCBFA0000</t>
  </si>
  <si>
    <t>hertshcten prep</t>
  </si>
  <si>
    <t>00000000A6C727E4353C314FBD93409EF639422707000D702909B30966478A168622D1D80E2400000000010D00000D702909B30966478A168622D1D80E240002534CCBFB0000</t>
  </si>
  <si>
    <t>hertschen prep</t>
  </si>
  <si>
    <t>00000000A6C727E4353C314FBD93409EF639422707000D702909B30966478A168622D1D80E2400000000010D00000D702909B30966478A168622D1D80E240002534CCBFC0000</t>
  </si>
  <si>
    <t>hertshctem prep</t>
  </si>
  <si>
    <t>00000000A6C727E4353C314FBD93409EF639422707000D702909B30966478A168622D1D80E2400000000010D00000D702909B30966478A168622D1D80E240002534CCBFD0000</t>
  </si>
  <si>
    <t>ICE &amp; Velox Fintech</t>
  </si>
  <si>
    <t>Julia Tuck</t>
  </si>
  <si>
    <t>00000000A6C727E4353C314FBD93409EF639422707000D702909B30966478A168622D1D80E2400000000010D00000D702909B30966478A168622D1D80E240002534CCBFE0000</t>
  </si>
  <si>
    <t>UPDATE_ITEM_LOCATION</t>
  </si>
  <si>
    <t>UPDATE_ITEM_CATEGORY</t>
  </si>
  <si>
    <t>UPDATE_ITEM_ID</t>
  </si>
  <si>
    <t>CURRENT_ITEM_CATEGORY</t>
  </si>
  <si>
    <t>CURRENT_ITEM_LOCATION</t>
  </si>
  <si>
    <t>RawData</t>
  </si>
  <si>
    <t>Categories</t>
  </si>
  <si>
    <t>Item ID</t>
  </si>
  <si>
    <t>New Category</t>
  </si>
  <si>
    <t>New Monday ID</t>
  </si>
  <si>
    <t>id:2919076903</t>
  </si>
  <si>
    <t>id:2895583867</t>
  </si>
  <si>
    <t>id:</t>
  </si>
  <si>
    <t>Weekly touch base</t>
  </si>
  <si>
    <t>Alison Hood,Jon Butler,Nikolai Varma,Firdaus Ibrahim,Firdaus I</t>
  </si>
  <si>
    <t>00000000A6C727E4353C314FBD93409EF639422707000D702909B30966478A168622D1D80E2400000000010D00000D702909B30966478A168622D1D80E240002534CCBFF0000</t>
  </si>
  <si>
    <t>Velox Introduction</t>
  </si>
  <si>
    <t>Frederic Liegl,Nikolai Varma,Jon Butler,Brendan Cook,Alison Hood,Firdaus Ibrahim</t>
  </si>
  <si>
    <t>Frederic Liegl</t>
  </si>
  <si>
    <t>00000000A6C727E4353C314FBD93409EF639422707000D702909B30966478A168622D1D80E2400000000010D00000D702909B30966478A168622D1D80E240002534CCC000000</t>
  </si>
  <si>
    <t>time tracker app</t>
  </si>
  <si>
    <t>00000000A6C727E4353C314FBD93409EF639422707000D702909B30966478A168622D1D80E2400000000010D00000D702909B30966478A168622D1D80E240002534CCC020000</t>
  </si>
  <si>
    <t>hertchten regroup</t>
  </si>
  <si>
    <t>00000000A6C727E4353C314FBD93409EF639422707000D702909B30966478A168622D1D80E2400000000010D00000D702909B30966478A168622D1D80E240002534CCC030000</t>
  </si>
  <si>
    <t>time tracker</t>
  </si>
  <si>
    <t>00000000A6C727E4353C314FBD93409EF639422707000D702909B30966478A168622D1D80E2400000000010D00000D702909B30966478A168622D1D80E240002534CCC040000</t>
  </si>
  <si>
    <t>00000000A6C727E4353C314FBD93409EF639422707000D702909B30966478A168622D1D80E2400000000010D00000D702909B30966478A168622D1D80E240002534CCC050000</t>
  </si>
  <si>
    <t>Velox &lt;&gt; Deep Intro</t>
  </si>
  <si>
    <t>Michael Rude,Jon Butler,Kyle Tuskey,Mark Cukier,Karl Feng</t>
  </si>
  <si>
    <t>Michael Rude</t>
  </si>
  <si>
    <t>00000000A6C727E4353C314FBD93409EF639422707000D702909B30966478A168622D1D80E2400000000010D00000D702909B30966478A168622D1D80E240002534CCC060000</t>
  </si>
  <si>
    <t>00000000A6C727E4353C314FBD93409EF639422707000D702909B30966478A168622D1D80E2400000000010D00000D702909B30966478A168622D1D80E240002534CCC070000</t>
  </si>
  <si>
    <t>tower investor deck</t>
  </si>
  <si>
    <t>00000000A6C727E4353C314FBD93409EF639422707000D702909B30966478A168622D1D80E2400000000010D00000D702909B30966478A168622D1D80E240002534CCC080000</t>
  </si>
  <si>
    <t>admin / laptop reinstall</t>
  </si>
  <si>
    <t>id=3044046195</t>
  </si>
  <si>
    <t>00000000A6C727E4353C314FBD93409EF639422707000D702909B30966478A168622D1D80E2400000000010D00000D702909B30966478A168622D1D80E240001FCBF44320000</t>
  </si>
  <si>
    <t>PPTX app</t>
  </si>
  <si>
    <t>id=2835319124</t>
  </si>
  <si>
    <t>00000000A6C727E4353C314FBD93409EF639422707000D702909B30966478A168622D1D80E2400000000010D00000D702909B30966478A168622D1D80E240001FCBF44310000</t>
  </si>
  <si>
    <t>PPTX App</t>
  </si>
  <si>
    <t>00000000A6C727E4353C314FBD93409EF639422707000D702909B30966478A168622D1D80E2400000000010D00000D702909B30966478A168622D1D80E240001FCBF44300000</t>
  </si>
  <si>
    <t>PPTXApp</t>
  </si>
  <si>
    <t>00000000A6C727E4353C314FBD93409EF639422707000D702909B30966478A168622D1D80E2400000000010D00000D702909B30966478A168622D1D80E240001FCBF442F0000</t>
  </si>
  <si>
    <t>00000000A6C727E4353C314FBD93409EF639422707000D702909B30966478A168622D1D80E2400000000010D00000D702909B30966478A168622D1D80E240001FCBF442E0000</t>
  </si>
  <si>
    <t>00000000A6C727E4353C314FBD93409EF639422707000D702909B30966478A168622D1D80E2400000000010D00000D702909B30966478A168622D1D80E240001FCBF442D0000</t>
  </si>
  <si>
    <t>Ali</t>
  </si>
  <si>
    <t>id=2192778972</t>
  </si>
  <si>
    <t>00000000A6C727E4353C314FBD93409EF639422707000D702909B30966478A168622D1D80E2400000000010D00000D702909B30966478A168622D1D80E240001FCBF442C0000</t>
  </si>
  <si>
    <t>id=1521440445</t>
  </si>
  <si>
    <t>00000000A6C727E4353C314FBD93409EF639422707000D702909B30966478A168622D1D80E2400000000010D00000D702909B30966478A168622D1D80E240001FCBF442B0000</t>
  </si>
  <si>
    <t>00000000A6C727E4353C314FBD93409EF639422707000D702909B30966478A168622D1D80E2400000000010D00000D702909B30966478A168622D1D80E240001FCBF442A0000</t>
  </si>
  <si>
    <t>mike overun</t>
  </si>
  <si>
    <t>id=3044487262</t>
  </si>
  <si>
    <t>00000000A6C727E4353C314FBD93409EF639422707000D702909B30966478A168622D1D80E2400000000010D00000D702909B30966478A168622D1D80E240001FCBF44290000</t>
  </si>
  <si>
    <t xml:space="preserve">CA - IB - EFX - RFP - brief. (internal) </t>
  </si>
  <si>
    <t>https://veloxfintech.zoom.us/j/88125354775?pwd=Sm9ld1IrN2xFMmFEVUd1TVN0Qm9mUT09&amp;from=addon; id=2967265419</t>
  </si>
  <si>
    <t>Ross Lucas,Jon Butler,Alison Hood,Jason Yan,govind.jajoo</t>
  </si>
  <si>
    <t>Ross Lucas</t>
  </si>
  <si>
    <t>00000000A6C727E4353C314FBD93409EF639422707000D702909B30966478A168622D1D80E2400000000010D00000D702909B30966478A168622D1D80E24000250D3D5DA0000</t>
  </si>
  <si>
    <t>CAIB wash</t>
  </si>
  <si>
    <t>id=2967265419</t>
  </si>
  <si>
    <t>00000000A6C727E4353C314FBD93409EF639422707000D702909B30966478A168622D1D80E2400000000010D00000D702909B30966478A168622D1D80E240001FCBF44280000</t>
  </si>
  <si>
    <t xml:space="preserve">CA_ IB - RFP planning </t>
  </si>
  <si>
    <t>https://veloxfintech.zoom.us/j/84411432742?pwd=NWF4cDZjRFk5YmZqbVlPYmdQWW5kdz09&amp;from=addon; id=2967265419</t>
  </si>
  <si>
    <t>Ross Lucas,Alison Hood,Jon Butler</t>
  </si>
  <si>
    <t>00000000A6C727E4353C314FBD93409EF639422707000D702909B30966478A168622D1D80E2400000000010D00000D702909B30966478A168622D1D80E24000250D3D5D90000</t>
  </si>
  <si>
    <t>Velox - Fineqia</t>
  </si>
  <si>
    <t>https://veloxfintech.zoom.us/j/84431525166?pwd=NlFyN0NMQ0lEUXVMdnU1MzFyeU0yQT09&amp;from=addon</t>
  </si>
  <si>
    <t>Ross Lucas,Nij Saha FINEQIA,Jon Butler,Cheryl Kong FINEQIA,Michael Coletta FINEQIA</t>
  </si>
  <si>
    <t>00000000A6C727E4353C314FBD93409EF639422707000D702909B30966478A168622D1D80E2400000000010D00000D702909B30966478A168622D1D80E240001FCBF44270000</t>
  </si>
  <si>
    <t>PPT cleanup</t>
  </si>
  <si>
    <t>00000000A6C727E4353C314FBD93409EF639422707000D702909B30966478A168622D1D80E2400000000010D00000D702909B30966478A168622D1D80E240001FCBF44260000</t>
  </si>
  <si>
    <t>00000000A6C727E4353C314FBD93409EF639422707000D702909B30966478A168622D1D80E2400000000010D00000D702909B30966478A168622D1D80E24000250D3D5D70000</t>
  </si>
  <si>
    <t>slide cleanup</t>
  </si>
  <si>
    <t>00000000A6C727E4353C314FBD93409EF639422707000D702909B30966478A168622D1D80E2400000000010D00000D702909B30966478A168622D1D80E240001FCBF44250000</t>
  </si>
  <si>
    <t>admin todos monday</t>
  </si>
  <si>
    <t>id=1506701839</t>
  </si>
  <si>
    <t>00000000A6C727E4353C314FBD93409EF639422707000D702909B30966478A168622D1D80E2400000000010D00000D702909B30966478A168622D1D80E24000250D3D5D60000</t>
  </si>
  <si>
    <t>prep for finsemble</t>
  </si>
  <si>
    <t>id=2982883300</t>
  </si>
  <si>
    <t>00000000A6C727E4353C314FBD93409EF639422707000D702909B30966478A168622D1D80E2400000000010D00000D702909B30966478A168622D1D80E24000250D3D5D50000</t>
  </si>
  <si>
    <t>00000000A6C727E4353C314FBD93409EF639422707000D702909B30966478A168622D1D80E2400000000010D00000D702909B30966478A168622D1D80E24000250D3D5D40000</t>
  </si>
  <si>
    <t>00000000A6C727E4353C314FBD93409EF639422707000D702909B30966478A168622D1D80E2400000000010D00000D702909B30966478A168622D1D80E240001FCBF44240000</t>
  </si>
  <si>
    <t>RFP 0 JB read</t>
  </si>
  <si>
    <t>00000000A6C727E4353C314FBD93409EF639422707000D702909B30966478A168622D1D80E2400000000010D00000D702909B30966478A168622D1D80E240001FCBF44230000</t>
  </si>
  <si>
    <t xml:space="preserve">CA- IB - Velox INTERNAL wash up session </t>
  </si>
  <si>
    <t>https://veloxfintech.zoom.us/j/81065301020?pwd=YVdoL2tGUWJsaEpaZytEOXRrd3doQT09&amp;from=addon; id=2967265419</t>
  </si>
  <si>
    <t>00000000A6C727E4353C314FBD93409EF639422707000D702909B30966478A168622D1D80E2400000000010D00000D702909B30966478A168622D1D80E240001FCBF44220000</t>
  </si>
  <si>
    <t>FINEQIA response</t>
  </si>
  <si>
    <t>id=2973664095</t>
  </si>
  <si>
    <t>00000000A6C727E4353C314FBD93409EF639422707000D702909B30966478A168622D1D80E2400000000010D00000D702909B30966478A168622D1D80E240001FCBF44210000</t>
  </si>
  <si>
    <t>FII RFP review</t>
  </si>
  <si>
    <t>id=3034480629</t>
  </si>
  <si>
    <t>00000000A6C727E4353C314FBD93409EF639422707000D702909B30966478A168622D1D80E2400000000010D00000D702909B30966478A168622D1D80E240001FCBF44200000</t>
  </si>
  <si>
    <t>ian next iteration</t>
  </si>
  <si>
    <t>id=2835286092</t>
  </si>
  <si>
    <t>00000000A6C727E4353C314FBD93409EF639422707000D702909B30966478A168622D1D80E2400000000010D00000D702909B30966478A168622D1D80E240001FCBF441F0000</t>
  </si>
  <si>
    <t>admin / fix laptop</t>
  </si>
  <si>
    <t>00000000A6C727E4353C314FBD93409EF639422707000D702909B30966478A168622D1D80E2400000000010D00000D702909B30966478A168622D1D80E240001FCBF441E0000</t>
  </si>
  <si>
    <t>Jon/Leslie - Catchup</t>
  </si>
  <si>
    <t>https://veloxfintech.zoom.us/my/buildfaster</t>
  </si>
  <si>
    <t>Jon Butler,Leslie Spiro</t>
  </si>
  <si>
    <t>00000000A6C727E4353C314FBD93409EF639422707000D702909B30966478A168622D1D80E2400000000010D00000D702909B30966478A168622D1D80E240001FCBF441D0000</t>
  </si>
  <si>
    <t>00000000A6C727E4353C314FBD93409EF639422707000D702909B30966478A168622D1D80E2400000000010D00000D702909B30966478A168622D1D80E240001FCBF441C0000</t>
  </si>
  <si>
    <t xml:space="preserve">Velox - Symphony </t>
  </si>
  <si>
    <t>Ross Lucas,Dimiter Georgiev,Mijung Bô-Kim,Richard Ring,Robert Friend,olivier.poupeney@symphony.com,Jon Butler,Neto</t>
  </si>
  <si>
    <t>00000000A6C727E4353C314FBD93409EF639422707000D702909B30966478A168622D1D80E2400000000010D00000D702909B30966478A168622D1D80E240001DC1953E40000</t>
  </si>
  <si>
    <t>00000000A6C727E4353C314FBD93409EF639422707000D702909B30966478A168622D1D80E2400000000010D00000D702909B30966478A168622D1D80E240001FCBF441B0000</t>
  </si>
  <si>
    <t>1st education post</t>
  </si>
  <si>
    <t>id=2997787241</t>
  </si>
  <si>
    <t>00000000A6C727E4353C314FBD93409EF639422707000D702909B30966478A168622D1D80E2400000000010D00000D702909B30966478A168622D1D80E240001FCBF441A0000</t>
  </si>
  <si>
    <t>next turn on case study</t>
  </si>
  <si>
    <t>00000000A6C727E4353C314FBD93409EF639422707000D702909B30966478A168622D1D80E2400000000010D00000D702909B30966478A168622D1D80E240001FCBF44190000</t>
  </si>
  <si>
    <t>general email</t>
  </si>
  <si>
    <t>id=1686205038</t>
  </si>
  <si>
    <t>00000000A6C727E4353C314FBD93409EF639422707000D702909B30966478A168622D1D80E2400000000010D00000D702909B30966478A168622D1D80E240001FCBF44180000</t>
  </si>
  <si>
    <t>Jon/Mike - Catch-up</t>
  </si>
  <si>
    <t>https://veloxfintech.zoom.us/my/buildfaster  id=3044487262</t>
  </si>
  <si>
    <t>Jon Butler,Mike Powell</t>
  </si>
  <si>
    <t>00000000A6C727E4353C314FBD93409EF639422707000D702909B30966478A168622D1D80E2400000000010D00000D702909B30966478A168622D1D80E240001FCBF44170000</t>
  </si>
  <si>
    <t>Internal Cosaic prep</t>
  </si>
  <si>
    <t>https://veloxfintech.zoom.us/j/82631798648?pwd=UWQ0eVI2Sy9CckR2aGI3THp1ZlFaZz09&amp;from=addon; id=2982883300</t>
  </si>
  <si>
    <t>Ali Moosavi,Jon Butler</t>
  </si>
  <si>
    <t>00000000A6C727E4353C314FBD93409EF639422707000D702909B30966478A168622D1D80E2400000000010D00000D702909B30966478A168622D1D80E240001FCBF44160000</t>
  </si>
  <si>
    <t>Velox/Xinthesys - Strawman deck prep</t>
  </si>
  <si>
    <t>https://veloxfintech.zoom.us/j/83033491793?pwd=QmdOaDFmenZyVnJhVFNBdkNwZWFOdz09&amp;from=addon; id=3034731409</t>
  </si>
  <si>
    <t>Ali Moosavi,Jeffrey Stein,Jon Butler</t>
  </si>
  <si>
    <t>00000000A6C727E4353C314FBD93409EF639422707000D702909B30966478A168622D1D80E2400000000010D00000D702909B30966478A168622D1D80E24000250D3D5CF0000</t>
  </si>
  <si>
    <t>Jon (Velox) / Simon McDowell</t>
  </si>
  <si>
    <t>Jon Butler,Simon McDowell</t>
  </si>
  <si>
    <t>00000000A6C727E4353C314FBD93409EF639422707000D702909B30966478A168622D1D80E2400000000010D00000D702909B30966478A168622D1D80E24000250D3D5CE0000</t>
  </si>
  <si>
    <t>00000000A6C727E4353C314FBD93409EF639422707000D702909B30966478A168622D1D80E2400000000010D00000D702909B30966478A168622D1D80E24000250D3D5CD0000</t>
  </si>
  <si>
    <t>pptx</t>
  </si>
  <si>
    <t>00000000A6C727E4353C314FBD93409EF639422707000D702909B30966478A168622D1D80E2400000000010D00000D702909B30966478A168622D1D80E240001FCBF44150000</t>
  </si>
  <si>
    <t>ppt tool</t>
  </si>
  <si>
    <t>00000000A6C727E4353C314FBD93409EF639422707000D702909B30966478A168622D1D80E2400000000010D00000D702909B30966478A168622D1D80E240001FCBF44140000</t>
  </si>
  <si>
    <t>Millenium write up</t>
  </si>
  <si>
    <t>id=3037602632</t>
  </si>
  <si>
    <t>00000000A6C727E4353C314FBD93409EF639422707000D702909B30966478A168622D1D80E2400000000010D00000D702909B30966478A168622D1D80E240001FCBF44130000</t>
  </si>
  <si>
    <t>Jon/Iain - Velox/Quantum</t>
  </si>
  <si>
    <t>https://veloxfintech.zoom.us/my/buildfaster id=2643862849; id=3044488085</t>
  </si>
  <si>
    <t>Jon Butler,Iain.greer@quantum-prop.com</t>
  </si>
  <si>
    <t>00000000A6C727E4353C314FBD93409EF639422707000D702909B30966478A168622D1D80E2400000000010D00000D702909B30966478A168622D1D80E240001FCBF44120000</t>
  </si>
  <si>
    <t>Admin fix computer</t>
  </si>
  <si>
    <t>00000000A6C727E4353C314FBD93409EF639422707000D702909B30966478A168622D1D80E2400000000010D00000D702909B30966478A168622D1D80E24000250D3D5CC0000</t>
  </si>
  <si>
    <t>00000000A6C727E4353C314FBD93409EF639422707000D702909B30966478A168622D1D80E2400000000010D00000D702909B30966478A168622D1D80E24000250D3D5CB0000</t>
  </si>
  <si>
    <t xml:space="preserve">CA - RFP review </t>
  </si>
  <si>
    <t>https://veloxfintech.zoom.us/j/87925018051?pwd=NDZzOEVCejJLRExDUU9uR1ppL1R5Zz09; id=2967265419</t>
  </si>
  <si>
    <t>Ross Lucas,Jon Butler</t>
  </si>
  <si>
    <t>00000000A6C727E4353C314FBD93409EF639422707000D702909B30966478A168622D1D80E2400000000010D00000D702909B30966478A168622D1D80E240001FCBF44110000</t>
  </si>
  <si>
    <t>lee h.</t>
  </si>
  <si>
    <t>id=3045195266</t>
  </si>
  <si>
    <t>00000000A6C727E4353C314FBD93409EF639422707000D702909B30966478A168622D1D80E2400000000010D00000D702909B30966478A168622D1D80E240001FCBF440F0000</t>
  </si>
  <si>
    <t>CA RFP - high level review agree next steps</t>
  </si>
  <si>
    <t>https://veloxfintech.zoom.us/j/88222081976?pwd=a05FMVozUGE3U1lpZjRCcEhFQXFMQT09&amp;from=addon; id=2967265419</t>
  </si>
  <si>
    <t>00000000A6C727E4353C314FBD93409EF639422707000D702909B30966478A168622D1D80E2400000000010D00000D702909B30966478A168622D1D80E240001DC1953E20000</t>
  </si>
  <si>
    <t>00000000A6C727E4353C314FBD93409EF639422707000D702909B30966478A168622D1D80E2400000000010D00000D702909B30966478A168622D1D80E240001FCBF440E0000</t>
  </si>
  <si>
    <t>pptx review</t>
  </si>
  <si>
    <t>00000000A6C727E4353C314FBD93409EF639422707000D702909B30966478A168622D1D80E2400000000010D00000D702909B30966478A168622D1D80E240001FCBF440D0000</t>
  </si>
  <si>
    <t>Jon/Patrick - The Digestive Collective</t>
  </si>
  <si>
    <t>Jon Butler,Patrick Tierney</t>
  </si>
  <si>
    <t>00000000A6C727E4353C314FBD93409EF639422707000D702909B30966478A168622D1D80E2400000000010D00000D702909B30966478A168622D1D80E240001FCBF440C0000</t>
  </si>
  <si>
    <t>00000000A6C727E4353C314FBD93409EF639422707000D702909B30966478A168622D1D80E2400000000010D00000D702909B30966478A168622D1D80E240001FCBF440B0000</t>
  </si>
  <si>
    <t>jon/chris website</t>
  </si>
  <si>
    <t>id=2643862849</t>
  </si>
  <si>
    <t>00000000A6C727E4353C314FBD93409EF639422707000D702909B30966478A168622D1D80E2400000000010D00000D702909B30966478A168622D1D80E240001FCBF440A0000</t>
  </si>
  <si>
    <t>00000000A6C727E4353C314FBD93409EF639422707000D702909B30966478A168622D1D80E2400000000010D00000D702909B30966478A168622D1D80E240001FCBF44080000</t>
  </si>
  <si>
    <t>Catchup with Velox</t>
  </si>
  <si>
    <t>WebEx details below; id=3037602632</t>
  </si>
  <si>
    <t>Jon Butler,Bhudia, Sanjay,Jason Yan</t>
  </si>
  <si>
    <t>00000000A6C727E4353C314FBD93409EF639422707000D702909B30966478A168622D1D80E2400000000010D00000D702909B30966478A168622D1D80E24000250D3D5C70000</t>
  </si>
  <si>
    <t>00000000A6C727E4353C314FBD93409EF639422707000D702909B30966478A168622D1D80E2400000000010D00000D702909B30966478A168622D1D80E24000250D3D5C60000</t>
  </si>
  <si>
    <t>ETFSC</t>
  </si>
  <si>
    <t>id=3018675455</t>
  </si>
  <si>
    <t>00000000A6C727E4353C314FBD93409EF639422707000D702909B30966478A168622D1D80E2400000000010D00000D702909B30966478A168622D1D80E24000250D3D5C50000</t>
  </si>
  <si>
    <t xml:space="preserve">CAIB - Round Table </t>
  </si>
  <si>
    <t>call round table call_ details in line,    id=2967265419</t>
  </si>
  <si>
    <t>Ross Lucas,Jon Butler,Alison Hood</t>
  </si>
  <si>
    <t>00000000A6C727E4353C314FBD93409EF639422707000D702909B30966478A168622D1D80E2400000000010D00000D702909B30966478A168622D1D80E24000250D3D5C40000</t>
  </si>
  <si>
    <t>00000000A6C727E4353C314FBD93409EF639422707000D702909B30966478A168622D1D80E2400000000010D00000D702909B30966478A168622D1D80E240001FCBF44070000</t>
  </si>
  <si>
    <t>Alison catchup</t>
  </si>
  <si>
    <t>00000000A6C727E4353C314FBD93409EF639422707000D702909B30966478A168622D1D80E2400000000010D00000D702909B30966478A168622D1D80E240001FCBF44060000</t>
  </si>
  <si>
    <t>regnology contd and washup</t>
  </si>
  <si>
    <t>id=3019840358</t>
  </si>
  <si>
    <t>00000000A6C727E4353C314FBD93409EF639422707000D702909B30966478A168622D1D80E2400000000010D00000D702909B30966478A168622D1D80E240001FCBF44040000</t>
  </si>
  <si>
    <t>Regnology prep</t>
  </si>
  <si>
    <t>00000000A6C727E4353C314FBD93409EF639422707000D702909B30966478A168622D1D80E2400000000010D00000D702909B30966478A168622D1D80E240001FCBF44030000</t>
  </si>
  <si>
    <t>ppt review</t>
  </si>
  <si>
    <t>id=2824717236</t>
  </si>
  <si>
    <t>00000000A6C727E4353C314FBD93409EF639422707000D702909B30966478A168622D1D80E2400000000010D00000D702909B30966478A168622D1D80E240001FCBF44020000</t>
  </si>
  <si>
    <t>prep for Regnology</t>
  </si>
  <si>
    <t>00000000A6C727E4353C314FBD93409EF639422707000D702909B30966478A168622D1D80E2400000000010D00000D702909B30966478A168622D1D80E240001FCBF44010000</t>
  </si>
  <si>
    <t>https://veloxfintech.zoom.us/my/buildfaster   id=2530384030</t>
  </si>
  <si>
    <t>Jon Butler,Bernie Thurston,Ross Lucas</t>
  </si>
  <si>
    <t>00000000A6C727E4353C314FBD93409EF639422707000D702909B30966478A168622D1D80E2400000000010D00000D702909B30966478A168622D1D80E240001FCBF44000000</t>
  </si>
  <si>
    <t>creative minds</t>
  </si>
  <si>
    <t>id=2832245678</t>
  </si>
  <si>
    <t>00000000A6C727E4353C314FBD93409EF639422707000D702909B30966478A168622D1D80E2400000000010D00000D702909B30966478A168622D1D80E240001FCBF43FF0000</t>
  </si>
  <si>
    <t>admin / followups / creative minds</t>
  </si>
  <si>
    <t>00000000A6C727E4353C314FBD93409EF639422707000D702909B30966478A168622D1D80E2400000000010D00000D702909B30966478A168622D1D80E2400024F9118F90000</t>
  </si>
  <si>
    <t>admin / followups</t>
  </si>
  <si>
    <t>00000000A6C727E4353C314FBD93409EF639422707000D702909B30966478A168622D1D80E2400000000010D00000D702909B30966478A168622D1D80E2400024F9118F80000</t>
  </si>
  <si>
    <t>Place holder - Credit Agri</t>
  </si>
  <si>
    <t>00000000A6C727E4353C314FBD93409EF639422707000D702909B30966478A168622D1D80E2400000000010D00000D702909B30966478A168622D1D80E2400024F9118F70000</t>
  </si>
  <si>
    <t>rashad CA</t>
  </si>
  <si>
    <t>00000000A6C727E4353C314FBD93409EF639422707000D702909B30966478A168622D1D80E2400000000010D00000D702909B30966478A168622D1D80E240001FCBF43FE0000</t>
  </si>
  <si>
    <t>hearing doc</t>
  </si>
  <si>
    <t>wed 24th 840am virtual</t>
  </si>
  <si>
    <t>00000000A6C727E4353C314FBD93409EF639422707000D702909B30966478A168622D1D80E2400000000010D00000D702909B30966478A168622D1D80E240001FCBF43FD0000</t>
  </si>
  <si>
    <t>PPTX review sxript</t>
  </si>
  <si>
    <t>00000000A6C727E4353C314FBD93409EF639422707000D702909B30966478A168622D1D80E2400000000010D00000D702909B30966478A168622D1D80E240001FCBF43FC0000</t>
  </si>
  <si>
    <t>Regnology/Velox call</t>
  </si>
  <si>
    <t>https://veloxfintech.zoom.us/j/85129885018?pwd=aWROVER0T1VvSWdvYlowZysyRGc0Zz09&amp;from=addon; id=3019840358</t>
  </si>
  <si>
    <t>Ali Moosavi,daniel.kaemmerer@regnology.net,taylan.ayik@regnology.net,Linda Middleditch,Jon Butler</t>
  </si>
  <si>
    <t>00000000A6C727E4353C314FBD93409EF639422707000D702909B30966478A168622D1D80E2400000000010D00000D702909B30966478A168622D1D80E2400024F9118F50000</t>
  </si>
  <si>
    <t>content class</t>
  </si>
  <si>
    <t>id=2042473338</t>
  </si>
  <si>
    <t>00000000A6C727E4353C314FBD93409EF639422707000D702909B30966478A168622D1D80E2400000000010D00000D702909B30966478A168622D1D80E240001FCBF43FB0000</t>
  </si>
  <si>
    <t>00000000A6C727E4353C314FBD93409EF639422707000D702909B30966478A168622D1D80E2400000000010D00000D702909B30966478A168622D1D80E240001FCBF43FA0000</t>
  </si>
  <si>
    <t>00000000A6C727E4353C314FBD93409EF639422707000D702909B30966478A168622D1D80E2400000000010D00000D702909B30966478A168622D1D80E240001FCBF43F90000</t>
  </si>
  <si>
    <t>pptx history review</t>
  </si>
  <si>
    <t>00000000A6C727E4353C314FBD93409EF639422707000D702909B30966478A168622D1D80E2400000000010D00000D702909B30966478A168622D1D80E240001FCBF43F80000</t>
  </si>
  <si>
    <t>Jon/Ross - Catchup on CA</t>
  </si>
  <si>
    <t>https://veloxfintech.zoom.us/my/buildfaster id=2967265419</t>
  </si>
  <si>
    <t>Jon Butler,Ross Lucas</t>
  </si>
  <si>
    <t>00000000A6C727E4353C314FBD93409EF639422707000D702909B30966478A168622D1D80E2400000000010D00000D702909B30966478A168622D1D80E2400024F9118F40000</t>
  </si>
  <si>
    <t>Jon/Chris DM</t>
  </si>
  <si>
    <t>JB zoom; id=2643862849</t>
  </si>
  <si>
    <t>Jon Butler,Christian Schueler</t>
  </si>
  <si>
    <t>00000000A6C727E4353C314FBD93409EF639422707000D702909B30966478A168622D1D80E2400000000010D00000D702909B30966478A168622D1D80E2400024F9118F30000</t>
  </si>
  <si>
    <t>ian salmon case study</t>
  </si>
  <si>
    <t>00000000A6C727E4353C314FBD93409EF639422707000D702909B30966478A168622D1D80E2400000000010D00000D702909B30966478A168622D1D80E2400024F9118F20000</t>
  </si>
  <si>
    <t>Jeff Xinthesys Deck</t>
  </si>
  <si>
    <t>id=3034731409</t>
  </si>
  <si>
    <t>00000000A6C727E4353C314FBD93409EF639422707000D702909B30966478A168622D1D80E2400000000010D00000D702909B30966478A168622D1D80E2400024F9118F10000</t>
  </si>
  <si>
    <t>post writing</t>
  </si>
  <si>
    <t>id=3010006459</t>
  </si>
  <si>
    <t>00000000A6C727E4353C314FBD93409EF639422707000D702909B30966478A168622D1D80E2400000000010D00000D702909B30966478A168622D1D80E2400024F9118F00000</t>
  </si>
  <si>
    <t>00000000A6C727E4353C314FBD93409EF639422707000D702909B30966478A168622D1D80E2400000000010D00000D702909B30966478A168622D1D80E2400024F9118EE0000</t>
  </si>
  <si>
    <t>monday content cleanup</t>
  </si>
  <si>
    <t>00000000A6C727E4353C314FBD93409EF639422707000D702909B30966478A168622D1D80E2400000000010D00000D702909B30966478A168622D1D80E240001FCBF43F70000</t>
  </si>
  <si>
    <t>content cleanup</t>
  </si>
  <si>
    <t>00000000A6C727E4353C314FBD93409EF639422707000D702909B30966478A168622D1D80E2400000000010D00000D702909B30966478A168622D1D80E240001FCBF43F60000</t>
  </si>
  <si>
    <t>content classificstion</t>
  </si>
  <si>
    <t>00000000A6C727E4353C314FBD93409EF639422707000D702909B30966478A168622D1D80E2400000000010D00000D702909B30966478A168622D1D80E240001FCBF43F50000</t>
  </si>
  <si>
    <t>Why you should buy not build</t>
  </si>
  <si>
    <t>00000000A6C727E4353C314FBD93409EF639422707000D702909B30966478A168622D1D80E2400000000010D00000D702909B30966478A168622D1D80E2400024DF5C4EC0000</t>
  </si>
  <si>
    <t>monday script / admin / setting up ipad</t>
  </si>
  <si>
    <t>id=2665003350</t>
  </si>
  <si>
    <t>00000000A6C727E4353C314FBD93409EF639422707000D702909B30966478A168622D1D80E2400000000010D00000D702909B30966478A168622D1D80E240001FCBF43F40000</t>
  </si>
  <si>
    <t>monmday scripot</t>
  </si>
  <si>
    <t>00000000A6C727E4353C314FBD93409EF639422707000D702909B30966478A168622D1D80E2400000000010D00000D702909B30966478A168622D1D80E240001FCBF43F30000</t>
  </si>
  <si>
    <t>00000000A6C727E4353C314FBD93409EF639422707000D702909B30966478A168622D1D80E2400000000010D00000D702909B30966478A168622D1D80E240001FCBF43F20000</t>
  </si>
  <si>
    <t>00000000A6C727E4353C314FBD93409EF639422707000D702909B30966478A168622D1D80E2400000000010D00000D702909B30966478A168622D1D80E240001FCBF43F10000</t>
  </si>
  <si>
    <t>CA</t>
  </si>
  <si>
    <t>00000000A6C727E4353C314FBD93409EF639422707000D702909B30966478A168622D1D80E2400000000010D00000D702909B30966478A168622D1D80E240001FCBF43F00000</t>
  </si>
  <si>
    <t>monday script</t>
  </si>
  <si>
    <t>00000000A6C727E4353C314FBD93409EF639422707000D702909B30966478A168622D1D80E2400000000010D00000D702909B30966478A168622D1D80E240001FCBF43EF0000</t>
  </si>
  <si>
    <t>linked in / chris</t>
  </si>
  <si>
    <t>00000000A6C727E4353C314FBD93409EF639422707000D702909B30966478A168622D1D80E2400000000010D00000D702909B30966478A168622D1D80E240001FCBF43EE0000</t>
  </si>
  <si>
    <t>chris call</t>
  </si>
  <si>
    <t>id=2961842127</t>
  </si>
  <si>
    <t>00000000A6C727E4353C314FBD93409EF639422707000D702909B30966478A168622D1D80E2400000000010D00000D702909B30966478A168622D1D80E240001FCBF43ED0000</t>
  </si>
  <si>
    <t>Jon/Jon: GreySpark/Velox</t>
  </si>
  <si>
    <t>London Boardroom; id=2967265419</t>
  </si>
  <si>
    <t>jon.batty@greyspark.com,London Boardroom,Jon Butler</t>
  </si>
  <si>
    <t>jon.batty@greyspark.com</t>
  </si>
  <si>
    <t>00000000A6C727E4353C314FBD93409EF639422707000D702909B30966478A168622D1D80E2400000000010D00000D702909B30966478A168622D1D80E240001FCBF43EC0000</t>
  </si>
  <si>
    <t>linkedin/chris</t>
  </si>
  <si>
    <t>00000000A6C727E4353C314FBD93409EF639422707000D702909B30966478A168622D1D80E2400000000010D00000D702909B30966478A168622D1D80E2400024DF5C4EA0000</t>
  </si>
  <si>
    <t>linkedin / chris</t>
  </si>
  <si>
    <t>00000000A6C727E4353C314FBD93409EF639422707000D702909B30966478A168622D1D80E2400000000010D00000D702909B30966478A168622D1D80E2400024DF5C4E70000</t>
  </si>
  <si>
    <t>00000000A6C727E4353C314FBD93409EF639422707000D702909B30966478A168622D1D80E2400000000010D00000D702909B30966478A168622D1D80E240001FCBF43EB0000</t>
  </si>
  <si>
    <t>linked invites</t>
  </si>
  <si>
    <t>id=3004842716</t>
  </si>
  <si>
    <t>00000000A6C727E4353C314FBD93409EF639422707000D702909B30966478A168622D1D80E2400000000010D00000D702909B30966478A168622D1D80E240001FCBF43EA0000</t>
  </si>
  <si>
    <t>Velox / Finsemble</t>
  </si>
  <si>
    <t>Jim Bunting,Dan Schleifer,Jon Butler,Ali Moosavi</t>
  </si>
  <si>
    <t>00000000A6C727E4353C314FBD93409EF639422707000D702909B30966478A168622D1D80E2400000000010D00000D702909B30966478A168622D1D80E2400024D2897C30000</t>
  </si>
  <si>
    <t xml:space="preserve">Xinthesys/OpCo </t>
  </si>
  <si>
    <t>85 Broad Street</t>
  </si>
  <si>
    <t>Jeffrey Stein,Weingarten, Daniel,Giordano, Peter,Weitz, Matthew,Ali Moosavi,Jon Butler</t>
  </si>
  <si>
    <t>Jeffrey Stein</t>
  </si>
  <si>
    <t>00000000A6C727E4353C314FBD93409EF639422707000D702909B30966478A168622D1D80E2400000000010D00000D702909B30966478A168622D1D80E2400024D2897C20000</t>
  </si>
  <si>
    <t>Jon/Chris - DM</t>
  </si>
  <si>
    <t>https://veloxfintech.zoom.us/my/buildfaster id=2980795628</t>
  </si>
  <si>
    <t>00000000A6C727E4353C314FBD93409EF639422707000D702909B30966478A168622D1D80E2400000000010D00000D702909B30966478A168622D1D80E240001FCBF43E90000</t>
  </si>
  <si>
    <t>chris content</t>
  </si>
  <si>
    <t>00000000A6C727E4353C314FBD93409EF639422707000D702909B30966478A168622D1D80E2400000000010D00000D702909B30966478A168622D1D80E2400024CDE5C230000</t>
  </si>
  <si>
    <t>00000000A6C727E4353C314FBD93409EF639422707000D702909B30966478A168622D1D80E2400000000010D00000D702909B30966478A168622D1D80E240001FCBF43E80000</t>
  </si>
  <si>
    <t>monday</t>
  </si>
  <si>
    <t>00000000A6C727E4353C314FBD93409EF639422707000D702909B30966478A168622D1D80E2400000000010D00000D702909B30966478A168622D1D80E240001FCBF43E70000</t>
  </si>
  <si>
    <t>chris content cleanup</t>
  </si>
  <si>
    <t>00000000A6C727E4353C314FBD93409EF639422707000D702909B30966478A168622D1D80E2400000000010D00000D702909B30966478A168622D1D80E240001FCBF43E60000</t>
  </si>
  <si>
    <t>00000000A6C727E4353C314FBD93409EF639422707000D702909B30966478A168622D1D80E2400000000010D00000D702909B30966478A168622D1D80E240001FCBF43E50000</t>
  </si>
  <si>
    <t>id=2211699767</t>
  </si>
  <si>
    <t>00000000A6C727E4353C314FBD93409EF639422707000D702909B30966478A168622D1D80E2400000000010D00000D702909B30966478A168622D1D80E240001FCBF43E40000</t>
  </si>
  <si>
    <t>notes admin</t>
  </si>
  <si>
    <t>00000000A6C727E4353C314FBD93409EF639422707000D702909B30966478A168622D1D80E2400000000010D00000D702909B30966478A168622D1D80E240001FCBF43E30000</t>
  </si>
  <si>
    <t>00000000A6C727E4353C314FBD93409EF639422707000D702909B30966478A168622D1D80E2400000000010D00000D702909B30966478A168622D1D80E240001FCBF43E20000</t>
  </si>
  <si>
    <t>00000000A6C727E4353C314FBD93409EF639422707000D702909B30966478A168622D1D80E2400000000010D00000D702909B30966478A168622D1D80E240001FCBF43E10000</t>
  </si>
  <si>
    <t>Pre-Sales role requirements</t>
  </si>
  <si>
    <t>https://us02web.zoom.us/j/8708608670  id=3045195266</t>
  </si>
  <si>
    <t>Alison Hood,Jon Butler,Lee Harding - The North Starr</t>
  </si>
  <si>
    <t>00000000A6C727E4353C314FBD93409EF639422707000D702909B30966478A168622D1D80E2400000000010D00000D702909B30966478A168622D1D80E2400024C1FD8D90000</t>
  </si>
  <si>
    <t>ca / admin</t>
  </si>
  <si>
    <t>00000000A6C727E4353C314FBD93409EF639422707000D702909B30966478A168622D1D80E2400000000010D00000D702909B30966478A168622D1D80E240001FCBF43E00000</t>
  </si>
  <si>
    <t>chris fig mkt content</t>
  </si>
  <si>
    <t>00000000A6C727E4353C314FBD93409EF639422707000D702909B30966478A168622D1D80E2400000000010D00000D702909B30966478A168622D1D80E240001FCBF43DF0000</t>
  </si>
  <si>
    <t>Jon/Chris - DigMkting</t>
  </si>
  <si>
    <t>00000000A6C727E4353C314FBD93409EF639422707000D702909B30966478A168622D1D80E2400000000010D00000D702909B30966478A168622D1D80E240001FCBF43DE0000</t>
  </si>
  <si>
    <t>social media planning</t>
  </si>
  <si>
    <t>id=2980795628</t>
  </si>
  <si>
    <t>00000000A6C727E4353C314FBD93409EF639422707000D702909B30966478A168622D1D80E2400000000010D00000D702909B30966478A168622D1D80E240001FCBF43DD0000</t>
  </si>
  <si>
    <t>00000000A6C727E4353C314FBD93409EF639422707000D702909B30966478A168622D1D80E2400000000010D00000D702909B30966478A168622D1D80E240001FCBF43DC0000</t>
  </si>
  <si>
    <t>chris and post cleanup</t>
  </si>
  <si>
    <t>00000000A6C727E4353C314FBD93409EF639422707000D702909B30966478A168622D1D80E2400000000010D00000D702909B30966478A168622D1D80E2400024C1FD8D80000</t>
  </si>
  <si>
    <t>CD</t>
  </si>
  <si>
    <t>id=2980795969</t>
  </si>
  <si>
    <t>00000000A6C727E4353C314FBD93409EF639422707000D702909B30966478A168622D1D80E2400000000010D00000D702909B30966478A168622D1D80E240001FCBF43DB0000</t>
  </si>
  <si>
    <t>CD response</t>
  </si>
  <si>
    <t>00000000A6C727E4353C314FBD93409EF639422707000D702909B30966478A168622D1D80E2400000000010D00000D702909B30966478A168622D1D80E240001FCBF43DA0000</t>
  </si>
  <si>
    <t>VELOX</t>
  </si>
  <si>
    <t>845 Third Avenue, 6th Floor, NY NY 10022; id=2857168355</t>
  </si>
  <si>
    <t>Jeffrey Stein,Jon Butler,Ali Moosavi</t>
  </si>
  <si>
    <t>00000000A6C727E4353C314FBD93409EF639422707000D702909B30966478A168622D1D80E2400000000010D00000D702909B30966478A168622D1D80E240001FCBF43D90000</t>
  </si>
  <si>
    <t>00000000A6C727E4353C314FBD93409EF639422707000D702909B30966478A168622D1D80E2400000000010D00000D702909B30966478A168622D1D80E240001FCBF43D80000</t>
  </si>
  <si>
    <t>ian salmon feedback</t>
  </si>
  <si>
    <t>id=2989037701</t>
  </si>
  <si>
    <t>00000000A6C727E4353C314FBD93409EF639422707000D702909B30966478A168622D1D80E2400000000010D00000D702909B30966478A168622D1D80E2400024C1FD8D60000</t>
  </si>
  <si>
    <t>monday tool</t>
  </si>
  <si>
    <t>00000000A6C727E4353C314FBD93409EF639422707000D702909B30966478A168622D1D80E2400000000010D00000D702909B30966478A168622D1D80E240001FCBF43D70000</t>
  </si>
  <si>
    <t>notes / minutes</t>
  </si>
  <si>
    <t>00000000A6C727E4353C314FBD93409EF639422707000D702909B30966478A168622D1D80E2400000000010D00000D702909B30966478A168622D1D80E240001FCBF43D60000</t>
  </si>
  <si>
    <t>II response</t>
  </si>
  <si>
    <t>id=2985714430</t>
  </si>
  <si>
    <t>00000000A6C727E4353C314FBD93409EF639422707000D702909B30966478A168622D1D80E2400000000010D00000D702909B30966478A168622D1D80E240001FCBF43D40000</t>
  </si>
  <si>
    <t>00000000A6C727E4353C314FBD93409EF639422707000D702909B30966478A168622D1D80E2400000000010D00000D702909B30966478A168622D1D80E240001FCBF43D30000</t>
  </si>
  <si>
    <t>00000000A6C727E4353C314FBD93409EF639422707000D702909B30966478A168622D1D80E2400000000010D00000D702909B30966478A168622D1D80E240001FCBF43D20000</t>
  </si>
  <si>
    <t>00000000A6C727E4353C314FBD93409EF639422707000D702909B30966478A168622D1D80E2400000000010D00000D702909B30966478A168622D1D80E240001FCBF43D10000</t>
  </si>
  <si>
    <t>OPCO sync for Thursday's meeting</t>
  </si>
  <si>
    <t>https://veloxfintech.zoom.us/j/85207969839?pwd=TXRlVWltWUZSRXdYN3BCeWE0MXJpdz09&amp;from=addon; id=3034731409</t>
  </si>
  <si>
    <t>00000000A6C727E4353C314FBD93409EF639422707000D702909B30966478A168622D1D80E2400000000010D00000D702909B30966478A168622D1D80E240001FCBF43D50000</t>
  </si>
  <si>
    <t>Mike Green / BMO</t>
  </si>
  <si>
    <t>id=2967293291</t>
  </si>
  <si>
    <t>00000000A6C727E4353C314FBD93409EF639422707000D702909B30966478A168622D1D80E2400000000010D00000D702909B30966478A168622D1D80E240001FCBF43D00000</t>
  </si>
  <si>
    <t>00000000A6C727E4353C314FBD93409EF639422707000D702909B30966478A168622D1D80E2400000000010D00000D702909B30966478A168622D1D80E240001FCBF43CF0000</t>
  </si>
  <si>
    <t>00000000A6C727E4353C314FBD93409EF639422707000D702909B30966478A168622D1D80E2400000000010D00000D702909B30966478A168622D1D80E240001FCBF43CE0000</t>
  </si>
  <si>
    <t>bday</t>
  </si>
  <si>
    <t>00000000A6C727E4353C314FBD93409EF639422707000D702909B30966478A168622D1D80E2400000000010D00000D702909B30966478A168622D1D80E240001FCBF43CD0000</t>
  </si>
  <si>
    <t>JB/ AH</t>
  </si>
  <si>
    <t>00000000A6C727E4353C314FBD93409EF639422707000D702909B30966478A168622D1D80E2400000000010D00000D702909B30966478A168622D1D80E240001FCBF43CC0000</t>
  </si>
  <si>
    <t>ponzo</t>
  </si>
  <si>
    <t>00000000A6C727E4353C314FBD93409EF639422707000D702909B30966478A168622D1D80E2400000000010D00000D702909B30966478A168622D1D80E240001FCBF43CB0000</t>
  </si>
  <si>
    <t>00000000A6C727E4353C314FBD93409EF639422707000D702909B30966478A168622D1D80E2400000000010D00000D702909B30966478A168622D1D80E240001FCBF43CA0000</t>
  </si>
  <si>
    <t>00000000A6C727E4353C314FBD93409EF639422707000D702909B30966478A168622D1D80E2400000000010D00000D702909B30966478A168622D1D80E240001FCBF43C90000</t>
  </si>
  <si>
    <t>chris plan</t>
  </si>
  <si>
    <t>00000000A6C727E4353C314FBD93409EF639422707000D702909B30966478A168622D1D80E2400000000010D00000D702909B30966478A168622D1D80E240001FCBF43C70000</t>
  </si>
  <si>
    <t>00000000A6C727E4353C314FBD93409EF639422707000D702909B30966478A168622D1D80E2400000000010D00000D702909B30966478A168622D1D80E240001FCBF43C60000</t>
  </si>
  <si>
    <t>Suggestion - Case Study review / feedback</t>
  </si>
  <si>
    <t>Ian Salmon,Ross Lucas,Jon Butler,Alison Hood</t>
  </si>
  <si>
    <t>Ian Salmon</t>
  </si>
  <si>
    <t>00000000A6C727E4353C314FBD93409EF639422707000D702909B30966478A168622D1D80E2400000000010D00000D702909B30966478A168622D1D80E240001FCBF43C80000</t>
  </si>
  <si>
    <t>CD Response</t>
  </si>
  <si>
    <t>00000000A6C727E4353C314FBD93409EF639422707000D702909B30966478A168622D1D80E2400000000010D00000D702909B30966478A168622D1D80E2400024AFEE4C60000</t>
  </si>
  <si>
    <t>00000000A6C727E4353C314FBD93409EF639422707000D702909B30966478A168622D1D80E2400000000010D00000D702909B30966478A168622D1D80E2400024AFEE4C50000</t>
  </si>
  <si>
    <t>BMO</t>
  </si>
  <si>
    <t>00000000A6C727E4353C314FBD93409EF639422707000D702909B30966478A168622D1D80E2400000000010D00000D702909B30966478A168622D1D80E240001FCBF43C50000</t>
  </si>
  <si>
    <t>00000000A6C727E4353C314FBD93409EF639422707000D702909B30966478A168622D1D80E2400000000010D00000D702909B30966478A168622D1D80E240001FCBF43C40000</t>
  </si>
  <si>
    <t>00000000A6C727E4353C314FBD93409EF639422707000D702909B30966478A168622D1D80E2400000000010D00000D702909B30966478A168622D1D80E2400024A758AEB0000</t>
  </si>
  <si>
    <t>cleaning up todos</t>
  </si>
  <si>
    <t>00000000A6C727E4353C314FBD93409EF639422707000D702909B30966478A168622D1D80E2400000000010D00000D702909B30966478A168622D1D80E2400024A7101EF0000</t>
  </si>
  <si>
    <t>monday script updating tags</t>
  </si>
  <si>
    <t>00000000A6C727E4353C314FBD93409EF639422707000D702909B30966478A168622D1D80E2400000000010D00000D702909B30966478A168622D1D80E240001FCBF43C30000</t>
  </si>
  <si>
    <t>monday scripts updating tags</t>
  </si>
  <si>
    <t>00000000A6C727E4353C314FBD93409EF639422707000D702909B30966478A168622D1D80E2400000000010D00000D702909B30966478A168622D1D80E240001FCBF43C20000</t>
  </si>
  <si>
    <t>time booking</t>
  </si>
  <si>
    <t>00000000A6C727E4353C314FBD93409EF639422707000D702909B30966478A168622D1D80E2400000000010D00000D702909B30966478A168622D1D80E240001FCBF43C10000</t>
  </si>
  <si>
    <t>monday scripts</t>
  </si>
  <si>
    <t>00000000A6C727E4353C314FBD93409EF639422707000D702909B30966478A168622D1D80E2400000000010D00000D702909B30966478A168622D1D80E240001FCBF43C00000</t>
  </si>
  <si>
    <t>admin / cleanup / notes</t>
  </si>
  <si>
    <t>00000000A6C727E4353C314FBD93409EF639422707000D702909B30966478A168622D1D80E2400000000010D00000D702909B30966478A168622D1D80E240001FCBF43BF0000</t>
  </si>
  <si>
    <t>Neto</t>
  </si>
  <si>
    <t>id=3045184552</t>
  </si>
  <si>
    <t>00000000A6C727E4353C314FBD93409EF639422707000D702909B30966478A168622D1D80E2400000000010D00000D702909B30966478A168622D1D80E240001FCBF43BE0000</t>
  </si>
  <si>
    <t xml:space="preserve">capsule report </t>
  </si>
  <si>
    <t>id=2748601217</t>
  </si>
  <si>
    <t>00000000A6C727E4353C314FBD93409EF639422707000D702909B30966478A168622D1D80E2400000000010D00000D702909B30966478A168622D1D80E240001FCBF43BD0000</t>
  </si>
  <si>
    <t>Luigi</t>
  </si>
  <si>
    <t>id=2193345640</t>
  </si>
  <si>
    <t>00000000A6C727E4353C314FBD93409EF639422707000D702909B30966478A168622D1D80E2400000000010D00000D702909B30966478A168622D1D80E240001FCBF43BC0000</t>
  </si>
  <si>
    <t xml:space="preserve">Genesis Trading/Velox catch up </t>
  </si>
  <si>
    <t>Ralph's Coffee 160 5th Ave, New York, NY 10010; id=2420452856</t>
  </si>
  <si>
    <t>Ali Moosavi,rahil@genesistrading.com,Jon Butler,Rahil Ramchandani</t>
  </si>
  <si>
    <t>00000000A6C727E4353C314FBD93409EF639422707000D702909B30966478A168622D1D80E2400000000010D00000D702909B30966478A168622D1D80E240001FCBF43BB0000</t>
  </si>
  <si>
    <t>00000000A6C727E4353C314FBD93409EF639422707000D702909B30966478A168622D1D80E2400000000010D00000D702909B30966478A168622D1D80E240001FCBF43BA0000</t>
  </si>
  <si>
    <t>chris d</t>
  </si>
  <si>
    <t>id=2980492275</t>
  </si>
  <si>
    <t>00000000A6C727E4353C314FBD93409EF639422707000D702909B30966478A168622D1D80E2400000000010D00000D702909B30966478A168622D1D80E240001FCBF43B90000</t>
  </si>
  <si>
    <t>00000000A6C727E4353C314FBD93409EF639422707000D702909B30966478A168622D1D80E2400000000010D00000D702909B30966478A168622D1D80E240001FCBF43B80000</t>
  </si>
  <si>
    <t>00000000A6C727E4353C314FBD93409EF639422707000D702909B30966478A168622D1D80E2400000000010D00000D702909B30966478A168622D1D80E240001FCBF43B70000</t>
  </si>
  <si>
    <t>00000000A6C727E4353C314FBD93409EF639422707000D702909B30966478A168622D1D80E2400000000010D00000D702909B30966478A168622D1D80E240001FCBF43B60000</t>
  </si>
  <si>
    <t>Catch-up</t>
  </si>
  <si>
    <t>Microsoft Teams Meeting; id=2193345640</t>
  </si>
  <si>
    <t>Luigi Marino,Jon Butler</t>
  </si>
  <si>
    <t>Luigi Marino</t>
  </si>
  <si>
    <t>00000000A6C727E4353C314FBD93409EF639422707000D702909B30966478A168622D1D80E2400000000010D00000D702909B30966478A168622D1D80E24000249521BF70000</t>
  </si>
  <si>
    <t>CA response</t>
  </si>
  <si>
    <t>https://veloxfintech.zoom.us/my/buildfaster   id=2967265419</t>
  </si>
  <si>
    <t>Jon Butler,Ross Lucas,Alison Hood</t>
  </si>
  <si>
    <t>00000000A6C727E4353C314FBD93409EF639422707000D702909B30966478A168622D1D80E2400000000010D00000D702909B30966478A168622D1D80E240001FCBF43B50000</t>
  </si>
  <si>
    <t>notes / write ups</t>
  </si>
  <si>
    <t>00000000A6C727E4353C314FBD93409EF639422707000D702909B30966478A168622D1D80E2400000000010D00000D702909B30966478A168622D1D80E240001FCBF43B40000</t>
  </si>
  <si>
    <t>00000000A6C727E4353C314FBD93409EF639422707000D702909B30966478A168622D1D80E2400000000010D00000D702909B30966478A168622D1D80E2400024751F5D60000</t>
  </si>
  <si>
    <t>00000000A6C727E4353C314FBD93409EF639422707000D702909B30966478A168622D1D80E2400000000010D00000D702909B30966478A168622D1D80E2400024751F5D50000</t>
  </si>
  <si>
    <t>00000000A6C727E4353C314FBD93409EF639422707000D702909B30966478A168622D1D80E2400000000010D00000D702909B30966478A168622D1D80E240001FCBF43B30000</t>
  </si>
  <si>
    <t>CA resposne</t>
  </si>
  <si>
    <t>00000000A6C727E4353C314FBD93409EF639422707000D702909B30966478A168622D1D80E2400000000010D00000D702909B30966478A168622D1D80E240001FCBF43B20000</t>
  </si>
  <si>
    <t>Intro to Neto</t>
  </si>
  <si>
    <t>https://veloxfintech.zoom.us/j/89083122434?pwd=Qy9kOGVEdFVjYnRNU2FxRGV2TVNFZz09&amp;from=addon; id=3045184552</t>
  </si>
  <si>
    <t>Ali Moosavi,Jon Butler,Jgaianeto@gmail.com</t>
  </si>
  <si>
    <t>00000000A6C727E4353C314FBD93409EF639422707000D702909B30966478A168622D1D80E2400000000010D00000D702909B30966478A168622D1D80E240001FCBF43B10000</t>
  </si>
  <si>
    <t>00000000A6C727E4353C314FBD93409EF639422707000D702909B30966478A168622D1D80E2400000000010D00000D702909B30966478A168622D1D80E240001FCBF43B00000</t>
  </si>
  <si>
    <t>Follow up on XELOX/Xinthesys partnership</t>
  </si>
  <si>
    <t>https://us02web.zoom.us/j/82196717503?pwd=Sk9ycjQzRjVpdW9qa1hoOVhxZFA4QT09; id=2857168355</t>
  </si>
  <si>
    <t>00000000A6C727E4353C314FBD93409EF639422707000D702909B30966478A168622D1D80E2400000000010D00000D702909B30966478A168622D1D80E240001FCBF43AF0000</t>
  </si>
  <si>
    <t>Alison</t>
  </si>
  <si>
    <t>00000000A6C727E4353C314FBD93409EF639422707000D702909B30966478A168622D1D80E2400000000010D00000D702909B30966478A168622D1D80E240001FCBF43AE0000</t>
  </si>
  <si>
    <t>00000000A6C727E4353C314FBD93409EF639422707000D702909B30966478A168622D1D80E2400000000010D00000D702909B30966478A168622D1D80E240001FCBF43AD0000</t>
  </si>
  <si>
    <t>client admin</t>
  </si>
  <si>
    <t>00000000A6C727E4353C314FBD93409EF639422707000D702909B30966478A168622D1D80E2400000000010D00000D702909B30966478A168622D1D80E240001FCBF43AC0000</t>
  </si>
  <si>
    <t xml:space="preserve">Credit Agri - Paragraphs </t>
  </si>
  <si>
    <t>https://veloxfintech.zoom.us/j/84950155083?pwd=ZG1hMUhLRTBWeElVMk4xellsREV2Zz09&amp;from=addon; id=2967265419</t>
  </si>
  <si>
    <t>00000000A6C727E4353C314FBD93409EF639422707000D702909B30966478A168622D1D80E2400000000010D00000D702909B30966478A168622D1D80E240001FCBF43AA0000</t>
  </si>
  <si>
    <t>admin / cleanup</t>
  </si>
  <si>
    <t>00000000A6C727E4353C314FBD93409EF639422707000D702909B30966478A168622D1D80E2400000000010D00000D702909B30966478A168622D1D80E240001FCBF43A90000</t>
  </si>
  <si>
    <t>00000000A6C727E4353C314FBD93409EF639422707000D702909B30966478A168622D1D80E2400000000010D00000D702909B30966478A168622D1D80E240001FCBF43A80000</t>
  </si>
  <si>
    <t>admin - meeting notes - to do</t>
  </si>
  <si>
    <t>00000000A6C727E4353C314FBD93409EF639422707000D702909B30966478A168622D1D80E2400000000010D00000D702909B30966478A168622D1D80E2400024751F5CF0000</t>
  </si>
  <si>
    <t>00000000A6C727E4353C314FBD93409EF639422707000D702909B30966478A168622D1D80E2400000000010D00000D702909B30966478A168622D1D80E240001FCBF43A70000</t>
  </si>
  <si>
    <t>Symphony</t>
  </si>
  <si>
    <t>id=2660288929</t>
  </si>
  <si>
    <t>00000000A6C727E4353C314FBD93409EF639422707000D702909B30966478A168622D1D80E2400000000010D00000D702909B30966478A168622D1D80E240001FCBF43A60000</t>
  </si>
  <si>
    <t>symphony cleanup</t>
  </si>
  <si>
    <t>00000000A6C727E4353C314FBD93409EF639422707000D702909B30966478A168622D1D80E2400000000010D00000D702909B30966478A168622D1D80E240001FCBF43A50000</t>
  </si>
  <si>
    <t>00000000A6C727E4353C314FBD93409EF639422707000D702909B30966478A168622D1D80E2400000000010D00000D702909B30966478A168622D1D80E240001FCBF43A40000</t>
  </si>
  <si>
    <t>BMO / Velox</t>
  </si>
  <si>
    <t>Microsoft Teams Meeting; id=2967293291</t>
  </si>
  <si>
    <t>Green, Michael,Jon Butler,Ross Lucas</t>
  </si>
  <si>
    <t>Green, Michael</t>
  </si>
  <si>
    <t>00000000A6C727E4353C314FBD93409EF639422707000D702909B30966478A168622D1D80E2400000000010D00000D702909B30966478A168622D1D80E2400024751F5CE0000</t>
  </si>
  <si>
    <t>symphony</t>
  </si>
  <si>
    <t>00000000A6C727E4353C314FBD93409EF639422707000D702909B30966478A168622D1D80E2400000000010D00000D702909B30966478A168622D1D80E240001FCBF43A30000</t>
  </si>
  <si>
    <t>ca debreif</t>
  </si>
  <si>
    <t>00000000A6C727E4353C314FBD93409EF639422707000D702909B30966478A168622D1D80E2400000000010D00000D702909B30966478A168622D1D80E240001FCBF43A20000</t>
  </si>
  <si>
    <t>00000000A6C727E4353C314FBD93409EF639422707000D702909B30966478A168622D1D80E2400000000010D00000D702909B30966478A168622D1D80E240001FCBF43A10000</t>
  </si>
  <si>
    <t>Symphony prep</t>
  </si>
  <si>
    <t>00000000A6C727E4353C314FBD93409EF639422707000D702909B30966478A168622D1D80E2400000000010D00000D702909B30966478A168622D1D80E240001FCBF43A00000</t>
  </si>
  <si>
    <t>00000000A6C727E4353C314FBD93409EF639422707000D702909B30966478A168622D1D80E2400000000010D00000D702909B30966478A168622D1D80E240001FCBF439F0000</t>
  </si>
  <si>
    <t>monday sheet</t>
  </si>
  <si>
    <t>00000000A6C727E4353C314FBD93409EF639422707000D702909B30966478A168622D1D80E2400000000010D00000D702909B30966478A168622D1D80E240001FCBF439E0000</t>
  </si>
  <si>
    <t>monday update sheet</t>
  </si>
  <si>
    <t>00000000A6C727E4353C314FBD93409EF639422707000D702909B30966478A168622D1D80E2400000000010D00000D702909B30966478A168622D1D80E240001FCBF439B0000</t>
  </si>
  <si>
    <t>washup</t>
  </si>
  <si>
    <t>00000000A6C727E4353C314FBD93409EF639422707000D702909B30966478A168622D1D80E2400000000010D00000D702909B30966478A168622D1D80E2400024751F5CC0000</t>
  </si>
  <si>
    <t>00000000A6C727E4353C314FBD93409EF639422707000D702909B30966478A168622D1D80E2400000000010D00000D702909B30966478A168622D1D80E2400024751F5CB0000</t>
  </si>
  <si>
    <t>prep for ETFSC</t>
  </si>
  <si>
    <t>id=2788675947</t>
  </si>
  <si>
    <t>00000000A6C727E4353C314FBD93409EF639422707000D702909B30966478A168622D1D80E2400000000010D00000D702909B30966478A168622D1D80E240001FCBF439A0000</t>
  </si>
  <si>
    <t>00000000A6C727E4353C314FBD93409EF639422707000D702909B30966478A168622D1D80E2400000000010D00000D702909B30966478A168622D1D80E240001FCBF43990000</t>
  </si>
  <si>
    <t>00000000A6C727E4353C314FBD93409EF639422707000D702909B30966478A168622D1D80E2400000000010D00000D702909B30966478A168622D1D80E2400024751F5CA0000</t>
  </si>
  <si>
    <t>00000000A6C727E4353C314FBD93409EF639422707000D702909B30966478A168622D1D80E2400000000010D00000D702909B30966478A168622D1D80E2400024751F5C90000</t>
  </si>
  <si>
    <t>ETFS Debreif</t>
  </si>
  <si>
    <t>00000000A6C727E4353C314FBD93409EF639422707000D702909B30966478A168622D1D80E2400000000010D00000D702909B30966478A168622D1D80E2400024751F5C80000</t>
  </si>
  <si>
    <t>00000000A6C727E4353C314FBD93409EF639422707000D702909B30966478A168622D1D80E2400000000010D00000D702909B30966478A168622D1D80E2400024751F5C70000</t>
  </si>
  <si>
    <t>00000000A6C727E4353C314FBD93409EF639422707000D702909B30966478A168622D1D80E2400000000010D00000D702909B30966478A168622D1D80E240001FCBF43980000</t>
  </si>
  <si>
    <t>00000000A6C727E4353C314FBD93409EF639422707000D702909B30966478A168622D1D80E2400000000010D00000D702909B30966478A168622D1D80E240001FCBF43970000</t>
  </si>
  <si>
    <t>00000000A6C727E4353C314FBD93409EF639422707000D702909B30966478A168622D1D80E2400000000010D00000D702909B30966478A168622D1D80E240002460D6B970000</t>
  </si>
  <si>
    <t>00000000A6C727E4353C314FBD93409EF639422707000D702909B30966478A168622D1D80E2400000000010D00000D702909B30966478A168622D1D80E240001FCBF43960000</t>
  </si>
  <si>
    <t>00000000A6C727E4353C314FBD93409EF639422707000D702909B30966478A168622D1D80E2400000000010D00000D702909B30966478A168622D1D80E240001FCBF43950000</t>
  </si>
  <si>
    <t>00000000A6C727E4353C314FBD93409EF639422707000D702909B30966478A168622D1D80E2400000000010D00000D702909B30966478A168622D1D80E240002460D6B960000</t>
  </si>
  <si>
    <t>00000000A6C727E4353C314FBD93409EF639422707000D702909B30966478A168622D1D80E2400000000010D00000D702909B30966478A168622D1D80E240002460D6B950000</t>
  </si>
  <si>
    <t>Velox/Sym technical demo</t>
  </si>
  <si>
    <t>dimiter.georgiev@symphony.com,richard.ring@symphony.com,jean-francois.garet@symphony.com,mikhail.tarasov@symphony.com,robert.friend@symphony.com,mijung.kim@symphony.com,olivier.poupeney@symphony.com,Jon Butler,Ross Lucas,Jason Yan</t>
  </si>
  <si>
    <t>dimiter.georgiev@symphony.com</t>
  </si>
  <si>
    <t>00000000A6C727E4353C314FBD93409EF639422707000D702909B30966478A168622D1D80E2400000000010D00000D702909B30966478A168622D1D80E240001FCBF439D0000</t>
  </si>
  <si>
    <t>00000000A6C727E4353C314FBD93409EF639422707000D702909B30966478A168622D1D80E2400000000010D00000D702909B30966478A168622D1D80E240001FCBF43940000</t>
  </si>
  <si>
    <t xml:space="preserve">symphony </t>
  </si>
  <si>
    <t>00000000A6C727E4353C314FBD93409EF639422707000D702909B30966478A168622D1D80E2400000000010D00000D702909B30966478A168622D1D80E240001FCBF43930000</t>
  </si>
  <si>
    <t>00000000A6C727E4353C314FBD93409EF639422707000D702909B30966478A168622D1D80E2400000000010D00000D702909B30966478A168622D1D80E240001FCBF43920000</t>
  </si>
  <si>
    <t>00000000A6C727E4353C314FBD93409EF639422707000D702909B30966478A168622D1D80E2400000000010D00000D702909B30966478A168622D1D80E240001FCBF43910000</t>
  </si>
  <si>
    <t>prep for team meeting</t>
  </si>
  <si>
    <t>00000000A6C727E4353C314FBD93409EF639422707000D702909B30966478A168622D1D80E2400000000010D00000D702909B30966478A168622D1D80E240001FCBF43900000</t>
  </si>
  <si>
    <t>Alison - ETFSC</t>
  </si>
  <si>
    <t>00000000A6C727E4353C314FBD93409EF639422707000D702909B30966478A168622D1D80E2400000000010D00000D702909B30966478A168622D1D80E240001FCBF438F0000</t>
  </si>
  <si>
    <t>CACIB eFX project / VELOX</t>
  </si>
  <si>
    <t>Réunion Microsoft Teams; id=2967265419</t>
  </si>
  <si>
    <t>ABDUL, Rashad (CA-CIB),Jon Butler,Ross Lucas,RABBIOSI, Alessandro (CA-CIB),SATCHEL, Thomas (CA-CIB),BOULO, Jean-marc (CA-CIB),RAVEN, Erwan (CA-CIB),PUVILLAND, Julien (CA-CIB),HAMBERGER, Stefan (CA-CIB),MCCALL, Ian (CA-CIB),REID, Mark (External),EVANS, Linda (External),HORTH, Eliza (CA-CIB)</t>
  </si>
  <si>
    <t>ABDUL, Rashad (CA-CIB)</t>
  </si>
  <si>
    <t>00000000A6C727E4353C314FBD93409EF639422707000D702909B30966478A168622D1D80E2400000000010D00000D702909B30966478A168622D1D80E240001FCBF438E0000</t>
  </si>
  <si>
    <t>MONDAY TOOL</t>
  </si>
  <si>
    <t>00000000A6C727E4353C314FBD93409EF639422707000D702909B30966478A168622D1D80E2400000000010D00000D702909B30966478A168622D1D80E240001FCBF438D0000</t>
  </si>
  <si>
    <t>ETFS</t>
  </si>
  <si>
    <t>00000000A6C727E4353C314FBD93409EF639422707000D702909B30966478A168622D1D80E2400000000010D00000D702909B30966478A168622D1D80E240002460D6B900000</t>
  </si>
  <si>
    <t>etfs</t>
  </si>
  <si>
    <t>00000000A6C727E4353C314FBD93409EF639422707000D702909B30966478A168622D1D80E2400000000010D00000D702909B30966478A168622D1D80E240002460D6B8F0000</t>
  </si>
  <si>
    <t>PPT PICKER</t>
  </si>
  <si>
    <t>00000000A6C727E4353C314FBD93409EF639422707000D702909B30966478A168622D1D80E2400000000010D00000D702909B30966478A168622D1D80E240002460D6B8E0000</t>
  </si>
  <si>
    <t>00000000A6C727E4353C314FBD93409EF639422707000D702909B30966478A168622D1D80E2400000000010D00000D702909B30966478A168622D1D80E240002460D6B8D0000</t>
  </si>
  <si>
    <t>Sales Plan</t>
  </si>
  <si>
    <t>https://veloxfintech.zoom.us/my/butlerjon; id=2851074278</t>
  </si>
  <si>
    <t>00000000A6C727E4353C314FBD93409EF639422707000D702909B30966478A168622D1D80E2400000000010D00000D702909B30966478A168622D1D80E24000241CB25510000</t>
  </si>
  <si>
    <t>Cognizant/Velox Catch Up Call</t>
  </si>
  <si>
    <t>Microsoft Teams Meeting; id=2431410583</t>
  </si>
  <si>
    <t>John.DaGama-Rose@cognizant.com,Alison Hood,Jon Butler,Ross Lucas,Aditya.Sadhotra@cognizant.com</t>
  </si>
  <si>
    <t>John.DaGama-Rose@cognizant.com</t>
  </si>
  <si>
    <t>00000000A6C727E4353C314FBD93409EF639422707000D702909B30966478A168622D1D80E2400000000010D00000D702909B30966478A168622D1D80E24000241CB25500000</t>
  </si>
  <si>
    <t>Cosaic/Velox meeting</t>
  </si>
  <si>
    <t>https://veloxfintech.zoom.us/j/88918692131?pwd=OEsvRFdWczZYVkR3bDZIQ0FJak92dz09&amp;from=addon; id=2982883300</t>
  </si>
  <si>
    <t>Ali Moosavi,Jon Butler,Jim Bunting,dan@cosaic.io</t>
  </si>
  <si>
    <t>00000000A6C727E4353C314FBD93409EF639422707000D702909B30966478A168622D1D80E2400000000010D00000D702909B30966478A168622D1D80E24000241CB254F0000</t>
  </si>
  <si>
    <t>Ortex - Velox intro</t>
  </si>
  <si>
    <t>https://veloxfintech.zoom.us/j/89116526917?pwd=bDBwR2VuckJWM1NRUW8rdEg4c2h5dz09&amp;from=addon</t>
  </si>
  <si>
    <t>Ross Lucas,Patrick Brown,Jon Butler,rafik@ortex.com</t>
  </si>
  <si>
    <t>00000000A6C727E4353C314FBD93409EF639422707000D702909B30966478A168622D1D80E2400000000010D00000D702909B30966478A168622D1D80E240001FCBF44050000</t>
  </si>
  <si>
    <t>TROWE</t>
  </si>
  <si>
    <t>60, Queen Victoria Street; id=2919076903</t>
  </si>
  <si>
    <t>00000000A6C727E4353C314FBD93409EF639422707000D702909B30966478A168622D1D80E2400000000010D00000D702909B30966478A168622D1D80E24000241CB254C0000</t>
  </si>
  <si>
    <t>Photos</t>
  </si>
  <si>
    <t>71-75 Shelton Street, Covent Garden, WC2H 9JQ   id=1506701839</t>
  </si>
  <si>
    <t>Alison Hood,Jon Butler</t>
  </si>
  <si>
    <t>00000000A6C727E4353C314FBD93409EF639422707000D702909B30966478A168622D1D80E2400000000010D00000D702909B30966478A168622D1D80E24000241CB254B0000</t>
  </si>
  <si>
    <t>id=2919076903</t>
  </si>
  <si>
    <t>00000000A6C727E4353C314FBD93409EF639422707000D702909B30966478A168622D1D80E2400000000010D00000D702909B30966478A168622D1D80E24000241CB25480000</t>
  </si>
  <si>
    <t>Review ETFS deck</t>
  </si>
  <si>
    <t>Mr lasagne id=2788675947</t>
  </si>
  <si>
    <t>Alison Hood,Jon Butler,Ross Lucas</t>
  </si>
  <si>
    <t>00000000A6C727E4353C314FBD93409EF639422707000D702909B30966478A168622D1D80E2400000000010D00000D702909B30966478A168622D1D80E2400023D6FC8FE0000</t>
  </si>
  <si>
    <t>Velox/Symphony catch up</t>
  </si>
  <si>
    <t>dimiter.georgiev@symphony.com,Jon Butler,richard.ring@symphony.com,robert.friend@symphony.com,mijung.kim@symphony.com,Ross Lucas</t>
  </si>
  <si>
    <t>00000000A6C727E4353C314FBD93409EF639422707000D702909B30966478A168622D1D80E2400000000010D00000D702909B30966478A168622D1D80E240001DC1953DD0000</t>
  </si>
  <si>
    <t>Jon &amp; Armando Catch-up</t>
  </si>
  <si>
    <t>https://us06web.zoom.us/j/86212241067?from=addon; id=2895583867</t>
  </si>
  <si>
    <t>Armando Diaz,Jon Butler</t>
  </si>
  <si>
    <t>Armando Diaz</t>
  </si>
  <si>
    <t>00000000A6C727E4353C314FBD93409EF639422707000D702909B30966478A168622D1D80E2400000000010D00000D702909B30966478A168622D1D80E240001DC1953DA0000</t>
  </si>
  <si>
    <t>Pont de la Tour.</t>
  </si>
  <si>
    <t>00000000A6C727E4353C314FBD93409EF639422707000D702909B30966478A168622D1D80E2400000000010D00000D702909B30966478A168622D1D80E2400023D6FC8F90000</t>
  </si>
  <si>
    <t>FINEQIA - Iress</t>
  </si>
  <si>
    <t>https://veloxfintech.zoom.us/j/87110121672?pwd=SnQzWGl6QmtGMk1QZVM5KytaSVBEdz09&amp;from=addon; id=2791241493</t>
  </si>
  <si>
    <t>Ross Lucas,Cheryl Kong FINEQIA,Nij Saha FINEQIA,Jon Butler,Michael Coletta FINEQIA</t>
  </si>
  <si>
    <t>00000000A6C727E4353C314FBD93409EF639422707000D702909B30966478A168622D1D80E2400000000010D00000D702909B30966478A168622D1D80E240001DC1953DF0000</t>
  </si>
  <si>
    <t>Jefferies follow-up</t>
  </si>
  <si>
    <t>Microsoft Teams Meeting; id=2218316821</t>
  </si>
  <si>
    <t>Peter Holmgren,Jon Butler</t>
  </si>
  <si>
    <t>Peter Holmgren</t>
  </si>
  <si>
    <t>00000000A6C727E4353C314FBD93409EF639422707000D702909B30966478A168622D1D80E2400000000010D00000D702909B30966478A168622D1D80E2400023D6FC8F70000</t>
  </si>
  <si>
    <t>deck for cs</t>
  </si>
  <si>
    <t>id=2882948912</t>
  </si>
  <si>
    <t>00000000A6C727E4353C314FBD93409EF639422707000D702909B30966478A168622D1D80E2400000000010D00000D702909B30966478A168622D1D80E240001FCBF438C0000</t>
  </si>
  <si>
    <t>00000000A6C727E4353C314FBD93409EF639422707000D702909B30966478A168622D1D80E2400000000010D00000D702909B30966478A168622D1D80E240001FCBF438B0000</t>
  </si>
  <si>
    <t>00000000A6C727E4353C314FBD93409EF639422707000D702909B30966478A168622D1D80E2400000000010D00000D702909B30966478A168622D1D80E240001FCBF43880000</t>
  </si>
  <si>
    <t>00000000A6C727E4353C314FBD93409EF639422707000D702909B30966478A168622D1D80E2400000000010D00000D702909B30966478A168622D1D80E240001FCBF43870000</t>
  </si>
  <si>
    <t>Velox bfast at GHCO</t>
  </si>
  <si>
    <t>GHCO London id=2287823437</t>
  </si>
  <si>
    <t>Jon Butler,Stefan Kaba-Ferreiro,Ross Lucas</t>
  </si>
  <si>
    <t>00000000A6C727E4353C314FBD93409EF639422707000D702909B30966478A168622D1D80E2400000000010D00000D702909B30966478A168622D1D80E240001FCBF43860000</t>
  </si>
  <si>
    <t>PLACEHOLDER : Jon/Stu - Breakfast</t>
  </si>
  <si>
    <t>TBD   id=2919076903</t>
  </si>
  <si>
    <t>Jon Butler,Stuart.Bevan@troweprice.com</t>
  </si>
  <si>
    <t>00000000A6C727E4353C314FBD93409EF639422707000D702909B30966478A168622D1D80E2400000000010D00000D702909B30966478A168622D1D80E240001FCBF43850000</t>
  </si>
  <si>
    <t>jon steve</t>
  </si>
  <si>
    <t>https://us02web.zoom.us/j/88695555407?pwd=QwdfIcouxt0zxjzwc67vRdQVOfbq-W.1&amp;from=addon; id=2530385951</t>
  </si>
  <si>
    <t>Steve Grob,Jon Butler</t>
  </si>
  <si>
    <t>Steve Grob</t>
  </si>
  <si>
    <t>00000000A6C727E4353C314FBD93409EF639422707000D702909B30966478A168622D1D80E2400000000010D00000D702909B30966478A168622D1D80E2400023AE387780000</t>
  </si>
  <si>
    <t>Jeff</t>
  </si>
  <si>
    <t>id=2863800229</t>
  </si>
  <si>
    <t>00000000A6C727E4353C314FBD93409EF639422707000D702909B30966478A168622D1D80E2400000000010D00000D702909B30966478A168622D1D80E240001FCBF43820000</t>
  </si>
  <si>
    <t>00000000A6C727E4353C314FBD93409EF639422707000D702909B30966478A168622D1D80E2400000000010D00000D702909B30966478A168622D1D80E240001FCBF43810000</t>
  </si>
  <si>
    <t>id=2857168355</t>
  </si>
  <si>
    <t>00000000A6C727E4353C314FBD93409EF639422707000D702909B30966478A168622D1D80E2400000000010D00000D702909B30966478A168622D1D80E240001FCBF43800000</t>
  </si>
  <si>
    <t>00000000A6C727E4353C314FBD93409EF639422707000D702909B30966478A168622D1D80E2400000000010D00000D702909B30966478A168622D1D80E240001FCBF437F0000</t>
  </si>
  <si>
    <t xml:space="preserve">Jefferies - valantic FSA </t>
  </si>
  <si>
    <t>Peter Holmgren,Karen Seto,Jon Butler,Steve Grob,Benjamin Springett</t>
  </si>
  <si>
    <t>00000000A6C727E4353C314FBD93409EF639422707000D702909B30966478A168622D1D80E2400000000010D00000D702909B30966478A168622D1D80E2400023AE387770000</t>
  </si>
  <si>
    <t>Meet with Jon Butler, CEO Velox fintech</t>
  </si>
  <si>
    <t>id=2938567121</t>
  </si>
  <si>
    <t>Murray, Andrew (GT CTO Architecture &amp; Strategy Del L, Group Transformation),Jon Butler,O'Brien, Holly (Group Transformation),Ross Lucas</t>
  </si>
  <si>
    <t>Murray, Andrew (GT CTO Architecture &amp; Strategy Del L, Group Transformation)</t>
  </si>
  <si>
    <t>00000000A6C727E4353C314FBD93409EF639422707000D702909B30966478A168622D1D80E2400000000010D00000D702909B30966478A168622D1D80E240001FCBF437E0000</t>
  </si>
  <si>
    <t>andy</t>
  </si>
  <si>
    <t>00000000A6C727E4353C314FBD93409EF639422707000D702909B30966478A168622D1D80E2400000000010D00000D702909B30966478A168622D1D80E240001FCBF437D0000</t>
  </si>
  <si>
    <t>jeff</t>
  </si>
  <si>
    <t>00000000A6C727E4353C314FBD93409EF639422707000D702909B30966478A168622D1D80E2400000000010D00000D702909B30966478A168622D1D80E240001FCBF437C0000</t>
  </si>
  <si>
    <t>00000000A6C727E4353C314FBD93409EF639422707000D702909B30966478A168622D1D80E2400000000010D00000D702909B30966478A168622D1D80E240001FCBF437B0000</t>
  </si>
  <si>
    <t>admin / meetings minutes</t>
  </si>
  <si>
    <t>00000000A6C727E4353C314FBD93409EF639422707000D702909B30966478A168622D1D80E2400000000010D00000D702909B30966478A168622D1D80E240001FCBF437A0000</t>
  </si>
  <si>
    <t>00000000A6C727E4353C314FBD93409EF639422707000D702909B30966478A168622D1D80E2400000000010D00000D702909B30966478A168622D1D80E240001FCBF43790000</t>
  </si>
  <si>
    <t>00000000A6C727E4353C314FBD93409EF639422707000D702909B30966478A168622D1D80E2400000000010D00000D702909B30966478A168622D1D80E240001FCBF43780000</t>
  </si>
  <si>
    <t>00000000A6C727E4353C314FBD93409EF639422707000D702909B30966478A168622D1D80E2400000000010D00000D702909B30966478A168622D1D80E240001FCBF43770000</t>
  </si>
  <si>
    <t>00000000A6C727E4353C314FBD93409EF639422707000D702909B30966478A168622D1D80E2400000000010D00000D702909B30966478A168622D1D80E240001FCBF43760000</t>
  </si>
  <si>
    <t>00000000A6C727E4353C314FBD93409EF639422707000D702909B30966478A168622D1D80E2400000000010D00000D702909B30966478A168622D1D80E2400023A55F72D0000</t>
  </si>
  <si>
    <t>Lunch</t>
  </si>
  <si>
    <t>00000000A6C727E4353C314FBD93409EF639422707000D702909B30966478A168622D1D80E2400000000010D00000D702909B30966478A168622D1D80E2400023A55F72C0000</t>
  </si>
  <si>
    <t>00000000A6C727E4353C314FBD93409EF639422707000D702909B30966478A168622D1D80E2400000000010D00000D702909B30966478A168622D1D80E2400023A55F72B0000</t>
  </si>
  <si>
    <t>00000000A6C727E4353C314FBD93409EF639422707000D702909B30966478A168622D1D80E2400000000010D00000D702909B30966478A168622D1D80E240001FCBF43750000</t>
  </si>
  <si>
    <t>alison over</t>
  </si>
  <si>
    <t>00000000A6C727E4353C314FBD93409EF639422707000D702909B30966478A168622D1D80E2400000000010D00000D702909B30966478A168622D1D80E240001FCBF43740000</t>
  </si>
  <si>
    <t>00000000A6C727E4353C314FBD93409EF639422707000D702909B30966478A168622D1D80E2400000000010D00000D702909B30966478A168622D1D80E240001FCBF43730000</t>
  </si>
  <si>
    <t>linked in</t>
  </si>
  <si>
    <t>00000000A6C727E4353C314FBD93409EF639422707000D702909B30966478A168622D1D80E2400000000010D00000D702909B30966478A168622D1D80E240001FCBF43710000</t>
  </si>
  <si>
    <t>00000000A6C727E4353C314FBD93409EF639422707000D702909B30966478A168622D1D80E2400000000010D00000D702909B30966478A168622D1D80E240001FCBF43700000</t>
  </si>
  <si>
    <t>00000000A6C727E4353C314FBD93409EF639422707000D702909B30966478A168622D1D80E2400000000010D00000D702909B30966478A168622D1D80E240001FCBF436F0000</t>
  </si>
  <si>
    <t>00000000A6C727E4353C314FBD93409EF639422707000D702909B30966478A168622D1D80E2400000000010D00000D702909B30966478A168622D1D80E240001FCBF436E0000</t>
  </si>
  <si>
    <t>00000000A6C727E4353C314FBD93409EF639422707000D702909B30966478A168622D1D80E2400000000010D00000D702909B30966478A168622D1D80E240001FCBF436D0000</t>
  </si>
  <si>
    <t>00000000A6C727E4353C314FBD93409EF639422707000D702909B30966478A168622D1D80E2400000000010D00000D702909B30966478A168622D1D80E240001FCBF436B0000</t>
  </si>
  <si>
    <t>Velox / Rapid meeting</t>
  </si>
  <si>
    <t>Eight Club Moorgate, 1 Dysart St, London EC2A 2BX; id=2851079164</t>
  </si>
  <si>
    <t>Mike Powell,Jon Butler,Alison Hood,Steve Grob</t>
  </si>
  <si>
    <t>00000000A6C727E4353C314FBD93409EF639422707000D702909B30966478A168622D1D80E2400000000010D00000D702909B30966478A168622D1D80E240001DC1953DB0000</t>
  </si>
  <si>
    <t>pete jefferies</t>
  </si>
  <si>
    <t>00000000A6C727E4353C314FBD93409EF639422707000D702909B30966478A168622D1D80E2400000000010D00000D702909B30966478A168622D1D80E240001FCBF43690000</t>
  </si>
  <si>
    <t>Jefferies</t>
  </si>
  <si>
    <t>00000000A6C727E4353C314FBD93409EF639422707000D702909B30966478A168622D1D80E2400000000010D00000D702909B30966478A168622D1D80E240001FCBF43680000</t>
  </si>
  <si>
    <t>vFSA solutions Plan</t>
  </si>
  <si>
    <t>Eight Moorgate; id=2193345640</t>
  </si>
  <si>
    <t>Steve Grob,Jon Butler,Browning, Andy,Alison Hood</t>
  </si>
  <si>
    <t>00000000A6C727E4353C314FBD93409EF639422707000D702909B30966478A168622D1D80E2400000000010D00000D702909B30966478A168622D1D80E240001FCBF436A0000</t>
  </si>
  <si>
    <t>workout</t>
  </si>
  <si>
    <t>00000000A6C727E4353C314FBD93409EF639422707000D702909B30966478A168622D1D80E2400000000010D00000D702909B30966478A168622D1D80E240001FCBF43670000</t>
  </si>
  <si>
    <t>sales 1 pager</t>
  </si>
  <si>
    <t>id=2864254142</t>
  </si>
  <si>
    <t>00000000A6C727E4353C314FBD93409EF639422707000D702909B30966478A168622D1D80E2400000000010D00000D702909B30966478A168622D1D80E240001FCBF43660000</t>
  </si>
  <si>
    <t>ali sales 1 pager</t>
  </si>
  <si>
    <t>00000000A6C727E4353C314FBD93409EF639422707000D702909B30966478A168622D1D80E2400000000010D00000D702909B30966478A168622D1D80E240001FCBF43650000</t>
  </si>
  <si>
    <t>NUTRITIONIST</t>
  </si>
  <si>
    <t>00000000A6C727E4353C314FBD93409EF639422707000D702909B30966478A168622D1D80E2400000000010D00000D702909B30966478A168622D1D80E240001FCBF43640000</t>
  </si>
  <si>
    <t>monday notificiations</t>
  </si>
  <si>
    <t>00000000A6C727E4353C314FBD93409EF639422707000D702909B30966478A168622D1D80E2400000000010D00000D702909B30966478A168622D1D80E240001FCBF43630000</t>
  </si>
  <si>
    <t>Discuss Ali's points on https://veloxfintech.monday.com/boards/2259144314/pulses/2752024432</t>
  </si>
  <si>
    <t>https://veloxfintech.zoom.us/my/buildfaster   id=2851074278</t>
  </si>
  <si>
    <t>Jon Butler,Ali Moosavi,Alison Hood,Christian Schueler</t>
  </si>
  <si>
    <t>00000000A6C727E4353C314FBD93409EF639422707000D702909B30966478A168622D1D80E2400000000010D00000D702909B30966478A168622D1D80E240001FCBF43620000</t>
  </si>
  <si>
    <t xml:space="preserve">LI followers </t>
  </si>
  <si>
    <t>00000000A6C727E4353C314FBD93409EF639422707000D702909B30966478A168622D1D80E2400000000010D00000D702909B30966478A168622D1D80E240002375A86040000</t>
  </si>
  <si>
    <t>RA resonse on non-func</t>
  </si>
  <si>
    <t>id=2193345636</t>
  </si>
  <si>
    <t>00000000A6C727E4353C314FBD93409EF639422707000D702909B30966478A168622D1D80E2400000000010D00000D702909B30966478A168622D1D80E240002375A86030000</t>
  </si>
  <si>
    <t>Lunch @Louie's Diner</t>
  </si>
  <si>
    <t>330 Plandome Rd, Manhasset ; id=2857168355</t>
  </si>
  <si>
    <t>Jeffrey Stein,Jon Butler</t>
  </si>
  <si>
    <t>00000000A6C727E4353C314FBD93409EF639422707000D702909B30966478A168622D1D80E2400000000010D00000D702909B30966478A168622D1D80E240001DC1953D90000</t>
  </si>
  <si>
    <t>Ali / Sales plan</t>
  </si>
  <si>
    <t>00000000A6C727E4353C314FBD93409EF639422707000D702909B30966478A168622D1D80E2400000000010D00000D702909B30966478A168622D1D80E240001FCBF43600000</t>
  </si>
  <si>
    <t>TT followups</t>
  </si>
  <si>
    <t>id=2784118521</t>
  </si>
  <si>
    <t>00000000A6C727E4353C314FBD93409EF639422707000D702909B30966478A168622D1D80E2400000000010D00000D702909B30966478A168622D1D80E240001FCBF435F0000</t>
  </si>
  <si>
    <t>TT Prep</t>
  </si>
  <si>
    <t>00000000A6C727E4353C314FBD93409EF639422707000D702909B30966478A168622D1D80E2400000000010D00000D702909B30966478A168622D1D80E240001FCBF435E0000</t>
  </si>
  <si>
    <t>John Da Gama-Rose/Jon Butler - Lunch</t>
  </si>
  <si>
    <t>Pearl Liang, 8 Sheldon Square, W2 6EZ London    id=2431410583</t>
  </si>
  <si>
    <t>John.DaGama-Rose@cognizant.com,Jon Butler</t>
  </si>
  <si>
    <t>00000000A6C727E4353C314FBD93409EF639422707000D702909B30966478A168622D1D80E2400000000010D00000D702909B30966478A168622D1D80E240001FCBF43610000</t>
  </si>
  <si>
    <t>Alison / ETFS Sales Plan</t>
  </si>
  <si>
    <t>id=2851074278</t>
  </si>
  <si>
    <t>00000000A6C727E4353C314FBD93409EF639422707000D702909B30966478A168622D1D80E2400000000010D00000D702909B30966478A168622D1D80E240001FCBF435C0000</t>
  </si>
  <si>
    <t>etfs sales plan</t>
  </si>
  <si>
    <t>00000000A6C727E4353C314FBD93409EF639422707000D702909B30966478A168622D1D80E2400000000010D00000D702909B30966478A168622D1D80E240002375A85FF0000</t>
  </si>
  <si>
    <t>ETFS sales plan</t>
  </si>
  <si>
    <t>00000000A6C727E4353C314FBD93409EF639422707000D702909B30966478A168622D1D80E2400000000010D00000D702909B30966478A168622D1D80E240002375A85FE0000</t>
  </si>
  <si>
    <t>00000000A6C727E4353C314FBD93409EF639422707000D702909B30966478A168622D1D80E2400000000010D00000D702909B30966478A168622D1D80E240002375A85FD0000</t>
  </si>
  <si>
    <t>00000000A6C727E4353C314FBD93409EF639422707000D702909B30966478A168622D1D80E2400000000010D00000D702909B30966478A168622D1D80E240002375A85FC0000</t>
  </si>
  <si>
    <t>timetracking</t>
  </si>
  <si>
    <t>id=1641665864</t>
  </si>
  <si>
    <t>00000000A6C727E4353C314FBD93409EF639422707000D702909B30966478A168622D1D80E2400000000010D00000D702909B30966478A168622D1D80E240001FCBF43590000</t>
  </si>
  <si>
    <t>00000000A6C727E4353C314FBD93409EF639422707000D702909B30966478A168622D1D80E2400000000010D00000D702909B30966478A168622D1D80E240001FCBF43580000</t>
  </si>
  <si>
    <t>work out</t>
  </si>
  <si>
    <t>00000000A6C727E4353C314FBD93409EF639422707000D702909B30966478A168622D1D80E2400000000010D00000D702909B30966478A168622D1D80E240001FCBF43570000</t>
  </si>
  <si>
    <t>00000000A6C727E4353C314FBD93409EF639422707000D702909B30966478A168622D1D80E2400000000010D00000D702909B30966478A168622D1D80E240001FCBF43560000</t>
  </si>
  <si>
    <t>time tracking</t>
  </si>
  <si>
    <t>00000000A6C727E4353C314FBD93409EF639422707000D702909B30966478A168622D1D80E2400000000010D00000D702909B30966478A168622D1D80E240001FCBF43550000</t>
  </si>
  <si>
    <t>00000000A6C727E4353C314FBD93409EF639422707000D702909B30966478A168622D1D80E2400000000010D00000D702909B30966478A168622D1D80E240001FCBF43540000</t>
  </si>
  <si>
    <t>london trip</t>
  </si>
  <si>
    <t>id=2785936907</t>
  </si>
  <si>
    <t>00000000A6C727E4353C314FBD93409EF639422707000D702909B30966478A168622D1D80E2400000000010D00000D702909B30966478A168622D1D80E240002375A85FA0000</t>
  </si>
  <si>
    <t>00000000A6C727E4353C314FBD93409EF639422707000D702909B30966478A168622D1D80E2400000000010D00000D702909B30966478A168622D1D80E240002375A85F90000</t>
  </si>
  <si>
    <t>monday stuff</t>
  </si>
  <si>
    <t>00000000A6C727E4353C314FBD93409EF639422707000D702909B30966478A168622D1D80E2400000000010D00000D702909B30966478A168622D1D80E240002375A85F80000</t>
  </si>
  <si>
    <t>cleanup from magic slides</t>
  </si>
  <si>
    <t>id=2835318485</t>
  </si>
  <si>
    <t>00000000A6C727E4353C314FBD93409EF639422707000D702909B30966478A168622D1D80E2400000000010D00000D702909B30966478A168622D1D80E240001FCBF43520000</t>
  </si>
  <si>
    <t>00000000A6C727E4353C314FBD93409EF639422707000D702909B30966478A168622D1D80E2400000000010D00000D702909B30966478A168622D1D80E240001FCBF43510000</t>
  </si>
  <si>
    <t>tech slides for eric</t>
  </si>
  <si>
    <t>id=2854612123</t>
  </si>
  <si>
    <t>00000000A6C727E4353C314FBD93409EF639422707000D702909B30966478A168622D1D80E2400000000010D00000D702909B30966478A168622D1D80E240001FCBF43500000</t>
  </si>
  <si>
    <t>Eric</t>
  </si>
  <si>
    <t>00000000A6C727E4353C314FBD93409EF639422707000D702909B30966478A168622D1D80E2400000000010D00000D702909B30966478A168622D1D80E240001FCBF434F0000</t>
  </si>
  <si>
    <t>jason / calcguard / ali</t>
  </si>
  <si>
    <t>00000000A6C727E4353C314FBD93409EF639422707000D702909B30966478A168622D1D80E2400000000010D00000D702909B30966478A168622D1D80E240001FCBF434E0000</t>
  </si>
  <si>
    <t>Magic.DEV</t>
  </si>
  <si>
    <t>00000000A6C727E4353C314FBD93409EF639422707000D702909B30966478A168622D1D80E2400000000010D00000D702909B30966478A168622D1D80E24000235B01CFC0000</t>
  </si>
  <si>
    <t>QUINTON DROP OFF</t>
  </si>
  <si>
    <t>00000000A6C727E4353C314FBD93409EF639422707000D702909B30966478A168622D1D80E2400000000010D00000D702909B30966478A168622D1D80E240001FCBF434D0000</t>
  </si>
  <si>
    <t>Ross</t>
  </si>
  <si>
    <t>id=2741368665</t>
  </si>
  <si>
    <t>00000000A6C727E4353C314FBD93409EF639422707000D702909B30966478A168622D1D80E2400000000010D00000D702909B30966478A168622D1D80E240001FCBF434C0000</t>
  </si>
  <si>
    <t>Ian Ignite2m - Velox</t>
  </si>
  <si>
    <t>mr lasagna behind Royal Exchange, London EC3V 3LF; id=2835286092</t>
  </si>
  <si>
    <t>Ross Lucas,Alison Hood,Jon Butler,Ian Salmon</t>
  </si>
  <si>
    <t>00000000A6C727E4353C314FBD93409EF639422707000D702909B30966478A168622D1D80E2400000000010D00000D702909B30966478A168622D1D80E240001FCBF43480000</t>
  </si>
  <si>
    <t>QUINTON BREAKFAST</t>
  </si>
  <si>
    <t>00000000A6C727E4353C314FBD93409EF639422707000D702909B30966478A168622D1D80E2400000000010D00000D702909B30966478A168622D1D80E240001FCBF43470000</t>
  </si>
  <si>
    <t>JB workout</t>
  </si>
  <si>
    <t>00000000A6C727E4353C314FBD93409EF639422707000D702909B30966478A168622D1D80E2400000000010D00000D702909B30966478A168622D1D80E240001FCBF43460000</t>
  </si>
  <si>
    <t>00000000A6C727E4353C314FBD93409EF639422707000D702909B30966478A168622D1D80E2400000000010D00000D702909B30966478A168622D1D80E240001FCBF43450000</t>
  </si>
  <si>
    <t>JB pickup QLB</t>
  </si>
  <si>
    <t>00000000A6C727E4353C314FBD93409EF639422707000D702909B30966478A168622D1D80E2400000000010D00000D702909B30966478A168622D1D80E240001FCBF43440000</t>
  </si>
  <si>
    <t>JD/II questions</t>
  </si>
  <si>
    <t>id=2853008945</t>
  </si>
  <si>
    <t>00000000A6C727E4353C314FBD93409EF639422707000D702909B30966478A168622D1D80E2400000000010D00000D702909B30966478A168622D1D80E240001FCBF43430000</t>
  </si>
  <si>
    <t>JD II questions</t>
  </si>
  <si>
    <t>00000000A6C727E4353C314FBD93409EF639422707000D702909B30966478A168622D1D80E2400000000010D00000D702909B30966478A168622D1D80E240001FCBF43420000</t>
  </si>
  <si>
    <t>Ross deck review and ETFSC biz plan requirements</t>
  </si>
  <si>
    <t>https://veloxfintech.zoom.us/my/buildfaster id=2741368665</t>
  </si>
  <si>
    <t>00000000A6C727E4353C314FBD93409EF639422707000D702909B30966478A168622D1D80E2400000000010D00000D702909B30966478A168622D1D80E240001FCBF43410000</t>
  </si>
  <si>
    <t xml:space="preserve"> Velox / Symphony - ECP</t>
  </si>
  <si>
    <t>mijung.kim@symphony.com,Ananth Majumdar,Ross Lucas,Jon Butler</t>
  </si>
  <si>
    <t>mijung.kim@symphony.com</t>
  </si>
  <si>
    <t>00000000A6C727E4353C314FBD93409EF639422707000D702909B30966478A168622D1D80E2400000000010D00000D702909B30966478A168622D1D80E240001FCBF434A0000</t>
  </si>
  <si>
    <t>3B web next steps</t>
  </si>
  <si>
    <t>https://veloxfintech.zoom.us/my/buildfaster id=2788588616</t>
  </si>
  <si>
    <t>Christian Schueler,Alison Hood,Jon Butler</t>
  </si>
  <si>
    <t>Christian Schueler</t>
  </si>
  <si>
    <t>00000000A6C727E4353C314FBD93409EF639422707000D702909B30966478A168622D1D80E2400000000010D00000D702909B30966478A168622D1D80E240001FCBF434B0000</t>
  </si>
  <si>
    <t>RA deck</t>
  </si>
  <si>
    <t>id=2851079223</t>
  </si>
  <si>
    <t>00000000A6C727E4353C314FBD93409EF639422707000D702909B30966478A168622D1D80E2400000000010D00000D702909B30966478A168622D1D80E24000235B01CF60000</t>
  </si>
  <si>
    <t>slides</t>
  </si>
  <si>
    <t>00000000A6C727E4353C314FBD93409EF639422707000D702909B30966478A168622D1D80E2400000000010D00000D702909B30966478A168622D1D80E240001FCBF43400000</t>
  </si>
  <si>
    <t xml:space="preserve">deck / slides </t>
  </si>
  <si>
    <t>00000000A6C727E4353C314FBD93409EF639422707000D702909B30966478A168622D1D80E2400000000010D00000D702909B30966478A168622D1D80E240001FCBF433F0000</t>
  </si>
  <si>
    <t>00000000A6C727E4353C314FBD93409EF639422707000D702909B30966478A168622D1D80E2400000000010D00000D702909B30966478A168622D1D80E240001FCBF433E0000</t>
  </si>
  <si>
    <t>ross deck</t>
  </si>
  <si>
    <t>id=2841440527</t>
  </si>
  <si>
    <t>00000000A6C727E4353C314FBD93409EF639422707000D702909B30966478A168622D1D80E2400000000010D00000D702909B30966478A168622D1D80E240001FCBF433D0000</t>
  </si>
  <si>
    <t xml:space="preserve">Velox/Xinthesys follow up </t>
  </si>
  <si>
    <t>https://veloxfintech.zoom.us/j/84721399550?pwd=C0I3WdCFGe7TvFsabmYN8nuYU_O9uv.1&amp;from=addon; id=2857168355</t>
  </si>
  <si>
    <t>00000000A6C727E4353C314FBD93409EF639422707000D702909B30966478A168622D1D80E2400000000010D00000D702909B30966478A168622D1D80E24000235B01CF50000</t>
  </si>
  <si>
    <t>00000000A6C727E4353C314FBD93409EF639422707000D702909B30966478A168622D1D80E2400000000010D00000D702909B30966478A168622D1D80E240001FCBF433B0000</t>
  </si>
  <si>
    <t>Catch up</t>
  </si>
  <si>
    <t>https://veloxfintech.zoom.us/j/83883889003?pwd=-Wcxxpe36tXgF0HKcgk2qCmq5Hn99B.1&amp;from=addon; id=2192778972</t>
  </si>
  <si>
    <t>Ali Moosavi,Jon Butler,Alison Hood</t>
  </si>
  <si>
    <t>00000000A6C727E4353C314FBD93409EF639422707000D702909B30966478A168622D1D80E2400000000010D00000D702909B30966478A168622D1D80E240001FCBF433C0000</t>
  </si>
  <si>
    <t>00000000A6C727E4353C314FBD93409EF639422707000D702909B30966478A168622D1D80E2400000000010D00000D702909B30966478A168622D1D80E240001FCBF433A0000</t>
  </si>
  <si>
    <t>TT/Velox Intro</t>
  </si>
  <si>
    <t>https://us02web.zoom.us/j/84468238444?pwd=opdnFC4M6IBDk9JnYKByS6c9G2knAp.1&amp;from=addon; id=2784118521</t>
  </si>
  <si>
    <t>Steve Grob,Bharat Mittal,Jon Butler</t>
  </si>
  <si>
    <t>00000000A6C727E4353C314FBD93409EF639422707000D702909B30966478A168622D1D80E2400000000010D00000D702909B30966478A168622D1D80E24000235B01CF20000</t>
  </si>
  <si>
    <t>EDI - Velox - intro</t>
  </si>
  <si>
    <t>https://veloxfintech.zoom.us/j/86163493128?pwd=TewmoCyqvFcC55Qzo6oqR_EnLFr80e.1&amp;from=addon</t>
  </si>
  <si>
    <t>Ross Lucas,Jonathan Bloch,Jon Butler</t>
  </si>
  <si>
    <t>00000000A6C727E4353C314FBD93409EF639422707000D702909B30966478A168622D1D80E2400000000010D00000D702909B30966478A168622D1D80E24000235B01CF10000</t>
  </si>
  <si>
    <t>00000000A6C727E4353C314FBD93409EF639422707000D702909B30966478A168622D1D80E2400000000010D00000D702909B30966478A168622D1D80E240001FCBF43390000</t>
  </si>
  <si>
    <t>00000000A6C727E4353C314FBD93409EF639422707000D702909B30966478A168622D1D80E2400000000010D00000D702909B30966478A168622D1D80E240001FCBF43380000</t>
  </si>
  <si>
    <t>00000000A6C727E4353C314FBD93409EF639422707000D702909B30966478A168622D1D80E2400000000010D00000D702909B30966478A168622D1D80E240001FCBF43370000</t>
  </si>
  <si>
    <t>CG contract</t>
  </si>
  <si>
    <t>id=2820223314</t>
  </si>
  <si>
    <t>00000000A6C727E4353C314FBD93409EF639422707000D702909B30966478A168622D1D80E2400000000010D00000D702909B30966478A168622D1D80E240001FCBF43360000</t>
  </si>
  <si>
    <t>chris - ross deck</t>
  </si>
  <si>
    <t>00000000A6C727E4353C314FBD93409EF639422707000D702909B30966478A168622D1D80E2400000000010D00000D702909B30966478A168622D1D80E240001FCBF43350000</t>
  </si>
  <si>
    <t>00000000A6C727E4353C314FBD93409EF639422707000D702909B30966478A168622D1D80E2400000000010D00000D702909B30966478A168622D1D80E240001FCBF43340000</t>
  </si>
  <si>
    <t>business cards (InDesign)</t>
  </si>
  <si>
    <t>id=2288968321</t>
  </si>
  <si>
    <t>00000000A6C727E4353C314FBD93409EF639422707000D702909B30966478A168622D1D80E2400000000010D00000D702909B30966478A168622D1D80E240001FCBF43330000</t>
  </si>
  <si>
    <t>00000000A6C727E4353C314FBD93409EF639422707000D702909B30966478A168622D1D80E2400000000010D00000D702909B30966478A168622D1D80E240001FCBF43320000</t>
  </si>
  <si>
    <t>00000000A6C727E4353C314FBD93409EF639422707000D702909B30966478A168622D1D80E2400000000010D00000D702909B30966478A168622D1D80E240001FCBF43310000</t>
  </si>
  <si>
    <t>Alison / CG / Ian</t>
  </si>
  <si>
    <t>00000000A6C727E4353C314FBD93409EF639422707000D702909B30966478A168622D1D80E2400000000010D00000D702909B30966478A168622D1D80E240001FCBF43300000</t>
  </si>
  <si>
    <t>new website</t>
  </si>
  <si>
    <t>id=2837089663</t>
  </si>
  <si>
    <t>00000000A6C727E4353C314FBD93409EF639422707000D702909B30966478A168622D1D80E2400000000010D00000D702909B30966478A168622D1D80E240001FCBF432F0000</t>
  </si>
  <si>
    <t>web site</t>
  </si>
  <si>
    <t>00000000A6C727E4353C314FBD93409EF639422707000D702909B30966478A168622D1D80E2400000000010D00000D702909B30966478A168622D1D80E240001FCBF432E0000</t>
  </si>
  <si>
    <t>new website content</t>
  </si>
  <si>
    <t>00000000A6C727E4353C314FBD93409EF639422707000D702909B30966478A168622D1D80E2400000000010D00000D702909B30966478A168622D1D80E240001FCBF432D0000</t>
  </si>
  <si>
    <t>QUINTOIN BREAKFAST</t>
  </si>
  <si>
    <t>00000000A6C727E4353C314FBD93409EF639422707000D702909B30966478A168622D1D80E2400000000010D00000D702909B30966478A168622D1D80E240001FCBF432C0000</t>
  </si>
  <si>
    <t>Pick up QUINTON</t>
  </si>
  <si>
    <t>00000000A6C727E4353C314FBD93409EF639422707000D702909B30966478A168622D1D80E2400000000010D00000D702909B30966478A168622D1D80E240001FCBF432B0000</t>
  </si>
  <si>
    <t>ian</t>
  </si>
  <si>
    <t>00000000A6C727E4353C314FBD93409EF639422707000D702909B30966478A168622D1D80E2400000000010D00000D702909B30966478A168622D1D80E240001FCBF432A0000</t>
  </si>
  <si>
    <t>00000000A6C727E4353C314FBD93409EF639422707000D702909B30966478A168622D1D80E2400000000010D00000D702909B30966478A168622D1D80E240001FCBF43290000</t>
  </si>
  <si>
    <t>00000000A6C727E4353C314FBD93409EF639422707000D702909B30966478A168622D1D80E2400000000010D00000D702909B30966478A168622D1D80E240001FCBF43280000</t>
  </si>
  <si>
    <t>Ian</t>
  </si>
  <si>
    <t>00000000A6C727E4353C314FBD93409EF639422707000D702909B30966478A168622D1D80E2400000000010D00000D702909B30966478A168622D1D80E240001FCBF43270000</t>
  </si>
  <si>
    <t>00000000A6C727E4353C314FBD93409EF639422707000D702909B30966478A168622D1D80E2400000000010D00000D702909B30966478A168622D1D80E240002324317780000</t>
  </si>
  <si>
    <t>monday bugs</t>
  </si>
  <si>
    <t>00000000A6C727E4353C314FBD93409EF639422707000D702909B30966478A168622D1D80E2400000000010D00000D702909B30966478A168622D1D80E240001FCBF43260000</t>
  </si>
  <si>
    <t>00000000A6C727E4353C314FBD93409EF639422707000D702909B30966478A168622D1D80E2400000000010D00000D702909B30966478A168622D1D80E240001FCBF43250000</t>
  </si>
  <si>
    <t>00000000A6C727E4353C314FBD93409EF639422707000D702909B30966478A168622D1D80E2400000000010D00000D702909B30966478A168622D1D80E240001FCBF43240000</t>
  </si>
  <si>
    <t>Monday / Alison</t>
  </si>
  <si>
    <t>00000000A6C727E4353C314FBD93409EF639422707000D702909B30966478A168622D1D80E2400000000010D00000D702909B30966478A168622D1D80E240001FCBF43230000</t>
  </si>
  <si>
    <t>00000000A6C727E4353C314FBD93409EF639422707000D702909B30966478A168622D1D80E2400000000010D00000D702909B30966478A168622D1D80E240001FCBF43220000</t>
  </si>
  <si>
    <t>CG</t>
  </si>
  <si>
    <t>id=2831177172</t>
  </si>
  <si>
    <t>00000000A6C727E4353C314FBD93409EF639422707000D702909B30966478A168622D1D80E2400000000010D00000D702909B30966478A168622D1D80E240001FCBF43200000</t>
  </si>
  <si>
    <t>00000000A6C727E4353C314FBD93409EF639422707000D702909B30966478A168622D1D80E2400000000010D00000D702909B30966478A168622D1D80E240001FCBF431F0000</t>
  </si>
  <si>
    <t>00000000A6C727E4353C314FBD93409EF639422707000D702909B30966478A168622D1D80E2400000000010D00000D702909B30966478A168622D1D80E240002324317770000</t>
  </si>
  <si>
    <t>RA and CG SOC2</t>
  </si>
  <si>
    <t>00000000A6C727E4353C314FBD93409EF639422707000D702909B30966478A168622D1D80E2400000000010D00000D702909B30966478A168622D1D80E240002324317760000</t>
  </si>
  <si>
    <t>00000000A6C727E4353C314FBD93409EF639422707000D702909B30966478A168622D1D80E2400000000010D00000D702909B30966478A168622D1D80E240002324317750000</t>
  </si>
  <si>
    <t>Mike / RA</t>
  </si>
  <si>
    <t>id=2836882253</t>
  </si>
  <si>
    <t>00000000A6C727E4353C314FBD93409EF639422707000D702909B30966478A168622D1D80E2400000000010D00000D702909B30966478A168622D1D80E240002324317740000</t>
  </si>
  <si>
    <t>00000000A6C727E4353C314FBD93409EF639422707000D702909B30966478A168622D1D80E2400000000010D00000D702909B30966478A168622D1D80E240001FCBF431E0000</t>
  </si>
  <si>
    <t>00000000A6C727E4353C314FBD93409EF639422707000D702909B30966478A168622D1D80E2400000000010D00000D702909B30966478A168622D1D80E240001FCBF431D0000</t>
  </si>
  <si>
    <t>00000000A6C727E4353C314FBD93409EF639422707000D702909B30966478A168622D1D80E2400000000010D00000D702909B30966478A168622D1D80E240001FCBF431C0000</t>
  </si>
  <si>
    <t>3B web</t>
  </si>
  <si>
    <t>Christian Schueler,Jon Butler,Alison Hood</t>
  </si>
  <si>
    <t>00000000A6C727E4353C314FBD93409EF639422707000D702909B30966478A168622D1D80E2400000000010D00000D702909B30966478A168622D1D80E240001DC1953D80000</t>
  </si>
  <si>
    <t>chris</t>
  </si>
  <si>
    <t>00000000A6C727E4353C314FBD93409EF639422707000D702909B30966478A168622D1D80E2400000000010D00000D702909B30966478A168622D1D80E240001FCBF431B0000</t>
  </si>
  <si>
    <t>00000000A6C727E4353C314FBD93409EF639422707000D702909B30966478A168622D1D80E2400000000010D00000D702909B30966478A168622D1D80E240001FCBF431A0000</t>
  </si>
  <si>
    <t>Jon / Eric #2</t>
  </si>
  <si>
    <t>eric@magic.dev,Jon Butler</t>
  </si>
  <si>
    <t>eric@magic.dev</t>
  </si>
  <si>
    <t>00000000A6C727E4353C314FBD93409EF639422707000D702909B30966478A168622D1D80E2400000000010D00000D702909B30966478A168622D1D80E240001DC1953D70000</t>
  </si>
  <si>
    <t>Jon/Eric</t>
  </si>
  <si>
    <t>Jon Butler,eric@magic.dev</t>
  </si>
  <si>
    <t>00000000A6C727E4353C314FBD93409EF639422707000D702909B30966478A168622D1D80E2400000000010D00000D702909B30966478A168622D1D80E240001FCBF43190000</t>
  </si>
  <si>
    <t>00000000A6C727E4353C314FBD93409EF639422707000D702909B30966478A168622D1D80E2400000000010D00000D702909B30966478A168622D1D80E240001FCBF43180000</t>
  </si>
  <si>
    <t>00000000A6C727E4353C314FBD93409EF639422707000D702909B30966478A168622D1D80E2400000000010D00000D702909B30966478A168622D1D80E240001FCBF43170000</t>
  </si>
  <si>
    <t>00000000A6C727E4353C314FBD93409EF639422707000D702909B30966478A168622D1D80E2400000000010D00000D702909B30966478A168622D1D80E240001FCBF43160000</t>
  </si>
  <si>
    <t>MFS prep</t>
  </si>
  <si>
    <t>id=2824064339</t>
  </si>
  <si>
    <t>00000000A6C727E4353C314FBD93409EF639422707000D702909B30966478A168622D1D80E2400000000010D00000D702909B30966478A168622D1D80E240001FCBF43150000</t>
  </si>
  <si>
    <t>The Solutions Architect Role</t>
  </si>
  <si>
    <t>Microsoft Teams Meeting; id=2793094551</t>
  </si>
  <si>
    <t>Andy Browning,pandrea@gmail.com,Jon Butler</t>
  </si>
  <si>
    <t>Andy Browning</t>
  </si>
  <si>
    <t>00000000A6C727E4353C314FBD93409EF639422707000D702909B30966478A168622D1D80E2400000000010D00000D702909B30966478A168622D1D80E240001FCBF43140000</t>
  </si>
  <si>
    <t>valantic prep</t>
  </si>
  <si>
    <t>id=2793094551</t>
  </si>
  <si>
    <t>00000000A6C727E4353C314FBD93409EF639422707000D702909B30966478A168622D1D80E2400000000010D00000D702909B30966478A168622D1D80E240001FCBF43130000</t>
  </si>
  <si>
    <t>00000000A6C727E4353C314FBD93409EF639422707000D702909B30966478A168622D1D80E2400000000010D00000D702909B30966478A168622D1D80E240001FCBF43120000</t>
  </si>
  <si>
    <t>QUINTON - Pick Up</t>
  </si>
  <si>
    <t>00000000A6C727E4353C314FBD93409EF639422707000D702909B30966478A168622D1D80E2400000000010D00000D702909B30966478A168622D1D80E240001FCBF43110000</t>
  </si>
  <si>
    <t>workout - HARD</t>
  </si>
  <si>
    <t>00000000A6C727E4353C314FBD93409EF639422707000D702909B30966478A168622D1D80E2400000000010D00000D702909B30966478A168622D1D80E240001FCBF43100000</t>
  </si>
  <si>
    <t>00000000A6C727E4353C314FBD93409EF639422707000D702909B30966478A168622D1D80E2400000000010D00000D702909B30966478A168622D1D80E240001FCBF430F0000</t>
  </si>
  <si>
    <t>00000000A6C727E4353C314FBD93409EF639422707000D702909B30966478A168622D1D80E2400000000010D00000D702909B30966478A168622D1D80E240001FCBF430E0000</t>
  </si>
  <si>
    <t>00000000A6C727E4353C314FBD93409EF639422707000D702909B30966478A168622D1D80E2400000000010D00000D702909B30966478A168622D1D80E240001FCBF430D0000</t>
  </si>
  <si>
    <t>alison / monday</t>
  </si>
  <si>
    <t>00000000A6C727E4353C314FBD93409EF639422707000D702909B30966478A168622D1D80E2400000000010D00000D702909B30966478A168622D1D80E240001FCBF430B0000</t>
  </si>
  <si>
    <t>luigi</t>
  </si>
  <si>
    <t>00000000A6C727E4353C314FBD93409EF639422707000D702909B30966478A168622D1D80E2400000000010D00000D702909B30966478A168622D1D80E240001FCBF430A0000</t>
  </si>
  <si>
    <t>Review CalcGuard comments</t>
  </si>
  <si>
    <t>https://us02web.zoom.us/j/8708608670 id=2820223314</t>
  </si>
  <si>
    <t>Alison Hood,Jon Butler,Ali Moosavi</t>
  </si>
  <si>
    <t>00000000A6C727E4353C314FBD93409EF639422707000D702909B30966478A168622D1D80E2400000000010D00000D702909B30966478A168622D1D80E240001FCBF430C0000</t>
  </si>
  <si>
    <t>id=2819735767</t>
  </si>
  <si>
    <t>00000000A6C727E4353C314FBD93409EF639422707000D702909B30966478A168622D1D80E2400000000010D00000D702909B30966478A168622D1D80E240001FCBF43090000</t>
  </si>
  <si>
    <t>id=2816846270</t>
  </si>
  <si>
    <t>00000000A6C727E4353C314FBD93409EF639422707000D702909B30966478A168622D1D80E2400000000010D00000D702909B30966478A168622D1D80E240001FCBF43080000</t>
  </si>
  <si>
    <t>Jon/Luigi</t>
  </si>
  <si>
    <t>Jon Butler,Luigi Marino</t>
  </si>
  <si>
    <t>00000000A6C727E4353C314FBD93409EF639422707000D702909B30966478A168622D1D80E2400000000010D00000D702909B30966478A168622D1D80E240001FCBF43070000</t>
  </si>
  <si>
    <t>final review non func trads</t>
  </si>
  <si>
    <t>Microsoft Teams Meeting; id=2802455923</t>
  </si>
  <si>
    <t>Aaron Pryce,Jon Butler</t>
  </si>
  <si>
    <t>Aaron Pryce</t>
  </si>
  <si>
    <t>00000000A6C727E4353C314FBD93409EF639422707000D702909B30966478A168622D1D80E2400000000010D00000D702909B30966478A168622D1D80E240001FCBF43060000</t>
  </si>
  <si>
    <t>trident</t>
  </si>
  <si>
    <t>id=2738771077</t>
  </si>
  <si>
    <t>00000000A6C727E4353C314FBD93409EF639422707000D702909B30966478A168622D1D80E2400000000010D00000D702909B30966478A168622D1D80E240001FCBF43040000</t>
  </si>
  <si>
    <t>monday report / monday updates / admin</t>
  </si>
  <si>
    <t>00000000A6C727E4353C314FBD93409EF639422707000D702909B30966478A168622D1D80E2400000000010D00000D702909B30966478A168622D1D80E240001FCBF43030000</t>
  </si>
  <si>
    <t>slide re-org</t>
  </si>
  <si>
    <t>00000000A6C727E4353C314FBD93409EF639422707000D702909B30966478A168622D1D80E2400000000010D00000D702909B30966478A168622D1D80E240001FCBF43020000</t>
  </si>
  <si>
    <t>00000000A6C727E4353C314FBD93409EF639422707000D702909B30966478A168622D1D80E2400000000010D00000D702909B30966478A168622D1D80E240001FCBF43010000</t>
  </si>
  <si>
    <t>00000000A6C727E4353C314FBD93409EF639422707000D702909B30966478A168622D1D80E2400000000010D00000D702909B30966478A168622D1D80E240001FCBF43000000</t>
  </si>
  <si>
    <t>prep for overview</t>
  </si>
  <si>
    <t>00000000A6C727E4353C314FBD93409EF639422707000D702909B30966478A168622D1D80E2400000000010D00000D702909B30966478A168622D1D80E240001FCBF42FF0000</t>
  </si>
  <si>
    <t>00000000A6C727E4353C314FBD93409EF639422707000D702909B30966478A168622D1D80E2400000000010D00000D702909B30966478A168622D1D80E240001FCBF42FE0000</t>
  </si>
  <si>
    <t>Velox Fin Tech &lt;&gt; Management Update</t>
  </si>
  <si>
    <t>Microsoft Teams Meeting; Boardroom; 15 Rathbone Place; id=2788675947</t>
  </si>
  <si>
    <t>Elena Unugur,Alison Hood,Jason Yan,Jon Butler,Graham Tuckwell,Chloe Barlass,Louise Bale,Ian Lansdell,Martyn James,Mark Weeks,Boardroom,Boardroom</t>
  </si>
  <si>
    <t>Elena Unugur</t>
  </si>
  <si>
    <t>00000000A6C727E4353C314FBD93409EF639422707000D702909B30966478A168622D1D80E2400000000010D00000D702909B30966478A168622D1D80E240001FCBF43050000</t>
  </si>
  <si>
    <t>capsule update</t>
  </si>
  <si>
    <t>00000000A6C727E4353C314FBD93409EF639422707000D702909B30966478A168622D1D80E2400000000010D00000D702909B30966478A168622D1D80E240001FCBF42FD0000</t>
  </si>
  <si>
    <t>monday followups</t>
  </si>
  <si>
    <t>00000000A6C727E4353C314FBD93409EF639422707000D702909B30966478A168622D1D80E2400000000010D00000D702909B30966478A168622D1D80E240001FCBF42FC0000</t>
  </si>
  <si>
    <t>00000000A6C727E4353C314FBD93409EF639422707000D702909B30966478A168622D1D80E2400000000010D00000D702909B30966478A168622D1D80E240001FCBF42FB0000</t>
  </si>
  <si>
    <t>Bernie/Giles/Jon - Lunch Catchup</t>
  </si>
  <si>
    <t>Electric Bar &amp; Diner at The Ned London; id=2211699767</t>
  </si>
  <si>
    <t>Jon Butler,Bernie Thurston,Giles Sarton,Giles Sarton</t>
  </si>
  <si>
    <t>00000000A6C727E4353C314FBD93409EF639422707000D702909B30966478A168622D1D80E2400000000010D00000D702909B30966478A168622D1D80E240001FCBF42FA0000</t>
  </si>
  <si>
    <t>valantic interview</t>
  </si>
  <si>
    <t>00000000A6C727E4353C314FBD93409EF639422707000D702909B30966478A168622D1D80E2400000000010D00000D702909B30966478A168622D1D80E240001FCBF42F90000</t>
  </si>
  <si>
    <t>TT Deck</t>
  </si>
  <si>
    <t>id=2784118817</t>
  </si>
  <si>
    <t>00000000A6C727E4353C314FBD93409EF639422707000D702909B30966478A168622D1D80E2400000000010D00000D702909B30966478A168622D1D80E240002311415A70000</t>
  </si>
  <si>
    <t>ALi</t>
  </si>
  <si>
    <t>00000000A6C727E4353C314FBD93409EF639422707000D702909B30966478A168622D1D80E2400000000010D00000D702909B30966478A168622D1D80E240001FCBF42F80000</t>
  </si>
  <si>
    <t>00000000A6C727E4353C314FBD93409EF639422707000D702909B30966478A168622D1D80E2400000000010D00000D702909B30966478A168622D1D80E240002311415A60000</t>
  </si>
  <si>
    <t>00000000A6C727E4353C314FBD93409EF639422707000D702909B30966478A168622D1D80E2400000000010D00000D702909B30966478A168622D1D80E240002311415A50000</t>
  </si>
  <si>
    <t>Velox 101 &amp; Case study kick-off</t>
  </si>
  <si>
    <t>https://us02web.zoom.us/j/8708608670; id=2823606000</t>
  </si>
  <si>
    <t>Alison Hood,Jon Butler,Ian Salmon,Christian Schueler,Ross Lucas</t>
  </si>
  <si>
    <t>00000000A6C727E4353C314FBD93409EF639422707000D702909B30966478A168622D1D80E2400000000010D00000D702909B30966478A168622D1D80E240001DC1953D50000</t>
  </si>
  <si>
    <t>Creative Mines/Velox follow up</t>
  </si>
  <si>
    <t>https://veloxfintech.zoom.us/j/81627370085?pwd=bkdPTGZYYkM4aFZMbVA1anRlcnJBZz09&amp;from=addon</t>
  </si>
  <si>
    <t>Ali Moosavi,jake@creativemines.dev,Jon Butler</t>
  </si>
  <si>
    <t>00000000A6C727E4353C314FBD93409EF639422707000D702909B30966478A168622D1D80E2400000000010D00000D702909B30966478A168622D1D80E240001DC1953D20000</t>
  </si>
  <si>
    <t>Website changes - 3B</t>
  </si>
  <si>
    <t>https://veloxfintech.zoom.us/j/87366465012?from=addon; id=2788588616</t>
  </si>
  <si>
    <t>00000000A6C727E4353C314FBD93409EF639422707000D702909B30966478A168622D1D80E2400000000010D00000D702909B30966478A168622D1D80E240001FCBF42F70000</t>
  </si>
  <si>
    <t>tt deck</t>
  </si>
  <si>
    <t>00000000A6C727E4353C314FBD93409EF639422707000D702909B30966478A168622D1D80E2400000000010D00000D702909B30966478A168622D1D80E240001FCBF42F60000</t>
  </si>
  <si>
    <t>tradition</t>
  </si>
  <si>
    <t>id=2802455923</t>
  </si>
  <si>
    <t>00000000A6C727E4353C314FBD93409EF639422707000D702909B30966478A168622D1D80E2400000000010D00000D702909B30966478A168622D1D80E240001FCBF42F50000</t>
  </si>
  <si>
    <t>00000000A6C727E4353C314FBD93409EF639422707000D702909B30966478A168622D1D80E2400000000010D00000D702909B30966478A168622D1D80E240001FCBF42F40000</t>
  </si>
  <si>
    <t>00000000A6C727E4353C314FBD93409EF639422707000D702909B30966478A168622D1D80E2400000000010D00000D702909B30966478A168622D1D80E240001FCBF42F30000</t>
  </si>
  <si>
    <t>trident and monday report</t>
  </si>
  <si>
    <t>00000000A6C727E4353C314FBD93409EF639422707000D702909B30966478A168622D1D80E2400000000010D00000D702909B30966478A168622D1D80E240001FCBF42F20000</t>
  </si>
  <si>
    <t>00000000A6C727E4353C314FBD93409EF639422707000D702909B30966478A168622D1D80E2400000000010D00000D702909B30966478A168622D1D80E240001FCBF42EF0000</t>
  </si>
  <si>
    <t>00000000A6C727E4353C314FBD93409EF639422707000D702909B30966478A168622D1D80E2400000000010D00000D702909B30966478A168622D1D80E240001FCBF42EE0000</t>
  </si>
  <si>
    <t>MFS/Velox call - Follow up to AIR Summit</t>
  </si>
  <si>
    <t>https://veloxfintech.zoom.us/j/87890627438?pwd=YmdRb0lpVW4vaVppRGR6V1RQRm91dz09&amp;from=addon</t>
  </si>
  <si>
    <t>Ali Moosavi,Delgado, Manuel,mbutterfield@mfs.com,Jon Butler,Cohen, Harry,McCarthy, Michael</t>
  </si>
  <si>
    <t>00000000A6C727E4353C314FBD93409EF639422707000D702909B30966478A168622D1D80E2400000000010D00000D702909B30966478A168622D1D80E240001FCBF42F00000</t>
  </si>
  <si>
    <t>00000000A6C727E4353C314FBD93409EF639422707000D702909B30966478A168622D1D80E2400000000010D00000D702909B30966478A168622D1D80E240001FCBF42ED0000</t>
  </si>
  <si>
    <t>exegy prep</t>
  </si>
  <si>
    <t>id=2805523756</t>
  </si>
  <si>
    <t>00000000A6C727E4353C314FBD93409EF639422707000D702909B30966478A168622D1D80E2400000000010D00000D702909B30966478A168622D1D80E240001FCBF42EC0000</t>
  </si>
  <si>
    <t>exegy oreo</t>
  </si>
  <si>
    <t>00000000A6C727E4353C314FBD93409EF639422707000D702909B30966478A168622D1D80E2400000000010D00000D702909B30966478A168622D1D80E240001FCBF42EB0000</t>
  </si>
  <si>
    <t>desktop interop</t>
  </si>
  <si>
    <t>id=2797021620</t>
  </si>
  <si>
    <t>00000000A6C727E4353C314FBD93409EF639422707000D702909B30966478A168622D1D80E2400000000010D00000D702909B30966478A168622D1D80E240001FCBF42EA0000</t>
  </si>
  <si>
    <t>Dinner at Hawksmoor Guildhall - Jon, Joachim, Ansgar, Peter, Andy</t>
  </si>
  <si>
    <t>Hawksmoor Guildhall, 10 Basinghall St   id=2193345640</t>
  </si>
  <si>
    <t>Andy Browning,Jon Butler,Joachim Lauterbach,Peter Holmgren,Ansgar Bruell</t>
  </si>
  <si>
    <t>00000000A6C727E4353C314FBD93409EF639422707000D702909B30966478A168622D1D80E2400000000010D00000D702909B30966478A168622D1D80E240001DC1953E00000</t>
  </si>
  <si>
    <t>00000000A6C727E4353C314FBD93409EF639422707000D702909B30966478A168622D1D80E2400000000010D00000D702909B30966478A168622D1D80E240001FCBF42E80000</t>
  </si>
  <si>
    <t>deck for TT</t>
  </si>
  <si>
    <t>00000000A6C727E4353C314FBD93409EF639422707000D702909B30966478A168622D1D80E2400000000010D00000D702909B30966478A168622D1D80E240001FCBF42E70000</t>
  </si>
  <si>
    <t>TT deck</t>
  </si>
  <si>
    <t>00000000A6C727E4353C314FBD93409EF639422707000D702909B30966478A168622D1D80E2400000000010D00000D702909B30966478A168622D1D80E240001FCBF42E60000</t>
  </si>
  <si>
    <t>trads non functional</t>
  </si>
  <si>
    <t>00000000A6C727E4353C314FBD93409EF639422707000D702909B30966478A168622D1D80E2400000000010D00000D702909B30966478A168622D1D80E240001FCBF42E50000</t>
  </si>
  <si>
    <t>00000000A6C727E4353C314FBD93409EF639422707000D702909B30966478A168622D1D80E2400000000010D00000D702909B30966478A168622D1D80E240001FCBF42E40000</t>
  </si>
  <si>
    <t>00000000A6C727E4353C314FBD93409EF639422707000D702909B30966478A168622D1D80E2400000000010D00000D702909B30966478A168622D1D80E240001FCBF42E30000</t>
  </si>
  <si>
    <t>chris overrun</t>
  </si>
  <si>
    <t>00000000A6C727E4353C314FBD93409EF639422707000D702909B30966478A168622D1D80E2400000000010D00000D702909B30966478A168622D1D80E240001FCBF42E20000</t>
  </si>
  <si>
    <t>00000000A6C727E4353C314FBD93409EF639422707000D702909B30966478A168622D1D80E2400000000010D00000D702909B30966478A168622D1D80E240001FCBF42E10000</t>
  </si>
  <si>
    <t>id=2789334505</t>
  </si>
  <si>
    <t>00000000A6C727E4353C314FBD93409EF639422707000D702909B30966478A168622D1D80E2400000000010D00000D702909B30966478A168622D1D80E240001FCBF42DE0000</t>
  </si>
  <si>
    <t>AIR</t>
  </si>
  <si>
    <t>00000000A6C727E4353C314FBD93409EF639422707000D702909B30966478A168622D1D80E2400000000010D00000D702909B30966478A168622D1D80E240001FCBF42DC0000</t>
  </si>
  <si>
    <t>ali AIR</t>
  </si>
  <si>
    <t>00000000A6C727E4353C314FBD93409EF639422707000D702909B30966478A168622D1D80E2400000000010D00000D702909B30966478A168622D1D80E240001FCBF42DB0000</t>
  </si>
  <si>
    <t>deskop picker</t>
  </si>
  <si>
    <t>00000000A6C727E4353C314FBD93409EF639422707000D702909B30966478A168622D1D80E2400000000010D00000D702909B30966478A168622D1D80E240001FCBF42DA0000</t>
  </si>
  <si>
    <t>Prospect Valuation</t>
  </si>
  <si>
    <t>id=2794468996</t>
  </si>
  <si>
    <t>00000000A6C727E4353C314FBD93409EF639422707000D702909B30966478A168622D1D80E2400000000010D00000D702909B30966478A168622D1D80E2400022F23C3490000</t>
  </si>
  <si>
    <t>slide deck loader</t>
  </si>
  <si>
    <t>00000000A6C727E4353C314FBD93409EF639422707000D702909B30966478A168622D1D80E2400000000010D00000D702909B30966478A168622D1D80E240001FCBF42D90000</t>
  </si>
  <si>
    <t>get vba libraries functioning</t>
  </si>
  <si>
    <t>00000000A6C727E4353C314FBD93409EF639422707000D702909B30966478A168622D1D80E2400000000010D00000D702909B30966478A168622D1D80E240001FCBF42D80000</t>
  </si>
  <si>
    <t>propeect valuer</t>
  </si>
  <si>
    <t>00000000A6C727E4353C314FBD93409EF639422707000D702909B30966478A168622D1D80E2400000000010D00000D702909B30966478A168622D1D80E240001FCBF42D70000</t>
  </si>
  <si>
    <t>00000000A6C727E4353C314FBD93409EF639422707000D702909B30966478A168622D1D80E2400000000010D00000D702909B30966478A168622D1D80E240001FCBF42D60000</t>
  </si>
  <si>
    <t>00000000A6C727E4353C314FBD93409EF639422707000D702909B30966478A168622D1D80E2400000000010D00000D702909B30966478A168622D1D80E240001FCBF42D50000</t>
  </si>
  <si>
    <t>Prospect valuation</t>
  </si>
  <si>
    <t>00000000A6C727E4353C314FBD93409EF639422707000D702909B30966478A168622D1D80E2400000000010D00000D702909B30966478A168622D1D80E240001FCBF42D40000</t>
  </si>
  <si>
    <t>00000000A6C727E4353C314FBD93409EF639422707000D702909B30966478A168622D1D80E2400000000010D00000D702909B30966478A168622D1D80E240001FCBF42D30000</t>
  </si>
  <si>
    <t>00000000A6C727E4353C314FBD93409EF639422707000D702909B30966478A168622D1D80E2400000000010D00000D702909B30966478A168622D1D80E240001FCBF42D20000</t>
  </si>
  <si>
    <t>00000000A6C727E4353C314FBD93409EF639422707000D702909B30966478A168622D1D80E2400000000010D00000D702909B30966478A168622D1D80E2400022C2CA6870000</t>
  </si>
  <si>
    <t>00000000A6C727E4353C314FBD93409EF639422707000D702909B30966478A168622D1D80E2400000000010D00000D702909B30966478A168622D1D80E2400022C2CA6860000</t>
  </si>
  <si>
    <t>Use Cases and Projects</t>
  </si>
  <si>
    <t>00000000A6C727E4353C314FBD93409EF639422707000D702909B30966478A168622D1D80E2400000000010D00000D702909B30966478A168622D1D80E240001FCBF42E00000</t>
  </si>
  <si>
    <t>Overview and demo</t>
  </si>
  <si>
    <t>00000000A6C727E4353C314FBD93409EF639422707000D702909B30966478A168622D1D80E2400000000010D00000D702909B30966478A168622D1D80E240001FCBF42DF0000</t>
  </si>
  <si>
    <t>React to vFSA LinkedIn post</t>
  </si>
  <si>
    <t>Christian Schueler,Jon Butler</t>
  </si>
  <si>
    <t>00000000A6C727E4353C314FBD93409EF639422707000D702909B30966478A168622D1D80E2400000000010D00000D702909B30966478A168622D1D80E240001FCBF42DD0000</t>
  </si>
  <si>
    <t>capsule prep</t>
  </si>
  <si>
    <t>00000000A6C727E4353C314FBD93409EF639422707000D702909B30966478A168622D1D80E2400000000010D00000D702909B30966478A168622D1D80E240001FCBF42D10000</t>
  </si>
  <si>
    <t>capsule</t>
  </si>
  <si>
    <t>00000000A6C727E4353C314FBD93409EF639422707000D702909B30966478A168622D1D80E2400000000010D00000D702909B30966478A168622D1D80E240001FCBF42D00000</t>
  </si>
  <si>
    <t>trads</t>
  </si>
  <si>
    <t>00000000A6C727E4353C314FBD93409EF639422707000D702909B30966478A168622D1D80E2400000000010D00000D702909B30966478A168622D1D80E240001FCBF42CF0000</t>
  </si>
  <si>
    <t>Catch-up part 2</t>
  </si>
  <si>
    <t>Andy Browning,Jon Butler</t>
  </si>
  <si>
    <t>00000000A6C727E4353C314FBD93409EF639422707000D702909B30966478A168622D1D80E2400000000010D00000D702909B30966478A168622D1D80E240001FCBF42CE0000</t>
  </si>
  <si>
    <t>00000000A6C727E4353C314FBD93409EF639422707000D702909B30966478A168622D1D80E2400000000010D00000D702909B30966478A168622D1D80E240001FCBF42CC0000</t>
  </si>
  <si>
    <t>00000000A6C727E4353C314FBD93409EF639422707000D702909B30966478A168622D1D80E2400000000010D00000D702909B30966478A168622D1D80E2400022C2CA67F0000</t>
  </si>
  <si>
    <t>London Trip</t>
  </si>
  <si>
    <t>00000000A6C727E4353C314FBD93409EF639422707000D702909B30966478A168622D1D80E2400000000010D00000D702909B30966478A168622D1D80E2400022C2CA67E0000</t>
  </si>
  <si>
    <t>00000000A6C727E4353C314FBD93409EF639422707000D702909B30966478A168622D1D80E2400000000010D00000D702909B30966478A168622D1D80E240001FCBF42CB0000</t>
  </si>
  <si>
    <t>Review Trident Proposal</t>
  </si>
  <si>
    <t>https://us02web.zoom.us/j/8708608670 id=2738771077</t>
  </si>
  <si>
    <t>00000000A6C727E4353C314FBD93409EF639422707000D702909B30966478A168622D1D80E2400000000010D00000D702909B30966478A168622D1D80E240001FCBF42CA0000</t>
  </si>
  <si>
    <t>00000000A6C727E4353C314FBD93409EF639422707000D702909B30966478A168622D1D80E2400000000010D00000D702909B30966478A168622D1D80E2400022C2CA67C0000</t>
  </si>
  <si>
    <t>00000000A6C727E4353C314FBD93409EF639422707000D702909B30966478A168622D1D80E2400000000010D00000D702909B30966478A168622D1D80E240001FCBF42C90000</t>
  </si>
  <si>
    <t>00000000A6C727E4353C314FBD93409EF639422707000D702909B30966478A168622D1D80E2400000000010D00000D702909B30966478A168622D1D80E240001FCBF42C80000</t>
  </si>
  <si>
    <t>Ross- Jon - catchup and prospect next steps.</t>
  </si>
  <si>
    <t>https://veloxfintech.zoom.us/j/85771430280?pwd=MUgrWTlwbG44aUhTVmtqMjN6R1pDdz09&amp;from=addon; id=2530384030</t>
  </si>
  <si>
    <t>00000000A6C727E4353C314FBD93409EF639422707000D702909B30966478A168622D1D80E2400000000010D00000D702909B30966478A168622D1D80E240001FCBF42C70000</t>
  </si>
  <si>
    <t>Aquis - Velox Fintech</t>
  </si>
  <si>
    <t>https://veloxfintech.zoom.us/j/83127417710?pwd=YjIyd0ZGL2ttY2hqblU0SW1jdUg5UT09&amp;from=addon</t>
  </si>
  <si>
    <t>Ross Lucas,Jon Butler,Adrian Ip</t>
  </si>
  <si>
    <t>00000000A6C727E4353C314FBD93409EF639422707000D702909B30966478A168622D1D80E2400000000010D00000D702909B30966478A168622D1D80E240001DC1953D40000</t>
  </si>
  <si>
    <t>ross</t>
  </si>
  <si>
    <t>00000000A6C727E4353C314FBD93409EF639422707000D702909B30966478A168622D1D80E2400000000010D00000D702909B30966478A168622D1D80E240001FCBF42C60000</t>
  </si>
  <si>
    <t>00000000A6C727E4353C314FBD93409EF639422707000D702909B30966478A168622D1D80E2400000000010D00000D702909B30966478A168622D1D80E240001FCBF42C50000</t>
  </si>
  <si>
    <t>00000000A6C727E4353C314FBD93409EF639422707000D702909B30966478A168622D1D80E2400000000010D00000D702909B30966478A168622D1D80E240001FCBF42C40000</t>
  </si>
  <si>
    <t>00000000A6C727E4353C314FBD93409EF639422707000D702909B30966478A168622D1D80E2400000000010D00000D702909B30966478A168622D1D80E240001FCBF42C30000</t>
  </si>
  <si>
    <t>00000000A6C727E4353C314FBD93409EF639422707000D702909B30966478A168622D1D80E2400000000010D00000D702909B30966478A168622D1D80E240001FCBF42C20000</t>
  </si>
  <si>
    <t>trads nonfunc review</t>
  </si>
  <si>
    <t>Aaron Pryce,Jon Butler,Deepak Dhayatker</t>
  </si>
  <si>
    <t>00000000A6C727E4353C314FBD93409EF639422707000D702909B30966478A168622D1D80E2400000000010D00000D702909B30966478A168622D1D80E240001FCBF42C10000</t>
  </si>
  <si>
    <t>admin / mizuho slides</t>
  </si>
  <si>
    <t>00000000A6C727E4353C314FBD93409EF639422707000D702909B30966478A168622D1D80E2400000000010D00000D702909B30966478A168622D1D80E240001FCBF42C00000</t>
  </si>
  <si>
    <t>JB at QLB field day</t>
  </si>
  <si>
    <t>00000000A6C727E4353C314FBD93409EF639422707000D702909B30966478A168622D1D80E2400000000010D00000D702909B30966478A168622D1D80E240001FCBF42BF0000</t>
  </si>
  <si>
    <t>00000000A6C727E4353C314FBD93409EF639422707000D702909B30966478A168622D1D80E2400000000010D00000D702909B30966478A168622D1D80E240001FCBF42BE0000</t>
  </si>
  <si>
    <t>slides / mizuho / cog</t>
  </si>
  <si>
    <t>00000000A6C727E4353C314FBD93409EF639422707000D702909B30966478A168622D1D80E2400000000010D00000D702909B30966478A168622D1D80E240001FCBF42BD0000</t>
  </si>
  <si>
    <t>00000000A6C727E4353C314FBD93409EF639422707000D702909B30966478A168622D1D80E2400000000010D00000D702909B30966478A168622D1D80E240001FCBF42BC0000</t>
  </si>
  <si>
    <t>3B</t>
  </si>
  <si>
    <t>00000000A6C727E4353C314FBD93409EF639422707000D702909B30966478A168622D1D80E2400000000010D00000D702909B30966478A168622D1D80E240001FCBF42BB0000</t>
  </si>
  <si>
    <t>ross / admin</t>
  </si>
  <si>
    <t>00000000A6C727E4353C314FBD93409EF639422707000D702909B30966478A168622D1D80E2400000000010D00000D702909B30966478A168622D1D80E240001FCBF42BA0000</t>
  </si>
  <si>
    <t>Jon/Ross - Weekly Catchup (Tue/Thur)</t>
  </si>
  <si>
    <t>00000000A6C727E4353C314FBD93409EF639422707000D702909B30966478A168622D1D80E2400000000010D00000D702909B30966478A168622D1D80E240001FCBF20B90000</t>
  </si>
  <si>
    <t>linked in / website test</t>
  </si>
  <si>
    <t>00000000A6C727E4353C314FBD93409EF639422707000D702909B30966478A168622D1D80E2400000000010D00000D702909B30966478A168622D1D80E240001FCBF20B60000</t>
  </si>
  <si>
    <t>valantic management dashboards</t>
  </si>
  <si>
    <t>00000000A6C727E4353C314FBD93409EF639422707000D702909B30966478A168622D1D80E2400000000010D00000D702909B30966478A168622D1D80E240001FCBF20B50000</t>
  </si>
  <si>
    <t>data for chris</t>
  </si>
  <si>
    <t>00000000A6C727E4353C314FBD93409EF639422707000D702909B30966478A168622D1D80E2400000000010D00000D702909B30966478A168622D1D80E240001FCBF20B40000</t>
  </si>
  <si>
    <t>00000000A6C727E4353C314FBD93409EF639422707000D702909B30966478A168622D1D80E2400000000010D00000D702909B30966478A168622D1D80E240001FCBF20B30000</t>
  </si>
  <si>
    <t>Core brand document</t>
  </si>
  <si>
    <t>https://veloxfintech.zoom.us/j/83684422111?from=addon</t>
  </si>
  <si>
    <t>00000000A6C727E4353C314FBD93409EF639422707000D702909B30966478A168622D1D80E2400000000010D00000D702909B30966478A168622D1D80E2400022C2CA6760000</t>
  </si>
  <si>
    <t xml:space="preserve">Valantic dashboards - Desktop Interop differentiator </t>
  </si>
  <si>
    <t>https://veloxfintech.zoom.us/j/83775489092?pwd=UGNHVnllSWdFZm05ckNTMGZXNGEwdz09&amp;from=addon</t>
  </si>
  <si>
    <t>Ali Moosavi,Jon Butler,Alison Hood,Christian Schueler,Ross Lucas</t>
  </si>
  <si>
    <t>00000000A6C727E4353C314FBD93409EF639422707000D702909B30966478A168622D1D80E2400000000010D00000D702909B30966478A168622D1D80E240001FCBF20B80000</t>
  </si>
  <si>
    <t>00000000A6C727E4353C314FBD93409EF639422707000D702909B30966478A168622D1D80E2400000000010D00000D702909B30966478A168622D1D80E240001FCBF20B10000</t>
  </si>
  <si>
    <t>mizuho</t>
  </si>
  <si>
    <t>00000000A6C727E4353C314FBD93409EF639422707000D702909B30966478A168622D1D80E2400000000010D00000D702909B30966478A168622D1D80E240001FCBF20B00000</t>
  </si>
  <si>
    <t>mnizuho</t>
  </si>
  <si>
    <t>00000000A6C727E4353C314FBD93409EF639422707000D702909B30966478A168622D1D80E2400000000010D00000D702909B30966478A168622D1D80E240001FCBF20AF0000</t>
  </si>
  <si>
    <t>00000000A6C727E4353C314FBD93409EF639422707000D702909B30966478A168622D1D80E2400000000010D00000D702909B30966478A168622D1D80E240001FCBF20AE0000</t>
  </si>
  <si>
    <t>Slide deck - mizuho</t>
  </si>
  <si>
    <t>00000000A6C727E4353C314FBD93409EF639422707000D702909B30966478A168622D1D80E2400000000010D00000D702909B30966478A168622D1D80E2400022A7472260000</t>
  </si>
  <si>
    <t>00000000A6C727E4353C314FBD93409EF639422707000D702909B30966478A168622D1D80E2400000000010D00000D702909B30966478A168622D1D80E240001FCBF20AD0000</t>
  </si>
  <si>
    <t>00000000A6C727E4353C314FBD93409EF639422707000D702909B30966478A168622D1D80E2400000000010D00000D702909B30966478A168622D1D80E240001FCBF20AC0000</t>
  </si>
  <si>
    <t>LinkedIn</t>
  </si>
  <si>
    <t>00000000A6C727E4353C314FBD93409EF639422707000D702909B30966478A168622D1D80E2400000000010D00000D702909B30966478A168622D1D80E2400022A7472240000</t>
  </si>
  <si>
    <t>use cases</t>
  </si>
  <si>
    <t>00000000A6C727E4353C314FBD93409EF639422707000D702909B30966478A168622D1D80E2400000000010D00000D702909B30966478A168622D1D80E240001FCBF20AB0000</t>
  </si>
  <si>
    <t>Jon/Ali - Desktop/Server Interop</t>
  </si>
  <si>
    <t>00000000A6C727E4353C314FBD93409EF639422707000D702909B30966478A168622D1D80E2400000000010D00000D702909B30966478A168622D1D80E2400022A7472230000</t>
  </si>
  <si>
    <t>Mike/Jon - Catchup</t>
  </si>
  <si>
    <t>00000000A6C727E4353C314FBD93409EF639422707000D702909B30966478A168622D1D80E2400000000010D00000D702909B30966478A168622D1D80E2400022A7472220000</t>
  </si>
  <si>
    <t>mike / rapid</t>
  </si>
  <si>
    <t>00000000A6C727E4353C314FBD93409EF639422707000D702909B30966478A168622D1D80E2400000000010D00000D702909B30966478A168622D1D80E2400022A7472210000</t>
  </si>
  <si>
    <t>00000000A6C727E4353C314FBD93409EF639422707000D702909B30966478A168622D1D80E2400000000010D00000D702909B30966478A168622D1D80E2400022A7472200000</t>
  </si>
  <si>
    <t>Velox website updates</t>
  </si>
  <si>
    <t>Jon Butler,Alex Bremer,Alison Hood,Christian Schueler</t>
  </si>
  <si>
    <t>00000000A6C727E4353C314FBD93409EF639422707000D702909B30966478A168622D1D80E2400000000010D00000D702909B30966478A168622D1D80E240001FCBF20AA0000</t>
  </si>
  <si>
    <t>00000000A6C727E4353C314FBD93409EF639422707000D702909B30966478A168622D1D80E2400000000010D00000D702909B30966478A168622D1D80E2400022A74721F0000</t>
  </si>
  <si>
    <t>mike rapid / trads</t>
  </si>
  <si>
    <t>00000000A6C727E4353C314FBD93409EF639422707000D702909B30966478A168622D1D80E2400000000010D00000D702909B30966478A168622D1D80E2400022A74721E0000</t>
  </si>
  <si>
    <t>00000000A6C727E4353C314FBD93409EF639422707000D702909B30966478A168622D1D80E2400000000010D00000D702909B30966478A168622D1D80E240001FCBF20A90000</t>
  </si>
  <si>
    <t>00000000A6C727E4353C314FBD93409EF639422707000D702909B30966478A168622D1D80E2400000000010D00000D702909B30966478A168622D1D80E240001FCBF20A80000</t>
  </si>
  <si>
    <t>00000000A6C727E4353C314FBD93409EF639422707000D702909B30966478A168622D1D80E2400000000010D00000D702909B30966478A168622D1D80E240001FCBF20A70000</t>
  </si>
  <si>
    <t>00000000A6C727E4353C314FBD93409EF639422707000D702909B30966478A168622D1D80E2400000000010D00000D702909B30966478A168622D1D80E240001FCBF20A60000</t>
  </si>
  <si>
    <t>FIDO</t>
  </si>
  <si>
    <t>id=2584367786</t>
  </si>
  <si>
    <t>00000000A6C727E4353C314FBD93409EF639422707000D702909B30966478A168622D1D80E2400000000010D00000D702909B30966478A168622D1D80E240001FCBF20A50000</t>
  </si>
  <si>
    <t>00000000A6C727E4353C314FBD93409EF639422707000D702909B30966478A168622D1D80E2400000000010D00000D702909B30966478A168622D1D80E240001FCBF20A40000</t>
  </si>
  <si>
    <t>00000000A6C727E4353C314FBD93409EF639422707000D702909B30966478A168622D1D80E2400000000010D00000D702909B30966478A168622D1D80E2400022A74721C0000</t>
  </si>
  <si>
    <t>00000000A6C727E4353C314FBD93409EF639422707000D702909B30966478A168622D1D80E2400000000010D00000D702909B30966478A168622D1D80E240001FCBF20A30000</t>
  </si>
  <si>
    <t>00000000A6C727E4353C314FBD93409EF639422707000D702909B30966478A168622D1D80E2400000000010D00000D702909B30966478A168622D1D80E2400022A74721B0000</t>
  </si>
  <si>
    <t>00000000A6C727E4353C314FBD93409EF639422707000D702909B30966478A168622D1D80E2400000000010D00000D702909B30966478A168622D1D80E240001FCBF20A20000</t>
  </si>
  <si>
    <t>00000000A6C727E4353C314FBD93409EF639422707000D702909B30966478A168622D1D80E2400000000010D00000D702909B30966478A168622D1D80E240001FCBF20A10000</t>
  </si>
  <si>
    <t>00000000A6C727E4353C314FBD93409EF639422707000D702909B30966478A168622D1D80E2400000000010D00000D702909B30966478A168622D1D80E24000229CF28210000</t>
  </si>
  <si>
    <t>00000000A6C727E4353C314FBD93409EF639422707000D702909B30966478A168622D1D80E2400000000010D00000D702909B30966478A168622D1D80E24000229CF28200000</t>
  </si>
  <si>
    <t>00000000A6C727E4353C314FBD93409EF639422707000D702909B30966478A168622D1D80E2400000000010D00000D702909B30966478A168622D1D80E24000229CF281F0000</t>
  </si>
  <si>
    <t>00000000A6C727E4353C314FBD93409EF639422707000D702909B30966478A168622D1D80E2400000000010D00000D702909B30966478A168622D1D80E240001FCBF20A00000</t>
  </si>
  <si>
    <t>00000000A6C727E4353C314FBD93409EF639422707000D702909B30966478A168622D1D80E2400000000010D00000D702909B30966478A168622D1D80E24000229CF281E0000</t>
  </si>
  <si>
    <t>00000000A6C727E4353C314FBD93409EF639422707000D702909B30966478A168622D1D80E2400000000010D00000D702909B30966478A168622D1D80E24000229CF281D0000</t>
  </si>
  <si>
    <t>00000000A6C727E4353C314FBD93409EF639422707000D702909B30966478A168622D1D80E2400000000010D00000D702909B30966478A168622D1D80E240001FCBF209F0000</t>
  </si>
  <si>
    <t>00000000A6C727E4353C314FBD93409EF639422707000D702909B30966478A168622D1D80E2400000000010D00000D702909B30966478A168622D1D80E2400022786F0E20000</t>
  </si>
  <si>
    <t>00000000A6C727E4353C314FBD93409EF639422707000D702909B30966478A168622D1D80E2400000000010D00000D702909B30966478A168622D1D80E2400022786F0E10000</t>
  </si>
  <si>
    <t>00000000A6C727E4353C314FBD93409EF639422707000D702909B30966478A168622D1D80E2400000000010D00000D702909B30966478A168622D1D80E2400022786F0E00000</t>
  </si>
  <si>
    <t>00000000A6C727E4353C314FBD93409EF639422707000D702909B30966478A168622D1D80E2400000000010D00000D702909B30966478A168622D1D80E240001FCBF209E0000</t>
  </si>
  <si>
    <t>00000000A6C727E4353C314FBD93409EF639422707000D702909B30966478A168622D1D80E2400000000010D00000D702909B30966478A168622D1D80E240001FCBF209D0000</t>
  </si>
  <si>
    <t>00000000A6C727E4353C314FBD93409EF639422707000D702909B30966478A168622D1D80E2400000000010D00000D702909B30966478A168622D1D80E240001FCBF209C0000</t>
  </si>
  <si>
    <t>CG video</t>
  </si>
  <si>
    <t>00000000A6C727E4353C314FBD93409EF639422707000D702909B30966478A168622D1D80E2400000000010D00000D702909B30966478A168622D1D80E240001FCBF209A0000</t>
  </si>
  <si>
    <t>Latest deck</t>
  </si>
  <si>
    <t>id=2404032503</t>
  </si>
  <si>
    <t>00000000A6C727E4353C314FBD93409EF639422707000D702909B30966478A168622D1D80E2400000000010D00000D702909B30966478A168622D1D80E240001FCBF20990000</t>
  </si>
  <si>
    <t>vFSA-Velox campaign briefing</t>
  </si>
  <si>
    <t>Nadine Bürger,Jon Butler,Andy Browning,Xavier Sarras</t>
  </si>
  <si>
    <t>Nadine Bürger</t>
  </si>
  <si>
    <t>00000000A6C727E4353C314FBD93409EF639422707000D702909B30966478A168622D1D80E2400000000010D00000D702909B30966478A168622D1D80E240001FCBF20980000</t>
  </si>
  <si>
    <t>00000000A6C727E4353C314FBD93409EF639422707000D702909B30966478A168622D1D80E2400000000010D00000D702909B30966478A168622D1D80E240001FCBF20970000</t>
  </si>
  <si>
    <t>00000000A6C727E4353C314FBD93409EF639422707000D702909B30966478A168622D1D80E2400000000010D00000D702909B30966478A168622D1D80E240001FCBF20960000</t>
  </si>
  <si>
    <t>00000000A6C727E4353C314FBD93409EF639422707000D702909B30966478A168622D1D80E2400000000010D00000D702909B30966478A168622D1D80E240001FCBF20950000</t>
  </si>
  <si>
    <t>00000000A6C727E4353C314FBD93409EF639422707000D702909B30966478A168622D1D80E2400000000010D00000D702909B30966478A168622D1D80E240001FCBF20930000</t>
  </si>
  <si>
    <t>bernie / SIX</t>
  </si>
  <si>
    <t>00000000A6C727E4353C314FBD93409EF639422707000D702909B30966478A168622D1D80E2400000000010D00000D702909B30966478A168622D1D80E240001FCBF20920000</t>
  </si>
  <si>
    <t>Jon at School</t>
  </si>
  <si>
    <t>00000000A6C727E4353C314FBD93409EF639422707000D702909B30966478A168622D1D80E2400000000010D00000D702909B30966478A168622D1D80E240001FCBF20910000</t>
  </si>
  <si>
    <t>00000000A6C727E4353C314FBD93409EF639422707000D702909B30966478A168622D1D80E2400000000010D00000D702909B30966478A168622D1D80E240001FCBF20900000</t>
  </si>
  <si>
    <t>00000000A6C727E4353C314FBD93409EF639422707000D702909B30966478A168622D1D80E2400000000010D00000D702909B30966478A168622D1D80E240001FCBF208F0000</t>
  </si>
  <si>
    <t>Catch up Ali</t>
  </si>
  <si>
    <t>https://veloxfintech.zoom.us/j/85714794857?from=addon</t>
  </si>
  <si>
    <t>Christian Schueler,Ali Moosavi,Jon Butler,Alison Hood</t>
  </si>
  <si>
    <t>00000000A6C727E4353C314FBD93409EF639422707000D702909B30966478A168622D1D80E2400000000010D00000D702909B30966478A168622D1D80E2400022786F0DA0000</t>
  </si>
  <si>
    <t>Mizuho</t>
  </si>
  <si>
    <t>00000000A6C727E4353C314FBD93409EF639422707000D702909B30966478A168622D1D80E2400000000010D00000D702909B30966478A168622D1D80E240001FCBF208E0000</t>
  </si>
  <si>
    <t>Jon Butler - Damien</t>
  </si>
  <si>
    <t>Zoom</t>
  </si>
  <si>
    <t>Damien Jenner,Jon Butler</t>
  </si>
  <si>
    <t>Damien Jenner</t>
  </si>
  <si>
    <t>00000000A6C727E4353C314FBD93409EF639422707000D702909B30966478A168622D1D80E2400000000010D00000D702909B30966478A168622D1D80E2400022786F0D80000</t>
  </si>
  <si>
    <t>00000000A6C727E4353C314FBD93409EF639422707000D702909B30966478A168622D1D80E2400000000010D00000D702909B30966478A168622D1D80E240001FCBF208D0000</t>
  </si>
  <si>
    <t>id=2752024432</t>
  </si>
  <si>
    <t>00000000A6C727E4353C314FBD93409EF639422707000D702909B30966478A168622D1D80E2400000000010D00000D702909B30966478A168622D1D80E240001FCBF208C0000</t>
  </si>
  <si>
    <t>Introductions - Rob/Jon/Alison</t>
  </si>
  <si>
    <t>Alison Hood,rob.lane@lseg.com,Jon Butler,Steve Grob</t>
  </si>
  <si>
    <t>00000000A6C727E4353C314FBD93409EF639422707000D702909B30966478A168622D1D80E2400000000010D00000D702909B30966478A168622D1D80E240002053421C20000</t>
  </si>
  <si>
    <t>00000000A6C727E4353C314FBD93409EF639422707000D702909B30966478A168622D1D80E2400000000010D00000D702909B30966478A168622D1D80E240001FCBF208B0000</t>
  </si>
  <si>
    <t>00000000A6C727E4353C314FBD93409EF639422707000D702909B30966478A168622D1D80E2400000000010D00000D702909B30966478A168622D1D80E2400022786F0D60000</t>
  </si>
  <si>
    <t>00000000A6C727E4353C314FBD93409EF639422707000D702909B30966478A168622D1D80E2400000000010D00000D702909B30966478A168622D1D80E2400022786F0D50000</t>
  </si>
  <si>
    <t>00000000A6C727E4353C314FBD93409EF639422707000D702909B30966478A168622D1D80E2400000000010D00000D702909B30966478A168622D1D80E240001FCBF208A0000</t>
  </si>
  <si>
    <t>Pete Jefferies</t>
  </si>
  <si>
    <t>00000000A6C727E4353C314FBD93409EF639422707000D702909B30966478A168622D1D80E2400000000010D00000D702909B30966478A168622D1D80E240001FCBF20890000</t>
  </si>
  <si>
    <t>00000000A6C727E4353C314FBD93409EF639422707000D702909B30966478A168622D1D80E2400000000010D00000D702909B30966478A168622D1D80E240001FCBF20880000</t>
  </si>
  <si>
    <t>nadine MMG</t>
  </si>
  <si>
    <t>id=2743920032</t>
  </si>
  <si>
    <t>00000000A6C727E4353C314FBD93409EF639422707000D702909B30966478A168622D1D80E2400000000010D00000D702909B30966478A168622D1D80E240002053421C10000</t>
  </si>
  <si>
    <t>00000000A6C727E4353C314FBD93409EF639422707000D702909B30966478A168622D1D80E2400000000010D00000D702909B30966478A168622D1D80E240001FCBF20870000</t>
  </si>
  <si>
    <t>Ian - Velox - case study discussion</t>
  </si>
  <si>
    <t>https://veloxfintech.zoom.us/j/81265094472?pwd=a2xZNVZCN1FwU3IxN3JSb3pqaWI4QT09&amp;from=addon; id=2823606000</t>
  </si>
  <si>
    <t>Ross Lucas,Ian Salmon,Jon Butler,Alison Hood,Christian Schueler</t>
  </si>
  <si>
    <t>00000000A6C727E4353C314FBD93409EF639422707000D702909B30966478A168622D1D80E2400000000010D00000D702909B30966478A168622D1D80E240001FCBF20850000</t>
  </si>
  <si>
    <t>Canceled: 3B - Velox - 3b proposal review</t>
  </si>
  <si>
    <t>https://veloxfintech.zoom.us/j/82299333588?pwd=enVGcDlKd1BLRk9XVjBUYWpsVkRTZz09&amp;from=addon</t>
  </si>
  <si>
    <t>Ross Lucas,Alison Hood,Jon Butler,Jack Bremer,Christian Schueler,Alex Bremer</t>
  </si>
  <si>
    <t>00000000A6C727E4353C314FBD93409EF639422707000D702909B30966478A168622D1D80E2400000000010D00000D702909B30966478A168622D1D80E240001FCBF20860000</t>
  </si>
  <si>
    <t>Symphony - prep internal</t>
  </si>
  <si>
    <t>https://veloxfintech.zoom.us/j/88285814069?pwd=ZVZpRTJxNldEY245MFBmS3B4cnJhZz09&amp;from=addon; id=2747888385</t>
  </si>
  <si>
    <t>00000000A6C727E4353C314FBD93409EF639422707000D702909B30966478A168622D1D80E2400000000010D00000D702909B30966478A168622D1D80E240001FCBF20B70000</t>
  </si>
  <si>
    <t>Ross Lucas's Zoom Meeting</t>
  </si>
  <si>
    <t>https://veloxfintech.zoom.us/j/89956214132?pwd=S214VlNFS2Z5NzFBVmVnUnQxRU5EZz09&amp;from=addon</t>
  </si>
  <si>
    <t>00000000A6C727E4353C314FBD93409EF639422707000D702909B30966478A168622D1D80E2400000000010D00000D702909B30966478A168622D1D80E2400022786F0D10000</t>
  </si>
  <si>
    <t>website fixes</t>
  </si>
  <si>
    <t>00000000A6C727E4353C314FBD93409EF639422707000D702909B30966478A168622D1D80E2400000000010D00000D702909B30966478A168622D1D80E240001FCBF20830000</t>
  </si>
  <si>
    <t>00000000A6C727E4353C314FBD93409EF639422707000D702909B30966478A168622D1D80E2400000000010D00000D702909B30966478A168622D1D80E240001FCBF20820000</t>
  </si>
  <si>
    <t>00000000A6C727E4353C314FBD93409EF639422707000D702909B30966478A168622D1D80E2400000000010D00000D702909B30966478A168622D1D80E24000225CF88090000</t>
  </si>
  <si>
    <t>00000000A6C727E4353C314FBD93409EF639422707000D702909B30966478A168622D1D80E2400000000010D00000D702909B30966478A168622D1D80E24000225CF88080000</t>
  </si>
  <si>
    <t>admnin</t>
  </si>
  <si>
    <t>00000000A6C727E4353C314FBD93409EF639422707000D702909B30966478A168622D1D80E2400000000010D00000D702909B30966478A168622D1D80E240001FCBF20810000</t>
  </si>
  <si>
    <t>website stuff</t>
  </si>
  <si>
    <t>00000000A6C727E4353C314FBD93409EF639422707000D702909B30966478A168622D1D80E2400000000010D00000D702909B30966478A168622D1D80E240001FCBF20800000</t>
  </si>
  <si>
    <t>Capsule report</t>
  </si>
  <si>
    <t>00000000A6C727E4353C314FBD93409EF639422707000D702909B30966478A168622D1D80E2400000000010D00000D702909B30966478A168622D1D80E240001FCBF207F0000</t>
  </si>
  <si>
    <t>00000000A6C727E4353C314FBD93409EF639422707000D702909B30966478A168622D1D80E2400000000010D00000D702909B30966478A168622D1D80E240001FCBF207E0000</t>
  </si>
  <si>
    <t>Cognizant next steps</t>
  </si>
  <si>
    <t>https://veloxfintech.zoom.us/j/81138335472?pwd=cXZON1FqdUdENEZ3THFOcUtRb0VYQT09&amp;from=addon</t>
  </si>
  <si>
    <t>00000000A6C727E4353C314FBD93409EF639422707000D702909B30966478A168622D1D80E2400000000010D00000D702909B30966478A168622D1D80E240001FCBF207D0000</t>
  </si>
  <si>
    <t>ross slides</t>
  </si>
  <si>
    <t>00000000A6C727E4353C314FBD93409EF639422707000D702909B30966478A168622D1D80E2400000000010D00000D702909B30966478A168622D1D80E240001FCBF207C0000</t>
  </si>
  <si>
    <t>Symphony - Velox</t>
  </si>
  <si>
    <t>https://veloxfintech.zoom.us/j/82338889715?pwd=VzhTb0ZuQ0RVZXFrTXBPWk5FOTY3dz09&amp;from=addon; id=2660288929</t>
  </si>
  <si>
    <t>Ross Lucas,Mijung Bô-Kim,Jon Butler,Umesh Patel</t>
  </si>
  <si>
    <t>00000000A6C727E4353C314FBD93409EF639422707000D702909B30966478A168622D1D80E2400000000010D00000D702909B30966478A168622D1D80E240001FCBF207B0000</t>
  </si>
  <si>
    <t>00000000A6C727E4353C314FBD93409EF639422707000D702909B30966478A168622D1D80E2400000000010D00000D702909B30966478A168622D1D80E240001FCBF207A0000</t>
  </si>
  <si>
    <t>00000000A6C727E4353C314FBD93409EF639422707000D702909B30966478A168622D1D80E2400000000010D00000D702909B30966478A168622D1D80E240001FCBF20790000</t>
  </si>
  <si>
    <t>ross followup on website</t>
  </si>
  <si>
    <t>00000000A6C727E4353C314FBD93409EF639422707000D702909B30966478A168622D1D80E2400000000010D00000D702909B30966478A168622D1D80E240001FCBF20780000</t>
  </si>
  <si>
    <t>admin/capsule/ghco</t>
  </si>
  <si>
    <t>00000000A6C727E4353C314FBD93409EF639422707000D702909B30966478A168622D1D80E2400000000010D00000D702909B30966478A168622D1D80E240001FCBF20770000</t>
  </si>
  <si>
    <t>00000000A6C727E4353C314FBD93409EF639422707000D702909B30966478A168622D1D80E2400000000010D00000D702909B30966478A168622D1D80E240001FCBF20750000</t>
  </si>
  <si>
    <t>Velox Deep Dive III</t>
  </si>
  <si>
    <t>Microsoft Teams-Besprechung</t>
  </si>
  <si>
    <t>Maik Mewes,Jon Butler,VL Frontend UI,Jason Yan,Matthias Feustel,Matthias Zenker,Ansgar Bruell,Mike Thiede,Rainer Fauth,Sebastian Schröder,Carlos Cueto Camejo,Patrick Müller,Daniel Pauer</t>
  </si>
  <si>
    <t>Maik Mewes</t>
  </si>
  <si>
    <t>00000000A6C727E4353C314FBD93409EF639422707000D702909B30966478A168622D1D80E2400000000010D00000D702909B30966478A168622D1D80E240001FCBF20760000</t>
  </si>
  <si>
    <t>Ross ETF</t>
  </si>
  <si>
    <t>00000000A6C727E4353C314FBD93409EF639422707000D702909B30966478A168622D1D80E2400000000010D00000D702909B30966478A168622D1D80E240001FCBF20740000</t>
  </si>
  <si>
    <t>Trident Proposal</t>
  </si>
  <si>
    <t>00000000A6C727E4353C314FBD93409EF639422707000D702909B30966478A168622D1D80E2400000000010D00000D702909B30966478A168622D1D80E240001FCBF20730000</t>
  </si>
  <si>
    <t>00000000A6C727E4353C314FBD93409EF639422707000D702909B30966478A168622D1D80E2400000000010D00000D702909B30966478A168622D1D80E240001FCBF20720000</t>
  </si>
  <si>
    <t>00000000A6C727E4353C314FBD93409EF639422707000D702909B30966478A168622D1D80E2400000000010D00000D702909B30966478A168622D1D80E240001FCBF20710000</t>
  </si>
  <si>
    <t>00000000A6C727E4353C314FBD93409EF639422707000D702909B30966478A168622D1D80E2400000000010D00000D702909B30966478A168622D1D80E240001FCBF20700000</t>
  </si>
  <si>
    <t>ross followup on marketing</t>
  </si>
  <si>
    <t>00000000A6C727E4353C314FBD93409EF639422707000D702909B30966478A168622D1D80E2400000000010D00000D702909B30966478A168622D1D80E240001FCBF206F0000</t>
  </si>
  <si>
    <t>00000000A6C727E4353C314FBD93409EF639422707000D702909B30966478A168622D1D80E2400000000010D00000D702909B30966478A168622D1D80E240001FCBF206E0000</t>
  </si>
  <si>
    <t>00000000A6C727E4353C314FBD93409EF639422707000D702909B30966478A168622D1D80E2400000000010D00000D702909B30966478A168622D1D80E240001FCBF206D0000</t>
  </si>
  <si>
    <t>GHCO</t>
  </si>
  <si>
    <t>00000000A6C727E4353C314FBD93409EF639422707000D702909B30966478A168622D1D80E2400000000010D00000D702909B30966478A168622D1D80E240001FCBF206C0000</t>
  </si>
  <si>
    <t>GHCO - Trident</t>
  </si>
  <si>
    <t>https://veloxfintech.zoom.us/j/86228822306?pwd=Q2lRNUNKMlNmQUwyL1ZVclhIWWFZdz09&amp;from=addon</t>
  </si>
  <si>
    <t>00000000A6C727E4353C314FBD93409EF639422707000D702909B30966478A168622D1D80E2400000000010D00000D702909B30966478A168622D1D80E24000225CF88040000</t>
  </si>
  <si>
    <t>00000000A6C727E4353C314FBD93409EF639422707000D702909B30966478A168622D1D80E2400000000010D00000D702909B30966478A168622D1D80E240001FCBF20690000</t>
  </si>
  <si>
    <t>00000000A6C727E4353C314FBD93409EF639422707000D702909B30966478A168622D1D80E2400000000010D00000D702909B30966478A168622D1D80E240001FCBF20680000</t>
  </si>
  <si>
    <t>00000000A6C727E4353C314FBD93409EF639422707000D702909B30966478A168622D1D80E2400000000010D00000D702909B30966478A168622D1D80E240001FCBF20670000</t>
  </si>
  <si>
    <t>capsule report</t>
  </si>
  <si>
    <t>00000000A6C727E4353C314FBD93409EF639422707000D702909B30966478A168622D1D80E2400000000010D00000D702909B30966478A168622D1D80E240001FCBF20660000</t>
  </si>
  <si>
    <t>Capsule Report</t>
  </si>
  <si>
    <t>00000000A6C727E4353C314FBD93409EF639422707000D702909B30966478A168622D1D80E2400000000010D00000D702909B30966478A168622D1D80E240001FCBF20650000</t>
  </si>
  <si>
    <t>capsule upload</t>
  </si>
  <si>
    <t>00000000A6C727E4353C314FBD93409EF639422707000D702909B30966478A168622D1D80E2400000000010D00000D702909B30966478A168622D1D80E240001FCBF20640000</t>
  </si>
  <si>
    <t>00000000A6C727E4353C314FBD93409EF639422707000D702909B30966478A168622D1D80E2400000000010D00000D702909B30966478A168622D1D80E240001FCBF20630000</t>
  </si>
  <si>
    <t>00000000A6C727E4353C314FBD93409EF639422707000D702909B30966478A168622D1D80E2400000000010D00000D702909B30966478A168622D1D80E240001FCBF20620000</t>
  </si>
  <si>
    <t>00000000A6C727E4353C314FBD93409EF639422707000D702909B30966478A168622D1D80E2400000000010D00000D702909B30966478A168622D1D80E240001FCBF20610000</t>
  </si>
  <si>
    <t>00000000A6C727E4353C314FBD93409EF639422707000D702909B30966478A168622D1D80E2400000000010D00000D702909B30966478A168622D1D80E240001FCBF20600000</t>
  </si>
  <si>
    <t>00000000A6C727E4353C314FBD93409EF639422707000D702909B30966478A168622D1D80E2400000000010D00000D702909B30966478A168622D1D80E240001FCBF205F0000</t>
  </si>
  <si>
    <t>CG contract review</t>
  </si>
  <si>
    <t>https://veloxfintech.zoom.us/j/89880995289?pwd=V2Z2ck9rNGEzT1M1L3ptVXVQYjJYUT09&amp;from=addon</t>
  </si>
  <si>
    <t>Ali Moosavi,Alison Hood,Jon Butler</t>
  </si>
  <si>
    <t>00000000A6C727E4353C314FBD93409EF639422707000D702909B30966478A168622D1D80E2400000000010D00000D702909B30966478A168622D1D80E240002231C74EB0000</t>
  </si>
  <si>
    <t>00000000A6C727E4353C314FBD93409EF639422707000D702909B30966478A168622D1D80E2400000000010D00000D702909B30966478A168622D1D80E240001FCBF205D0000</t>
  </si>
  <si>
    <t>00000000A6C727E4353C314FBD93409EF639422707000D702909B30966478A168622D1D80E2400000000010D00000D702909B30966478A168622D1D80E240001FCBF205C0000</t>
  </si>
  <si>
    <t>00000000A6C727E4353C314FBD93409EF639422707000D702909B30966478A168622D1D80E2400000000010D00000D702909B30966478A168622D1D80E240001FCBF205B0000</t>
  </si>
  <si>
    <t>catch up</t>
  </si>
  <si>
    <t>00000000A6C727E4353C314FBD93409EF639422707000D702909B30966478A168622D1D80E2400000000010D00000D702909B30966478A168622D1D80E240002231C74EA0000</t>
  </si>
  <si>
    <t>00000000A6C727E4353C314FBD93409EF639422707000D702909B30966478A168622D1D80E2400000000010D00000D702909B30966478A168622D1D80E240001FCBF205A0000</t>
  </si>
  <si>
    <t>valantic FSA / Velox relationship</t>
  </si>
  <si>
    <t>00000000A6C727E4353C314FBD93409EF639422707000D702909B30966478A168622D1D80E2400000000010D00000D702909B30966478A168622D1D80E240001FCBF206A0000</t>
  </si>
  <si>
    <t>00000000A6C727E4353C314FBD93409EF639422707000D702909B30966478A168622D1D80E2400000000010D00000D702909B30966478A168622D1D80E240001FCBF20590000</t>
  </si>
  <si>
    <t>Introductions to Velox</t>
  </si>
  <si>
    <t>Andy Browning,Jon Butler,Daniel Welter,Ansgar Bruell</t>
  </si>
  <si>
    <t>00000000A6C727E4353C314FBD93409EF639422707000D702909B30966478A168622D1D80E2400000000010D00000D702909B30966478A168622D1D80E240001FCBF205E0000</t>
  </si>
  <si>
    <t>Prep internal Chronicle</t>
  </si>
  <si>
    <t>https://veloxfintech.zoom.us/j/89566513683?pwd=T1g1bGVZRnA5ZHk0WUVobUhRUnNwZz09&amp;from=addon</t>
  </si>
  <si>
    <t>00000000A6C727E4353C314FBD93409EF639422707000D702909B30966478A168622D1D80E2400000000010D00000D702909B30966478A168622D1D80E240001FCBF20580000</t>
  </si>
  <si>
    <t>00000000A6C727E4353C314FBD93409EF639422707000D702909B30966478A168622D1D80E2400000000010D00000D702909B30966478A168622D1D80E240001FCBF20570000</t>
  </si>
  <si>
    <t>Xinthsys</t>
  </si>
  <si>
    <t>00000000A6C727E4353C314FBD93409EF639422707000D702909B30966478A168622D1D80E2400000000010D00000D702909B30966478A168622D1D80E240001FCBF20560000</t>
  </si>
  <si>
    <t>Xinthesys</t>
  </si>
  <si>
    <t>00000000A6C727E4353C314FBD93409EF639422707000D702909B30966478A168622D1D80E2400000000010D00000D702909B30966478A168622D1D80E240001FCBF20550000</t>
  </si>
  <si>
    <t>00000000A6C727E4353C314FBD93409EF639422707000D702909B30966478A168622D1D80E2400000000010D00000D702909B30966478A168622D1D80E240002231C74E50000</t>
  </si>
  <si>
    <t>00000000A6C727E4353C314FBD93409EF639422707000D702909B30966478A168622D1D80E2400000000010D00000D702909B30966478A168622D1D80E240001FCBF20540000</t>
  </si>
  <si>
    <t>Ali / CG</t>
  </si>
  <si>
    <t>00000000A6C727E4353C314FBD93409EF639422707000D702909B30966478A168622D1D80E2400000000010D00000D702909B30966478A168622D1D80E240001FCBF20520000</t>
  </si>
  <si>
    <t xml:space="preserve">marketing - Web next steps. </t>
  </si>
  <si>
    <t>https://veloxfintech.zoom.us/j/81162404487?pwd=ZGp0WXJCbStuaVFQZWJCejg1VjMxdz09&amp;from=addon</t>
  </si>
  <si>
    <t>Ross Lucas,Jon Butler,Alison Hood,Christian Schueler</t>
  </si>
  <si>
    <t>00000000A6C727E4353C314FBD93409EF639422707000D702909B30966478A168622D1D80E2400000000010D00000D702909B30966478A168622D1D80E240001FCBF206B0000</t>
  </si>
  <si>
    <t>00000000A6C727E4353C314FBD93409EF639422707000D702909B30966478A168622D1D80E2400000000010D00000D702909B30966478A168622D1D80E240001FCBF20500000</t>
  </si>
  <si>
    <t>POC output demo: Velox &lt;&gt; Fidelity</t>
  </si>
  <si>
    <t>https://fisv.zoom.us/j/97399515395?pwd=MHozemppbWpsM0N4R29ublFYTGtPdz09&amp;from=addon</t>
  </si>
  <si>
    <t>Mostenicky, Erik,Jon Butler,Jason Yan,Ali Moosavi,Chandrasheker, Prasad,Ashida, Yugo,Nicholas, Edward,Lloyd-Lyons, Joshua</t>
  </si>
  <si>
    <t>Mostenicky, Erik</t>
  </si>
  <si>
    <t>00000000A6C727E4353C314FBD93409EF639422707000D702909B30966478A168622D1D80E2400000000010D00000D702909B30966478A168622D1D80E240001FCBF20510000</t>
  </si>
  <si>
    <t xml:space="preserve">External Networking </t>
  </si>
  <si>
    <t>id=2724371570</t>
  </si>
  <si>
    <t>00000000A6C727E4353C314FBD93409EF639422707000D702909B30966478A168622D1D80E2400000000010D00000D702909B30966478A168622D1D80E240001FCBF204E0000</t>
  </si>
  <si>
    <t>00000000A6C727E4353C314FBD93409EF639422707000D702909B30966478A168622D1D80E2400000000010D00000D702909B30966478A168622D1D80E240001FCBF204A0000</t>
  </si>
  <si>
    <t>00000000A6C727E4353C314FBD93409EF639422707000D702909B30966478A168622D1D80E2400000000010D00000D702909B30966478A168622D1D80E240001FCBF20490000</t>
  </si>
  <si>
    <t>Monday Report</t>
  </si>
  <si>
    <t>00000000A6C727E4353C314FBD93409EF639422707000D702909B30966478A168622D1D80E2400000000010D00000D702909B30966478A168622D1D80E240001FCBF20480000</t>
  </si>
  <si>
    <t>00000000A6C727E4353C314FBD93409EF639422707000D702909B30966478A168622D1D80E2400000000010D00000D702909B30966478A168622D1D80E240001FCBF20470000</t>
  </si>
  <si>
    <t>00000000A6C727E4353C314FBD93409EF639422707000D702909B30966478A168622D1D80E2400000000010D00000D702909B30966478A168622D1D80E240001FCBF20460000</t>
  </si>
  <si>
    <t>00000000A6C727E4353C314FBD93409EF639422707000D702909B30966478A168622D1D80E2400000000010D00000D702909B30966478A168622D1D80E240001FCBF20450000</t>
  </si>
  <si>
    <t>AlyData/Velox follow up - ROI talking points</t>
  </si>
  <si>
    <t>https://veloxfintech.zoom.us/j/81456418782?pwd=QjBTdXZDbDV0Y0htQ3JBL0V1K21NUT09&amp;from=addon</t>
  </si>
  <si>
    <t>Ali Moosavi,jayzaidi@alydata.com,Jon Butler,Christian Schueler</t>
  </si>
  <si>
    <t>00000000A6C727E4353C314FBD93409EF639422707000D702909B30966478A168622D1D80E2400000000010D00000D702909B30966478A168622D1D80E240001FCBF204F0000</t>
  </si>
  <si>
    <t>00000000A6C727E4353C314FBD93409EF639422707000D702909B30966478A168622D1D80E2400000000010D00000D702909B30966478A168622D1D80E240001FCBF20440000</t>
  </si>
  <si>
    <t>00000000A6C727E4353C314FBD93409EF639422707000D702909B30966478A168622D1D80E2400000000010D00000D702909B30966478A168622D1D80E240001FCBF20430000</t>
  </si>
  <si>
    <t>00000000A6C727E4353C314FBD93409EF639422707000D702909B30966478A168622D1D80E2400000000010D00000D702909B30966478A168622D1D80E240001FCBF20420000</t>
  </si>
  <si>
    <t>ALY LV</t>
  </si>
  <si>
    <t>id=2492669852</t>
  </si>
  <si>
    <t>00000000A6C727E4353C314FBD93409EF639422707000D702909B30966478A168622D1D80E2400000000010D00000D702909B30966478A168622D1D80E240001FCBF20410000</t>
  </si>
  <si>
    <t>00000000A6C727E4353C314FBD93409EF639422707000D702909B30966478A168622D1D80E2400000000010D00000D702909B30966478A168622D1D80E240001FCBF20400000</t>
  </si>
  <si>
    <t>00000000A6C727E4353C314FBD93409EF639422707000D702909B30966478A168622D1D80E2400000000010D00000D702909B30966478A168622D1D80E240001FCBF203F0000</t>
  </si>
  <si>
    <t>00000000A6C727E4353C314FBD93409EF639422707000D702909B30966478A168622D1D80E2400000000010D00000D702909B30966478A168622D1D80E240001FCBF203E0000</t>
  </si>
  <si>
    <t>00000000A6C727E4353C314FBD93409EF639422707000D702909B30966478A168622D1D80E2400000000010D00000D702909B30966478A168622D1D80E240001FCBF203D0000</t>
  </si>
  <si>
    <t xml:space="preserve">CG/Velox kickoff </t>
  </si>
  <si>
    <t>Ali Moosavi,Alex Sargent,Timothy Sargent,Jim Northey,Jon Butler,Jason Yan,govind.jajoo,Daniel Bukowski</t>
  </si>
  <si>
    <t>00000000A6C727E4353C314FBD93409EF639422707000D702909B30966478A168622D1D80E2400000000010D00000D702909B30966478A168622D1D80E240001FCBF203C0000</t>
  </si>
  <si>
    <t>00000000A6C727E4353C314FBD93409EF639422707000D702909B30966478A168622D1D80E2400000000010D00000D702909B30966478A168622D1D80E240001FCBF203B0000</t>
  </si>
  <si>
    <t>00000000A6C727E4353C314FBD93409EF639422707000D702909B30966478A168622D1D80E2400000000010D00000D702909B30966478A168622D1D80E240001FCBF203A0000</t>
  </si>
  <si>
    <t>00000000A6C727E4353C314FBD93409EF639422707000D702909B30966478A168622D1D80E2400000000010D00000D702909B30966478A168622D1D80E240001FCBF20390000</t>
  </si>
  <si>
    <t>00000000A6C727E4353C314FBD93409EF639422707000D702909B30966478A168622D1D80E2400000000010D00000D702909B30966478A168622D1D80E240001FCBF20380000</t>
  </si>
  <si>
    <t>00000000A6C727E4353C314FBD93409EF639422707000D702909B30966478A168622D1D80E2400000000010D00000D702909B30966478A168622D1D80E240001FCBF20370000</t>
  </si>
  <si>
    <t>00000000A6C727E4353C314FBD93409EF639422707000D702909B30966478A168622D1D80E2400000000010D00000D702909B30966478A168622D1D80E240001FCBF20360000</t>
  </si>
  <si>
    <t>00000000A6C727E4353C314FBD93409EF639422707000D702909B30966478A168622D1D80E2400000000010D00000D702909B30966478A168622D1D80E240001FCBF20350000</t>
  </si>
  <si>
    <t>00000000A6C727E4353C314FBD93409EF639422707000D702909B30966478A168622D1D80E2400000000010D00000D702909B30966478A168622D1D80E240001FCBF20340000</t>
  </si>
  <si>
    <t xml:space="preserve">monday </t>
  </si>
  <si>
    <t>00000000A6C727E4353C314FBD93409EF639422707000D702909B30966478A168622D1D80E2400000000010D00000D702909B30966478A168622D1D80E240001FCBF20330000</t>
  </si>
  <si>
    <t>00000000A6C727E4353C314FBD93409EF639422707000D702909B30966478A168622D1D80E2400000000010D00000D702909B30966478A168622D1D80E240001FCBF20320000</t>
  </si>
  <si>
    <t>00000000A6C727E4353C314FBD93409EF639422707000D702909B30966478A168622D1D80E2400000000010D00000D702909B30966478A168622D1D80E240001FCBF20310000</t>
  </si>
  <si>
    <t>00000000A6C727E4353C314FBD93409EF639422707000D702909B30966478A168622D1D80E2400000000010D00000D702909B30966478A168622D1D80E240001FCBF20300000</t>
  </si>
  <si>
    <t>FW: Weekly Recap Sales Meeting</t>
  </si>
  <si>
    <t>https://veloxfintech.zoom.us/j/7778602716?pwd=eGVGUHlNOUVoT0U5NUtZdTFuZlMyZz09&amp;from=addon</t>
  </si>
  <si>
    <t>Ali Moosavi,Jon Butler,Alison Hood,Ross Lucas</t>
  </si>
  <si>
    <t>00000000A6C727E4353C314FBD93409EF639422707000D702909B30966478A168622D1D80E2400000000010D00000D702909B30966478A168622D1D80E2400021FC71B810000</t>
  </si>
  <si>
    <t>00000000A6C727E4353C314FBD93409EF639422707000D702909B30966478A168622D1D80E2400000000010D00000D702909B30966478A168622D1D80E240001FCBF202F0000</t>
  </si>
  <si>
    <t>00000000A6C727E4353C314FBD93409EF639422707000D702909B30966478A168622D1D80E2400000000010D00000D702909B30966478A168622D1D80E240001FCBF202E0000</t>
  </si>
  <si>
    <t>mizuho for cog</t>
  </si>
  <si>
    <t>00000000A6C727E4353C314FBD93409EF639422707000D702909B30966478A168622D1D80E2400000000010D00000D702909B30966478A168622D1D80E240001FCBF202D0000</t>
  </si>
  <si>
    <t>10:45 AM EDT EAR DOCTOR</t>
  </si>
  <si>
    <t>NYC</t>
  </si>
  <si>
    <t>00000000A6C727E4353C314FBD93409EF639422707000D702909B30966478A168622D1D80E2400000000010D00000D702909B30966478A168622D1D80E240001FCBF202C0000</t>
  </si>
  <si>
    <t>00000000A6C727E4353C314FBD93409EF639422707000D702909B30966478A168622D1D80E2400000000010D00000D702909B30966478A168622D1D80E240001FCBF202B0000</t>
  </si>
  <si>
    <t>AlyData</t>
  </si>
  <si>
    <t>00000000A6C727E4353C314FBD93409EF639422707000D702909B30966478A168622D1D80E2400000000010D00000D702909B30966478A168622D1D80E240001FCBF202A0000</t>
  </si>
  <si>
    <t>00000000A6C727E4353C314FBD93409EF639422707000D702909B30966478A168622D1D80E2400000000010D00000D702909B30966478A168622D1D80E240001FCBF20290000</t>
  </si>
  <si>
    <t>cg stuff</t>
  </si>
  <si>
    <t>id=2643810383</t>
  </si>
  <si>
    <t>00000000A6C727E4353C314FBD93409EF639422707000D702909B30966478A168622D1D80E2400000000010D00000D702909B30966478A168622D1D80E240001FCBF20280000</t>
  </si>
  <si>
    <t>CG stuff</t>
  </si>
  <si>
    <t>00000000A6C727E4353C314FBD93409EF639422707000D702909B30966478A168622D1D80E2400000000010D00000D702909B30966478A168622D1D80E240001FCBF20260000</t>
  </si>
  <si>
    <t xml:space="preserve">Velox - Trident ETF </t>
  </si>
  <si>
    <t>https://veloxfintech.zoom.us/j/88466166520?pwd=cjRTd053bWMwaVpaZmJBcGxlOHUvZz09&amp;from=addon</t>
  </si>
  <si>
    <t>Ross Lucas,Bernie Thurston,Jon Butler,Dan Izzo,Aurelien Dufour,Stefan Kaba-Ferreiro,Aurelien Dufour</t>
  </si>
  <si>
    <t>00000000A6C727E4353C314FBD93409EF639422707000D702909B30966478A168622D1D80E2400000000010D00000D702909B30966478A168622D1D80E240001FCBF20270000</t>
  </si>
  <si>
    <t>00000000A6C727E4353C314FBD93409EF639422707000D702909B30966478A168622D1D80E2400000000010D00000D702909B30966478A168622D1D80E240001FCBF20250000</t>
  </si>
  <si>
    <t>00000000A6C727E4353C314FBD93409EF639422707000D702909B30966478A168622D1D80E2400000000010D00000D702909B30966478A168622D1D80E240001FCBF20240000</t>
  </si>
  <si>
    <t>ali / calcguard</t>
  </si>
  <si>
    <t>00000000A6C727E4353C314FBD93409EF639422707000D702909B30966478A168622D1D80E2400000000010D00000D702909B30966478A168622D1D80E240001FCBF20230000</t>
  </si>
  <si>
    <t>00000000A6C727E4353C314FBD93409EF639422707000D702909B30966478A168622D1D80E2400000000010D00000D702909B30966478A168622D1D80E240001FCBF20220000</t>
  </si>
  <si>
    <t>capsule stuff</t>
  </si>
  <si>
    <t>00000000A6C727E4353C314FBD93409EF639422707000D702909B30966478A168622D1D80E2400000000010D00000D702909B30966478A168622D1D80E240001FCBF20210000</t>
  </si>
  <si>
    <t>00000000A6C727E4353C314FBD93409EF639422707000D702909B30966478A168622D1D80E2400000000010D00000D702909B30966478A168622D1D80E240001FCBF20200000</t>
  </si>
  <si>
    <t>00000000A6C727E4353C314FBD93409EF639422707000D702909B30966478A168622D1D80E2400000000010D00000D702909B30966478A168622D1D80E240001FCBF201F0000</t>
  </si>
  <si>
    <t>00000000A6C727E4353C314FBD93409EF639422707000D702909B30966478A168622D1D80E2400000000010D00000D702909B30966478A168622D1D80E240001FCBF201E0000</t>
  </si>
  <si>
    <t>Govind</t>
  </si>
  <si>
    <t>00000000A6C727E4353C314FBD93409EF639422707000D702909B30966478A168622D1D80E2400000000010D00000D702909B30966478A168622D1D80E240001FCBF201D0000</t>
  </si>
  <si>
    <t xml:space="preserve">web - marking update - draft plan. </t>
  </si>
  <si>
    <t>https://veloxfintech.zoom.us/j/83937520375?pwd=TWgycU0vOUdLeXZ0cExHVTYrdHBCQT09&amp;from=addon</t>
  </si>
  <si>
    <t>00000000A6C727E4353C314FBD93409EF639422707000D702909B30966478A168622D1D80E2400000000010D00000D702909B30966478A168622D1D80E240001FCBF204C0000</t>
  </si>
  <si>
    <t>ansgar</t>
  </si>
  <si>
    <t>00000000A6C727E4353C314FBD93409EF639422707000D702909B30966478A168622D1D80E2400000000010D00000D702909B30966478A168622D1D80E240001FCBF201B0000</t>
  </si>
  <si>
    <t xml:space="preserve">CalcGuard/Velox proposal follow up </t>
  </si>
  <si>
    <t>https://veloxfintech.zoom.us/j/7778602716?pwd=eGVGUHlNOUVoT0U5NUtZdTFuZlMyZz09&amp;from=addon; id=2643810383</t>
  </si>
  <si>
    <t>Ali Moosavi,Alex Sargent,Timothy Sargent,Jon Butler,Jim Northey,Alison Hood</t>
  </si>
  <si>
    <t>00000000A6C727E4353C314FBD93409EF639422707000D702909B30966478A168622D1D80E2400000000010D00000D702909B30966478A168622D1D80E240001FCBF201A0000</t>
  </si>
  <si>
    <t>00000000A6C727E4353C314FBD93409EF639422707000D702909B30966478A168622D1D80E2400000000010D00000D702909B30966478A168622D1D80E240001FCBF20190000</t>
  </si>
  <si>
    <t>Google Meet</t>
  </si>
  <si>
    <t>00000000A6C727E4353C314FBD93409EF639422707000D702909B30966478A168622D1D80E2400000000010D00000D702909B30966478A168622D1D80E240001FCBF20180000</t>
  </si>
  <si>
    <t>00000000A6C727E4353C314FBD93409EF639422707000D702909B30966478A168622D1D80E2400000000010D00000D702909B30966478A168622D1D80E240001FCBF20170000</t>
  </si>
  <si>
    <t>calcguard</t>
  </si>
  <si>
    <t>00000000A6C727E4353C314FBD93409EF639422707000D702909B30966478A168622D1D80E2400000000010D00000D702909B30966478A168622D1D80E240001FCBF20160000</t>
  </si>
  <si>
    <t>00000000A6C727E4353C314FBD93409EF639422707000D702909B30966478A168622D1D80E2400000000010D00000D702909B30966478A168622D1D80E240001FCBF20150000</t>
  </si>
  <si>
    <t>Review GHCO renewal pt 2</t>
  </si>
  <si>
    <t>Jon Butler,Jason Yan,Alison Hood</t>
  </si>
  <si>
    <t>00000000A6C727E4353C314FBD93409EF639422707000D702909B30966478A168622D1D80E2400000000010D00000D702909B30966478A168622D1D80E240001FCBF20140000</t>
  </si>
  <si>
    <t>Review final CG proposal</t>
  </si>
  <si>
    <t>Jon Butler,Ali Moosavi,Jason Yan,Alison Hood</t>
  </si>
  <si>
    <t>00000000A6C727E4353C314FBD93409EF639422707000D702909B30966478A168622D1D80E2400000000010D00000D702909B30966478A168622D1D80E240001FCBF20130000</t>
  </si>
  <si>
    <t>Pete</t>
  </si>
  <si>
    <t>00000000A6C727E4353C314FBD93409EF639422707000D702909B30966478A168622D1D80E2400000000010D00000D702909B30966478A168622D1D80E240001FCBF20120000</t>
  </si>
  <si>
    <t>00000000A6C727E4353C314FBD93409EF639422707000D702909B30966478A168622D1D80E2400000000010D00000D702909B30966478A168622D1D80E240001FCBF20110000</t>
  </si>
  <si>
    <t>JB EARS DOCTOR</t>
  </si>
  <si>
    <t>APPT 1pm</t>
  </si>
  <si>
    <t>00000000A6C727E4353C314FBD93409EF639422707000D702909B30966478A168622D1D80E2400000000010D00000D702909B30966478A168622D1D80E240001FCBF200F0000</t>
  </si>
  <si>
    <t>CalcGuard</t>
  </si>
  <si>
    <t>00000000A6C727E4353C314FBD93409EF639422707000D702909B30966478A168622D1D80E2400000000010D00000D702909B30966478A168622D1D80E240001FCBF200E0000</t>
  </si>
  <si>
    <t>id=2267783642</t>
  </si>
  <si>
    <t>00000000A6C727E4353C314FBD93409EF639422707000D702909B30966478A168622D1D80E2400000000010D00000D702909B30966478A168622D1D80E240001FCBF200D0000</t>
  </si>
  <si>
    <t>Velox / Gartner</t>
  </si>
  <si>
    <t>Kumko,Chris,Jon Butler</t>
  </si>
  <si>
    <t>Kumko,Chris</t>
  </si>
  <si>
    <t>00000000A6C727E4353C314FBD93409EF639422707000D702909B30966478A168622D1D80E2400000000010D00000D702909B30966478A168622D1D80E240001FCBF20100000</t>
  </si>
  <si>
    <t>00000000A6C727E4353C314FBD93409EF639422707000D702909B30966478A168622D1D80E2400000000010D00000D702909B30966478A168622D1D80E240002053421C00000</t>
  </si>
  <si>
    <t>VALANTIC client / product review</t>
  </si>
  <si>
    <t>https://veloxfintech.zoom.us/my/buildfaster id=2643862849</t>
  </si>
  <si>
    <t>00000000A6C727E4353C314FBD93409EF639422707000D702909B30966478A168622D1D80E2400000000010D00000D702909B30966478A168622D1D80E240001FCBF200C0000</t>
  </si>
  <si>
    <t>Catch-up on awards</t>
  </si>
  <si>
    <t>Andy Browning,Andy Browning,Jon Butler,Ross Lucas</t>
  </si>
  <si>
    <t>00000000A6C727E4353C314FBD93409EF639422707000D702909B30966478A168622D1D80E2400000000010D00000D702909B30966478A168622D1D80E240002053421BF0000</t>
  </si>
  <si>
    <t>izzo renewal</t>
  </si>
  <si>
    <t>00000000A6C727E4353C314FBD93409EF639422707000D702909B30966478A168622D1D80E2400000000010D00000D702909B30966478A168622D1D80E240001FCBF200B0000</t>
  </si>
  <si>
    <t>00000000A6C727E4353C314FBD93409EF639422707000D702909B30966478A168622D1D80E2400000000010D00000D702909B30966478A168622D1D80E240001FCBF20090000</t>
  </si>
  <si>
    <t>Calc Guard</t>
  </si>
  <si>
    <t>00000000A6C727E4353C314FBD93409EF639422707000D702909B30966478A168622D1D80E2400000000010D00000D702909B30966478A168622D1D80E240001FCBF20080000</t>
  </si>
  <si>
    <t>00000000A6C727E4353C314FBD93409EF639422707000D702909B30966478A168622D1D80E2400000000010D00000D702909B30966478A168622D1D80E240001FCBF20070000</t>
  </si>
  <si>
    <t>00000000A6C727E4353C314FBD93409EF639422707000D702909B30966478A168622D1D80E2400000000010D00000D702909B30966478A168622D1D80E240001FCBF20060000</t>
  </si>
  <si>
    <t>00000000A6C727E4353C314FBD93409EF639422707000D702909B30966478A168622D1D80E2400000000010D00000D702909B30966478A168622D1D80E240001FCBF20050000</t>
  </si>
  <si>
    <t>00000000A6C727E4353C314FBD93409EF639422707000D702909B30966478A168622D1D80E2400000000010D00000D702909B30966478A168622D1D80E240001FCBF20040000</t>
  </si>
  <si>
    <t xml:space="preserve">Chronicle Software - Velox </t>
  </si>
  <si>
    <t>https://veloxfintech.zoom.us/j/89846000451?pwd=BM_EjD29Q8LCpN2_KIOe4s-Nzunj3q.1&amp;from=addon</t>
  </si>
  <si>
    <t>Ross Lucas,Jon Butler,Peter.lawrey@chronicle.software,Jerry Shea,andrew.twigg@chronicle.software</t>
  </si>
  <si>
    <t>00000000A6C727E4353C314FBD93409EF639422707000D702909B30966478A168622D1D80E2400000000010D00000D702909B30966478A168622D1D80E240001FCBF204D0000</t>
  </si>
  <si>
    <t>00000000A6C727E4353C314FBD93409EF639422707000D702909B30966478A168622D1D80E2400000000010D00000D702909B30966478A168622D1D80E240001FCBF200A0000</t>
  </si>
  <si>
    <t>CG prep</t>
  </si>
  <si>
    <t>00000000A6C727E4353C314FBD93409EF639422707000D702909B30966478A168622D1D80E2400000000010D00000D702909B30966478A168622D1D80E240001FCBF20020000</t>
  </si>
  <si>
    <t>monday dump script</t>
  </si>
  <si>
    <t>00000000A6C727E4353C314FBD93409EF639422707000D702909B30966478A168622D1D80E2400000000010D00000D702909B30966478A168622D1D80E240001FCBF20000000</t>
  </si>
  <si>
    <t>valantic pre-sales</t>
  </si>
  <si>
    <t>00000000A6C727E4353C314FBD93409EF639422707000D702909B30966478A168622D1D80E2400000000010D00000D702909B30966478A168622D1D80E240001FCBF1FFF0000</t>
  </si>
  <si>
    <t>prep for CG</t>
  </si>
  <si>
    <t>00000000A6C727E4353C314FBD93409EF639422707000D702909B30966478A168622D1D80E2400000000010D00000D702909B30966478A168622D1D80E240001DC1953D10000</t>
  </si>
  <si>
    <t>00000000A6C727E4353C314FBD93409EF639422707000D702909B30966478A168622D1D80E2400000000010D00000D702909B30966478A168622D1D80E240001DC1953D00000</t>
  </si>
  <si>
    <t>00000000A6C727E4353C314FBD93409EF639422707000D702909B30966478A168622D1D80E2400000000010D00000D702909B30966478A168622D1D80E240001DC1953CF0000</t>
  </si>
  <si>
    <t>00000000A6C727E4353C314FBD93409EF639422707000D702909B30966478A168622D1D80E2400000000010D00000D702909B30966478A168622D1D80E240001FCBF1FFE0000</t>
  </si>
  <si>
    <t>FIDO POC</t>
  </si>
  <si>
    <t>00000000A6C727E4353C314FBD93409EF639422707000D702909B30966478A168622D1D80E2400000000010D00000D702909B30966478A168622D1D80E240001FCBF1FFD0000</t>
  </si>
  <si>
    <t>Quinton Recital</t>
  </si>
  <si>
    <t>00000000A6C727E4353C314FBD93409EF639422707000D702909B30966478A168622D1D80E2400000000010D00000D702909B30966478A168622D1D80E240001FCBF1FFC0000</t>
  </si>
  <si>
    <t>00000000A6C727E4353C314FBD93409EF639422707000D702909B30966478A168622D1D80E2400000000010D00000D702909B30966478A168622D1D80E240001FCBF1FFB0000</t>
  </si>
  <si>
    <t>00000000A6C727E4353C314FBD93409EF639422707000D702909B30966478A168622D1D80E2400000000010D00000D702909B30966478A168622D1D80E240001FCBF1FFA0000</t>
  </si>
  <si>
    <t>00000000A6C727E4353C314FBD93409EF639422707000D702909B30966478A168622D1D80E2400000000010D00000D702909B30966478A168622D1D80E240001FCBF1FF90000</t>
  </si>
  <si>
    <t>00000000A6C727E4353C314FBD93409EF639422707000D702909B30966478A168622D1D80E2400000000010D00000D702909B30966478A168622D1D80E240001FCBF1FF80000</t>
  </si>
  <si>
    <t xml:space="preserve">CG/Velox follow up - Wireframes </t>
  </si>
  <si>
    <t>Ali Moosavi,Alex Sargent,Timothy Sargent,Jon Butler</t>
  </si>
  <si>
    <t>00000000A6C727E4353C314FBD93409EF639422707000D702909B30966478A168622D1D80E2400000000010D00000D702909B30966478A168622D1D80E240001FCBF20030000</t>
  </si>
  <si>
    <t>00000000A6C727E4353C314FBD93409EF639422707000D702909B30966478A168622D1D80E2400000000010D00000D702909B30966478A168622D1D80E240001FCBF1FF70000</t>
  </si>
  <si>
    <t>Ali Moosavi,Alison Hood,Ross Lucas,Jon Butler,Christian Schueler</t>
  </si>
  <si>
    <t>00000000A6C727E4353C314FBD93409EF639422707000D702909B30966478A168622D1D80E2400000000010D00000D702909B30966478A168622D1D80E240001FCBF201C0000</t>
  </si>
  <si>
    <t>Iress  - Internal Prep.</t>
  </si>
  <si>
    <t>https://veloxfintech.zoom.us/j/81862414857?pwd=ma3wDErvkueIUnqkCvgJ0QpKFNThpg.1&amp;from=addon; id=2718689609</t>
  </si>
  <si>
    <t>00000000A6C727E4353C314FBD93409EF639422707000D702909B30966478A168622D1D80E2400000000010D00000D702909B30966478A168622D1D80E240001FCBF20010000</t>
  </si>
  <si>
    <t>CalcGuard prep</t>
  </si>
  <si>
    <t>00000000A6C727E4353C314FBD93409EF639422707000D702909B30966478A168622D1D80E2400000000010D00000D702909B30966478A168622D1D80E240001FCBF1FF40000</t>
  </si>
  <si>
    <t>Following-up</t>
  </si>
  <si>
    <t>Bahri, Vivek (Cognizant),Jon Butler,Alison Hood,Sadhotra, Aditya (Cognizant),Ross Lucas</t>
  </si>
  <si>
    <t>Vivek.Bahri@cognizant.com</t>
  </si>
  <si>
    <t>00000000A6C727E4353C314FBD93409EF639422707000D702909B30966478A168622D1D80E2400000000010D00000D702909B30966478A168622D1D80E240001FCBF1FF50000</t>
  </si>
  <si>
    <t>ULTUMUS client / product deep-dive</t>
  </si>
  <si>
    <t>Jon Butler,Christian Schueler,Alison Hood,Ross Lucas</t>
  </si>
  <si>
    <t>00000000A6C727E4353C314FBD93409EF639422707000D702909B30966478A168622D1D80E2400000000010D00000D702909B30966478A168622D1D80E240001FCBF1FF30000</t>
  </si>
  <si>
    <t>izzo</t>
  </si>
  <si>
    <t>00000000A6C727E4353C314FBD93409EF639422707000D702909B30966478A168622D1D80E2400000000010D00000D702909B30966478A168622D1D80E240001DC1953CE0000</t>
  </si>
  <si>
    <t>Sales Proc Support^ Client</t>
  </si>
  <si>
    <t>00000000A6C727E4353C314FBD93409EF639422707000D702909B30966478A168622D1D80E2400000000010D00000D702909B30966478A168622D1D80E240001FCBF1FF20000</t>
  </si>
  <si>
    <t>00000000A6C727E4353C314FBD93409EF639422707000D702909B30966478A168622D1D80E2400000000010D00000D702909B30966478A168622D1D80E240001FCBF1FF10000</t>
  </si>
  <si>
    <t>00000000A6C727E4353C314FBD93409EF639422707000D702909B30966478A168622D1D80E2400000000010D00000D702909B30966478A168622D1D80E240001FCBF1FF00000</t>
  </si>
  <si>
    <t>00000000A6C727E4353C314FBD93409EF639422707000D702909B30966478A168622D1D80E2400000000010D00000D702909B30966478A168622D1D80E240001FCBF1FEF0000</t>
  </si>
  <si>
    <t>Jon/Bernie - Catchup</t>
  </si>
  <si>
    <t>Jon Butler,Bernie Thurston</t>
  </si>
  <si>
    <t>00000000A6C727E4353C314FBD93409EF639422707000D702909B30966478A168622D1D80E2400000000010D00000D702909B30966478A168622D1D80E240001FCBF1FEE0000</t>
  </si>
  <si>
    <t>00000000A6C727E4353C314FBD93409EF639422707000D702909B30966478A168622D1D80E2400000000010D00000D702909B30966478A168622D1D80E240001FCBF1FED0000</t>
  </si>
  <si>
    <t xml:space="preserve">CalcGuard/Velox call - Proposal follow up </t>
  </si>
  <si>
    <t>Ali Moosavi,Alex Sargent,Timothy Sargent,Jon Butler,Alison Hood</t>
  </si>
  <si>
    <t>00000000A6C727E4353C314FBD93409EF639422707000D702909B30966478A168622D1D80E2400000000010D00000D702909B30966478A168622D1D80E240001FCBF1FEC0000</t>
  </si>
  <si>
    <t>Jon/Luigi catch-up</t>
  </si>
  <si>
    <t>00000000A6C727E4353C314FBD93409EF639422707000D702909B30966478A168622D1D80E2400000000010D00000D702909B30966478A168622D1D80E240001FCBF1FEB0000</t>
  </si>
  <si>
    <t>Lloyds - Prep</t>
  </si>
  <si>
    <t>Peter Holmgren,Luigi Marino,Jon Butler</t>
  </si>
  <si>
    <t>00000000A6C727E4353C314FBD93409EF639422707000D702909B30966478A168622D1D80E2400000000010D00000D702909B30966478A168622D1D80E240001FCBF1FE90000</t>
  </si>
  <si>
    <t>Lee &lt;&gt; Jon discuss pre-sales</t>
  </si>
  <si>
    <t xml:space="preserve">https://zoom.us/j/99202113665?pwd=TGxVQWlObzhSR3p1bXJRbHRTRE02UT09  </t>
  </si>
  <si>
    <t>Lee Harding - The North Starr,Jon Butler</t>
  </si>
  <si>
    <t>Lee Harding - The North Starr</t>
  </si>
  <si>
    <t>00000000A6C727E4353C314FBD93409EF639422707000D702909B30966478A168622D1D80E2400000000010D00000D702909B30966478A168622D1D80E240001FCBF1FE80000</t>
  </si>
  <si>
    <t>00000000A6C727E4353C314FBD93409EF639422707000D702909B30966478A168622D1D80E2400000000010D00000D702909B30966478A168622D1D80E240001FCBF1FE70000</t>
  </si>
  <si>
    <t>00000000A6C727E4353C314FBD93409EF639422707000D702909B30966478A168622D1D80E2400000000010D00000D702909B30966478A168622D1D80E240001FCBF1FE60000</t>
  </si>
  <si>
    <t xml:space="preserve">COSMOS Catch Up </t>
  </si>
  <si>
    <t>https://us06web.zoom.us/j/8136529227?pwd=bkplSnQrVkJCUnArYzg1VTNwMXoxUT09</t>
  </si>
  <si>
    <t>Jane Lemmon,Jason Yan,Jon Butler,Xiaolu Ye,Bernie Thurston,Matt Clarke</t>
  </si>
  <si>
    <t>00000000A6C727E4353C314FBD93409EF639422707000D702909B30966478A168622D1D80E2400000000010D00000D702909B30966478A168622D1D80E240002181321320000</t>
  </si>
  <si>
    <t>admin / chronicle</t>
  </si>
  <si>
    <t>id=2662196865</t>
  </si>
  <si>
    <t>00000000A6C727E4353C314FBD93409EF639422707000D702909B30966478A168622D1D80E2400000000010D00000D702909B30966478A168622D1D80E240001FCBF1FE40000</t>
  </si>
  <si>
    <t>00000000A6C727E4353C314FBD93409EF639422707000D702909B30966478A168622D1D80E2400000000010D00000D702909B30966478A168622D1D80E240001DC1953CD0000</t>
  </si>
  <si>
    <t>00000000A6C727E4353C314FBD93409EF639422707000D702909B30966478A168622D1D80E2400000000010D00000D702909B30966478A168622D1D80E240001FCBF1FE30000</t>
  </si>
  <si>
    <t>Velox / Symphony - Intro</t>
  </si>
  <si>
    <t>mijung.kim@symphony.com,Richard Ring,Jon Butler,Umesh Patel,Ross Lucas</t>
  </si>
  <si>
    <t>00000000A6C727E4353C314FBD93409EF639422707000D702909B30966478A168622D1D80E2400000000010D00000D702909B30966478A168622D1D80E240001DC1953C70000</t>
  </si>
  <si>
    <t>MP/JB/AH Trads catch up</t>
  </si>
  <si>
    <t>Alison Hood,Mike Powell,Jon Butler</t>
  </si>
  <si>
    <t>00000000A6C727E4353C314FBD93409EF639422707000D702909B30966478A168622D1D80E2400000000010D00000D702909B30966478A168622D1D80E240001DC1953C80000</t>
  </si>
  <si>
    <t>AlyData prep</t>
  </si>
  <si>
    <t>id=2652825603</t>
  </si>
  <si>
    <t>00000000A6C727E4353C314FBD93409EF639422707000D702909B30966478A168622D1D80E2400000000010D00000D702909B30966478A168622D1D80E240001FCBF1FE20000</t>
  </si>
  <si>
    <t>00000000A6C727E4353C314FBD93409EF639422707000D702909B30966478A168622D1D80E2400000000010D00000D702909B30966478A168622D1D80E240001FCBF1FE10000</t>
  </si>
  <si>
    <t>Aly Data</t>
  </si>
  <si>
    <t>00000000A6C727E4353C314FBD93409EF639422707000D702909B30966478A168622D1D80E2400000000010D00000D702909B30966478A168622D1D80E240001FCBF1FE00000</t>
  </si>
  <si>
    <t>BCS - RFI - next steps</t>
  </si>
  <si>
    <t>https://veloxfintech.zoom.us/j/84828265741?pwd=ZG45L2xTUGlobGg5U3kzd1hQL3ZoZz09&amp;from=addon</t>
  </si>
  <si>
    <t>Ross Lucas,Iain Clarke,Jon Butler</t>
  </si>
  <si>
    <t>00000000A6C727E4353C314FBD93409EF639422707000D702909B30966478A168622D1D80E2400000000010D00000D702909B30966478A168622D1D80E240001FCBF1FDF0000</t>
  </si>
  <si>
    <t>00000000A6C727E4353C314FBD93409EF639422707000D702909B30966478A168622D1D80E2400000000010D00000D702909B30966478A168622D1D80E240001FCBF1FDE0000</t>
  </si>
  <si>
    <t>FW: TradMatchFX - Status Review</t>
  </si>
  <si>
    <t>Sina Hakman,Jon Butler,Stanley Tang,Yilian Tang,Vanessa Tng,Lyndon Smith,Elif Izbirak,Aaron Pryce,Martin Harrison,Tuan Tran,Irene Sohn,Greg Lee,Jason Yan,Andy Bennett,Naphtali de los Reyes</t>
  </si>
  <si>
    <t>Sina Hakman</t>
  </si>
  <si>
    <t>00000000A6C727E4353C314FBD93409EF639422707000D702909B30966478A168622D1D80E2400000000010D00000D702909B30966478A168622D1D80E2400021813212E0000</t>
  </si>
  <si>
    <t>Sales Proc Support^ Tech Support</t>
  </si>
  <si>
    <t>00000000A6C727E4353C314FBD93409EF639422707000D702909B30966478A168622D1D80E2400000000010D00000D702909B30966478A168622D1D80E240001FCBF1FDD0000</t>
  </si>
  <si>
    <t>BNY MELLON</t>
  </si>
  <si>
    <t>00000000A6C727E4353C314FBD93409EF639422707000D702909B30966478A168622D1D80E2400000000010D00000D702909B30966478A168622D1D80E240001DC1953C60000</t>
  </si>
  <si>
    <t>00000000A6C727E4353C314FBD93409EF639422707000D702909B30966478A168622D1D80E2400000000010D00000D702909B30966478A168622D1D80E240001FCBF1FDC0000</t>
  </si>
  <si>
    <t>Ali CalcGuard</t>
  </si>
  <si>
    <t>00000000A6C727E4353C314FBD93409EF639422707000D702909B30966478A168622D1D80E2400000000010D00000D702909B30966478A168622D1D80E240001FCBF1FDB0000</t>
  </si>
  <si>
    <t>BCS Prep</t>
  </si>
  <si>
    <t>id=2653694267</t>
  </si>
  <si>
    <t>00000000A6C727E4353C314FBD93409EF639422707000D702909B30966478A168622D1D80E2400000000010D00000D702909B30966478A168622D1D80E240001FCBF1FDA0000</t>
  </si>
  <si>
    <t>Symphony - + Chronicle - Prep</t>
  </si>
  <si>
    <t>00000000A6C727E4353C314FBD93409EF639422707000D702909B30966478A168622D1D80E2400000000010D00000D702909B30966478A168622D1D80E240001DC1953C90000</t>
  </si>
  <si>
    <t>00000000A6C727E4353C314FBD93409EF639422707000D702909B30966478A168622D1D80E2400000000010D00000D702909B30966478A168622D1D80E240001FCBF1FD90000</t>
  </si>
  <si>
    <t>Iress - Velox Intro</t>
  </si>
  <si>
    <t>https://veloxfintech.zoom.us/j/81584463593?pwd=eXpOVVBJNitiWGczcFJ4QUJEcGQ1Zz09&amp;from=addon; id=2718689609</t>
  </si>
  <si>
    <t>Ross Lucas,Jon Butler,Jon Eckfeld,katherine.lachelin@iress.com</t>
  </si>
  <si>
    <t>00000000A6C727E4353C314FBD93409EF639422707000D702909B30966478A168622D1D80E2400000000010D00000D702909B30966478A168622D1D80E240001FCBF1FD80000</t>
  </si>
  <si>
    <t>slide master for chris</t>
  </si>
  <si>
    <t>00000000A6C727E4353C314FBD93409EF639422707000D702909B30966478A168622D1D80E2400000000010D00000D702909B30966478A168622D1D80E240001FCBF1FD60000</t>
  </si>
  <si>
    <t>lowcode prep for valantic</t>
  </si>
  <si>
    <t>00000000A6C727E4353C314FBD93409EF639422707000D702909B30966478A168622D1D80E2400000000010D00000D702909B30966478A168622D1D80E240001FCBF1FD50000</t>
  </si>
  <si>
    <t>slide master</t>
  </si>
  <si>
    <t>00000000A6C727E4353C314FBD93409EF639422707000D702909B30966478A168622D1D80E2400000000010D00000D702909B30966478A168622D1D80E240001FCBF1FD40000</t>
  </si>
  <si>
    <t>00000000A6C727E4353C314FBD93409EF639422707000D702909B30966478A168622D1D80E2400000000010D00000D702909B30966478A168622D1D80E240001FCBF1FD30000</t>
  </si>
  <si>
    <t>GHCO prep</t>
  </si>
  <si>
    <t>00000000A6C727E4353C314FBD93409EF639422707000D702909B30966478A168622D1D80E2400000000010D00000D702909B30966478A168622D1D80E240001FCBF1FD00000</t>
  </si>
  <si>
    <t>pete BNY</t>
  </si>
  <si>
    <t>id=2643867212</t>
  </si>
  <si>
    <t>00000000A6C727E4353C314FBD93409EF639422707000D702909B30966478A168622D1D80E2400000000010D00000D702909B30966478A168622D1D80E240001FCBF1FCF0000</t>
  </si>
  <si>
    <t>id=2613183966</t>
  </si>
  <si>
    <t>00000000A6C727E4353C314FBD93409EF639422707000D702909B30966478A168622D1D80E2400000000010D00000D702909B30966478A168622D1D80E240001FCBF1FCE0000</t>
  </si>
  <si>
    <t xml:space="preserve">AlyData/Velox follow up (placeholder) - Will confirm after Wed's demo </t>
  </si>
  <si>
    <t>Ali Moosavi,jayzaidi@alydata.com,Jon Butler,Jason Yan,Christian Schueler</t>
  </si>
  <si>
    <t>00000000A6C727E4353C314FBD93409EF639422707000D702909B30966478A168622D1D80E2400000000010D00000D702909B30966478A168622D1D80E240001FCBF1FD20000</t>
  </si>
  <si>
    <t xml:space="preserve">AlyData/Velox follow up </t>
  </si>
  <si>
    <t>https://veloxfintech.zoom.us/j/7778602716?pwd=eGVGUHlNOUVoT0U5NUtZdTFuZlMyZz09&amp;from=addon; id=2652825603</t>
  </si>
  <si>
    <t>Ali Moosavi,jayzaidi@alydata.com,Jon Butler</t>
  </si>
  <si>
    <t>00000000A6C727E4353C314FBD93409EF639422707000D702909B30966478A168622D1D80E2400000000010D00000D702909B30966478A168622D1D80E240001FCBF1FD10000</t>
  </si>
  <si>
    <t>Canceled: Monthly Sales catch up on current 'story'</t>
  </si>
  <si>
    <t>Alison Hood,Jon Butler,Ali Moosavi,Ross Lucas,Christian Schueler</t>
  </si>
  <si>
    <t>00000000A6C727E4353C314FBD93409EF639422707000D702909B30966478A168622D1D80E2400000000010D00000D702909B30966478A168622D1D80E240001DC1953CC0000</t>
  </si>
  <si>
    <t>BCS - Prep.</t>
  </si>
  <si>
    <t>https://veloxfintech.zoom.us/j/83441865297?pwd=Mmd5MUxjdUt5elZBT1EvQWpDV25Cdz09&amp;from=addon; id=2653694267</t>
  </si>
  <si>
    <t>00000000A6C727E4353C314FBD93409EF639422707000D702909B30966478A168622D1D80E2400000000010D00000D702909B30966478A168622D1D80E240001FCBF1FD70000</t>
  </si>
  <si>
    <t>A</t>
  </si>
  <si>
    <t>00000000A6C727E4353C314FBD93409EF639422707000D702909B30966478A168622D1D80E2400000000010D00000D702909B30966478A168622D1D80E240001FCBF1FCD0000</t>
  </si>
  <si>
    <t>JB/AH Daily catch up</t>
  </si>
  <si>
    <t>00000000A6C727E4353C314FBD93409EF639422707000D702909B30966478A168622D1D80E2400000000010D00000D702909B30966478A168622D1D80E240001FCBF1FCC0000</t>
  </si>
  <si>
    <t>calcguard / admin</t>
  </si>
  <si>
    <t>00000000A6C727E4353C314FBD93409EF639422707000D702909B30966478A168622D1D80E2400000000010D00000D702909B30966478A168622D1D80E240001FCBF1FCA0000</t>
  </si>
  <si>
    <t>00000000A6C727E4353C314FBD93409EF639422707000D702909B30966478A168622D1D80E2400000000010D00000D702909B30966478A168622D1D80E240001FCBF1FC90000</t>
  </si>
  <si>
    <t>calcguard proposal</t>
  </si>
  <si>
    <t>00000000A6C727E4353C314FBD93409EF639422707000D702909B30966478A168622D1D80E2400000000010D00000D702909B30966478A168622D1D80E240001FCBF1FC80000</t>
  </si>
  <si>
    <t>00000000A6C727E4353C314FBD93409EF639422707000D702909B30966478A168622D1D80E2400000000010D00000D702909B30966478A168622D1D80E240001FCBF1FC70000</t>
  </si>
  <si>
    <t>youtube/admin</t>
  </si>
  <si>
    <t>00000000A6C727E4353C314FBD93409EF639422707000D702909B30966478A168622D1D80E2400000000010D00000D702909B30966478A168622D1D80E240001FCBF1FC60000</t>
  </si>
  <si>
    <t>00000000A6C727E4353C314FBD93409EF639422707000D702909B30966478A168622D1D80E2400000000010D00000D702909B30966478A168622D1D80E240001FCBF1FC50000</t>
  </si>
  <si>
    <t>admin / video editing / funding</t>
  </si>
  <si>
    <t>00000000A6C727E4353C314FBD93409EF639422707000D702909B30966478A168622D1D80E2400000000010D00000D702909B30966478A168622D1D80E240001FCBF1FC40000</t>
  </si>
  <si>
    <t>CalcGuard/Admin</t>
  </si>
  <si>
    <t>00000000A6C727E4353C314FBD93409EF639422707000D702909B30966478A168622D1D80E2400000000010D00000D702909B30966478A168622D1D80E240001FCBF1FC30000</t>
  </si>
  <si>
    <t>00000000A6C727E4353C314FBD93409EF639422707000D702909B30966478A168622D1D80E2400000000010D00000D702909B30966478A168622D1D80E240001FCBF1FC20000</t>
  </si>
  <si>
    <t>00000000A6C727E4353C314FBD93409EF639422707000D702909B30966478A168622D1D80E2400000000010D00000D702909B30966478A168622D1D80E240001FCBF1FC10000</t>
  </si>
  <si>
    <t>00000000A6C727E4353C314FBD93409EF639422707000D702909B30966478A168622D1D80E2400000000010D00000D702909B30966478A168622D1D80E240001FCBF1FC00000</t>
  </si>
  <si>
    <t>Cognizant prep</t>
  </si>
  <si>
    <t>id=2637555882</t>
  </si>
  <si>
    <t>00000000A6C727E4353C314FBD93409EF639422707000D702909B30966478A168622D1D80E2400000000010D00000D702909B30966478A168622D1D80E240001FCBF1FBF0000</t>
  </si>
  <si>
    <t>prep for cognizant</t>
  </si>
  <si>
    <t>00000000A6C727E4353C314FBD93409EF639422707000D702909B30966478A168622D1D80E2400000000010D00000D702909B30966478A168622D1D80E240001FCBF1FBE0000</t>
  </si>
  <si>
    <t>weeks funding / admin</t>
  </si>
  <si>
    <t>00000000A6C727E4353C314FBD93409EF639422707000D702909B30966478A168622D1D80E2400000000010D00000D702909B30966478A168622D1D80E240001FCBF1FBD0000</t>
  </si>
  <si>
    <t>00000000A6C727E4353C314FBD93409EF639422707000D702909B30966478A168622D1D80E2400000000010D00000D702909B30966478A168622D1D80E240001FCBF1FBC0000</t>
  </si>
  <si>
    <t>calc guard</t>
  </si>
  <si>
    <t>00000000A6C727E4353C314FBD93409EF639422707000D702909B30966478A168622D1D80E2400000000010D00000D702909B30966478A168622D1D80E240001FCBF1FBB0000</t>
  </si>
  <si>
    <t>Cognizant Prep</t>
  </si>
  <si>
    <t>00000000A6C727E4353C314FBD93409EF639422707000D702909B30966478A168622D1D80E2400000000010D00000D702909B30966478A168622D1D80E240001FCBF1FBA0000</t>
  </si>
  <si>
    <t>calcGuard ali</t>
  </si>
  <si>
    <t>00000000A6C727E4353C314FBD93409EF639422707000D702909B30966478A168622D1D80E2400000000010D00000D702909B30966478A168622D1D80E240001FCBF1FB90000</t>
  </si>
  <si>
    <t>00000000A6C727E4353C314FBD93409EF639422707000D702909B30966478A168622D1D80E2400000000010D00000D702909B30966478A168622D1D80E240001FCBF1FB80000</t>
  </si>
  <si>
    <t>AlyData/Velox call - Ali update</t>
  </si>
  <si>
    <t>00000000A6C727E4353C314FBD93409EF639422707000D702909B30966478A168622D1D80E2400000000010D00000D702909B30966478A168622D1D80E240001FCBF1FB70000</t>
  </si>
  <si>
    <t>00000000A6C727E4353C314FBD93409EF639422707000D702909B30966478A168622D1D80E2400000000010D00000D702909B30966478A168622D1D80E240001FCBF1FB60000</t>
  </si>
  <si>
    <t>pete</t>
  </si>
  <si>
    <t>00000000A6C727E4353C314FBD93409EF639422707000D702909B30966478A168622D1D80E2400000000010D00000D702909B30966478A168622D1D80E240001FCBF1FB50000</t>
  </si>
  <si>
    <t>debreif</t>
  </si>
  <si>
    <t>Client^ Sales Proc Support</t>
  </si>
  <si>
    <t>id=2431410583</t>
  </si>
  <si>
    <t>00000000A6C727E4353C314FBD93409EF639422707000D702909B30966478A168622D1D80E2400000000010D00000D702909B30966478A168622D1D80E240001FCBF1FB40000</t>
  </si>
  <si>
    <t>Low Code</t>
  </si>
  <si>
    <t>Timo Huguet,Maximilian Kreitmaier,jon.butler@veloxfintech.com,Ross Lucas,Christian Schueler</t>
  </si>
  <si>
    <t>Timo Huguet</t>
  </si>
  <si>
    <t>00000000A6C727E4353C314FBD93409EF639422707000D702909B30966478A168622D1D80E2400000000010D00000D702909B30966478A168622D1D80E240001FCBF1FB30000</t>
  </si>
  <si>
    <t>calcGuard</t>
  </si>
  <si>
    <t>00000000A6C727E4353C314FBD93409EF639422707000D702909B30966478A168622D1D80E2400000000010D00000D702909B30966478A168622D1D80E240001FCBF1FB20000</t>
  </si>
  <si>
    <t>prep for cg proposal</t>
  </si>
  <si>
    <t>00000000A6C727E4353C314FBD93409EF639422707000D702909B30966478A168622D1D80E2400000000010D00000D702909B30966478A168622D1D80E240001FCBF1FB10000</t>
  </si>
  <si>
    <t>00000000A6C727E4353C314FBD93409EF639422707000D702909B30966478A168622D1D80E2400000000010D00000D702909B30966478A168622D1D80E240001FCBF1FB00000</t>
  </si>
  <si>
    <t>Goal &amp; Objectives review and Employee Share Scheme</t>
  </si>
  <si>
    <t>00000000A6C727E4353C314FBD93409EF639422707000D702909B30966478A168622D1D80E2400000000010D00000D702909B30966478A168622D1D80E240001DC1953CB0000</t>
  </si>
  <si>
    <t>handelsbanken prep</t>
  </si>
  <si>
    <t>id=2631871138</t>
  </si>
  <si>
    <t>00000000A6C727E4353C314FBD93409EF639422707000D702909B30966478A168622D1D80E2400000000010D00000D702909B30966478A168622D1D80E240001FCBF1FAF0000</t>
  </si>
  <si>
    <t>00000000A6C727E4353C314FBD93409EF639422707000D702909B30966478A168622D1D80E2400000000010D00000D702909B30966478A168622D1D80E240001FCBF1FAE0000</t>
  </si>
  <si>
    <t>Symphony - Velox - Intro's</t>
  </si>
  <si>
    <t>https://veloxfintech.zoom.us/j/89795293153?pwd=NlBJd0xwSXE2NkIzUjdxOFdIQ05Cdz09&amp;from=addon</t>
  </si>
  <si>
    <t>Ross Lucas,Richard Ring,Umesh Patel,Jon Butler</t>
  </si>
  <si>
    <t>00000000A6C727E4353C314FBD93409EF639422707000D702909B30966478A168622D1D80E2400000000010D00000D702909B30966478A168622D1D80E240001FCBF1FAC0000</t>
  </si>
  <si>
    <t>HANDLESBANK</t>
  </si>
  <si>
    <t>00000000A6C727E4353C314FBD93409EF639422707000D702909B30966478A168622D1D80E2400000000010D00000D702909B30966478A168622D1D80E240001FCBF1FAB0000</t>
  </si>
  <si>
    <t>id=2629463689</t>
  </si>
  <si>
    <t>00000000A6C727E4353C314FBD93409EF639422707000D702909B30966478A168622D1D80E2400000000010D00000D702909B30966478A168622D1D80E240001FCBF1FAA0000</t>
  </si>
  <si>
    <t>Ali / CalcGuard Proposal</t>
  </si>
  <si>
    <t>00000000A6C727E4353C314FBD93409EF639422707000D702909B30966478A168622D1D80E2400000000010D00000D702909B30966478A168622D1D80E240001FCBF1FA90000</t>
  </si>
  <si>
    <t>demo prep handelsbank</t>
  </si>
  <si>
    <t>https://veloxfintech.zoom.us/my/buildfaster id=2631871138</t>
  </si>
  <si>
    <t>Jon Butler,Peter Holmgren,Christian Schueler</t>
  </si>
  <si>
    <t>00000000A6C727E4353C314FBD93409EF639422707000D702909B30966478A168622D1D80E2400000000010D00000D702909B30966478A168622D1D80E240001FCBF1FA80000</t>
  </si>
  <si>
    <t>website</t>
  </si>
  <si>
    <t>id=2457159946</t>
  </si>
  <si>
    <t>00000000A6C727E4353C314FBD93409EF639422707000D702909B30966478A168622D1D80E2400000000010D00000D702909B30966478A168622D1D80E240001FCBF1FA70000</t>
  </si>
  <si>
    <t>Velox - Chronicle Software - Intro</t>
  </si>
  <si>
    <t>https://veloxfintech.zoom.us/j/83934136085?pwd=KzRndS9JcjVGVFFVdXloOFhzbWRDQT09&amp;from=addon</t>
  </si>
  <si>
    <t>Ross Lucas,Jerry Shea,Peter.lawrey@chronicle.software,Jon Butler</t>
  </si>
  <si>
    <t>00000000A6C727E4353C314FBD93409EF639422707000D702909B30966478A168622D1D80E2400000000010D00000D702909B30966478A168622D1D80E240001FCBF1FA60000</t>
  </si>
  <si>
    <t>Velox - Exegy - intro</t>
  </si>
  <si>
    <t>https://veloxfintech.zoom.us/j/82371342681?pwd=N0xKTERZdHlSclBOTFBxVG9Sa29yZz09&amp;from=addon</t>
  </si>
  <si>
    <t>Ross Lucas,Paul Tavares,Swaly, Sapna,Jon Butler</t>
  </si>
  <si>
    <t>00000000A6C727E4353C314FBD93409EF639422707000D702909B30966478A168622D1D80E2400000000010D00000D702909B30966478A168622D1D80E240001FCBF1FA40000</t>
  </si>
  <si>
    <t>00000000A6C727E4353C314FBD93409EF639422707000D702909B30966478A168622D1D80E2400000000010D00000D702909B30966478A168622D1D80E240001FCBF1FA30000</t>
  </si>
  <si>
    <t>baird prep</t>
  </si>
  <si>
    <t>00000000A6C727E4353C314FBD93409EF639422707000D702909B30966478A168622D1D80E2400000000010D00000D702909B30966478A168622D1D80E240001FCBF1F9F0000</t>
  </si>
  <si>
    <t>prep for handelsbank</t>
  </si>
  <si>
    <t>00000000A6C727E4353C314FBD93409EF639422707000D702909B30966478A168622D1D80E2400000000010D00000D702909B30966478A168622D1D80E240001FCBF1F9E0000</t>
  </si>
  <si>
    <t>Jon/Pete - Handelsbank</t>
  </si>
  <si>
    <t>00000000A6C727E4353C314FBD93409EF639422707000D702909B30966478A168622D1D80E2400000000010D00000D702909B30966478A168622D1D80E240001FCBF1F9D0000</t>
  </si>
  <si>
    <t>Jon/Dan - Velox License</t>
  </si>
  <si>
    <t>Jon Butler,Dan Izzo</t>
  </si>
  <si>
    <t>00000000A6C727E4353C314FBD93409EF639422707000D702909B30966478A168622D1D80E2400000000010D00000D702909B30966478A168622D1D80E240001FCBF1F9C0000</t>
  </si>
  <si>
    <t>00000000A6C727E4353C314FBD93409EF639422707000D702909B30966478A168622D1D80E2400000000010D00000D702909B30966478A168622D1D80E240001FCBF1F9B0000</t>
  </si>
  <si>
    <t>00000000A6C727E4353C314FBD93409EF639422707000D702909B30966478A168622D1D80E2400000000010D00000D702909B30966478A168622D1D80E240001FCBF1F9A0000</t>
  </si>
  <si>
    <t>00000000A6C727E4353C314FBD93409EF639422707000D702909B30966478A168622D1D80E2400000000010D00000D702909B30966478A168622D1D80E240002053421BE0000</t>
  </si>
  <si>
    <t>00000000A6C727E4353C314FBD93409EF639422707000D702909B30966478A168622D1D80E2400000000010D00000D702909B30966478A168622D1D80E240001FCBF1F990000</t>
  </si>
  <si>
    <t>00000000A6C727E4353C314FBD93409EF639422707000D702909B30966478A168622D1D80E2400000000010D00000D702909B30966478A168622D1D80E240001FCBF1F970000</t>
  </si>
  <si>
    <t>00000000A6C727E4353C314FBD93409EF639422707000D702909B30966478A168622D1D80E2400000000010D00000D702909B30966478A168622D1D80E240001FCBF1F960000</t>
  </si>
  <si>
    <t>00000000A6C727E4353C314FBD93409EF639422707000D702909B30966478A168622D1D80E2400000000010D00000D702909B30966478A168622D1D80E240001FCBF1F950000</t>
  </si>
  <si>
    <t>00000000A6C727E4353C314FBD93409EF639422707000D702909B30966478A168622D1D80E2400000000010D00000D702909B30966478A168622D1D80E240001FCBF1F940000</t>
  </si>
  <si>
    <t>00000000A6C727E4353C314FBD93409EF639422707000D702909B30966478A168622D1D80E2400000000010D00000D702909B30966478A168622D1D80E240001FCBF1F920000</t>
  </si>
  <si>
    <t>smerd</t>
  </si>
  <si>
    <t>00000000A6C727E4353C314FBD93409EF639422707000D702909B30966478A168622D1D80E2400000000010D00000D702909B30966478A168622D1D80E240001FCBF1F910000</t>
  </si>
  <si>
    <t>Chris</t>
  </si>
  <si>
    <t>00000000A6C727E4353C314FBD93409EF639422707000D702909B30966478A168622D1D80E2400000000010D00000D702909B30966478A168622D1D80E240001FCBF1F900000</t>
  </si>
  <si>
    <t xml:space="preserve">misc stuff </t>
  </si>
  <si>
    <t>00000000A6C727E4353C314FBD93409EF639422707000D702909B30966478A168622D1D80E2400000000010D00000D702909B30966478A168622D1D80E240001FCBF1F8F0000</t>
  </si>
  <si>
    <t>00000000A6C727E4353C314FBD93409EF639422707000D702909B30966478A168622D1D80E2400000000010D00000D702909B30966478A168622D1D80E240001FCBF1F8E0000</t>
  </si>
  <si>
    <t>00000000A6C727E4353C314FBD93409EF639422707000D702909B30966478A168622D1D80E2400000000010D00000D702909B30966478A168622D1D80E240001FCBF1F8D0000</t>
  </si>
  <si>
    <t>CalcGuard/Velox follow up</t>
  </si>
  <si>
    <t>00000000A6C727E4353C314FBD93409EF639422707000D702909B30966478A168622D1D80E2400000000010D00000D702909B30966478A168622D1D80E240001FCBF1F930000</t>
  </si>
  <si>
    <t>admin / chris</t>
  </si>
  <si>
    <t>00000000A6C727E4353C314FBD93409EF639422707000D702909B30966478A168622D1D80E2400000000010D00000D702909B30966478A168622D1D80E240001FCBF1F8C0000</t>
  </si>
  <si>
    <t>Velox &amp; GT</t>
  </si>
  <si>
    <t>Graham Tuckwell,John Butler,Jason Yan</t>
  </si>
  <si>
    <t>Graham Tuckwell</t>
  </si>
  <si>
    <t>00000000A6C727E4353C314FBD93409EF639422707000D702909B30966478A168622D1D80E2400000000010D00000D702909B30966478A168622D1D80E240001FCBF1F8B0000</t>
  </si>
  <si>
    <t>00000000A6C727E4353C314FBD93409EF639422707000D702909B30966478A168622D1D80E2400000000010D00000D702909B30966478A168622D1D80E240001FCBF1F8A0000</t>
  </si>
  <si>
    <t>Handelsbanken - valantic Single Dealer Platform demo</t>
  </si>
  <si>
    <t>Peter Holmgren,Peter Holmgren,Thomas Ekefalk,Jon Butler</t>
  </si>
  <si>
    <t>00000000A6C727E4353C314FBD93409EF639422707000D702909B30966478A168622D1D80E2400000000010D00000D702909B30966478A168622D1D80E240001FCBF1F890000</t>
  </si>
  <si>
    <t>00000000A6C727E4353C314FBD93409EF639422707000D702909B30966478A168622D1D80E2400000000010D00000D702909B30966478A168622D1D80E240001FCBF1F870000</t>
  </si>
  <si>
    <t>00000000A6C727E4353C314FBD93409EF639422707000D702909B30966478A168622D1D80E2400000000010D00000D702909B30966478A168622D1D80E240001FCBF1F860000</t>
  </si>
  <si>
    <t>CalcGuard/Velox follow up session</t>
  </si>
  <si>
    <t>Ali Moosavi,Alex Sargent,Timothy Sargent,Jim Northey,Mike Hahn,Joseph Lai,Jon Butler,Jason Yan,govind.jajoo,Daniel Bukowski</t>
  </si>
  <si>
    <t>00000000A6C727E4353C314FBD93409EF639422707000D702909B30966478A168622D1D80E2400000000010D00000D702909B30966478A168622D1D80E2400020EA4045D0000</t>
  </si>
  <si>
    <t xml:space="preserve">  admin</t>
  </si>
  <si>
    <t>00000000A6C727E4353C314FBD93409EF639422707000D702909B30966478A168622D1D80E2400000000010D00000D702909B30966478A168622D1D80E240001FCBF1F850000</t>
  </si>
  <si>
    <t>00000000A6C727E4353C314FBD93409EF639422707000D702909B30966478A168622D1D80E2400000000010D00000D702909B30966478A168622D1D80E240001FCBF1F840000</t>
  </si>
  <si>
    <t>00000000A6C727E4353C314FBD93409EF639422707000D702909B30966478A168622D1D80E2400000000010D00000D702909B30966478A168622D1D80E240001FCBF1F830000</t>
  </si>
  <si>
    <t>Amber catch-up</t>
  </si>
  <si>
    <t>Microsoft Teams Meeting; id=2643875886</t>
  </si>
  <si>
    <t>Andy Browning,Jon Butler,Ansgar Bruell</t>
  </si>
  <si>
    <t>00000000A6C727E4353C314FBD93409EF639422707000D702909B30966478A168622D1D80E2400000000010D00000D702909B30966478A168622D1D80E2400020EA4045C0000</t>
  </si>
  <si>
    <t>00000000A6C727E4353C314FBD93409EF639422707000D702909B30966478A168622D1D80E2400000000010D00000D702909B30966478A168622D1D80E240001FCBF1F820000</t>
  </si>
  <si>
    <t>Ambder</t>
  </si>
  <si>
    <t>id=2643875886</t>
  </si>
  <si>
    <t>00000000A6C727E4353C314FBD93409EF639422707000D702909B30966478A168622D1D80E2400000000010D00000D702909B30966478A168622D1D80E240001FCBF1F810000</t>
  </si>
  <si>
    <t>00000000A6C727E4353C314FBD93409EF639422707000D702909B30966478A168622D1D80E2400000000010D00000D702909B30966478A168622D1D80E240001FCBF1F800000</t>
  </si>
  <si>
    <t>00000000A6C727E4353C314FBD93409EF639422707000D702909B30966478A168622D1D80E2400000000010D00000D702909B30966478A168622D1D80E240001FCBF1F7F0000</t>
  </si>
  <si>
    <t>amber</t>
  </si>
  <si>
    <t>00000000A6C727E4353C314FBD93409EF639422707000D702909B30966478A168622D1D80E2400000000010D00000D702909B30966478A168622D1D80E240001FCBF1F7E0000</t>
  </si>
  <si>
    <t>315 appointment nutritionist jessica goals</t>
  </si>
  <si>
    <t>00000000A6C727E4353C314FBD93409EF639422707000D702909B30966478A168622D1D80E2400000000010D00000D702909B30966478A168622D1D80E240001FCBF1F7D0000</t>
  </si>
  <si>
    <t>00000000A6C727E4353C314FBD93409EF639422707000D702909B30966478A168622D1D80E2400000000010D00000D702909B30966478A168622D1D80E240001FCBF1F7C0000</t>
  </si>
  <si>
    <t>00000000A6C727E4353C314FBD93409EF639422707000D702909B30966478A168622D1D80E2400000000010D00000D702909B30966478A168622D1D80E240001FCBF1F7A0000</t>
  </si>
  <si>
    <t>00000000A6C727E4353C314FBD93409EF639422707000D702909B30966478A168622D1D80E2400000000010D00000D702909B30966478A168622D1D80E240001FCBF1F790000</t>
  </si>
  <si>
    <t>00000000A6C727E4353C314FBD93409EF639422707000D702909B30966478A168622D1D80E2400000000010D00000D702909B30966478A168622D1D80E240001FCBF1F770000</t>
  </si>
  <si>
    <t>Project Amber catch-up</t>
  </si>
  <si>
    <t>Andy Browning,Ansgar Bruell,René Bärecke,Karsten Reich,Andreas Schebesch,Jon Butler,Jason Yan,Jens Lippoldt</t>
  </si>
  <si>
    <t>00000000A6C727E4353C314FBD93409EF639422707000D702909B30966478A168622D1D80E2400000000010D00000D702909B30966478A168622D1D80E2400020EA4045A0000</t>
  </si>
  <si>
    <t>valantic / admin</t>
  </si>
  <si>
    <t>00000000A6C727E4353C314FBD93409EF639422707000D702909B30966478A168622D1D80E2400000000010D00000D702909B30966478A168622D1D80E240001FCBF1F760000</t>
  </si>
  <si>
    <t>00000000A6C727E4353C314FBD93409EF639422707000D702909B30966478A168622D1D80E2400000000010D00000D702909B30966478A168622D1D80E240001FCBF1F750000</t>
  </si>
  <si>
    <t>calcguard prep</t>
  </si>
  <si>
    <t>00000000A6C727E4353C314FBD93409EF639422707000D702909B30966478A168622D1D80E2400000000010D00000D702909B30966478A168622D1D80E240001FCBF1F740000</t>
  </si>
  <si>
    <t>00000000A6C727E4353C314FBD93409EF639422707000D702909B30966478A168622D1D80E2400000000010D00000D702909B30966478A168622D1D80E240001FCBF1F730000</t>
  </si>
  <si>
    <t>BCS - RFI - quick chat and agree next steps.</t>
  </si>
  <si>
    <t>Microsoft Teams Meeting; https://veloxfintech.zoom.us/j/86224151959?pwd=YVhoWkRmbzhLOGJUaG4yS2Y3Q0toQT09&amp;from=addon</t>
  </si>
  <si>
    <t>00000000A6C727E4353C314FBD93409EF639422707000D702909B30966478A168622D1D80E2400000000010D00000D702909B30966478A168622D1D80E240001FCBF1F7B0000</t>
  </si>
  <si>
    <t>00000000A6C727E4353C314FBD93409EF639422707000D702909B30966478A168622D1D80E2400000000010D00000D702909B30966478A168622D1D80E240001FCBF1F720000</t>
  </si>
  <si>
    <t>Admin - Team prep</t>
  </si>
  <si>
    <t>00000000A6C727E4353C314FBD93409EF639422707000D702909B30966478A168622D1D80E2400000000010D00000D702909B30966478A168622D1D80E240001FCBF1F710000</t>
  </si>
  <si>
    <t>CalcGuard/Velox follow up - Deep Dive w/Jason</t>
  </si>
  <si>
    <t>Ali Moosavi,Alex Sargent,Timothy Sargent,Jim Northey,Mike Hahn,Jon Butler,Jason Yan,govind.jajoo,Joseph Lai</t>
  </si>
  <si>
    <t>00000000A6C727E4353C314FBD93409EF639422707000D702909B30966478A168622D1D80E2400000000010D00000D702909B30966478A168622D1D80E240001FCBF1F700000</t>
  </si>
  <si>
    <t>00000000A6C727E4353C314FBD93409EF639422707000D702909B30966478A168622D1D80E2400000000010D00000D702909B30966478A168622D1D80E240001FCBF1F6E0000</t>
  </si>
  <si>
    <t>Updated capsule report</t>
  </si>
  <si>
    <t>00000000A6C727E4353C314FBD93409EF639422707000D702909B30966478A168622D1D80E2400000000010D00000D702909B30966478A168622D1D80E240001FCBF1F6D0000</t>
  </si>
  <si>
    <t>V1.0 - strap line and about us discussion</t>
  </si>
  <si>
    <t>https://veloxfintech.zoom.us/j/89955007052?pwd=ZXNGYVNWT0FiWTh4d3lEelc4T1UzQT09&amp;from=addon</t>
  </si>
  <si>
    <t>00000000A6C727E4353C314FBD93409EF639422707000D702909B30966478A168622D1D80E2400000000010D00000D702909B30966478A168622D1D80E2400020EA404560000</t>
  </si>
  <si>
    <t>00000000A6C727E4353C314FBD93409EF639422707000D702909B30966478A168622D1D80E2400000000010D00000D702909B30966478A168622D1D80E240001FCBF1F6C0000</t>
  </si>
  <si>
    <t>valantic story</t>
  </si>
  <si>
    <t>00000000A6C727E4353C314FBD93409EF639422707000D702909B30966478A168622D1D80E2400000000010D00000D702909B30966478A168622D1D80E240001FCBF1F6B0000</t>
  </si>
  <si>
    <t>Jon/Mike - Trads</t>
  </si>
  <si>
    <t>00000000A6C727E4353C314FBD93409EF639422707000D702909B30966478A168622D1D80E2400000000010D00000D702909B30966478A168622D1D80E240001FCBF1F6A0000</t>
  </si>
  <si>
    <t>medical stuff</t>
  </si>
  <si>
    <t>00000000A6C727E4353C314FBD93409EF639422707000D702909B30966478A168622D1D80E2400000000010D00000D702909B30966478A168622D1D80E240001DC1953C50000</t>
  </si>
  <si>
    <t>00000000A6C727E4353C314FBD93409EF639422707000D702909B30966478A168622D1D80E2400000000010D00000D702909B30966478A168622D1D80E240001FCBF1F690000</t>
  </si>
  <si>
    <t>00000000A6C727E4353C314FBD93409EF639422707000D702909B30966478A168622D1D80E2400000000010D00000D702909B30966478A168622D1D80E240001FCBF1F680000</t>
  </si>
  <si>
    <t>00000000A6C727E4353C314FBD93409EF639422707000D702909B30966478A168622D1D80E2400000000010D00000D702909B30966478A168622D1D80E240001FCBF1F670000</t>
  </si>
  <si>
    <t>00000000A6C727E4353C314FBD93409EF639422707000D702909B30966478A168622D1D80E2400000000010D00000D702909B30966478A168622D1D80E240001FCBF1F660000</t>
  </si>
  <si>
    <t>00000000A6C727E4353C314FBD93409EF639422707000D702909B30966478A168622D1D80E2400000000010D00000D702909B30966478A168622D1D80E240001DC1953C40000</t>
  </si>
  <si>
    <t>00000000A6C727E4353C314FBD93409EF639422707000D702909B30966478A168622D1D80E2400000000010D00000D702909B30966478A168622D1D80E240001DC1953C30000</t>
  </si>
  <si>
    <t xml:space="preserve">Ali role play - critique/feedback Ali's initial call/demo walkthrough </t>
  </si>
  <si>
    <t>Ali Moosavi,Jon Butler,Alison Hood,Ross Lucas,Christian Schueler</t>
  </si>
  <si>
    <t>00000000A6C727E4353C314FBD93409EF639422707000D702909B30966478A168622D1D80E2400000000010D00000D702909B30966478A168622D1D80E240001FCBF1FA00000</t>
  </si>
  <si>
    <t>Website/LinkedIn</t>
  </si>
  <si>
    <t>00000000A6C727E4353C314FBD93409EF639422707000D702909B30966478A168622D1D80E2400000000010D00000D702909B30966478A168622D1D80E240001FCBF1F6F0000</t>
  </si>
  <si>
    <t>SIX-Velox follow-up</t>
  </si>
  <si>
    <t>Réunion Microsoft Teams</t>
  </si>
  <si>
    <t>Hug, Stéphane,Gligoric, Natasa,de Lame, David,Jon Butler,Alison Hood,Jason Yan</t>
  </si>
  <si>
    <t>Hug, Stéphane</t>
  </si>
  <si>
    <t>00000000A6C727E4353C314FBD93409EF639422707000D702909B30966478A168622D1D80E2400000000010D00000D702909B30966478A168622D1D80E240001FCBF1FE50000</t>
  </si>
  <si>
    <t>00000000A6C727E4353C314FBD93409EF639422707000D702909B30966478A168622D1D80E2400000000010D00000D702909B30966478A168622D1D80E240001FCBF1F650000</t>
  </si>
  <si>
    <t>00000000A6C727E4353C314FBD93409EF639422707000D702909B30966478A168622D1D80E2400000000010D00000D702909B30966478A168622D1D80E240001FCBF1F640000</t>
  </si>
  <si>
    <t>00000000A6C727E4353C314FBD93409EF639422707000D702909B30966478A168622D1D80E2400000000010D00000D702909B30966478A168622D1D80E240001FCBF1F610000</t>
  </si>
  <si>
    <t>00000000A6C727E4353C314FBD93409EF639422707000D702909B30966478A168622D1D80E2400000000010D00000D702909B30966478A168622D1D80E240001FCBF1F600000</t>
  </si>
  <si>
    <t>valantic press</t>
  </si>
  <si>
    <t>00000000A6C727E4353C314FBD93409EF639422707000D702909B30966478A168622D1D80E2400000000010D00000D702909B30966478A168622D1D80E240001FCBF1F550000</t>
  </si>
  <si>
    <t>00000000A6C727E4353C314FBD93409EF639422707000D702909B30966478A168622D1D80E2400000000010D00000D702909B30966478A168622D1D80E240001FCBF1F540000</t>
  </si>
  <si>
    <t>Andy</t>
  </si>
  <si>
    <t>00000000A6C727E4353C314FBD93409EF639422707000D702909B30966478A168622D1D80E2400000000010D00000D702909B30966478A168622D1D80E240001FCBF1F530000</t>
  </si>
  <si>
    <t>Amber discussion</t>
  </si>
  <si>
    <t>Andy Browning,Ansgar Bruell,Jon Butler</t>
  </si>
  <si>
    <t>00000000A6C727E4353C314FBD93409EF639422707000D702909B30966478A168622D1D80E2400000000010D00000D702909B30966478A168622D1D80E240001FCBF1F560000</t>
  </si>
  <si>
    <t xml:space="preserve">Velox/Xinthesys follow up call </t>
  </si>
  <si>
    <t>00000000A6C727E4353C314FBD93409EF639422707000D702909B30966478A168622D1D80E2400000000010D00000D702909B30966478A168622D1D80E240001FCBF1F570000</t>
  </si>
  <si>
    <t>00000000A6C727E4353C314FBD93409EF639422707000D702909B30966478A168622D1D80E2400000000010D00000D702909B30966478A168622D1D80E240001FCBF1F520000</t>
  </si>
  <si>
    <t>valantic pr</t>
  </si>
  <si>
    <t>00000000A6C727E4353C314FBD93409EF639422707000D702909B30966478A168622D1D80E2400000000010D00000D702909B30966478A168622D1D80E240001FCBF1F510000</t>
  </si>
  <si>
    <t>00000000A6C727E4353C314FBD93409EF639422707000D702909B30966478A168622D1D80E2400000000010D00000D702909B30966478A168622D1D80E240001FCBF1F500000</t>
  </si>
  <si>
    <t>osl followup / markets media prep</t>
  </si>
  <si>
    <t>00000000A6C727E4353C314FBD93409EF639422707000D702909B30966478A168622D1D80E2400000000010D00000D702909B30966478A168622D1D80E240001DC1953C20000</t>
  </si>
  <si>
    <t>00000000A6C727E4353C314FBD93409EF639422707000D702909B30966478A168622D1D80E2400000000010D00000D702909B30966478A168622D1D80E240001FCBF1F4E0000</t>
  </si>
  <si>
    <t>vFSA/Velox interview with Waters</t>
  </si>
  <si>
    <t>https://us02web.zoom.us/j/85093661945?pwd=RzI1NEZWQnhQRVgvQjZlUVluL3R0UT09&amp;from=addon</t>
  </si>
  <si>
    <t>Steve Grob,Anthony Malakian,Rebecca Natale,Browning, Andy,Jon Butler</t>
  </si>
  <si>
    <t>00000000A6C727E4353C314FBD93409EF639422707000D702909B30966478A168622D1D80E2400000000010D00000D702909B30966478A168622D1D80E240001FCBF1F4F0000</t>
  </si>
  <si>
    <t xml:space="preserve">BCS Prime - Velox </t>
  </si>
  <si>
    <t>https://veloxfintech.zoom.us/j/86999914523?pwd=b0J2NURFNkxIS3Y5VWU0Z3BINzNUZz09&amp;from=addon</t>
  </si>
  <si>
    <t>Ross Lucas,Iain Clarke,Grigoriy Kozin,Jon Butler</t>
  </si>
  <si>
    <t>00000000A6C727E4353C314FBD93409EF639422707000D702909B30966478A168622D1D80E2400000000010D00000D702909B30966478A168622D1D80E240001FCBF1F5B0000</t>
  </si>
  <si>
    <t>Velox-MM catch up</t>
  </si>
  <si>
    <t>https://us04web.zoom.us/j/71901965990?pwd=9KcjpC2pyP3DoqhiIiC8NRJ3Ebp5lZ.1</t>
  </si>
  <si>
    <t>terry.flanagan@gmail.com,Jon Butler</t>
  </si>
  <si>
    <t>terry.flanagan@gmail.com</t>
  </si>
  <si>
    <t>00000000A6C727E4353C314FBD93409EF639422707000D702909B30966478A168622D1D80E2400000000010D00000D702909B30966478A168622D1D80E24000209BDF0810000</t>
  </si>
  <si>
    <t>00000000A6C727E4353C314FBD93409EF639422707000D702909B30966478A168622D1D80E2400000000010D00000D702909B30966478A168622D1D80E240001FCBF1F4D0000</t>
  </si>
  <si>
    <t>00000000A6C727E4353C314FBD93409EF639422707000D702909B30966478A168622D1D80E2400000000010D00000D702909B30966478A168622D1D80E240001FCBF1F4C0000</t>
  </si>
  <si>
    <t>00000000A6C727E4353C314FBD93409EF639422707000D702909B30966478A168622D1D80E2400000000010D00000D702909B30966478A168622D1D80E240001FCBF1F4B0000</t>
  </si>
  <si>
    <t>Quick chat - Next steps with Marex and CalcGuard</t>
  </si>
  <si>
    <t>Ali Moosavi,Jon Butler,Jason Yan</t>
  </si>
  <si>
    <t>00000000A6C727E4353C314FBD93409EF639422707000D702909B30966478A168622D1D80E2400000000010D00000D702909B30966478A168622D1D80E240001FCBF1F5C0000</t>
  </si>
  <si>
    <t>Ali Moosavi's Zoom Meeting</t>
  </si>
  <si>
    <t>Ali Moosavi,Costa, Daniel,Baker, Andrew,Steinmetz, Heiko,Jon Butler,Jason Yan</t>
  </si>
  <si>
    <t>00000000A6C727E4353C314FBD93409EF639422707000D702909B30966478A168622D1D80E2400000000010D00000D702909B30966478A168622D1D80E240001FCBF1F5D0000</t>
  </si>
  <si>
    <t xml:space="preserve">Baird/Velox follow up </t>
  </si>
  <si>
    <t>Ali Moosavi,Chung, Sunny,Jon Butler,Gannett, Jason,Jason Yan</t>
  </si>
  <si>
    <t>00000000A6C727E4353C314FBD93409EF639422707000D702909B30966478A168622D1D80E2400000000010D00000D702909B30966478A168622D1D80E240001FCBF1F5E0000</t>
  </si>
  <si>
    <t>Cognizant/Veloxfintech Introduction</t>
  </si>
  <si>
    <t>Sadhotra, Aditya (Cognizant),Alison Hood,Meere, Daniel (Cognizant),Duggan, Alexander (Cognizant),Jon Butler,Gauba, Manan (Cognizant),Dumaine, Jérôme (Cognizant),Fraser, John (Cognizant),Lee, Matthew (Cognizant),Bahri, Vivek (Cognizant),Ross Lucas</t>
  </si>
  <si>
    <t>Aditya.Sadhotra@cognizant.com</t>
  </si>
  <si>
    <t>00000000A6C727E4353C314FBD93409EF639422707000D702909B30966478A168622D1D80E2400000000010D00000D702909B30966478A168622D1D80E240001FCBF1F5F0000</t>
  </si>
  <si>
    <t>Meeting with Velox - Jon Butler (NY) &amp; Steve Grob (UK)</t>
  </si>
  <si>
    <t>https://bc-holdings.zoom.us/j/89976116773?pwd=MDgvZFl3NENScEJGQk5mSDhNazg3dz09</t>
  </si>
  <si>
    <t>colm.furlong@osl.com,andrew.walton@osl.com,hugh@osl.com,jon.randle@osl.com,Jon Butler,steve@vision57.com</t>
  </si>
  <si>
    <t>colm.furlong@osl.com</t>
  </si>
  <si>
    <t>00000000A6C727E4353C314FBD93409EF639422707000D702909B30966478A168622D1D80E2400000000010D00000D702909B30966478A168622D1D80E240002053421BD0000</t>
  </si>
  <si>
    <t>OSL prep</t>
  </si>
  <si>
    <t>00000000A6C727E4353C314FBD93409EF639422707000D702909B30966478A168622D1D80E2400000000010D00000D702909B30966478A168622D1D80E240001FCBF1F4A0000</t>
  </si>
  <si>
    <t>00000000A6C727E4353C314FBD93409EF639422707000D702909B30966478A168622D1D80E2400000000010D00000D702909B30966478A168622D1D80E240001FCBF1F480000</t>
  </si>
  <si>
    <t>calcGuard cleanup</t>
  </si>
  <si>
    <t>00000000A6C727E4353C314FBD93409EF639422707000D702909B30966478A168622D1D80E2400000000010D00000D702909B30966478A168622D1D80E240001FCBF1F470000</t>
  </si>
  <si>
    <t>Ali/Jon - Xinthesys chat</t>
  </si>
  <si>
    <t>00000000A6C727E4353C314FBD93409EF639422707000D702909B30966478A168622D1D80E2400000000010D00000D702909B30966478A168622D1D80E24000209BDF07B0000</t>
  </si>
  <si>
    <t>00000000A6C727E4353C314FBD93409EF639422707000D702909B30966478A168622D1D80E2400000000010D00000D702909B30966478A168622D1D80E240001FCBF1F460000</t>
  </si>
  <si>
    <t>calcGyard</t>
  </si>
  <si>
    <t>00000000A6C727E4353C314FBD93409EF639422707000D702909B30966478A168622D1D80E2400000000010D00000D702909B30966478A168622D1D80E240001FCBF1F450000</t>
  </si>
  <si>
    <t>Interview - Greg Cooper</t>
  </si>
  <si>
    <t>Andy Browning,Jon Butler,Lee Harding - The North Starr</t>
  </si>
  <si>
    <t>00000000A6C727E4353C314FBD93409EF639422707000D702909B30966478A168622D1D80E2400000000010D00000D702909B30966478A168622D1D80E24000209BDF07A0000</t>
  </si>
  <si>
    <t>Competitor Analysis review</t>
  </si>
  <si>
    <t>Marketing^ Sales Proc Support</t>
  </si>
  <si>
    <t>https://veloxfintech.zoom.us/j/7778602716?pwd=eGVGUHlNOUVoT0U5NUtZdTFuZlMyZz09&amp;from=addon; id=2530384030</t>
  </si>
  <si>
    <t>00000000A6C727E4353C314FBD93409EF639422707000D702909B30966478A168622D1D80E2400000000010D00000D702909B30966478A168622D1D80E24000209BDF0790000</t>
  </si>
  <si>
    <t>00000000A6C727E4353C314FBD93409EF639422707000D702909B30966478A168622D1D80E2400000000010D00000D702909B30966478A168622D1D80E240001FCBF1F440000</t>
  </si>
  <si>
    <t>Catch-up prior to A-team call</t>
  </si>
  <si>
    <t>00000000A6C727E4353C314FBD93409EF639422707000D702909B30966478A168622D1D80E2400000000010D00000D702909B30966478A168622D1D80E240001FCBF1F430000</t>
  </si>
  <si>
    <t>00000000A6C727E4353C314FBD93409EF639422707000D702909B30966478A168622D1D80E2400000000010D00000D702909B30966478A168622D1D80E240001FCBF1F420000</t>
  </si>
  <si>
    <t>id=2506022773</t>
  </si>
  <si>
    <t>00000000A6C727E4353C314FBD93409EF639422707000D702909B30966478A168622D1D80E2400000000010D00000D702909B30966478A168622D1D80E240001FCBF1F410000</t>
  </si>
  <si>
    <t>00000000A6C727E4353C314FBD93409EF639422707000D702909B30966478A168622D1D80E2400000000010D00000D702909B30966478A168622D1D80E240001FCBF1F400000</t>
  </si>
  <si>
    <t>00000000A6C727E4353C314FBD93409EF639422707000D702909B30966478A168622D1D80E2400000000010D00000D702909B30966478A168622D1D80E240001FCBF1F3F0000</t>
  </si>
  <si>
    <t>JB vacation (contactable)</t>
  </si>
  <si>
    <t>00000000A6C727E4353C314FBD93409EF639422707000D702909B30966478A168622D1D80E2400000000010D00000D702909B30966478A168622D1D80E240001FCBF1F3D0000</t>
  </si>
  <si>
    <t>00000000A6C727E4353C314FBD93409EF639422707000D702909B30966478A168622D1D80E2400000000010D00000D702909B30966478A168622D1D80E240001FCBF1F3C0000</t>
  </si>
  <si>
    <t>00000000A6C727E4353C314FBD93409EF639422707000D702909B30966478A168622D1D80E2400000000010D00000D702909B30966478A168622D1D80E240001FCBF1F3B0000</t>
  </si>
  <si>
    <t>Contracts</t>
  </si>
  <si>
    <t>id=2531076987</t>
  </si>
  <si>
    <t>00000000A6C727E4353C314FBD93409EF639422707000D702909B30966478A168622D1D80E2400000000010D00000D702909B30966478A168622D1D80E240001FCBF1F3A0000</t>
  </si>
  <si>
    <t>Trads</t>
  </si>
  <si>
    <t>00000000A6C727E4353C314FBD93409EF639422707000D702909B30966478A168622D1D80E2400000000010D00000D702909B30966478A168622D1D80E240001FCBF1F390000</t>
  </si>
  <si>
    <t>id=2007328762</t>
  </si>
  <si>
    <t>00000000A6C727E4353C314FBD93409EF639422707000D702909B30966478A168622D1D80E2400000000010D00000D702909B30966478A168622D1D80E240001DC1953C10000</t>
  </si>
  <si>
    <t>00000000A6C727E4353C314FBD93409EF639422707000D702909B30966478A168622D1D80E2400000000010D00000D702909B30966478A168622D1D80E240001FCBF1F310000</t>
  </si>
  <si>
    <t>00000000A6C727E4353C314FBD93409EF639422707000D702909B30966478A168622D1D80E2400000000010D00000D702909B30966478A168622D1D80E24000209BDF0750000</t>
  </si>
  <si>
    <t>00000000A6C727E4353C314FBD93409EF639422707000D702909B30966478A168622D1D80E2400000000010D00000D702909B30966478A168622D1D80E240001FCBF1F300000</t>
  </si>
  <si>
    <t>Valantic press</t>
  </si>
  <si>
    <t>00000000A6C727E4353C314FBD93409EF639422707000D702909B30966478A168622D1D80E2400000000010D00000D702909B30966478A168622D1D80E240001FCBF1F2F0000</t>
  </si>
  <si>
    <t>CRD/SIX</t>
  </si>
  <si>
    <t>id=2537340442</t>
  </si>
  <si>
    <t>00000000A6C727E4353C314FBD93409EF639422707000D702909B30966478A168622D1D80E2400000000010D00000D702909B30966478A168622D1D80E240001FCBF1F2E0000</t>
  </si>
  <si>
    <t>00000000A6C727E4353C314FBD93409EF639422707000D702909B30966478A168622D1D80E2400000000010D00000D702909B30966478A168622D1D80E240001FCBF1F2D0000</t>
  </si>
  <si>
    <t>marketing / new slide deck</t>
  </si>
  <si>
    <t>00000000A6C727E4353C314FBD93409EF639422707000D702909B30966478A168622D1D80E2400000000010D00000D702909B30966478A168622D1D80E240001FCBF1F2C0000</t>
  </si>
  <si>
    <t>id=2536917020</t>
  </si>
  <si>
    <t>00000000A6C727E4353C314FBD93409EF639422707000D702909B30966478A168622D1D80E2400000000010D00000D702909B30966478A168622D1D80E240001FCBF1F2B0000</t>
  </si>
  <si>
    <t>00000000A6C727E4353C314FBD93409EF639422707000D702909B30966478A168622D1D80E2400000000010D00000D702909B30966478A168622D1D80E240001FCBF1F2A0000</t>
  </si>
  <si>
    <t>00000000A6C727E4353C314FBD93409EF639422707000D702909B30966478A168622D1D80E2400000000010D00000D702909B30966478A168622D1D80E240001FCBF1F290000</t>
  </si>
  <si>
    <t>Velox share scheme</t>
  </si>
  <si>
    <t>Alison Hood,Horowitz, Joel,Jon Butler,Jason Yan</t>
  </si>
  <si>
    <t>00000000A6C727E4353C314FBD93409EF639422707000D702909B30966478A168622D1D80E2400000000010D00000D702909B30966478A168622D1D80E24000207FB0F780000</t>
  </si>
  <si>
    <t>SIX/CRD</t>
  </si>
  <si>
    <t>00000000A6C727E4353C314FBD93409EF639422707000D702909B30966478A168622D1D80E2400000000010D00000D702909B30966478A168622D1D80E240001FCBF1F280000</t>
  </si>
  <si>
    <t>00000000A6C727E4353C314FBD93409EF639422707000D702909B30966478A168622D1D80E2400000000010D00000D702909B30966478A168622D1D80E24000207FB0F770000</t>
  </si>
  <si>
    <t>00000000A6C727E4353C314FBD93409EF639422707000D702909B30966478A168622D1D80E2400000000010D00000D702909B30966478A168622D1D80E240001FCBF1F270000</t>
  </si>
  <si>
    <t>00000000A6C727E4353C314FBD93409EF639422707000D702909B30966478A168622D1D80E2400000000010D00000D702909B30966478A168622D1D80E240001FCBF1F260000</t>
  </si>
  <si>
    <t>00000000A6C727E4353C314FBD93409EF639422707000D702909B30966478A168622D1D80E2400000000010D00000D702909B30966478A168622D1D80E240001FCBF1F250000</t>
  </si>
  <si>
    <t>CRD proposal</t>
  </si>
  <si>
    <t>00000000A6C727E4353C314FBD93409EF639422707000D702909B30966478A168622D1D80E2400000000010D00000D702909B30966478A168622D1D80E240001FCBF1F240000</t>
  </si>
  <si>
    <t>00000000A6C727E4353C314FBD93409EF639422707000D702909B30966478A168622D1D80E2400000000010D00000D702909B30966478A168622D1D80E24000207FB0F760000</t>
  </si>
  <si>
    <t>00000000A6C727E4353C314FBD93409EF639422707000D702909B30966478A168622D1D80E2400000000010D00000D702909B30966478A168622D1D80E240001FCBF1F230000</t>
  </si>
  <si>
    <t>OPTIONS IT PREP</t>
  </si>
  <si>
    <t>00000000A6C727E4353C314FBD93409EF639422707000D702909B30966478A168622D1D80E2400000000010D00000D702909B30966478A168622D1D80E240001FCBF1F220000</t>
  </si>
  <si>
    <t>SIX / CRD</t>
  </si>
  <si>
    <t>00000000A6C727E4353C314FBD93409EF639422707000D702909B30966478A168622D1D80E2400000000010D00000D702909B30966478A168622D1D80E240001FCBF1F210000</t>
  </si>
  <si>
    <t>Jon - Ross - catchup</t>
  </si>
  <si>
    <t>https://veloxfintech.zoom.us/j/82970939919?pwd=bUNYZmdwRWNhM1FrMytFaE4ybEVZZz09&amp;from=addon</t>
  </si>
  <si>
    <t>00000000A6C727E4353C314FBD93409EF639422707000D702909B30966478A168622D1D80E2400000000010D00000D702909B30966478A168622D1D80E240001FCBF1F320000</t>
  </si>
  <si>
    <t>00000000A6C727E4353C314FBD93409EF639422707000D702909B30966478A168622D1D80E2400000000010D00000D702909B30966478A168622D1D80E240001FCBF1F200000</t>
  </si>
  <si>
    <t>baird debreif</t>
  </si>
  <si>
    <t>00000000A6C727E4353C314FBD93409EF639422707000D702909B30966478A168622D1D80E2400000000010D00000D702909B30966478A168622D1D80E240001FCBF1F1F0000</t>
  </si>
  <si>
    <t>proposals</t>
  </si>
  <si>
    <t>00000000A6C727E4353C314FBD93409EF639422707000D702909B30966478A168622D1D80E2400000000010D00000D702909B30966478A168622D1D80E240001FCBF1F1C0000</t>
  </si>
  <si>
    <t>Catch up: Jon, Velox and Jo, WatersTech</t>
  </si>
  <si>
    <t>Josephine Gallagher,jon.butler@veloxfintech.com</t>
  </si>
  <si>
    <t>Josephine Gallagher</t>
  </si>
  <si>
    <t>00000000A6C727E4353C314FBD93409EF639422707000D702909B30966478A168622D1D80E2400000000010D00000D702909B30966478A168622D1D80E240001FCBF1F580000</t>
  </si>
  <si>
    <t>valantic prop</t>
  </si>
  <si>
    <t>00000000A6C727E4353C314FBD93409EF639422707000D702909B30966478A168622D1D80E2400000000010D00000D702909B30966478A168622D1D80E240001FCBF1F1B0000</t>
  </si>
  <si>
    <t>A-Team/Valantic FSA/Velox</t>
  </si>
  <si>
    <t>https://us02web.zoom.us/j/85646620884; id=2007328762</t>
  </si>
  <si>
    <t>mike@a-teamgroup.com,Jon Butler,andy.browning@fsa.valantic.com,steve@vision57.com</t>
  </si>
  <si>
    <t>mike@a-teamgroup.com</t>
  </si>
  <si>
    <t>00000000A6C727E4353C314FBD93409EF639422707000D702909B30966478A168622D1D80E2400000000010D00000D702909B30966478A168622D1D80E240001FCBF1F1A0000</t>
  </si>
  <si>
    <t>00000000A6C727E4353C314FBD93409EF639422707000D702909B30966478A168622D1D80E2400000000010D00000D702909B30966478A168622D1D80E240001FCBF1F190000</t>
  </si>
  <si>
    <t xml:space="preserve">Baird/Velox - demo prep call </t>
  </si>
  <si>
    <t>Ali Moosavi,Chung, Sunny,Jon Butler</t>
  </si>
  <si>
    <t>00000000A6C727E4353C314FBD93409EF639422707000D702909B30966478A168622D1D80E2400000000010D00000D702909B30966478A168622D1D80E2400020654A4CD0000</t>
  </si>
  <si>
    <t xml:space="preserve">RA - Velox - Trades demo </t>
  </si>
  <si>
    <t>https://veloxfintech.zoom.us/j/86470654591?pwd=eGRjNmxLbnJxZUgrOU4xWFhLSFJvUT09&amp;from=addon</t>
  </si>
  <si>
    <t>Ross Lucas,Jon Butler,Andy Bennett,Greg Lee,Mike Powell,Jason Yan</t>
  </si>
  <si>
    <t>00000000A6C727E4353C314FBD93409EF639422707000D702909B30966478A168622D1D80E2400000000010D00000D702909B30966478A168622D1D80E240001FCBF1F370000</t>
  </si>
  <si>
    <t>00000000A6C727E4353C314FBD93409EF639422707000D702909B30966478A168622D1D80E2400000000010D00000D702909B30966478A168622D1D80E240001FCBF1F170000</t>
  </si>
  <si>
    <t xml:space="preserve">Liquidity Provider talking points </t>
  </si>
  <si>
    <t>Ali Moosavi,Jon Butler,Ross Lucas,Alison Hood</t>
  </si>
  <si>
    <t>00000000A6C727E4353C314FBD93409EF639422707000D702909B30966478A168622D1D80E2400000000010D00000D702909B30966478A168622D1D80E2400020654A4CA0000</t>
  </si>
  <si>
    <t>00000000A6C727E4353C314FBD93409EF639422707000D702909B30966478A168622D1D80E2400000000010D00000D702909B30966478A168622D1D80E240001FCBF1F160000</t>
  </si>
  <si>
    <t>00000000A6C727E4353C314FBD93409EF639422707000D702909B30966478A168622D1D80E2400000000010D00000D702909B30966478A168622D1D80E240001FCBF1F150000</t>
  </si>
  <si>
    <t>00000000A6C727E4353C314FBD93409EF639422707000D702909B30966478A168622D1D80E2400000000010D00000D702909B30966478A168622D1D80E240001FCBF1F140000</t>
  </si>
  <si>
    <t>Response to ETFS SAFE</t>
  </si>
  <si>
    <t>00000000A6C727E4353C314FBD93409EF639422707000D702909B30966478A168622D1D80E2400000000010D00000D702909B30966478A168622D1D80E2400020654A4C90000</t>
  </si>
  <si>
    <t>II negotiation</t>
  </si>
  <si>
    <t>00000000A6C727E4353C314FBD93409EF639422707000D702909B30966478A168622D1D80E2400000000010D00000D702909B30966478A168622D1D80E240001FCBF1F120000</t>
  </si>
  <si>
    <t>00000000A6C727E4353C314FBD93409EF639422707000D702909B30966478A168622D1D80E2400000000010D00000D702909B30966478A168622D1D80E240001FCBF1F110000</t>
  </si>
  <si>
    <t>Catch-up - Steve, Jon, Andy</t>
  </si>
  <si>
    <t>Andy Browning,Steve Grob,Jon Butler</t>
  </si>
  <si>
    <t>00000000A6C727E4353C314FBD93409EF639422707000D702909B30966478A168622D1D80E2400000000010D00000D702909B30966478A168622D1D80E240001FCBF1F130000</t>
  </si>
  <si>
    <t xml:space="preserve">Digiterre - Velox intro. </t>
  </si>
  <si>
    <t>https://veloxfintech.zoom.us/j/88186213131?pwd=SHV1dWd2MVJncVlLVzMvK0J6cGMvZz09&amp;from=addon</t>
  </si>
  <si>
    <t>Ross Lucas,Jon Butler,jeremyt@digiterre.com</t>
  </si>
  <si>
    <t>00000000A6C727E4353C314FBD93409EF639422707000D702909B30966478A168622D1D80E2400000000010D00000D702909B30966478A168622D1D80E2400020654A4C60000</t>
  </si>
  <si>
    <t>SIX Prep</t>
  </si>
  <si>
    <t>00000000A6C727E4353C314FBD93409EF639422707000D702909B30966478A168622D1D80E2400000000010D00000D702909B30966478A168622D1D80E240001FCBF1F0F0000</t>
  </si>
  <si>
    <t>CRD prop</t>
  </si>
  <si>
    <t>00000000A6C727E4353C314FBD93409EF639422707000D702909B30966478A168622D1D80E2400000000010D00000D702909B30966478A168622D1D80E240001FCBF1F0E0000</t>
  </si>
  <si>
    <t>00000000A6C727E4353C314FBD93409EF639422707000D702909B30966478A168622D1D80E2400000000010D00000D702909B30966478A168622D1D80E240001FCBF1F0D0000</t>
  </si>
  <si>
    <t>etfsc</t>
  </si>
  <si>
    <t>00000000A6C727E4353C314FBD93409EF639422707000D702909B30966478A168622D1D80E2400000000010D00000D702909B30966478A168622D1D80E2400020533DFFE0000</t>
  </si>
  <si>
    <t>00000000A6C727E4353C314FBD93409EF639422707000D702909B30966478A168622D1D80E2400000000010D00000D702909B30966478A168622D1D80E2400020533DFFD0000</t>
  </si>
  <si>
    <t>00000000A6C727E4353C314FBD93409EF639422707000D702909B30966478A168622D1D80E2400000000010D00000D702909B30966478A168622D1D80E240001FCBF1F0C0000</t>
  </si>
  <si>
    <t>00000000A6C727E4353C314FBD93409EF639422707000D702909B30966478A168622D1D80E2400000000010D00000D702909B30966478A168622D1D80E240001FCBF1F0B0000</t>
  </si>
  <si>
    <t>00000000A6C727E4353C314FBD93409EF639422707000D702909B30966478A168622D1D80E2400000000010D00000D702909B30966478A168622D1D80E240001FCBF1F0A0000</t>
  </si>
  <si>
    <t>Prep for weekly meeting</t>
  </si>
  <si>
    <t>00000000A6C727E4353C314FBD93409EF639422707000D702909B30966478A168622D1D80E2400000000010D00000D702909B30966478A168622D1D80E240001FCBF1F080000</t>
  </si>
  <si>
    <t>00000000A6C727E4353C314FBD93409EF639422707000D702909B30966478A168622D1D80E2400000000010D00000D702909B30966478A168622D1D80E240001FCBF1F070000</t>
  </si>
  <si>
    <t>Interview Andy Browning/valantic FSA and Jon Butler/Velox with Jo Gallagher/Waters Technology</t>
  </si>
  <si>
    <t>Bill Yelverton,Andy.Browning@fsa.valantic.com,jon.butler@veloxfintech.com</t>
  </si>
  <si>
    <t>Bill Yelverton</t>
  </si>
  <si>
    <t>00000000A6C727E4353C314FBD93409EF639422707000D702909B30966478A168622D1D80E2400000000010D00000D702909B30966478A168622D1D80E240001FCBF1F050000</t>
  </si>
  <si>
    <t>ross slide / admin</t>
  </si>
  <si>
    <t>id=2531808650</t>
  </si>
  <si>
    <t>00000000A6C727E4353C314FBD93409EF639422707000D702909B30966478A168622D1D80E2400000000010D00000D702909B30966478A168622D1D80E240001FCBF1F040000</t>
  </si>
  <si>
    <t>00000000A6C727E4353C314FBD93409EF639422707000D702909B30966478A168622D1D80E2400000000010D00000D702909B30966478A168622D1D80E240001FCBF1F030000</t>
  </si>
  <si>
    <t>ross slide</t>
  </si>
  <si>
    <t>00000000A6C727E4353C314FBD93409EF639422707000D702909B30966478A168622D1D80E2400000000010D00000D702909B30966478A168622D1D80E240001FCBF1F020000</t>
  </si>
  <si>
    <t>00000000A6C727E4353C314FBD93409EF639422707000D702909B30966478A168622D1D80E2400000000010D00000D702909B30966478A168622D1D80E240001FCBF1F010000</t>
  </si>
  <si>
    <t>00000000A6C727E4353C314FBD93409EF639422707000D702909B30966478A168622D1D80E2400000000010D00000D702909B30966478A168622D1D80E240001FCBF1F000000</t>
  </si>
  <si>
    <t>00000000A6C727E4353C314FBD93409EF639422707000D702909B30966478A168622D1D80E2400000000010D00000D702909B30966478A168622D1D80E240001FCBF1EFF0000</t>
  </si>
  <si>
    <t>slide for ross on comparing vendors</t>
  </si>
  <si>
    <t>00000000A6C727E4353C314FBD93409EF639422707000D702909B30966478A168622D1D80E2400000000010D00000D702909B30966478A168622D1D80E240001FCBF1EFE0000</t>
  </si>
  <si>
    <t>capsule / proseptciong</t>
  </si>
  <si>
    <t>00000000A6C727E4353C314FBD93409EF639422707000D702909B30966478A168622D1D80E2400000000010D00000D702909B30966478A168622D1D80E240001FCBF1EFD0000</t>
  </si>
  <si>
    <t>00000000A6C727E4353C314FBD93409EF639422707000D702909B30966478A168622D1D80E2400000000010D00000D702909B30966478A168622D1D80E240001FCBF1EFC0000</t>
  </si>
  <si>
    <t>capsule cleanup / prospects</t>
  </si>
  <si>
    <t>00000000A6C727E4353C314FBD93409EF639422707000D702909B30966478A168622D1D80E2400000000010D00000D702909B30966478A168622D1D80E240001FCBF1EFB0000</t>
  </si>
  <si>
    <t>00000000A6C727E4353C314FBD93409EF639422707000D702909B30966478A168622D1D80E2400000000010D00000D702909B30966478A168622D1D80E240001FCBF1EFA0000</t>
  </si>
  <si>
    <t xml:space="preserve">Ali/Jon chat -  Data centric customers talking points </t>
  </si>
  <si>
    <t>00000000A6C727E4353C314FBD93409EF639422707000D702909B30966478A168622D1D80E2400000000010D00000D702909B30966478A168622D1D80E240001FCBF1EF90000</t>
  </si>
  <si>
    <t>id=2527697632</t>
  </si>
  <si>
    <t>00000000A6C727E4353C314FBD93409EF639422707000D702909B30966478A168622D1D80E2400000000010D00000D702909B30966478A168622D1D80E240001FCBF1EF80000</t>
  </si>
  <si>
    <t>00000000A6C727E4353C314FBD93409EF639422707000D702909B30966478A168622D1D80E2400000000010D00000D702909B30966478A168622D1D80E240001FCBF1EF70000</t>
  </si>
  <si>
    <t>Jon/Ansgar - Training followups etc</t>
  </si>
  <si>
    <t>Jon Butler,Ansgar Bruell</t>
  </si>
  <si>
    <t>00000000A6C727E4353C314FBD93409EF639422707000D702909B30966478A168622D1D80E2400000000010D00000D702909B30966478A168622D1D80E240001FCBF1EF60000</t>
  </si>
  <si>
    <t>00000000A6C727E4353C314FBD93409EF639422707000D702909B30966478A168622D1D80E2400000000010D00000D702909B30966478A168622D1D80E240001FCBF1EF40000</t>
  </si>
  <si>
    <t>velox Training for vFSA (II)</t>
  </si>
  <si>
    <t>Ansgar Bruell,Jason Yan,Jon Butler,Maik Mewes,René Bärecke,Philipp Königs</t>
  </si>
  <si>
    <t>Ansgar Bruell</t>
  </si>
  <si>
    <t>00000000A6C727E4353C314FBD93409EF639422707000D702909B30966478A168622D1D80E2400000000010D00000D702909B30966478A168622D1D80E240001FCBF1F590000</t>
  </si>
  <si>
    <t>00000000A6C727E4353C314FBD93409EF639422707000D702909B30966478A168622D1D80E2400000000010D00000D702909B30966478A168622D1D80E240001FCBF1EF30000</t>
  </si>
  <si>
    <t>Fido Prep</t>
  </si>
  <si>
    <t>id=2479464121</t>
  </si>
  <si>
    <t>00000000A6C727E4353C314FBD93409EF639422707000D702909B30966478A168622D1D80E2400000000010D00000D702909B30966478A168622D1D80E240001FCBF1EF20000</t>
  </si>
  <si>
    <t>capsule / prospecting</t>
  </si>
  <si>
    <t>id=2199747299</t>
  </si>
  <si>
    <t>00000000A6C727E4353C314FBD93409EF639422707000D702909B30966478A168622D1D80E2400000000010D00000D702909B30966478A168622D1D80E240001FCBF1EF10000</t>
  </si>
  <si>
    <t>Velox Update</t>
  </si>
  <si>
    <t>Jon Butler,Jon Hansen,Gerald Lilly,Jason Yan</t>
  </si>
  <si>
    <t>00000000A6C727E4353C314FBD93409EF639422707000D702909B30966478A168622D1D80E2400000000010D00000D702909B30966478A168622D1D80E240001FCBF1EF00000</t>
  </si>
  <si>
    <t>Capsule / Prospecting</t>
  </si>
  <si>
    <t>00000000A6C727E4353C314FBD93409EF639422707000D702909B30966478A168622D1D80E2400000000010D00000D702909B30966478A168622D1D80E240001FCBF1EEF0000</t>
  </si>
  <si>
    <t>00000000A6C727E4353C314FBD93409EF639422707000D702909B30966478A168622D1D80E2400000000010D00000D702909B30966478A168622D1D80E240001FCBF1EEE0000</t>
  </si>
  <si>
    <t>00000000A6C727E4353C314FBD93409EF639422707000D702909B30966478A168622D1D80E2400000000010D00000D702909B30966478A168622D1D80E240001FCBF1EED0000</t>
  </si>
  <si>
    <t>Pete / Jefferies</t>
  </si>
  <si>
    <t>id=2218316821</t>
  </si>
  <si>
    <t>00000000A6C727E4353C314FBD93409EF639422707000D702909B30966478A168622D1D80E2400000000010D00000D702909B30966478A168622D1D80E24000202F7C7DA0000</t>
  </si>
  <si>
    <t>00000000A6C727E4353C314FBD93409EF639422707000D702909B30966478A168622D1D80E2400000000010D00000D702909B30966478A168622D1D80E24000202F7C7D90000</t>
  </si>
  <si>
    <t>CalcGuard/Velox follow up - POC doc</t>
  </si>
  <si>
    <t>Ali Moosavi,Alex Sargent,Timothy Sargent,Jim Northey,Mike Hahn,Jon Butler</t>
  </si>
  <si>
    <t>00000000A6C727E4353C314FBD93409EF639422707000D702909B30966478A168622D1D80E2400000000010D00000D702909B30966478A168622D1D80E24000202F7C7D60000</t>
  </si>
  <si>
    <t>00000000A6C727E4353C314FBD93409EF639422707000D702909B30966478A168622D1D80E2400000000010D00000D702909B30966478A168622D1D80E24000202F7C7D50000</t>
  </si>
  <si>
    <t>II schedules</t>
  </si>
  <si>
    <t>id=2530348673</t>
  </si>
  <si>
    <t>00000000A6C727E4353C314FBD93409EF639422707000D702909B30966478A168622D1D80E2400000000010D00000D702909B30966478A168622D1D80E24000202F7C7D40000</t>
  </si>
  <si>
    <t>Social Media post</t>
  </si>
  <si>
    <t>id=2515672361</t>
  </si>
  <si>
    <t>00000000A6C727E4353C314FBD93409EF639422707000D702909B30966478A168622D1D80E2400000000010D00000D702909B30966478A168622D1D80E24000202F7C7D30000</t>
  </si>
  <si>
    <t>00000000A6C727E4353C314FBD93409EF639422707000D702909B30966478A168622D1D80E2400000000010D00000D702909B30966478A168622D1D80E24000202AF6A730000</t>
  </si>
  <si>
    <t>social media post</t>
  </si>
  <si>
    <t>00000000A6C727E4353C314FBD93409EF639422707000D702909B30966478A168622D1D80E2400000000010D00000D702909B30966478A168622D1D80E24000202AF6A720000</t>
  </si>
  <si>
    <t>00000000A6C727E4353C314FBD93409EF639422707000D702909B30966478A168622D1D80E2400000000010D00000D702909B30966478A168622D1D80E24000202AF6A710000</t>
  </si>
  <si>
    <t>00000000A6C727E4353C314FBD93409EF639422707000D702909B30966478A168622D1D80E2400000000010D00000D702909B30966478A168622D1D80E24000202AF6A700000</t>
  </si>
  <si>
    <t xml:space="preserve">Velox/CM.T follow up </t>
  </si>
  <si>
    <t>Ali Moosavi,Anders Henriksson,Vaibhav Shukla,Jon Butler</t>
  </si>
  <si>
    <t>00000000A6C727E4353C314FBD93409EF639422707000D702909B30966478A168622D1D80E2400000000010D00000D702909B30966478A168622D1D80E24000202AF6A6F0000</t>
  </si>
  <si>
    <t>00000000A6C727E4353C314FBD93409EF639422707000D702909B30966478A168622D1D80E2400000000010D00000D702909B30966478A168622D1D80E24000202AF6A6E0000</t>
  </si>
  <si>
    <t>ULTUMUS</t>
  </si>
  <si>
    <t>00000000A6C727E4353C314FBD93409EF639422707000D702909B30966478A168622D1D80E2400000000010D00000D702909B30966478A168622D1D80E24000202AF6A6D0000</t>
  </si>
  <si>
    <t>00000000A6C727E4353C314FBD93409EF639422707000D702909B30966478A168622D1D80E2400000000010D00000D702909B30966478A168622D1D80E24000202AF6A6C0000</t>
  </si>
  <si>
    <t>00000000A6C727E4353C314FBD93409EF639422707000D702909B30966478A168622D1D80E2400000000010D00000D702909B30966478A168622D1D80E24000202AF6A6B0000</t>
  </si>
  <si>
    <t>00000000A6C727E4353C314FBD93409EF639422707000D702909B30966478A168622D1D80E2400000000010D00000D702909B30966478A168622D1D80E2400020093A4A30000</t>
  </si>
  <si>
    <t>00000000A6C727E4353C314FBD93409EF639422707000D702909B30966478A168622D1D80E2400000000010D00000D702909B30966478A168622D1D80E2400020093A4A20000</t>
  </si>
  <si>
    <t>00000000A6C727E4353C314FBD93409EF639422707000D702909B30966478A168622D1D80E2400000000010D00000D702909B30966478A168622D1D80E2400020093A4A00000</t>
  </si>
  <si>
    <t>00000000A6C727E4353C314FBD93409EF639422707000D702909B30966478A168622D1D80E2400000000010D00000D702909B30966478A168622D1D80E2400020093A49F0000</t>
  </si>
  <si>
    <t>Colm/Jon/Steve OSL and Velox</t>
  </si>
  <si>
    <t>https://us02web.zoom.us/j/81733396799?pwd=Nlo2bjdDTjFZL0YySjgrQU44T1JKZz09&amp;from=addon</t>
  </si>
  <si>
    <t>Steve Grob,Colm Furlong,Jon Butler</t>
  </si>
  <si>
    <t>00000000A6C727E4353C314FBD93409EF639422707000D702909B30966478A168622D1D80E2400000000010D00000D702909B30966478A168622D1D80E240001FCBF1EF50000</t>
  </si>
  <si>
    <t>id=2530384030</t>
  </si>
  <si>
    <t>00000000A6C727E4353C314FBD93409EF639422707000D702909B30966478A168622D1D80E2400000000010D00000D702909B30966478A168622D1D80E240001FCBF1EEC0000</t>
  </si>
  <si>
    <t>00000000A6C727E4353C314FBD93409EF639422707000D702909B30966478A168622D1D80E2400000000010D00000D702909B30966478A168622D1D80E240001FCBF1EEB0000</t>
  </si>
  <si>
    <t>Velox &lt;=&gt; Options Intro</t>
  </si>
  <si>
    <t>Russo, Michael,Jon Butler,Adrain, Sarah,Semple, Harley,Strawbridge, Robert</t>
  </si>
  <si>
    <t>Russo, Michael</t>
  </si>
  <si>
    <t>00000000A6C727E4353C314FBD93409EF639422707000D702909B30966478A168622D1D80E2400000000010D00000D702909B30966478A168622D1D80E240001FCBF1F060000</t>
  </si>
  <si>
    <t>00000000A6C727E4353C314FBD93409EF639422707000D702909B30966478A168622D1D80E2400000000010D00000D702909B30966478A168622D1D80E240001FCBF1EE80000</t>
  </si>
  <si>
    <t>00000000A6C727E4353C314FBD93409EF639422707000D702909B30966478A168622D1D80E2400000000010D00000D702909B30966478A168622D1D80E240001FCBF1EE70000</t>
  </si>
  <si>
    <t>jason ii</t>
  </si>
  <si>
    <t>00000000A6C727E4353C314FBD93409EF639422707000D702909B30966478A168622D1D80E2400000000010D00000D702909B30966478A168622D1D80E240001FCBF1EE60000</t>
  </si>
  <si>
    <t>Prep for Danske</t>
  </si>
  <si>
    <t>id=2508879109</t>
  </si>
  <si>
    <t>00000000A6C727E4353C314FBD93409EF639422707000D702909B30966478A168622D1D80E2400000000010D00000D702909B30966478A168622D1D80E240001FCBF1EE50000</t>
  </si>
  <si>
    <t>Ignite2M - Velox 2nd meeting follow up</t>
  </si>
  <si>
    <t>https://veloxfintech.zoom.us/j/88586532474?pwd=VzdpRUpsQVlMNXkvRGgzdVlkNkhCZz09&amp;from=addon</t>
  </si>
  <si>
    <t>Ross Lucas,Ian Salmon,Jon Butler,Alison Hood</t>
  </si>
  <si>
    <t>00000000A6C727E4353C314FBD93409EF639422707000D702909B30966478A168622D1D80E2400000000010D00000D702909B30966478A168622D1D80E240001FCBF1F360000</t>
  </si>
  <si>
    <t>00000000A6C727E4353C314FBD93409EF639422707000D702909B30966478A168622D1D80E2400000000010D00000D702909B30966478A168622D1D80E240001FCBF1EE40000</t>
  </si>
  <si>
    <t>00000000A6C727E4353C314FBD93409EF639422707000D702909B30966478A168622D1D80E2400000000010D00000D702909B30966478A168622D1D80E240001FCBF1EE30000</t>
  </si>
  <si>
    <t>aaron trads</t>
  </si>
  <si>
    <t>00000000A6C727E4353C314FBD93409EF639422707000D702909B30966478A168622D1D80E2400000000010D00000D702909B30966478A168622D1D80E240001FCBF1EE20000</t>
  </si>
  <si>
    <t>Weekly Prep for Trads Update</t>
  </si>
  <si>
    <t>https://veloxfintech.zoom.us/j/5694196921 id=2193345636</t>
  </si>
  <si>
    <t>Jon Butler,Aaron Pryce,Jason Yan,Greg Lee</t>
  </si>
  <si>
    <t>00000000A6C727E4353C314FBD93409EF639422707000D702909B30966478A168622D1D80E2400000000010D00000D702909B30966478A168622D1D80E240001FCBF1EE10000</t>
  </si>
  <si>
    <t>00000000A6C727E4353C314FBD93409EF639422707000D702909B30966478A168622D1D80E2400000000010D00000D702909B30966478A168622D1D80E240001FCBF1EE00000</t>
  </si>
  <si>
    <t>00000000A6C727E4353C314FBD93409EF639422707000D702909B30966478A168622D1D80E2400000000010D00000D702909B30966478A168622D1D80E240001FCBF1EDC0000</t>
  </si>
  <si>
    <t>00000000A6C727E4353C314FBD93409EF639422707000D702909B30966478A168622D1D80E2400000000010D00000D702909B30966478A168622D1D80E240001FCBF1EDB0000</t>
  </si>
  <si>
    <t>00000000A6C727E4353C314FBD93409EF639422707000D702909B30966478A168622D1D80E2400000000010D00000D702909B30966478A168622D1D80E240001FCBF1EDA0000</t>
  </si>
  <si>
    <t>velox Sales &amp; Marketing Kickoff Q2</t>
  </si>
  <si>
    <t>https://us02web.zoom.us/j/8383454203</t>
  </si>
  <si>
    <t>Xavier Sarras,Nadine Bürger,Jon Butler,Alison Hood</t>
  </si>
  <si>
    <t>Xavier Sarras</t>
  </si>
  <si>
    <t>00000000A6C727E4353C314FBD93409EF639422707000D702909B30966478A168622D1D80E2400000000010D00000D702909B30966478A168622D1D80E240001FCBF1EDD0000</t>
  </si>
  <si>
    <t>prep for danske</t>
  </si>
  <si>
    <t>id=2504003882</t>
  </si>
  <si>
    <t>00000000A6C727E4353C314FBD93409EF639422707000D702909B30966478A168622D1D80E2400000000010D00000D702909B30966478A168622D1D80E240001FCBF1ED90000</t>
  </si>
  <si>
    <t>FIX Protocol - Discuss proposal an</t>
  </si>
  <si>
    <t>https://veloxfintech.zoom.us/j/87071933113?pwd=c2pOUFJxYmYyZEY1OVVtblVRdGtIdz09&amp;from=addon</t>
  </si>
  <si>
    <t>00000000A6C727E4353C314FBD93409EF639422707000D702909B30966478A168622D1D80E2400000000010D00000D702909B30966478A168622D1D80E240001FCBF1EDE0000</t>
  </si>
  <si>
    <t xml:space="preserve">GA - Hits web site discussion next steps. </t>
  </si>
  <si>
    <t>https://veloxfintech.zoom.us/j/87340446439?pwd=Uk9oOEE1bTZJWEdLaXRReTVHTUJUQT09&amp;from=addon; id=2457159946</t>
  </si>
  <si>
    <t>00000000A6C727E4353C314FBD93409EF639422707000D702909B30966478A168622D1D80E2400000000010D00000D702909B30966478A168622D1D80E240001FCBF1ED70000</t>
  </si>
  <si>
    <t>venn diagram of velox enabled client solns</t>
  </si>
  <si>
    <t>id=2503716935</t>
  </si>
  <si>
    <t>00000000A6C727E4353C314FBD93409EF639422707000D702909B30966478A168622D1D80E2400000000010D00000D702909B30966478A168622D1D80E240001FCBF1ED60000</t>
  </si>
  <si>
    <t>00000000A6C727E4353C314FBD93409EF639422707000D702909B30966478A168622D1D80E2400000000010D00000D702909B30966478A168622D1D80E240001FCBF1ED50000</t>
  </si>
  <si>
    <t>00000000A6C727E4353C314FBD93409EF639422707000D702909B30966478A168622D1D80E2400000000010D00000D702909B30966478A168622D1D80E240001FCBF1ED40000</t>
  </si>
  <si>
    <t>00000000A6C727E4353C314FBD93409EF639422707000D702909B30966478A168622D1D80E2400000000010D00000D702909B30966478A168622D1D80E240001FCBF1ED30000</t>
  </si>
  <si>
    <t xml:space="preserve">slide template / collateral / </t>
  </si>
  <si>
    <t>00000000A6C727E4353C314FBD93409EF639422707000D702909B30966478A168622D1D80E2400000000010D00000D702909B30966478A168622D1D80E240001FCBF1ED20000</t>
  </si>
  <si>
    <t>clean up monday</t>
  </si>
  <si>
    <t>00000000A6C727E4353C314FBD93409EF639422707000D702909B30966478A168622D1D80E2400000000010D00000D702909B30966478A168622D1D80E240001FCBF1ED10000</t>
  </si>
  <si>
    <t>00000000A6C727E4353C314FBD93409EF639422707000D702909B30966478A168622D1D80E2400000000010D00000D702909B30966478A168622D1D80E240001FCBF1ED00000</t>
  </si>
  <si>
    <t>core brand doc</t>
  </si>
  <si>
    <t>00000000A6C727E4353C314FBD93409EF639422707000D702909B30966478A168622D1D80E2400000000010D00000D702909B30966478A168622D1D80E240001FFC931800000</t>
  </si>
  <si>
    <t>id=2487235078</t>
  </si>
  <si>
    <t>00000000A6C727E4353C314FBD93409EF639422707000D702909B30966478A168622D1D80E2400000000010D00000D702909B30966478A168622D1D80E240001FFC9317F0000</t>
  </si>
  <si>
    <t>00000000A6C727E4353C314FBD93409EF639422707000D702909B30966478A168622D1D80E2400000000010D00000D702909B30966478A168622D1D80E240001FCBF1ECF0000</t>
  </si>
  <si>
    <t>Alides</t>
  </si>
  <si>
    <t>00000000A6C727E4353C314FBD93409EF639422707000D702909B30966478A168622D1D80E2400000000010D00000D702909B30966478A168622D1D80E240001FCBF1ECE0000</t>
  </si>
  <si>
    <t>Patrick</t>
  </si>
  <si>
    <t>00000000A6C727E4353C314FBD93409EF639422707000D702909B30966478A168622D1D80E2400000000010D00000D702909B30966478A168622D1D80E240001FCBF1ECD0000</t>
  </si>
  <si>
    <t>00000000A6C727E4353C314FBD93409EF639422707000D702909B30966478A168622D1D80E2400000000010D00000D702909B30966478A168622D1D80E240001FCBF1ECC0000</t>
  </si>
  <si>
    <t>00000000A6C727E4353C314FBD93409EF639422707000D702909B30966478A168622D1D80E2400000000010D00000D702909B30966478A168622D1D80E240001FCBF1ECB0000</t>
  </si>
  <si>
    <t>00000000A6C727E4353C314FBD93409EF639422707000D702909B30966478A168622D1D80E2400000000010D00000D702909B30966478A168622D1D80E240001FCBF1ECA0000</t>
  </si>
  <si>
    <t>00000000A6C727E4353C314FBD93409EF639422707000D702909B30966478A168622D1D80E2400000000010D00000D702909B30966478A168622D1D80E240001FCBF1EC90000</t>
  </si>
  <si>
    <t>Danske - valantic FSA dashboard demo</t>
  </si>
  <si>
    <t>Microsoft Teams Meeting; id=2508879109</t>
  </si>
  <si>
    <t>Peter Holmgren,Peter Holmgren,Markus Drott,Jon Butler,Morten Olsen</t>
  </si>
  <si>
    <t>00000000A6C727E4353C314FBD93409EF639422707000D702909B30966478A168622D1D80E2400000000010D00000D702909B30966478A168622D1D80E240001FCBF1EC70000</t>
  </si>
  <si>
    <t xml:space="preserve">Tradition Asia overview  - RA </t>
  </si>
  <si>
    <t>https://veloxfintech.zoom.us/j/89679650430?pwd=bXpHRnVRcWNVVnRqekNjWVNoZG96Zz09&amp;from=addon</t>
  </si>
  <si>
    <t>00000000A6C727E4353C314FBD93409EF639422707000D702909B30966478A168622D1D80E2400000000010D00000D702909B30966478A168622D1D80E240001FCBF1EC60000</t>
  </si>
  <si>
    <t>velox Training for vFSA staff</t>
  </si>
  <si>
    <t>Ansgar Bruell,Jon Butler,Maik Mewes,René Bärecke,Philipp Königs</t>
  </si>
  <si>
    <t>00000000A6C727E4353C314FBD93409EF639422707000D702909B30966478A168622D1D80E2400000000010D00000D702909B30966478A168622D1D80E240001FCBF1EC80000</t>
  </si>
  <si>
    <t>SIX / Engine Deeper Dive</t>
  </si>
  <si>
    <t>Hug, Stéphane,Gligoric, Natasa,Jason Yan,Jon Butler</t>
  </si>
  <si>
    <t>00000000A6C727E4353C314FBD93409EF639422707000D702909B30966478A168622D1D80E2400000000010D00000D702909B30966478A168622D1D80E240001FCBF1EC50000</t>
  </si>
  <si>
    <t>00000000A6C727E4353C314FBD93409EF639422707000D702909B30966478A168622D1D80E2400000000010D00000D702909B30966478A168622D1D80E240001FCBF1EC40000</t>
  </si>
  <si>
    <t>00000000A6C727E4353C314FBD93409EF639422707000D702909B30966478A168622D1D80E2400000000010D00000D702909B30966478A168622D1D80E240001FCBF1EC20000</t>
  </si>
  <si>
    <t>liquidity venues for ali</t>
  </si>
  <si>
    <t>00000000A6C727E4353C314FBD93409EF639422707000D702909B30966478A168622D1D80E2400000000010D00000D702909B30966478A168622D1D80E240001FCBF1EC10000</t>
  </si>
  <si>
    <t>cog prep</t>
  </si>
  <si>
    <t>00000000A6C727E4353C314FBD93409EF639422707000D702909B30966478A168622D1D80E2400000000010D00000D702909B30966478A168622D1D80E240001FCBF1EC00000</t>
  </si>
  <si>
    <t>new joiner</t>
  </si>
  <si>
    <t>00000000A6C727E4353C314FBD93409EF639422707000D702909B30966478A168622D1D80E2400000000010D00000D702909B30966478A168622D1D80E240001FCBF1EBF0000</t>
  </si>
  <si>
    <t>Jon &lt;&gt; Xavier</t>
  </si>
  <si>
    <t>https://us02web.zoom.us/j/8383454203; id=2530346373</t>
  </si>
  <si>
    <t>Xavier Sarras,Jon Butler,Alison Holmes</t>
  </si>
  <si>
    <t>00000000A6C727E4353C314FBD93409EF639422707000D702909B30966478A168622D1D80E2400000000010D00000D702909B30966478A168622D1D80E240001FCBF1EC30000</t>
  </si>
  <si>
    <t>Jon - Ross training</t>
  </si>
  <si>
    <t>https://veloxfintech.zoom.us/j/83171825549?pwd=byt1dGVQMFRSWUdkY2Q4SlBUN3JJUT09&amp;from=addon</t>
  </si>
  <si>
    <t>00000000A6C727E4353C314FBD93409EF639422707000D702909B30966478A168622D1D80E2400000000010D00000D702909B30966478A168622D1D80E240001D1F624ED0000</t>
  </si>
  <si>
    <t>00000000A6C727E4353C314FBD93409EF639422707000D702909B30966478A168622D1D80E2400000000010D00000D702909B30966478A168622D1D80E240001D1F624EC0000</t>
  </si>
  <si>
    <t>Align on Fintech TV interview</t>
  </si>
  <si>
    <t>00000000A6C727E4353C314FBD93409EF639422707000D702909B30966478A168622D1D80E2400000000010D00000D702909B30966478A168622D1D80E240001FCBD70FE0000</t>
  </si>
  <si>
    <t xml:space="preserve">Ali/Jon - Marketing catch up? </t>
  </si>
  <si>
    <t>00000000A6C727E4353C314FBD93409EF639422707000D702909B30966478A168622D1D80E2400000000010D00000D702909B30966478A168622D1D80E240001D1F624EB0000</t>
  </si>
  <si>
    <t>00000000A6C727E4353C314FBD93409EF639422707000D702909B30966478A168622D1D80E2400000000010D00000D702909B30966478A168622D1D80E240001FCBF1EBE0000</t>
  </si>
  <si>
    <t>00000000A6C727E4353C314FBD93409EF639422707000D702909B30966478A168622D1D80E2400000000010D00000D702909B30966478A168622D1D80E240001D1F624EA0000</t>
  </si>
  <si>
    <t>00000000A6C727E4353C314FBD93409EF639422707000D702909B30966478A168622D1D80E2400000000010D00000D702909B30966478A168622D1D80E240001FCBF1EBD0000</t>
  </si>
  <si>
    <t>00000000A6C727E4353C314FBD93409EF639422707000D702909B30966478A168622D1D80E2400000000010D00000D702909B30966478A168622D1D80E240001FCBF1EBC0000</t>
  </si>
  <si>
    <t>00000000A6C727E4353C314FBD93409EF639422707000D702909B30966478A168622D1D80E2400000000010D00000D702909B30966478A168622D1D80E240001FCBF1EBB0000</t>
  </si>
  <si>
    <t>00000000A6C727E4353C314FBD93409EF639422707000D702909B30966478A168622D1D80E2400000000010D00000D702909B30966478A168622D1D80E240001FCBF1EBA0000</t>
  </si>
  <si>
    <t>00000000A6C727E4353C314FBD93409EF639422707000D702909B30966478A168622D1D80E2400000000010D00000D702909B30966478A168622D1D80E240001D1F624E80000</t>
  </si>
  <si>
    <t>00000000A6C727E4353C314FBD93409EF639422707000D702909B30966478A168622D1D80E2400000000010D00000D702909B30966478A168622D1D80E240001D1F624E70000</t>
  </si>
  <si>
    <t>00000000A6C727E4353C314FBD93409EF639422707000D702909B30966478A168622D1D80E2400000000010D00000D702909B30966478A168622D1D80E240001D1F624E60000</t>
  </si>
  <si>
    <t>00000000A6C727E4353C314FBD93409EF639422707000D702909B30966478A168622D1D80E2400000000010D00000D702909B30966478A168622D1D80E240001D1F624E50000</t>
  </si>
  <si>
    <t>Jon Butler and Erik Mostenicky</t>
  </si>
  <si>
    <t>https://fisv.zoom.us/j/96860468111</t>
  </si>
  <si>
    <t>Mostenicky, Erik,Jon Butler</t>
  </si>
  <si>
    <t>00000000A6C727E4353C314FBD93409EF639422707000D702909B30966478A168622D1D80E2400000000010D00000D702909B30966478A168622D1D80E240001D1F624E30000</t>
  </si>
  <si>
    <t>Jon/Ali</t>
  </si>
  <si>
    <t>00000000A6C727E4353C314FBD93409EF639422707000D702909B30966478A168622D1D80E2400000000010D00000D702909B30966478A168622D1D80E240001D1F624E20000</t>
  </si>
  <si>
    <t>00000000A6C727E4353C314FBD93409EF639422707000D702909B30966478A168622D1D80E2400000000010D00000D702909B30966478A168622D1D80E240001D1F624E00000</t>
  </si>
  <si>
    <t>FIDO admin</t>
  </si>
  <si>
    <t>00000000A6C727E4353C314FBD93409EF639422707000D702909B30966478A168622D1D80E2400000000010D00000D702909B30966478A168622D1D80E240001D1F624DF0000</t>
  </si>
  <si>
    <t>00000000A6C727E4353C314FBD93409EF639422707000D702909B30966478A168622D1D80E2400000000010D00000D702909B30966478A168622D1D80E240001D1F624DE0000</t>
  </si>
  <si>
    <t>00000000A6C727E4353C314FBD93409EF639422707000D702909B30966478A168622D1D80E2400000000010D00000D702909B30966478A168622D1D80E240001D1F624DD0000</t>
  </si>
  <si>
    <t>valantic PR</t>
  </si>
  <si>
    <t>00000000A6C727E4353C314FBD93409EF639422707000D702909B30966478A168622D1D80E2400000000010D00000D702909B30966478A168622D1D80E240001D1F624DC0000</t>
  </si>
  <si>
    <t>bernie</t>
  </si>
  <si>
    <t>00000000A6C727E4353C314FBD93409EF639422707000D702909B30966478A168622D1D80E2400000000010D00000D702909B30966478A168622D1D80E240001D1F624DB0000</t>
  </si>
  <si>
    <t>fido prep</t>
  </si>
  <si>
    <t>00000000A6C727E4353C314FBD93409EF639422707000D702909B30966478A168622D1D80E2400000000010D00000D702909B30966478A168622D1D80E240001D1F624DA0000</t>
  </si>
  <si>
    <t>admin / capsule report</t>
  </si>
  <si>
    <t>00000000A6C727E4353C314FBD93409EF639422707000D702909B30966478A168622D1D80E2400000000010D00000D702909B30966478A168622D1D80E240001D1F624D90000</t>
  </si>
  <si>
    <t>SG/JB/AH weekly catch up</t>
  </si>
  <si>
    <t>Alison Hood,Jon Butler,Steve Grob</t>
  </si>
  <si>
    <t>00000000A6C727E4353C314FBD93409EF639422707000D702909B30966478A168622D1D80E2400000000010D00000D702909B30966478A168622D1D80E240001D1F624D70000</t>
  </si>
  <si>
    <t>RA/Velox catch up on Trade design doc</t>
  </si>
  <si>
    <t>Mike Powell,Jon Butler,Aaron Pryce,Andy Bennett</t>
  </si>
  <si>
    <t>00000000A6C727E4353C314FBD93409EF639422707000D702909B30966478A168622D1D80E2400000000010D00000D702909B30966478A168622D1D80E240001D1F624D40000</t>
  </si>
  <si>
    <t xml:space="preserve">Velox intro to Ignite2M </t>
  </si>
  <si>
    <t>https://veloxfintech.zoom.us/j/87694066744?pwd=azVxOFF0OGNhZ0N2b0pneE95N1M4QT09&amp;from=addon</t>
  </si>
  <si>
    <t>Ross Lucas,ian.salmon@igniteg2m.com,Jon Butler</t>
  </si>
  <si>
    <t>00000000A6C727E4353C314FBD93409EF639422707000D702909B30966478A168622D1D80E2400000000010D00000D702909B30966478A168622D1D80E240001D1F624D50000</t>
  </si>
  <si>
    <t>CalcGuard/Velox follow up call</t>
  </si>
  <si>
    <t>Ali Moosavi,Jim Northey,Timothy Sargent,Alex Sargent,Jon Butler</t>
  </si>
  <si>
    <t>00000000A6C727E4353C314FBD93409EF639422707000D702909B30966478A168622D1D80E2400000000010D00000D702909B30966478A168622D1D80E240001D1F624D80000</t>
  </si>
  <si>
    <t>00000000A6C727E4353C314FBD93409EF639422707000D702909B30966478A168622D1D80E2400000000010D00000D702909B30966478A168622D1D80E240001D1F624D30000</t>
  </si>
  <si>
    <t>Jon Butler,Hug, Stéphane,Jason Yan</t>
  </si>
  <si>
    <t>00000000A6C727E4353C314FBD93409EF639422707000D702909B30966478A168622D1D80E2400000000010D00000D702909B30966478A168622D1D80E240001D1F624D20000</t>
  </si>
  <si>
    <t>Velox analytics setup</t>
  </si>
  <si>
    <t>jack@3bweb.com</t>
  </si>
  <si>
    <t>00000000A6C727E4353C314FBD93409EF639422707000D702909B30966478A168622D1D80E2400000000010D00000D702909B30966478A168622D1D80E240001D1F624D10000</t>
  </si>
  <si>
    <t>fido demo</t>
  </si>
  <si>
    <t>00000000A6C727E4353C314FBD93409EF639422707000D702909B30966478A168622D1D80E2400000000010D00000D702909B30966478A168622D1D80E240001D1F624D00000</t>
  </si>
  <si>
    <t>00000000A6C727E4353C314FBD93409EF639422707000D702909B30966478A168622D1D80E2400000000010D00000D702909B30966478A168622D1D80E240001D1F624CF0000</t>
  </si>
  <si>
    <t xml:space="preserve">Ross - Training </t>
  </si>
  <si>
    <t>https://veloxfintech.zoom.us/j/89467974149?pwd=MVNCWnpWTURGR1BCOEFBVWFRZFdrZz09&amp;from=addon</t>
  </si>
  <si>
    <t>00000000A6C727E4353C314FBD93409EF639422707000D702909B30966478A168622D1D80E2400000000010D00000D702909B30966478A168622D1D80E240001D1F624E40000</t>
  </si>
  <si>
    <t>prep for Fido</t>
  </si>
  <si>
    <t>00000000A6C727E4353C314FBD93409EF639422707000D702909B30966478A168622D1D80E2400000000010D00000D702909B30966478A168622D1D80E240001D1F624CB0000</t>
  </si>
  <si>
    <t>prep for FIDO</t>
  </si>
  <si>
    <t>00000000A6C727E4353C314FBD93409EF639422707000D702909B30966478A168622D1D80E2400000000010D00000D702909B30966478A168622D1D80E240001D1F624CA0000</t>
  </si>
  <si>
    <t>00000000A6C727E4353C314FBD93409EF639422707000D702909B30966478A168622D1D80E2400000000010D00000D702909B30966478A168622D1D80E240001D1F624C90000</t>
  </si>
  <si>
    <t xml:space="preserve">Weekly recap Sales Meeting </t>
  </si>
  <si>
    <t>00000000A6C727E4353C314FBD93409EF639422707000D702909B30966478A168622D1D80E2400000000010D00000D702909B30966478A168622D1D80E240001D1F624C80000</t>
  </si>
  <si>
    <t>Jason and admin</t>
  </si>
  <si>
    <t>00000000A6C727E4353C314FBD93409EF639422707000D702909B30966478A168622D1D80E2400000000010D00000D702909B30966478A168622D1D80E240001D1F624C50000</t>
  </si>
  <si>
    <t>valantic</t>
  </si>
  <si>
    <t>00000000A6C727E4353C314FBD93409EF639422707000D702909B30966478A168622D1D80E2400000000010D00000D702909B30966478A168622D1D80E240001D1F624C40000</t>
  </si>
  <si>
    <t>mike</t>
  </si>
  <si>
    <t>00000000A6C727E4353C314FBD93409EF639422707000D702909B30966478A168622D1D80E2400000000010D00000D702909B30966478A168622D1D80E240001D1F624C30000</t>
  </si>
  <si>
    <t>JB Zoom room</t>
  </si>
  <si>
    <t>00000000A6C727E4353C314FBD93409EF639422707000D702909B30966478A168622D1D80E2400000000010D00000D702909B30966478A168622D1D80E240001D1F624C10000</t>
  </si>
  <si>
    <t xml:space="preserve">Velox Sales Catchup </t>
  </si>
  <si>
    <t>00000000A6C727E4353C314FBD93409EF639422707000D702909B30966478A168622D1D80E2400000000010D00000D702909B30966478A168622D1D80E240001D1F624C60000</t>
  </si>
  <si>
    <t>Jon Mike - Trads catchup</t>
  </si>
  <si>
    <t>00000000A6C727E4353C314FBD93409EF639422707000D702909B30966478A168622D1D80E2400000000010D00000D702909B30966478A168622D1D80E240001D1F624BF0000</t>
  </si>
  <si>
    <t>jeff prep</t>
  </si>
  <si>
    <t>00000000A6C727E4353C314FBD93409EF639422707000D702909B30966478A168622D1D80E2400000000010D00000D702909B30966478A168622D1D80E240001D1F624BD0000</t>
  </si>
  <si>
    <t>00000000A6C727E4353C314FBD93409EF639422707000D702909B30966478A168622D1D80E2400000000010D00000D702909B30966478A168622D1D80E240001D1F624BC0000</t>
  </si>
  <si>
    <t>00000000A6C727E4353C314FBD93409EF639422707000D702909B30966478A168622D1D80E2400000000010D00000D702909B30966478A168622D1D80E240001D1F624BB0000</t>
  </si>
  <si>
    <t>00000000A6C727E4353C314FBD93409EF639422707000D702909B30966478A168622D1D80E2400000000010D00000D702909B30966478A168622D1D80E240001D1F624BA0000</t>
  </si>
  <si>
    <t>flow slides</t>
  </si>
  <si>
    <t>00000000A6C727E4353C314FBD93409EF639422707000D702909B30966478A168622D1D80E2400000000010D00000D702909B30966478A168622D1D80E240001D1F624B90000</t>
  </si>
  <si>
    <t>00000000A6C727E4353C314FBD93409EF639422707000D702909B30966478A168622D1D80E2400000000010D00000D702909B30966478A168622D1D80E240001D1F624B80000</t>
  </si>
  <si>
    <t>flow diagram</t>
  </si>
  <si>
    <t>00000000A6C727E4353C314FBD93409EF639422707000D702909B30966478A168622D1D80E2400000000010D00000D702909B30966478A168622D1D80E240001D1F624B70000</t>
  </si>
  <si>
    <t>00000000A6C727E4353C314FBD93409EF639422707000D702909B30966478A168622D1D80E2400000000010D00000D702909B30966478A168622D1D80E240001D1F624B60000</t>
  </si>
  <si>
    <t>alison &amp; flow diagram</t>
  </si>
  <si>
    <t>00000000A6C727E4353C314FBD93409EF639422707000D702909B30966478A168622D1D80E2400000000010D00000D702909B30966478A168622D1D80E240001D1F624B50000</t>
  </si>
  <si>
    <t>admin and new flow diagraMS</t>
  </si>
  <si>
    <t>00000000A6C727E4353C314FBD93409EF639422707000D702909B30966478A168622D1D80E2400000000010D00000D702909B30966478A168622D1D80E240001D1F624B40000</t>
  </si>
  <si>
    <t>ETFSC update</t>
  </si>
  <si>
    <t>00000000A6C727E4353C314FBD93409EF639422707000D702909B30966478A168622D1D80E2400000000010D00000D702909B30966478A168622D1D80E240001D1F624B30000</t>
  </si>
  <si>
    <t>00000000A6C727E4353C314FBD93409EF639422707000D702909B30966478A168622D1D80E2400000000010D00000D702909B30966478A168622D1D80E240001D1F624B20000</t>
  </si>
  <si>
    <t>00000000A6C727E4353C314FBD93409EF639422707000D702909B30966478A168622D1D80E2400000000010D00000D702909B30966478A168622D1D80E240001D1F624B10000</t>
  </si>
  <si>
    <t>rapid</t>
  </si>
  <si>
    <t>00000000A6C727E4353C314FBD93409EF639422707000D702909B30966478A168622D1D80E2400000000010D00000D702909B30966478A168622D1D80E240001D1F624B00000</t>
  </si>
  <si>
    <t>00000000A6C727E4353C314FBD93409EF639422707000D702909B30966478A168622D1D80E2400000000010D00000D702909B30966478A168622D1D80E240001D1F624AF0000</t>
  </si>
  <si>
    <t>Prep</t>
  </si>
  <si>
    <t>00000000A6C727E4353C314FBD93409EF639422707000D702909B30966478A168622D1D80E2400000000010D00000D702909B30966478A168622D1D80E240001D1F624AD0000</t>
  </si>
  <si>
    <t>prep</t>
  </si>
  <si>
    <t>00000000A6C727E4353C314FBD93409EF639422707000D702909B30966478A168622D1D80E2400000000010D00000D702909B30966478A168622D1D80E240001D1F624AC0000</t>
  </si>
  <si>
    <t>amdmin</t>
  </si>
  <si>
    <t>00000000A6C727E4353C314FBD93409EF639422707000D702909B30966478A168622D1D80E2400000000010D00000D702909B30966478A168622D1D80E240001D1F624AB0000</t>
  </si>
  <si>
    <t>00000000A6C727E4353C314FBD93409EF639422707000D702909B30966478A168622D1D80E2400000000010D00000D702909B30966478A168622D1D80E240001D1F624AA0000</t>
  </si>
  <si>
    <t>dentist</t>
  </si>
  <si>
    <t>00000000A6C727E4353C314FBD93409EF639422707000D702909B30966478A168622D1D80E2400000000010D00000D702909B30966478A168622D1D80E240001D1F624A90000</t>
  </si>
  <si>
    <t>FIX Event review of initial lead gen list review.</t>
  </si>
  <si>
    <t>https://veloxfintech.zoom.us/j/84031536442?pwd=aVlzOEYrU2RycmttQVZ1Um4wU3hYZz09&amp;from=addon</t>
  </si>
  <si>
    <t>00000000A6C727E4353C314FBD93409EF639422707000D702909B30966478A168622D1D80E2400000000010D00000D702909B30966478A168622D1D80E240001D1F624BE0000</t>
  </si>
  <si>
    <t>FinTech Focus TV: vFSA and Velox</t>
  </si>
  <si>
    <t>https://us06web.zoom.us/j/87663542725?pwd=UGxDd0twMmdIUGc2aGVXRW9DK1RSUT09</t>
  </si>
  <si>
    <t>Georgia Richardson,Toby Babb,Browning, Andy,Jon Butler,steve@vision57.com,Lydia Sear,Alexandra White</t>
  </si>
  <si>
    <t>Georgia Richardson</t>
  </si>
  <si>
    <t>00000000A6C727E4353C314FBD93409EF639422707000D702909B30966478A168622D1D80E2400000000010D00000D702909B30966478A168622D1D80E240001DC1953C00000</t>
  </si>
  <si>
    <t>ETFS Capital deck</t>
  </si>
  <si>
    <t>00000000A6C727E4353C314FBD93409EF639422707000D702909B30966478A168622D1D80E2400000000010D00000D702909B30966478A168622D1D80E240001D1F624A80000</t>
  </si>
  <si>
    <t>00000000A6C727E4353C314FBD93409EF639422707000D702909B30966478A168622D1D80E2400000000010D00000D702909B30966478A168622D1D80E240001D1F624A70000</t>
  </si>
  <si>
    <t>00000000A6C727E4353C314FBD93409EF639422707000D702909B30966478A168622D1D80E2400000000010D00000D702909B30966478A168622D1D80E240001D1F624A60000</t>
  </si>
  <si>
    <t>00000000A6C727E4353C314FBD93409EF639422707000D702909B30966478A168622D1D80E2400000000010D00000D702909B30966478A168622D1D80E240001D1F624A20000</t>
  </si>
  <si>
    <t>Da Gama-Rose, John (Cognizant),Jon Butler,Alison Hood,Sadhotra, Aditya (Cognizant),Gauba, Manan (Cognizant),Duggan, Alexander (Cognizant),Meere, Daniel (Cognizant)</t>
  </si>
  <si>
    <t>John.DAGama-Rose@cognizant.com</t>
  </si>
  <si>
    <t>00000000A6C727E4353C314FBD93409EF639422707000D702909B30966478A168622D1D80E2400000000010D00000D702909B30966478A168622D1D80E240001D1F624A10000</t>
  </si>
  <si>
    <t>invoices for valantic</t>
  </si>
  <si>
    <t>00000000A6C727E4353C314FBD93409EF639422707000D702909B30966478A168622D1D80E2400000000010D00000D702909B30966478A168622D1D80E240001D1F624A00000</t>
  </si>
  <si>
    <t>alsion</t>
  </si>
  <si>
    <t>00000000A6C727E4353C314FBD93409EF639422707000D702909B30966478A168622D1D80E2400000000010D00000D702909B30966478A168622D1D80E240001D1F6249F0000</t>
  </si>
  <si>
    <t>prep for BNY Mellon</t>
  </si>
  <si>
    <t>00000000A6C727E4353C314FBD93409EF639422707000D702909B30966478A168622D1D80E2400000000010D00000D702909B30966478A168622D1D80E240001D1F6249E0000</t>
  </si>
  <si>
    <t>Velox/CalcGuard pre-call to demo</t>
  </si>
  <si>
    <t>JB Zoom - https://zoom.us/j/5694196921</t>
  </si>
  <si>
    <t>Ali Moosavi,Jon Butler,Jim Northey</t>
  </si>
  <si>
    <t>00000000A6C727E4353C314FBD93409EF639422707000D702909B30966478A168622D1D80E2400000000010D00000D702909B30966478A168622D1D80E240001F9F6D4E00000</t>
  </si>
  <si>
    <t>00000000A6C727E4353C314FBD93409EF639422707000D702909B30966478A168622D1D80E2400000000010D00000D702909B30966478A168622D1D80E240001D1F6249D0000</t>
  </si>
  <si>
    <t>admion / valantic</t>
  </si>
  <si>
    <t>00000000A6C727E4353C314FBD93409EF639422707000D702909B30966478A168622D1D80E2400000000010D00000D702909B30966478A168622D1D80E240001D1F6249C0000</t>
  </si>
  <si>
    <t>admin / web site / jefferies</t>
  </si>
  <si>
    <t>00000000A6C727E4353C314FBD93409EF639422707000D702909B30966478A168622D1D80E2400000000010D00000D702909B30966478A168622D1D80E240001D1F6249B0000</t>
  </si>
  <si>
    <t>00000000A6C727E4353C314FBD93409EF639422707000D702909B30966478A168622D1D80E2400000000010D00000D702909B30966478A168622D1D80E240001D1F624970000</t>
  </si>
  <si>
    <t>00000000A6C727E4353C314FBD93409EF639422707000D702909B30966478A168622D1D80E2400000000010D00000D702909B30966478A168622D1D80E240001D1F624960000</t>
  </si>
  <si>
    <t>00000000A6C727E4353C314FBD93409EF639422707000D702909B30966478A168622D1D80E2400000000010D00000D702909B30966478A168622D1D80E240001D1F624950000</t>
  </si>
  <si>
    <t>00000000A6C727E4353C314FBD93409EF639422707000D702909B30966478A168622D1D80E2400000000010D00000D702909B30966478A168622D1D80E240001D1F624940000</t>
  </si>
  <si>
    <t>00000000A6C727E4353C314FBD93409EF639422707000D702909B30966478A168622D1D80E2400000000010D00000D702909B30966478A168622D1D80E240001D1F624930000</t>
  </si>
  <si>
    <t>Jon/Aaron</t>
  </si>
  <si>
    <t>00000000A6C727E4353C314FBD93409EF639422707000D702909B30966478A168622D1D80E2400000000010D00000D702909B30966478A168622D1D80E240001D1F624920000</t>
  </si>
  <si>
    <t>00000000A6C727E4353C314FBD93409EF639422707000D702909B30966478A168622D1D80E2400000000010D00000D702909B30966478A168622D1D80E240001D1F624900000</t>
  </si>
  <si>
    <t>Connecting Eric w/ Jon @ Velox</t>
  </si>
  <si>
    <t>Dong, Jia Yang,Jon Butler,Bonaguro, Michael</t>
  </si>
  <si>
    <t>Dong, Jia Yang</t>
  </si>
  <si>
    <t>00000000A6C727E4353C314FBD93409EF639422707000D702909B30966478A168622D1D80E2400000000010D00000D702909B30966478A168622D1D80E240001D1F624910000</t>
  </si>
  <si>
    <t>Jon/Sina</t>
  </si>
  <si>
    <t>Jon Butler,Sina Hakman</t>
  </si>
  <si>
    <t>00000000A6C727E4353C314FBD93409EF639422707000D702909B30966478A168622D1D80E2400000000010D00000D702909B30966478A168622D1D80E240001D1F6248F0000</t>
  </si>
  <si>
    <t>steve jon alison</t>
  </si>
  <si>
    <t>00000000A6C727E4353C314FBD93409EF639422707000D702909B30966478A168622D1D80E2400000000010D00000D702909B30966478A168622D1D80E240001D1F6248E0000</t>
  </si>
  <si>
    <t>00000000A6C727E4353C314FBD93409EF639422707000D702909B30966478A168622D1D80E2400000000010D00000D702909B30966478A168622D1D80E240001D1F6248D0000</t>
  </si>
  <si>
    <t>00000000A6C727E4353C314FBD93409EF639422707000D702909B30966478A168622D1D80E2400000000010D00000D702909B30966478A168622D1D80E240001D1F6248C0000</t>
  </si>
  <si>
    <t>slides for ross / fidessa</t>
  </si>
  <si>
    <t>00000000A6C727E4353C314FBD93409EF639422707000D702909B30966478A168622D1D80E2400000000010D00000D702909B30966478A168622D1D80E240001D1F6248B0000</t>
  </si>
  <si>
    <t>00000000A6C727E4353C314FBD93409EF639422707000D702909B30966478A168622D1D80E2400000000010D00000D702909B30966478A168622D1D80E240001D1F6248A0000</t>
  </si>
  <si>
    <t>blog post</t>
  </si>
  <si>
    <t>00000000A6C727E4353C314FBD93409EF639422707000D702909B30966478A168622D1D80E2400000000010D00000D702909B30966478A168622D1D80E240001D1F624890000</t>
  </si>
  <si>
    <t>Steve, Jon, Alison catch up</t>
  </si>
  <si>
    <t>00000000A6C727E4353C314FBD93409EF639422707000D702909B30966478A168622D1D80E2400000000010D00000D702909B30966478A168622D1D80E240001F7DF40870000</t>
  </si>
  <si>
    <t>00000000A6C727E4353C314FBD93409EF639422707000D702909B30966478A168622D1D80E2400000000010D00000D702909B30966478A168622D1D80E240001D1F624880000</t>
  </si>
  <si>
    <t>00000000A6C727E4353C314FBD93409EF639422707000D702909B30966478A168622D1D80E2400000000010D00000D702909B30966478A168622D1D80E240001D1F624870000</t>
  </si>
  <si>
    <t>00000000A6C727E4353C314FBD93409EF639422707000D702909B30966478A168622D1D80E2400000000010D00000D702909B30966478A168622D1D80E240001D1F624860000</t>
  </si>
  <si>
    <t>janna</t>
  </si>
  <si>
    <t>00000000A6C727E4353C314FBD93409EF639422707000D702909B30966478A168622D1D80E2400000000010D00000D702909B30966478A168622D1D80E240001D1F624850000</t>
  </si>
  <si>
    <t>Video Visit Follow Up  with Janna Gordon-Elliott, MD</t>
  </si>
  <si>
    <t>Connect</t>
  </si>
  <si>
    <t>00000000A6C727E4353C314FBD93409EF639422707000D702909B30966478A168622D1D80E2400000000010D00000D702909B30966478A168622D1D80E240001D1F624840000</t>
  </si>
  <si>
    <t>00000000A6C727E4353C314FBD93409EF639422707000D702909B30966478A168622D1D80E2400000000010D00000D702909B30966478A168622D1D80E240001D1F624830000</t>
  </si>
  <si>
    <t>00000000A6C727E4353C314FBD93409EF639422707000D702909B30966478A168622D1D80E2400000000010D00000D702909B30966478A168622D1D80E240001D1F624820000</t>
  </si>
  <si>
    <t>00000000A6C727E4353C314FBD93409EF639422707000D702909B30966478A168622D1D80E2400000000010D00000D702909B30966478A168622D1D80E240001D1F624810000</t>
  </si>
  <si>
    <t>00000000A6C727E4353C314FBD93409EF639422707000D702909B30966478A168622D1D80E2400000000010D00000D702909B30966478A168622D1D80E240001D1F624800000</t>
  </si>
  <si>
    <t>Velox update - FIX Membership</t>
  </si>
  <si>
    <t>Ali Moosavi,Rosato, Louis,emiko.kamoda@gs.com,Jon Butler</t>
  </si>
  <si>
    <t>00000000A6C727E4353C314FBD93409EF639422707000D702909B30966478A168622D1D80E2400000000010D00000D702909B30966478A168622D1D80E240001D1F624A40000</t>
  </si>
  <si>
    <t>Velox/CalcGuard technical deep dive</t>
  </si>
  <si>
    <t>Ali Moosavi,asargent@calcguard.com,tsargent@calcguard.com,Jnorthey@calcguard.com,Jon Butler,Jason Yan,Mike Hahn,Daniel Bukowski</t>
  </si>
  <si>
    <t>00000000A6C727E4353C314FBD93409EF639422707000D702909B30966478A168622D1D80E2400000000010D00000D702909B30966478A168622D1D80E240001D1F624A30000</t>
  </si>
  <si>
    <t>00000000A6C727E4353C314FBD93409EF639422707000D702909B30966478A168622D1D80E2400000000010D00000D702909B30966478A168622D1D80E240001D1F6247F0000</t>
  </si>
  <si>
    <t>00000000A6C727E4353C314FBD93409EF639422707000D702909B30966478A168622D1D80E2400000000010D00000D702909B30966478A168622D1D80E240001D1F6247E0000</t>
  </si>
  <si>
    <t>2 pager</t>
  </si>
  <si>
    <t>00000000A6C727E4353C314FBD93409EF639422707000D702909B30966478A168622D1D80E2400000000010D00000D702909B30966478A168622D1D80E240001D1F6247D0000</t>
  </si>
  <si>
    <t>social media / reading</t>
  </si>
  <si>
    <t>00000000A6C727E4353C314FBD93409EF639422707000D702909B30966478A168622D1D80E2400000000010D00000D702909B30966478A168622D1D80E240001D1F6247C0000</t>
  </si>
  <si>
    <t>bernie / social media</t>
  </si>
  <si>
    <t>00000000A6C727E4353C314FBD93409EF639422707000D702909B30966478A168622D1D80E2400000000010D00000D702909B30966478A168622D1D80E240001D1F6247B0000</t>
  </si>
  <si>
    <t>cognizant</t>
  </si>
  <si>
    <t>00000000A6C727E4353C314FBD93409EF639422707000D702909B30966478A168622D1D80E2400000000010D00000D702909B30966478A168622D1D80E240001D1F6247A0000</t>
  </si>
  <si>
    <t>00000000A6C727E4353C314FBD93409EF639422707000D702909B30966478A168622D1D80E2400000000010D00000D702909B30966478A168622D1D80E240001D1F624790000</t>
  </si>
  <si>
    <t>00000000A6C727E4353C314FBD93409EF639422707000D702909B30966478A168622D1D80E2400000000010D00000D702909B30966478A168622D1D80E240001D1F624780000</t>
  </si>
  <si>
    <t>Jon/Ross - Velox Pt2</t>
  </si>
  <si>
    <t>00000000A6C727E4353C314FBD93409EF639422707000D702909B30966478A168622D1D80E2400000000010D00000D702909B30966478A168622D1D80E240001D1F624770000</t>
  </si>
  <si>
    <t>Jon/Ansgar</t>
  </si>
  <si>
    <t>00000000A6C727E4353C314FBD93409EF639422707000D702909B30966478A168622D1D80E2400000000010D00000D702909B30966478A168622D1D80E240001D1F624760000</t>
  </si>
  <si>
    <t>linkedin / admin</t>
  </si>
  <si>
    <t>00000000A6C727E4353C314FBD93409EF639422707000D702909B30966478A168622D1D80E2400000000010D00000D702909B30966478A168622D1D80E240001D1F624750000</t>
  </si>
  <si>
    <t>velox Introduction w/Jon Butler</t>
  </si>
  <si>
    <t>https://veloxfintech.zoom.us/j/5694196921</t>
  </si>
  <si>
    <t>PARIS DAVID</t>
  </si>
  <si>
    <t>00000000A6C727E4353C314FBD93409EF639422707000D702909B30966478A168622D1D80E2400000000010D00000D702909B30966478A168622D1D80E240001D1F624740000</t>
  </si>
  <si>
    <t>00000000A6C727E4353C314FBD93409EF639422707000D702909B30966478A168622D1D80E2400000000010D00000D702909B30966478A168622D1D80E240001D1F624730000</t>
  </si>
  <si>
    <t>cog</t>
  </si>
  <si>
    <t>00000000A6C727E4353C314FBD93409EF639422707000D702909B30966478A168622D1D80E2400000000010D00000D702909B30966478A168622D1D80E240001D1F624720000</t>
  </si>
  <si>
    <t>00000000A6C727E4353C314FBD93409EF639422707000D702909B30966478A168622D1D80E2400000000010D00000D702909B30966478A168622D1D80E240001D1F624710000</t>
  </si>
  <si>
    <t>00000000A6C727E4353C314FBD93409EF639422707000D702909B30966478A168622D1D80E2400000000010D00000D702909B30966478A168622D1D80E240001D1F624700000</t>
  </si>
  <si>
    <t>00000000A6C727E4353C314FBD93409EF639422707000D702909B30966478A168622D1D80E2400000000010D00000D702909B30966478A168622D1D80E240001D1F6246F0000</t>
  </si>
  <si>
    <t>00000000A6C727E4353C314FBD93409EF639422707000D702909B30966478A168622D1D80E2400000000010D00000D702909B30966478A168622D1D80E240001D1F6246E0000</t>
  </si>
  <si>
    <t>00000000A6C727E4353C314FBD93409EF639422707000D702909B30966478A168622D1D80E2400000000010D00000D702909B30966478A168622D1D80E240001D1F6246D0000</t>
  </si>
  <si>
    <t>CalcGuard/Velox follow up call w/Jon</t>
  </si>
  <si>
    <t>Ali Moosavi,Jon Butler,Jnorthey@calcguard.com</t>
  </si>
  <si>
    <t>00000000A6C727E4353C314FBD93409EF639422707000D702909B30966478A168622D1D80E2400000000010D00000D702909B30966478A168622D1D80E240001D1F6246C0000</t>
  </si>
  <si>
    <t>3bWeb - Velox Intro -with call details</t>
  </si>
  <si>
    <t xml:space="preserve">Call details to follow. </t>
  </si>
  <si>
    <t>Ross Lucas,Alison Hood,Jack Bremer,Alex Bremer,Jon Butler</t>
  </si>
  <si>
    <t>00000000A6C727E4353C314FBD93409EF639422707000D702909B30966478A168622D1D80E2400000000010D00000D702909B30966478A168622D1D80E240001F3EA40680000</t>
  </si>
  <si>
    <t>00000000A6C727E4353C314FBD93409EF639422707000D702909B30966478A168622D1D80E2400000000010D00000D702909B30966478A168622D1D80E240001D1F6246B0000</t>
  </si>
  <si>
    <t>00000000A6C727E4353C314FBD93409EF639422707000D702909B30966478A168622D1D80E2400000000010D00000D702909B30966478A168622D1D80E240001D1F624690000</t>
  </si>
  <si>
    <t>Peter Holmgren,Benjamin Springett,Steve Grob,Jon Butler,Ian Carter</t>
  </si>
  <si>
    <t>00000000A6C727E4353C314FBD93409EF639422707000D702909B30966478A168622D1D80E2400000000010D00000D702909B30966478A168622D1D80E240001D1F624980000</t>
  </si>
  <si>
    <t>cognizant deck</t>
  </si>
  <si>
    <t>00000000A6C727E4353C314FBD93409EF639422707000D702909B30966478A168622D1D80E2400000000010D00000D702909B30966478A168622D1D80E240001D1F624670000</t>
  </si>
  <si>
    <t>00000000A6C727E4353C314FBD93409EF639422707000D702909B30966478A168622D1D80E2400000000010D00000D702909B30966478A168622D1D80E240001D1F624660000</t>
  </si>
  <si>
    <t>Aaron</t>
  </si>
  <si>
    <t>00000000A6C727E4353C314FBD93409EF639422707000D702909B30966478A168622D1D80E2400000000010D00000D702909B30966478A168622D1D80E240001D1F624650000</t>
  </si>
  <si>
    <t>00000000A6C727E4353C314FBD93409EF639422707000D702909B30966478A168622D1D80E2400000000010D00000D702909B30966478A168622D1D80E240001D1F624640000</t>
  </si>
  <si>
    <t>00000000A6C727E4353C314FBD93409EF639422707000D702909B30966478A168622D1D80E2400000000010D00000D702909B30966478A168622D1D80E240001D1F624630000</t>
  </si>
  <si>
    <t>Tradition Environment / soln arch sync</t>
  </si>
  <si>
    <t>Aaron Pryce,Tuan Tran,Michal Stovicek,Jason Yan,Greg Lee,Jon Butler,Andy Bennett</t>
  </si>
  <si>
    <t>00000000A6C727E4353C314FBD93409EF639422707000D702909B30966478A168622D1D80E2400000000010D00000D702909B30966478A168622D1D80E240001F3EA40660000</t>
  </si>
  <si>
    <t>photoshop messing</t>
  </si>
  <si>
    <t>00000000A6C727E4353C314FBD93409EF639422707000D702909B30966478A168622D1D80E2400000000010D00000D702909B30966478A168622D1D80E240001D1F624620000</t>
  </si>
  <si>
    <t>Fidessa deep dive w/Steve</t>
  </si>
  <si>
    <t>Ali Moosavi,Steve Grob,Ross Lucas,Jon Butler,Alison Hood</t>
  </si>
  <si>
    <t>00000000A6C727E4353C314FBD93409EF639422707000D702909B30966478A168622D1D80E2400000000010D00000D702909B30966478A168622D1D80E240001F3EA40650000</t>
  </si>
  <si>
    <t>00000000A6C727E4353C314FBD93409EF639422707000D702909B30966478A168622D1D80E2400000000010D00000D702909B30966478A168622D1D80E240001D1F624600000</t>
  </si>
  <si>
    <t>Cognizant</t>
  </si>
  <si>
    <t>00000000A6C727E4353C314FBD93409EF639422707000D702909B30966478A168622D1D80E2400000000010D00000D702909B30966478A168622D1D80E240001D1F6245F0000</t>
  </si>
  <si>
    <t>00000000A6C727E4353C314FBD93409EF639422707000D702909B30966478A168622D1D80E2400000000010D00000D702909B30966478A168622D1D80E240001F3EA40640000</t>
  </si>
  <si>
    <t>00000000A6C727E4353C314FBD93409EF639422707000D702909B30966478A168622D1D80E2400000000010D00000D702909B30966478A168622D1D80E240001D1F6245D0000</t>
  </si>
  <si>
    <t xml:space="preserve">Jon/Ross - Velox Pt1 - </t>
  </si>
  <si>
    <t>00000000A6C727E4353C314FBD93409EF639422707000D702909B30966478A168622D1D80E2400000000010D00000D702909B30966478A168622D1D80E240001F3EA40630000</t>
  </si>
  <si>
    <t>TradMatch2 - Bug Review and Strategy</t>
  </si>
  <si>
    <t>elif.izbirak@traditionasia.com,tuan.tran@rapidaddition.com,sina.hakman@traditionasia.com,Jason Yan,Greg Lee,Aaron Pryce,Andy Bennett,Aaron Pryce</t>
  </si>
  <si>
    <t>00000000A6C727E4353C314FBD93409EF639422707000D702909B30966478A168622D1D80E2400000000010D00000D702909B30966478A168622D1D80E240001F3EA40620000</t>
  </si>
  <si>
    <t>trads setup</t>
  </si>
  <si>
    <t>00000000A6C727E4353C314FBD93409EF639422707000D702909B30966478A168622D1D80E2400000000010D00000D702909B30966478A168622D1D80E240001F3EA40610000</t>
  </si>
  <si>
    <t>Aarron</t>
  </si>
  <si>
    <t>00000000A6C727E4353C314FBD93409EF639422707000D702909B30966478A168622D1D80E2400000000010D00000D702909B30966478A168622D1D80E240001D1F6245C0000</t>
  </si>
  <si>
    <t>new slides</t>
  </si>
  <si>
    <t>00000000A6C727E4353C314FBD93409EF639422707000D702909B30966478A168622D1D80E2400000000010D00000D702909B30966478A168622D1D80E240001D1F6245B0000</t>
  </si>
  <si>
    <t>trads prep</t>
  </si>
  <si>
    <t>00000000A6C727E4353C314FBD93409EF639422707000D702909B30966478A168622D1D80E2400000000010D00000D702909B30966478A168622D1D80E240001D1F6245A0000</t>
  </si>
  <si>
    <t>00000000A6C727E4353C314FBD93409EF639422707000D702909B30966478A168622D1D80E2400000000010D00000D702909B30966478A168622D1D80E240001D1F624590000</t>
  </si>
  <si>
    <t>new slides animation</t>
  </si>
  <si>
    <t>00000000A6C727E4353C314FBD93409EF639422707000D702909B30966478A168622D1D80E2400000000010D00000D702909B30966478A168622D1D80E240001D1F624580000</t>
  </si>
  <si>
    <t>00000000A6C727E4353C314FBD93409EF639422707000D702909B30966478A168622D1D80E2400000000010D00000D702909B30966478A168622D1D80E240001D1F624570000</t>
  </si>
  <si>
    <t>00000000A6C727E4353C314FBD93409EF639422707000D702909B30966478A168622D1D80E2400000000010D00000D702909B30966478A168622D1D80E240001D1F624560000</t>
  </si>
  <si>
    <t>00000000A6C727E4353C314FBD93409EF639422707000D702909B30966478A168622D1D80E2400000000010D00000D702909B30966478A168622D1D80E240001D1F624550000</t>
  </si>
  <si>
    <t>building LI lists</t>
  </si>
  <si>
    <t>id=2422325255</t>
  </si>
  <si>
    <t>00000000A6C727E4353C314FBD93409EF639422707000D702909B30966478A168622D1D80E2400000000010D00000D702909B30966478A168622D1D80E240001D1F624540000</t>
  </si>
  <si>
    <t>social media</t>
  </si>
  <si>
    <t>00000000A6C727E4353C314FBD93409EF639422707000D702909B30966478A168622D1D80E2400000000010D00000D702909B30966478A168622D1D80E240001D1F624530000</t>
  </si>
  <si>
    <t>linked in stuff</t>
  </si>
  <si>
    <t>00000000A6C727E4353C314FBD93409EF639422707000D702909B30966478A168622D1D80E2400000000010D00000D702909B30966478A168622D1D80E240001F3EA405F0000</t>
  </si>
  <si>
    <t>00000000A6C727E4353C314FBD93409EF639422707000D702909B30966478A168622D1D80E2400000000010D00000D702909B30966478A168622D1D80E240001F3EA405E0000</t>
  </si>
  <si>
    <t>00000000A6C727E4353C314FBD93409EF639422707000D702909B30966478A168622D1D80E2400000000010D00000D702909B30966478A168622D1D80E240001F3EA405D0000</t>
  </si>
  <si>
    <t>prep for genesis</t>
  </si>
  <si>
    <t>00000000A6C727E4353C314FBD93409EF639422707000D702909B30966478A168622D1D80E2400000000010D00000D702909B30966478A168622D1D80E240001F3EA405C0000</t>
  </si>
  <si>
    <t>prep for genesis trading</t>
  </si>
  <si>
    <t>00000000A6C727E4353C314FBD93409EF639422707000D702909B30966478A168622D1D80E2400000000010D00000D702909B30966478A168622D1D80E240001D1F624500000</t>
  </si>
  <si>
    <t>Admin,Alison Hood,Jason Yan,Jon Butler,Graham Tuckwell,Chloe Barlass,Louise Bale,Ian Lansdell,Martyn James,Mark Weeks,Boardroom,Boardroom</t>
  </si>
  <si>
    <t>00000000A6C727E4353C314FBD93409EF639422707000D702909B30966478A168622D1D80E2400000000010D00000D702909B30966478A168622D1D80E240001D1F624510000</t>
  </si>
  <si>
    <t>admin / socials / alsion</t>
  </si>
  <si>
    <t>00000000A6C727E4353C314FBD93409EF639422707000D702909B30966478A168622D1D80E2400000000010D00000D702909B30966478A168622D1D80E240001D1F6244E0000</t>
  </si>
  <si>
    <t xml:space="preserve">FIL Kick off meeting - Velox </t>
  </si>
  <si>
    <t>https://filvc.zoom.us/j/99548388104?pwd=L1R4UG9SRlhXWEZ0WmN2VkFzVFNCZz09&amp;from=addon</t>
  </si>
  <si>
    <t>Stavri, Harry,Ashida, Yugo,Corby, Vanessa,Lloyd-Lyons, Joshua,Mostenicky, Erik,Jason Yan,chris.searle@finbourne.com,Rizwan Saeed,Nicholas Mignot,Zeynep Solmus,govind.jajoo@veloxfintech.com,xinchao.zhang@veloxfintech.com,jon.butler@veloxfintech.com,Nicholas, Edward,Wiles, Mike,Cousins, Richard,Tyndale, John,Matthew Luff</t>
  </si>
  <si>
    <t>Stavri, Harry</t>
  </si>
  <si>
    <t>00000000A6C727E4353C314FBD93409EF639422707000D702909B30966478A168622D1D80E2400000000010D00000D702909B30966478A168622D1D80E240001D1F6245E0000</t>
  </si>
  <si>
    <t>00000000A6C727E4353C314FBD93409EF639422707000D702909B30966478A168622D1D80E2400000000010D00000D702909B30966478A168622D1D80E240001D1F6244D0000</t>
  </si>
  <si>
    <t>social media and admin</t>
  </si>
  <si>
    <t>00000000A6C727E4353C314FBD93409EF639422707000D702909B30966478A168622D1D80E2400000000010D00000D702909B30966478A168622D1D80E240001D1F6244B0000</t>
  </si>
  <si>
    <t>Jon / Michael</t>
  </si>
  <si>
    <t>mike.rude@cruxinformatics.com,Jon Butler</t>
  </si>
  <si>
    <t>mike.rude@cruxinformatics.com</t>
  </si>
  <si>
    <t>00000000A6C727E4353C314FBD93409EF639422707000D702909B30966478A168622D1D80E2400000000010D00000D702909B30966478A168622D1D80E240001D1F624610000</t>
  </si>
  <si>
    <t>00000000A6C727E4353C314FBD93409EF639422707000D702909B30966478A168622D1D80E2400000000010D00000D702909B30966478A168622D1D80E240001D1F6244A0000</t>
  </si>
  <si>
    <t>00000000A6C727E4353C314FBD93409EF639422707000D702909B30966478A168622D1D80E2400000000010D00000D702909B30966478A168622D1D80E240001D1F624490000</t>
  </si>
  <si>
    <t>﻿this was interesting when you showed it to Marex. I would like to understand it better as well</t>
  </si>
  <si>
    <t>JB ZOOM</t>
  </si>
  <si>
    <t>00000000A6C727E4353C314FBD93409EF639422707000D702909B30966478A168622D1D80E2400000000010D00000D702909B30966478A168622D1D80E240001D1F624480000</t>
  </si>
  <si>
    <t>00000000A6C727E4353C314FBD93409EF639422707000D702909B30966478A168622D1D80E2400000000010D00000D702909B30966478A168622D1D80E240001F302A48C0000</t>
  </si>
  <si>
    <t>AH/AM splill</t>
  </si>
  <si>
    <t>00000000A6C727E4353C314FBD93409EF639422707000D702909B30966478A168622D1D80E2400000000010D00000D702909B30966478A168622D1D80E240001D1F624470000</t>
  </si>
  <si>
    <t>00000000A6C727E4353C314FBD93409EF639422707000D702909B30966478A168622D1D80E2400000000010D00000D702909B30966478A168622D1D80E240001D1F624460000</t>
  </si>
  <si>
    <t>linked in cleanup</t>
  </si>
  <si>
    <t>00000000A6C727E4353C314FBD93409EF639422707000D702909B30966478A168622D1D80E2400000000010D00000D702909B30966478A168622D1D80E240001D1F624450000</t>
  </si>
  <si>
    <t>slide deck</t>
  </si>
  <si>
    <t>00000000A6C727E4353C314FBD93409EF639422707000D702909B30966478A168622D1D80E2400000000010D00000D702909B30966478A168622D1D80E240001D1F624440000</t>
  </si>
  <si>
    <t>LinkedIn training with Ali</t>
  </si>
  <si>
    <t>https://zoom.us/j/5694196921</t>
  </si>
  <si>
    <t>Ali Moosavi,Alison Hood</t>
  </si>
  <si>
    <t>00000000A6C727E4353C314FBD93409EF639422707000D702909B30966478A168622D1D80E2400000000010D00000D702909B30966478A168622D1D80E240001D1F624430000</t>
  </si>
  <si>
    <t>Jon/Aaron sync-up</t>
  </si>
  <si>
    <t>Jon Butler,Aaron Pryce,Aaron Pryce</t>
  </si>
  <si>
    <t>00000000A6C727E4353C314FBD93409EF639422707000D702909B30966478A168622D1D80E2400000000010D00000D702909B30966478A168622D1D80E240001D1F624420000</t>
  </si>
  <si>
    <t>animate hero</t>
  </si>
  <si>
    <t>00000000A6C727E4353C314FBD93409EF639422707000D702909B30966478A168622D1D80E2400000000010D00000D702909B30966478A168622D1D80E240001D1F624410000</t>
  </si>
  <si>
    <t>00000000A6C727E4353C314FBD93409EF639422707000D702909B30966478A168622D1D80E2400000000010D00000D702909B30966478A168622D1D80E240001D1F624400000</t>
  </si>
  <si>
    <t>00000000A6C727E4353C314FBD93409EF639422707000D702909B30966478A168622D1D80E2400000000010D00000D702909B30966478A168622D1D80E240001D1F5EE3F0000</t>
  </si>
  <si>
    <t>admin - valantic</t>
  </si>
  <si>
    <t>00000000A6C727E4353C314FBD93409EF639422707000D702909B30966478A168622D1D80E2400000000010D00000D702909B30966478A168622D1D80E240001D1F5EE3E0000</t>
  </si>
  <si>
    <t>00000000A6C727E4353C314FBD93409EF639422707000D702909B30966478A168622D1D80E2400000000010D00000D702909B30966478A168622D1D80E240001D1F5EE3D0000</t>
  </si>
  <si>
    <t>News - Admin</t>
  </si>
  <si>
    <t>00000000A6C727E4353C314FBD93409EF639422707000D702909B30966478A168622D1D80E2400000000010D00000D702909B30966478A168622D1D80E240001D1F5EE3C0000</t>
  </si>
  <si>
    <t>mostly deck and digital assets</t>
  </si>
  <si>
    <t>00000000A6C727E4353C314FBD93409EF639422707000D702909B30966478A168622D1D80E2400000000010D00000D702909B30966478A168622D1D80E240001D1F5EE3B0000</t>
  </si>
  <si>
    <t>digital assets</t>
  </si>
  <si>
    <t>00000000A6C727E4353C314FBD93409EF639422707000D702909B30966478A168622D1D80E2400000000010D00000D702909B30966478A168622D1D80E240001D1F5EE3A0000</t>
  </si>
  <si>
    <t>new slide master</t>
  </si>
  <si>
    <t>00000000A6C727E4353C314FBD93409EF639422707000D702909B30966478A168622D1D80E2400000000010D00000D702909B30966478A168622D1D80E240001D1F5EE390000</t>
  </si>
  <si>
    <t>00000000A6C727E4353C314FBD93409EF639422707000D702909B30966478A168622D1D80E2400000000010D00000D702909B30966478A168622D1D80E240001D1F5EE380000</t>
  </si>
  <si>
    <t>00000000A6C727E4353C314FBD93409EF639422707000D702909B30966478A168622D1D80E2400000000010D00000D702909B30966478A168622D1D80E240001D1F5EE370000</t>
  </si>
  <si>
    <t>00000000A6C727E4353C314FBD93409EF639422707000D702909B30966478A168622D1D80E2400000000010D00000D702909B30966478A168622D1D80E240001D1F5EE360000</t>
  </si>
  <si>
    <t>00000000A6C727E4353C314FBD93409EF639422707000D702909B30966478A168622D1D80E2400000000010D00000D702909B30966478A168622D1D80E240001D1F5EE350000</t>
  </si>
  <si>
    <t>00000000A6C727E4353C314FBD93409EF639422707000D702909B30966478A168622D1D80E2400000000010D00000D702909B30966478A168622D1D80E240001D1F5EE340000</t>
  </si>
  <si>
    <t>00000000A6C727E4353C314FBD93409EF639422707000D702909B30966478A168622D1D80E2400000000010D00000D702909B30966478A168622D1D80E240001D1F5EE330000</t>
  </si>
  <si>
    <t>Velox demo for Genesis Trading</t>
  </si>
  <si>
    <t>https://us02web.zoom.us/j/7778602716?pwd=eGVGUHlNOUVoT0U5NUtZdTFuZlMyZz09&amp;from=addon</t>
  </si>
  <si>
    <t>Ali Moosavi,rahil@genesistrading.com,Jon Butler,Rahil Ramchandani,Brian Bulthuis</t>
  </si>
  <si>
    <t>00000000A6C727E4353C314FBD93409EF639422707000D702909B30966478A168622D1D80E2400000000010D00000D702909B30966478A168622D1D80E240001D1F624520000</t>
  </si>
  <si>
    <t>SIX iD Demo</t>
  </si>
  <si>
    <t>de Lame, David,Jon Butler,govind.jajoo</t>
  </si>
  <si>
    <t>de Lame, David</t>
  </si>
  <si>
    <t>00000000A6C727E4353C314FBD93409EF639422707000D702909B30966478A168622D1D80E2400000000010D00000D702909B30966478A168622D1D80E240001FCBF1EDF0000</t>
  </si>
  <si>
    <t>slide mastedr</t>
  </si>
  <si>
    <t>00000000A6C727E4353C314FBD93409EF639422707000D702909B30966478A168622D1D80E2400000000010D00000D702909B30966478A168622D1D80E240001D1F5EE310000</t>
  </si>
  <si>
    <t>Fidessa Rejuvenation Campaign</t>
  </si>
  <si>
    <t>Alison Hood,Andy Browning,Peter Holmgren,Jon Butler,Steve Grob</t>
  </si>
  <si>
    <t>00000000A6C727E4353C314FBD93409EF639422707000D702909B30966478A168622D1D80E2400000000010D00000D702909B30966478A168622D1D80E240001F15ECB750000</t>
  </si>
  <si>
    <t>00000000A6C727E4353C314FBD93409EF639422707000D702909B30966478A168622D1D80E2400000000010D00000D702909B30966478A168622D1D80E240001D1F5EE300000</t>
  </si>
  <si>
    <t>00000000A6C727E4353C314FBD93409EF639422707000D702909B30966478A168622D1D80E2400000000010D00000D702909B30966478A168622D1D80E240001D1F5EE2F0000</t>
  </si>
  <si>
    <t>00000000A6C727E4353C314FBD93409EF639422707000D702909B30966478A168622D1D80E2400000000010D00000D702909B30966478A168622D1D80E240001D1F5EE2E0000</t>
  </si>
  <si>
    <t>00000000A6C727E4353C314FBD93409EF639422707000D702909B30966478A168622D1D80E2400000000010D00000D702909B30966478A168622D1D80E240001D1F5EE2D0000</t>
  </si>
  <si>
    <t>AH and AM</t>
  </si>
  <si>
    <t>00000000A6C727E4353C314FBD93409EF639422707000D702909B30966478A168622D1D80E2400000000010D00000D702909B30966478A168622D1D80E240001D1F5EE2C0000</t>
  </si>
  <si>
    <t>00000000A6C727E4353C314FBD93409EF639422707000D702909B30966478A168622D1D80E2400000000010D00000D702909B30966478A168622D1D80E240001D1F5EE2A0000</t>
  </si>
  <si>
    <t>00000000A6C727E4353C314FBD93409EF639422707000D702909B30966478A168622D1D80E2400000000010D00000D702909B30966478A168622D1D80E240001D1F5EE290000</t>
  </si>
  <si>
    <t>hold for endoscopy</t>
  </si>
  <si>
    <t>00000000A6C727E4353C314FBD93409EF639422707000D702909B30966478A168622D1D80E2400000000010D00000D702909B30966478A168622D1D80E240001D1F5EE280000</t>
  </si>
  <si>
    <t>00000000A6C727E4353C314FBD93409EF639422707000D702909B30966478A168622D1D80E2400000000010D00000D702909B30966478A168622D1D80E240001D1F5EE270000</t>
  </si>
  <si>
    <t>TC re COSMOS</t>
  </si>
  <si>
    <t>Martin CUELL,Alison Hood,Jon Butler</t>
  </si>
  <si>
    <t>Martin CUELL</t>
  </si>
  <si>
    <t>00000000A6C727E4353C314FBD93409EF639422707000D702909B30966478A168622D1D80E2400000000010D00000D702909B30966478A168622D1D80E240001D1F5EE260000</t>
  </si>
  <si>
    <t>00000000A6C727E4353C314FBD93409EF639422707000D702909B30966478A168622D1D80E2400000000010D00000D702909B30966478A168622D1D80E240001D1F5EE250000</t>
  </si>
  <si>
    <t>00000000A6C727E4353C314FBD93409EF639422707000D702909B30966478A168622D1D80E2400000000010D00000D702909B30966478A168622D1D80E240001D1F5EE240000</t>
  </si>
  <si>
    <t>00000000A6C727E4353C314FBD93409EF639422707000D702909B30966478A168622D1D80E2400000000010D00000D702909B30966478A168622D1D80E240001D1F5EE230000</t>
  </si>
  <si>
    <t>John Da Gama-Rose/Jon Butler Connect</t>
  </si>
  <si>
    <t>Da Gama-Rose, John (Cognizant),Jon Butler</t>
  </si>
  <si>
    <t>00000000A6C727E4353C314FBD93409EF639422707000D702909B30966478A168622D1D80E2400000000010D00000D702909B30966478A168622D1D80E240001D1F5EE220000</t>
  </si>
  <si>
    <t>00000000A6C727E4353C314FBD93409EF639422707000D702909B30966478A168622D1D80E2400000000010D00000D702909B30966478A168622D1D80E240001D1F5EE210000</t>
  </si>
  <si>
    <t>00000000A6C727E4353C314FBD93409EF639422707000D702909B30966478A168622D1D80E2400000000010D00000D702909B30966478A168622D1D80E240001D1F5EE200000</t>
  </si>
  <si>
    <t>00000000A6C727E4353C314FBD93409EF639422707000D702909B30966478A168622D1D80E2400000000010D00000D702909B30966478A168622D1D80E240001D1F5EE1C0000</t>
  </si>
  <si>
    <t>00000000A6C727E4353C314FBD93409EF639422707000D702909B30966478A168622D1D80E2400000000010D00000D702909B30966478A168622D1D80E240001D1F5EE1B0000</t>
  </si>
  <si>
    <t>admin / reading</t>
  </si>
  <si>
    <t>00000000A6C727E4353C314FBD93409EF639422707000D702909B30966478A168622D1D80E2400000000010D00000D702909B30966478A168622D1D80E240001D1F5EE1A0000</t>
  </si>
  <si>
    <t>valantic billing</t>
  </si>
  <si>
    <t>00000000A6C727E4353C314FBD93409EF639422707000D702909B30966478A168622D1D80E2400000000010D00000D702909B30966478A168622D1D80E240001D1F5EE190000</t>
  </si>
  <si>
    <t>Marex prep</t>
  </si>
  <si>
    <t>00000000A6C727E4353C314FBD93409EF639422707000D702909B30966478A168622D1D80E2400000000010D00000D702909B30966478A168622D1D80E240001D1F5EE180000</t>
  </si>
  <si>
    <t>00000000A6C727E4353C314FBD93409EF639422707000D702909B30966478A168622D1D80E2400000000010D00000D702909B30966478A168622D1D80E240001D1F5EE170000</t>
  </si>
  <si>
    <t>prep for marex</t>
  </si>
  <si>
    <t>00000000A6C727E4353C314FBD93409EF639422707000D702909B30966478A168622D1D80E2400000000010D00000D702909B30966478A168622D1D80E240001D1F5EE160000</t>
  </si>
  <si>
    <t>00000000A6C727E4353C314FBD93409EF639422707000D702909B30966478A168622D1D80E2400000000010D00000D702909B30966478A168622D1D80E240001D1F5EE150000</t>
  </si>
  <si>
    <t>00000000A6C727E4353C314FBD93409EF639422707000D702909B30966478A168622D1D80E2400000000010D00000D702909B30966478A168622D1D80E240001D1F5EE140000</t>
  </si>
  <si>
    <t>II contract</t>
  </si>
  <si>
    <t>00000000A6C727E4353C314FBD93409EF639422707000D702909B30966478A168622D1D80E2400000000010D00000D702909B30966478A168622D1D80E240001EEA418CD0000</t>
  </si>
  <si>
    <t>00000000A6C727E4353C314FBD93409EF639422707000D702909B30966478A168622D1D80E2400000000010D00000D702909B30966478A168622D1D80E240001D1F5EE130000</t>
  </si>
  <si>
    <t>00000000A6C727E4353C314FBD93409EF639422707000D702909B30966478A168622D1D80E2400000000010D00000D702909B30966478A168622D1D80E240001D1F5EE120000</t>
  </si>
  <si>
    <t>00000000A6C727E4353C314FBD93409EF639422707000D702909B30966478A168622D1D80E2400000000010D00000D702909B30966478A168622D1D80E240001D1F5EE110000</t>
  </si>
  <si>
    <t>Marex</t>
  </si>
  <si>
    <t>00000000A6C727E4353C314FBD93409EF639422707000D702909B30966478A168622D1D80E2400000000010D00000D702909B30966478A168622D1D80E240001D1F5EE100000</t>
  </si>
  <si>
    <t>nasdaq prep</t>
  </si>
  <si>
    <t>00000000A6C727E4353C314FBD93409EF639422707000D702909B30966478A168622D1D80E2400000000010D00000D702909B30966478A168622D1D80E240001D1F5EE0F0000</t>
  </si>
  <si>
    <t>Dan/Jon - Velox License Renewal</t>
  </si>
  <si>
    <t>00000000A6C727E4353C314FBD93409EF639422707000D702909B30966478A168622D1D80E2400000000010D00000D702909B30966478A168622D1D80E240001D1F5EE0E0000</t>
  </si>
  <si>
    <t>Follow Up to our call</t>
  </si>
  <si>
    <t>https://zoom.us/j/92605823043?pwd=V25GeE1hM3hrcjZtb2EvQmVKR0lpZz09&amp;from=addon</t>
  </si>
  <si>
    <t>Peter Holmgren,Simon Ellis,Luigi Marino,Elliot Banks,Will Dean,Alison Hood,Jon Butler</t>
  </si>
  <si>
    <t>00000000A6C727E4353C314FBD93409EF639422707000D702909B30966478A168622D1D80E2400000000010D00000D702909B30966478A168622D1D80E240001D1F5EE1F0000</t>
  </si>
  <si>
    <t>Catchup Martin/Jon/Mike</t>
  </si>
  <si>
    <t>Mike Powell,Martin Harrison,Jon Butler</t>
  </si>
  <si>
    <t>00000000A6C727E4353C314FBD93409EF639422707000D702909B30966478A168622D1D80E2400000000010D00000D702909B30966478A168622D1D80E240001EEA418C90000</t>
  </si>
  <si>
    <t>nasdaq</t>
  </si>
  <si>
    <t>00000000A6C727E4353C314FBD93409EF639422707000D702909B30966478A168622D1D80E2400000000010D00000D702909B30966478A168622D1D80E240001D1F5EE0D0000</t>
  </si>
  <si>
    <t>prep for NASDAQ</t>
  </si>
  <si>
    <t>00000000A6C727E4353C314FBD93409EF639422707000D702909B30966478A168622D1D80E2400000000010D00000D702909B30966478A168622D1D80E240001D1F5EE0C0000</t>
  </si>
  <si>
    <t>video</t>
  </si>
  <si>
    <t>00000000A6C727E4353C314FBD93409EF639422707000D702909B30966478A168622D1D80E2400000000010D00000D702909B30966478A168622D1D80E240001D1F5EE0B0000</t>
  </si>
  <si>
    <t>00000000A6C727E4353C314FBD93409EF639422707000D702909B30966478A168622D1D80E2400000000010D00000D702909B30966478A168622D1D80E240001D1F5EE0A0000</t>
  </si>
  <si>
    <t>00000000A6C727E4353C314FBD93409EF639422707000D702909B30966478A168622D1D80E2400000000010D00000D702909B30966478A168622D1D80E240001D1F5EE090000</t>
  </si>
  <si>
    <t>00000000A6C727E4353C314FBD93409EF639422707000D702909B30966478A168622D1D80E2400000000010D00000D702909B30966478A168622D1D80E240001D1F5EE080000</t>
  </si>
  <si>
    <t>00000000A6C727E4353C314FBD93409EF639422707000D702909B30966478A168622D1D80E2400000000010D00000D702909B30966478A168622D1D80E240001D1F5EE070000</t>
  </si>
  <si>
    <t>00000000A6C727E4353C314FBD93409EF639422707000D702909B30966478A168622D1D80E2400000000010D00000D702909B30966478A168622D1D80E240001D1F5EE060000</t>
  </si>
  <si>
    <t>00000000A6C727E4353C314FBD93409EF639422707000D702909B30966478A168622D1D80E2400000000010D00000D702909B30966478A168622D1D80E240001D1F5EE050000</t>
  </si>
  <si>
    <t>00000000A6C727E4353C314FBD93409EF639422707000D702909B30966478A168622D1D80E2400000000010D00000D702909B30966478A168622D1D80E240001D1F5EE040000</t>
  </si>
  <si>
    <t>00000000A6C727E4353C314FBD93409EF639422707000D702909B30966478A168622D1D80E2400000000010D00000D702909B30966478A168622D1D80E240001D1F5EE030000</t>
  </si>
  <si>
    <t>00000000A6C727E4353C314FBD93409EF639422707000D702909B30966478A168622D1D80E2400000000010D00000D702909B30966478A168622D1D80E240001EC2281270000</t>
  </si>
  <si>
    <t>00000000A6C727E4353C314FBD93409EF639422707000D702909B30966478A168622D1D80E2400000000010D00000D702909B30966478A168622D1D80E240001EC2281260000</t>
  </si>
  <si>
    <t>00000000A6C727E4353C314FBD93409EF639422707000D702909B30966478A168622D1D80E2400000000010D00000D702909B30966478A168622D1D80E240001D1F5EE020000</t>
  </si>
  <si>
    <t>Prep. for meeting with Trads/Martyn</t>
  </si>
  <si>
    <t>Jon Butler,Jason Yan,Mike Powell,Tuan Tran,Andy Bennett</t>
  </si>
  <si>
    <t>00000000A6C727E4353C314FBD93409EF639422707000D702909B30966478A168622D1D80E2400000000010D00000D702909B30966478A168622D1D80E240001D1F5EE000000</t>
  </si>
  <si>
    <t>admin / ultumus tech support</t>
  </si>
  <si>
    <t>00000000A6C727E4353C314FBD93409EF639422707000D702909B30966478A168622D1D80E2400000000010D00000D702909B30966478A168622D1D80E240001D1F5EDFF0000</t>
  </si>
  <si>
    <t>demo</t>
  </si>
  <si>
    <t>00000000A6C727E4353C314FBD93409EF639422707000D702909B30966478A168622D1D80E2400000000010D00000D702909B30966478A168622D1D80E240001D1F5EDFE0000</t>
  </si>
  <si>
    <t>00000000A6C727E4353C314FBD93409EF639422707000D702909B30966478A168622D1D80E2400000000010D00000D702909B30966478A168622D1D80E240001D1F5EDFD0000</t>
  </si>
  <si>
    <t>00000000A6C727E4353C314FBD93409EF639422707000D702909B30966478A168622D1D80E2400000000010D00000D702909B30966478A168622D1D80E240001D1F5EDFC0000</t>
  </si>
  <si>
    <t>Velox update : Jon/Erik</t>
  </si>
  <si>
    <t>Jon Butler,Mostenicky, Erik</t>
  </si>
  <si>
    <t>00000000A6C727E4353C314FBD93409EF639422707000D702909B30966478A168622D1D80E2400000000010D00000D702909B30966478A168622D1D80E240001D1F5EDFB0000</t>
  </si>
  <si>
    <t>00000000A6C727E4353C314FBD93409EF639422707000D702909B30966478A168622D1D80E2400000000010D00000D702909B30966478A168622D1D80E240001D1F5EDFA0000</t>
  </si>
  <si>
    <t>00000000A6C727E4353C314FBD93409EF639422707000D702909B30966478A168622D1D80E2400000000010D00000D702909B30966478A168622D1D80E240001D1F5EDF90000</t>
  </si>
  <si>
    <t>joachim</t>
  </si>
  <si>
    <t>00000000A6C727E4353C314FBD93409EF639422707000D702909B30966478A168622D1D80E2400000000010D00000D702909B30966478A168622D1D80E240001D1F5EDF80000</t>
  </si>
  <si>
    <t>00000000A6C727E4353C314FBD93409EF639422707000D702909B30966478A168622D1D80E2400000000010D00000D702909B30966478A168622D1D80E240001D1F5EDF70000</t>
  </si>
  <si>
    <t>00000000A6C727E4353C314FBD93409EF639422707000D702909B30966478A168622D1D80E2400000000010D00000D702909B30966478A168622D1D80E240001D1F5EDF60000</t>
  </si>
  <si>
    <t>00000000A6C727E4353C314FBD93409EF639422707000D702909B30966478A168622D1D80E2400000000010D00000D702909B30966478A168622D1D80E240001D1F5EDF50000</t>
  </si>
  <si>
    <t>00000000A6C727E4353C314FBD93409EF639422707000D702909B30966478A168622D1D80E2400000000010D00000D702909B30966478A168622D1D80E240001D1F5EDF40000</t>
  </si>
  <si>
    <t>pete - jefferies</t>
  </si>
  <si>
    <t>00000000A6C727E4353C314FBD93409EF639422707000D702909B30966478A168622D1D80E2400000000010D00000D702909B30966478A168622D1D80E240001D1F5EDF30000</t>
  </si>
  <si>
    <t>ali questions</t>
  </si>
  <si>
    <t>00000000A6C727E4353C314FBD93409EF639422707000D702909B30966478A168622D1D80E2400000000010D00000D702909B30966478A168622D1D80E240001D1F5EDF20000</t>
  </si>
  <si>
    <t>Velox demo for Marex</t>
  </si>
  <si>
    <t>Ali Moosavi,Steinmetz, Heiko,Jon Butler,Faller, Eugene,Maule, Julian,Baker, Andrew</t>
  </si>
  <si>
    <t>00000000A6C727E4353C314FBD93409EF639422707000D702909B30966478A168622D1D80E2400000000010D00000D702909B30966478A168622D1D80E240001D1F5EDF10000</t>
  </si>
  <si>
    <t>ali questrions</t>
  </si>
  <si>
    <t>00000000A6C727E4353C314FBD93409EF639422707000D702909B30966478A168622D1D80E2400000000010D00000D702909B30966478A168622D1D80E240001D1F5EDF00000</t>
  </si>
  <si>
    <t>00000000A6C727E4353C314FBD93409EF639422707000D702909B30966478A168622D1D80E2400000000010D00000D702909B30966478A168622D1D80E240001D1F5EDEF0000</t>
  </si>
  <si>
    <t>00000000A6C727E4353C314FBD93409EF639422707000D702909B30966478A168622D1D80E2400000000010D00000D702909B30966478A168622D1D80E240001D1F5EDEE0000</t>
  </si>
  <si>
    <t>ali questionsd</t>
  </si>
  <si>
    <t>00000000A6C727E4353C314FBD93409EF639422707000D702909B30966478A168622D1D80E2400000000010D00000D702909B30966478A168622D1D80E240001D1F5EDED0000</t>
  </si>
  <si>
    <t>ali questionsa</t>
  </si>
  <si>
    <t>00000000A6C727E4353C314FBD93409EF639422707000D702909B30966478A168622D1D80E2400000000010D00000D702909B30966478A168622D1D80E240001D1F5EDEC0000</t>
  </si>
  <si>
    <t>00000000A6C727E4353C314FBD93409EF639422707000D702909B30966478A168622D1D80E2400000000010D00000D702909B30966478A168622D1D80E240001D1F5EDEB0000</t>
  </si>
  <si>
    <t>00000000A6C727E4353C314FBD93409EF639422707000D702909B30966478A168622D1D80E2400000000010D00000D702909B30966478A168622D1D80E240001D1F5EDEA0000</t>
  </si>
  <si>
    <t>Velox update</t>
  </si>
  <si>
    <t>Ali Moosavi,Jon Butler,Magnus Haglind,Carl Slesser</t>
  </si>
  <si>
    <t>00000000A6C727E4353C314FBD93409EF639422707000D702909B30966478A168622D1D80E2400000000010D00000D702909B30966478A168622D1D80E240001D1F5EE010000</t>
  </si>
  <si>
    <t>strategy and goals</t>
  </si>
  <si>
    <t>00000000A6C727E4353C314FBD93409EF639422707000D702909B30966478A168622D1D80E2400000000010D00000D702909B30966478A168622D1D80E240001D1F5EDE90000</t>
  </si>
  <si>
    <t>00000000A6C727E4353C314FBD93409EF639422707000D702909B30966478A168622D1D80E2400000000010D00000D702909B30966478A168622D1D80E240001D1F5EDE70000</t>
  </si>
  <si>
    <t>00000000A6C727E4353C314FBD93409EF639422707000D702909B30966478A168622D1D80E2400000000010D00000D702909B30966478A168622D1D80E240001D1F5EDE60000</t>
  </si>
  <si>
    <t>00000000A6C727E4353C314FBD93409EF639422707000D702909B30966478A168622D1D80E2400000000010D00000D702909B30966478A168622D1D80E240001D1F5EDE50000</t>
  </si>
  <si>
    <t>00000000A6C727E4353C314FBD93409EF639422707000D702909B30966478A168622D1D80E2400000000010D00000D702909B30966478A168622D1D80E240001D1F5EDE40000</t>
  </si>
  <si>
    <t>00000000A6C727E4353C314FBD93409EF639422707000D702909B30966478A168622D1D80E2400000000010D00000D702909B30966478A168622D1D80E240001D1F5EDE30000</t>
  </si>
  <si>
    <t>admin social media</t>
  </si>
  <si>
    <t>00000000A6C727E4353C314FBD93409EF639422707000D702909B30966478A168622D1D80E2400000000010D00000D702909B30966478A168622D1D80E240001D1F5EDE20000</t>
  </si>
  <si>
    <t>00000000A6C727E4353C314FBD93409EF639422707000D702909B30966478A168622D1D80E2400000000010D00000D702909B30966478A168622D1D80E240001D1F5EDE10000</t>
  </si>
  <si>
    <t>00000000A6C727E4353C314FBD93409EF639422707000D702909B30966478A168622D1D80E2400000000010D00000D702909B30966478A168622D1D80E240001D1F5EDE00000</t>
  </si>
  <si>
    <t>Insight &lt;&gt; Velox</t>
  </si>
  <si>
    <t>https://insight.zoom.us/j/94262860443</t>
  </si>
  <si>
    <t>Danielle London,Jon Butler</t>
  </si>
  <si>
    <t>Danielle London</t>
  </si>
  <si>
    <t>00000000A6C727E4353C314FBD93409EF639422707000D702909B30966478A168622D1D80E2400000000010D00000D702909B30966478A168622D1D80E240001EA25FD9B0000</t>
  </si>
  <si>
    <t>00000000A6C727E4353C314FBD93409EF639422707000D702909B30966478A168622D1D80E2400000000010D00000D702909B30966478A168622D1D80E240001D1F5EDDE0000</t>
  </si>
  <si>
    <t>Annalisa CHECCHI,'Jon Butler',Alison Hood</t>
  </si>
  <si>
    <t>Annalisa CHECCHI</t>
  </si>
  <si>
    <t>00000000A6C727E4353C314FBD93409EF639422707000D702909B30966478A168622D1D80E2400000000010D00000D702909B30966478A168622D1D80E240001D1F5EDDF0000</t>
  </si>
  <si>
    <t>sorry for short notice - if it works for you great!</t>
  </si>
  <si>
    <t>Timo Huguet,Jon Butler</t>
  </si>
  <si>
    <t>00000000A6C727E4353C314FBD93409EF639422707000D702909B30966478A168622D1D80E2400000000010D00000D702909B30966478A168622D1D80E240001EA25FD990000</t>
  </si>
  <si>
    <t>00000000A6C727E4353C314FBD93409EF639422707000D702909B30966478A168622D1D80E2400000000010D00000D702909B30966478A168622D1D80E240001D1F5EDDD0000</t>
  </si>
  <si>
    <t>00000000A6C727E4353C314FBD93409EF639422707000D702909B30966478A168622D1D80E2400000000010D00000D702909B30966478A168622D1D80E240001D1F5EDDC0000</t>
  </si>
  <si>
    <t>00000000A6C727E4353C314FBD93409EF639422707000D702909B30966478A168622D1D80E2400000000010D00000D702909B30966478A168622D1D80E240001D1F5EDDB0000</t>
  </si>
  <si>
    <t>00000000A6C727E4353C314FBD93409EF639422707000D702909B30966478A168622D1D80E2400000000010D00000D702909B30966478A168622D1D80E240001D1F5EDDA0000</t>
  </si>
  <si>
    <t>00000000A6C727E4353C314FBD93409EF639422707000D702909B30966478A168622D1D80E2400000000010D00000D702909B30966478A168622D1D80E240001D1F5EDD90000</t>
  </si>
  <si>
    <t>00000000A6C727E4353C314FBD93409EF639422707000D702909B30966478A168622D1D80E2400000000010D00000D702909B30966478A168622D1D80E240001D1F5EDD80000</t>
  </si>
  <si>
    <t>00000000A6C727E4353C314FBD93409EF639422707000D702909B30966478A168622D1D80E2400000000010D00000D702909B30966478A168622D1D80E240001D1F5EDD70000</t>
  </si>
  <si>
    <t>00000000A6C727E4353C314FBD93409EF639422707000D702909B30966478A168622D1D80E2400000000010D00000D702909B30966478A168622D1D80E240001D1F5EDD60000</t>
  </si>
  <si>
    <t>00000000A6C727E4353C314FBD93409EF639422707000D702909B30966478A168622D1D80E2400000000010D00000D702909B30966478A168622D1D80E240001EA25FD980000</t>
  </si>
  <si>
    <t>Barclays</t>
  </si>
  <si>
    <t>00000000A6C727E4353C314FBD93409EF639422707000D702909B30966478A168622D1D80E2400000000010D00000D702909B30966478A168622D1D80E240001D1F5EDD50000</t>
  </si>
  <si>
    <t>00000000A6C727E4353C314FBD93409EF639422707000D702909B30966478A168622D1D80E2400000000010D00000D702909B30966478A168622D1D80E240001D1F5EDD40000</t>
  </si>
  <si>
    <t>00000000A6C727E4353C314FBD93409EF639422707000D702909B30966478A168622D1D80E2400000000010D00000D702909B30966478A168622D1D80E240001D1F5EDD30000</t>
  </si>
  <si>
    <t>valantic SLA</t>
  </si>
  <si>
    <t>00000000A6C727E4353C314FBD93409EF639422707000D702909B30966478A168622D1D80E2400000000010D00000D702909B30966478A168622D1D80E240001D1F5EDD20000</t>
  </si>
  <si>
    <t>00000000A6C727E4353C314FBD93409EF639422707000D702909B30966478A168622D1D80E2400000000010D00000D702909B30966478A168622D1D80E240001D1F5EDD10000</t>
  </si>
  <si>
    <t>digital artefacts</t>
  </si>
  <si>
    <t>00000000A6C727E4353C314FBD93409EF639422707000D702909B30966478A168622D1D80E2400000000010D00000D702909B30966478A168622D1D80E240001D1F5EDD00000</t>
  </si>
  <si>
    <t>Catch Up</t>
  </si>
  <si>
    <t>00000000A6C727E4353C314FBD93409EF639422707000D702909B30966478A168622D1D80E2400000000010D00000D702909B30966478A168622D1D80E240001D1F5EDCF0000</t>
  </si>
  <si>
    <t>00000000A6C727E4353C314FBD93409EF639422707000D702909B30966478A168622D1D80E2400000000010D00000D702909B30966478A168622D1D80E240001D1F5EDCE0000</t>
  </si>
  <si>
    <t>reading social media</t>
  </si>
  <si>
    <t>00000000A6C727E4353C314FBD93409EF639422707000D702909B30966478A168622D1D80E2400000000010D00000D702909B30966478A168622D1D80E240001D1F5EDCD0000</t>
  </si>
  <si>
    <t>00000000A6C727E4353C314FBD93409EF639422707000D702909B30966478A168622D1D80E2400000000010D00000D702909B30966478A168622D1D80E240001D1F5EDCC0000</t>
  </si>
  <si>
    <t>00000000A6C727E4353C314FBD93409EF639422707000D702909B30966478A168622D1D80E2400000000010D00000D702909B30966478A168622D1D80E240001D1F5EDCB0000</t>
  </si>
  <si>
    <t>digital assets for ali</t>
  </si>
  <si>
    <t>00000000A6C727E4353C314FBD93409EF639422707000D702909B30966478A168622D1D80E2400000000010D00000D702909B30966478A168622D1D80E240001D1F5EDCA0000</t>
  </si>
  <si>
    <t>new section on website</t>
  </si>
  <si>
    <t>00000000A6C727E4353C314FBD93409EF639422707000D702909B30966478A168622D1D80E2400000000010D00000D702909B30966478A168622D1D80E240001D1F5EDC90000</t>
  </si>
  <si>
    <t>valantic velox press</t>
  </si>
  <si>
    <t>00000000A6C727E4353C314FBD93409EF639422707000D702909B30966478A168622D1D80E2400000000010D00000D702909B30966478A168622D1D80E240001D1F5EDC80000</t>
  </si>
  <si>
    <t>new section on websitre</t>
  </si>
  <si>
    <t>00000000A6C727E4353C314FBD93409EF639422707000D702909B30966478A168622D1D80E2400000000010D00000D702909B30966478A168622D1D80E240001D1F5EDC70000</t>
  </si>
  <si>
    <t>00000000A6C727E4353C314FBD93409EF639422707000D702909B30966478A168622D1D80E2400000000010D00000D702909B30966478A168622D1D80E240001D1F5EDC60000</t>
  </si>
  <si>
    <t>00000000A6C727E4353C314FBD93409EF639422707000D702909B30966478A168622D1D80E2400000000010D00000D702909B30966478A168622D1D80E240001D1F5EDC50000</t>
  </si>
  <si>
    <t>00000000A6C727E4353C314FBD93409EF639422707000D702909B30966478A168622D1D80E2400000000010D00000D702909B30966478A168622D1D80E240001D1F5EDC40000</t>
  </si>
  <si>
    <t>Alsion</t>
  </si>
  <si>
    <t>00000000A6C727E4353C314FBD93409EF639422707000D702909B30966478A168622D1D80E2400000000010D00000D702909B30966478A168622D1D80E240001D1F5EDC30000</t>
  </si>
  <si>
    <t>00000000A6C727E4353C314FBD93409EF639422707000D702909B30966478A168622D1D80E2400000000010D00000D702909B30966478A168622D1D80E240001D1F5EDC20000</t>
  </si>
  <si>
    <t>valancti agreements</t>
  </si>
  <si>
    <t>00000000A6C727E4353C314FBD93409EF639422707000D702909B30966478A168622D1D80E2400000000010D00000D702909B30966478A168622D1D80E240001D1F5EDC10000</t>
  </si>
  <si>
    <t>Jon/James - Catchup</t>
  </si>
  <si>
    <t>James Ferguson</t>
  </si>
  <si>
    <t>00000000A6C727E4353C314FBD93409EF639422707000D702909B30966478A168622D1D80E2400000000010D00000D702909B30966478A168622D1D80E240001D1F5EDC00000</t>
  </si>
  <si>
    <t>Jon/Mark - Catchup</t>
  </si>
  <si>
    <t>mark ayzenberg</t>
  </si>
  <si>
    <t>00000000A6C727E4353C314FBD93409EF639422707000D702909B30966478A168622D1D80E2400000000010D00000D702909B30966478A168622D1D80E240001D1F5EDBF0000</t>
  </si>
  <si>
    <t>Spec</t>
  </si>
  <si>
    <t>00000000A6C727E4353C314FBD93409EF639422707000D702909B30966478A168622D1D80E2400000000010D00000D702909B30966478A168622D1D80E240001D1F5EDBE0000</t>
  </si>
  <si>
    <t>valantic spec</t>
  </si>
  <si>
    <t>00000000A6C727E4353C314FBD93409EF639422707000D702909B30966478A168622D1D80E2400000000010D00000D702909B30966478A168622D1D80E240001D1F5EDBD0000</t>
  </si>
  <si>
    <t>website upload</t>
  </si>
  <si>
    <t>00000000A6C727E4353C314FBD93409EF639422707000D702909B30966478A168622D1D80E2400000000010D00000D702909B30966478A168622D1D80E240001D1F5EDBC0000</t>
  </si>
  <si>
    <t>00000000A6C727E4353C314FBD93409EF639422707000D702909B30966478A168622D1D80E2400000000010D00000D702909B30966478A168622D1D80E240001D1F5EDBB0000</t>
  </si>
  <si>
    <t>added doc to website</t>
  </si>
  <si>
    <t>00000000A6C727E4353C314FBD93409EF639422707000D702909B30966478A168622D1D80E2400000000010D00000D702909B30966478A168622D1D80E240001D1F5EDBA0000</t>
  </si>
  <si>
    <t>contract</t>
  </si>
  <si>
    <t>https://us02web.zoom.us/j/8708608670#success</t>
  </si>
  <si>
    <t>Alison Hood,Jon Butler,Annalisa CHECCHI</t>
  </si>
  <si>
    <t>00000000A6C727E4353C314FBD93409EF639422707000D702909B30966478A168622D1D80E2400000000010D00000D702909B30966478A168622D1D80E240001E76D27650000</t>
  </si>
  <si>
    <t>objectivity prep</t>
  </si>
  <si>
    <t>00000000A6C727E4353C314FBD93409EF639422707000D702909B30966478A168622D1D80E2400000000010D00000D702909B30966478A168622D1D80E240001D1F5EDB90000</t>
  </si>
  <si>
    <t>00000000A6C727E4353C314FBD93409EF639422707000D702909B30966478A168622D1D80E2400000000010D00000D702909B30966478A168622D1D80E240001D1F5EDB80000</t>
  </si>
  <si>
    <t>objectivity</t>
  </si>
  <si>
    <t>00000000A6C727E4353C314FBD93409EF639422707000D702909B30966478A168622D1D80E2400000000010D00000D702909B30966478A168622D1D80E240001D1F5EDB70000</t>
  </si>
  <si>
    <t>00000000A6C727E4353C314FBD93409EF639422707000D702909B30966478A168622D1D80E2400000000010D00000D702909B30966478A168622D1D80E240001D1F5EDB60000</t>
  </si>
  <si>
    <t>00000000A6C727E4353C314FBD93409EF639422707000D702909B30966478A168622D1D80E2400000000010D00000D702909B30966478A168622D1D80E240001D1F5EDB50000</t>
  </si>
  <si>
    <t>00000000A6C727E4353C314FBD93409EF639422707000D702909B30966478A168622D1D80E2400000000010D00000D702909B30966478A168622D1D80E240001D1F5EDB40000</t>
  </si>
  <si>
    <t>brand reveal</t>
  </si>
  <si>
    <t>00000000A6C727E4353C314FBD93409EF639422707000D702909B30966478A168622D1D80E2400000000010D00000D702909B30966478A168622D1D80E240001D1F5EDB30000</t>
  </si>
  <si>
    <t>Velox &amp; MMA insurance review</t>
  </si>
  <si>
    <t>https://mmc.zoom.us/j/93808975526?pwd=SW5FTjZmZGdtK24zazdDRi9LcXgrUT09</t>
  </si>
  <si>
    <t>Murphy, Peter (MMA),Jon Butler,Alison Hood,Jason Yan,Cohen, Gary (MMA)</t>
  </si>
  <si>
    <t>Murphy, Peter (MMA)</t>
  </si>
  <si>
    <t>00000000A6C727E4353C314FBD93409EF639422707000D702909B30966478A168622D1D80E2400000000010D00000D702909B30966478A168622D1D80E240001D1F5EDB20000</t>
  </si>
  <si>
    <t>Update - Velox/Valantic/BMLL metrics for EMS workflow</t>
  </si>
  <si>
    <t>simonellis@bmlltech.com,peter.holmgren@fsa.valantic.com,elliotbanks@bmlltech.com,neilmackenzie@bmlltech.com,Jon Butler,Alison Hood,willdean@bmlltech.com</t>
  </si>
  <si>
    <t>simonellis@bmlltech.com</t>
  </si>
  <si>
    <t>00000000A6C727E4353C314FBD93409EF639422707000D702909B30966478A168622D1D80E2400000000010D00000D702909B30966478A168622D1D80E240001D1F5EDB10000</t>
  </si>
  <si>
    <t>00000000A6C727E4353C314FBD93409EF639422707000D702909B30966478A168622D1D80E2400000000010D00000D702909B30966478A168622D1D80E240001D1F5EDAE0000</t>
  </si>
  <si>
    <t>00000000A6C727E4353C314FBD93409EF639422707000D702909B30966478A168622D1D80E2400000000010D00000D702909B30966478A168622D1D80E240001D1F5EDAD0000</t>
  </si>
  <si>
    <t>Brand reveal</t>
  </si>
  <si>
    <t>00000000A6C727E4353C314FBD93409EF639422707000D702909B30966478A168622D1D80E2400000000010D00000D702909B30966478A168622D1D80E240001D1F5EDAC0000</t>
  </si>
  <si>
    <t>00000000A6C727E4353C314FBD93409EF639422707000D702909B30966478A168622D1D80E2400000000010D00000D702909B30966478A168622D1D80E240001D1F5EDAB0000</t>
  </si>
  <si>
    <t>00000000A6C727E4353C314FBD93409EF639422707000D702909B30966478A168622D1D80E2400000000010D00000D702909B30966478A168622D1D80E240001D1F5EDAA0000</t>
  </si>
  <si>
    <t>00000000A6C727E4353C314FBD93409EF639422707000D702909B30966478A168622D1D80E2400000000010D00000D702909B30966478A168622D1D80E240001D1F5EDA90000</t>
  </si>
  <si>
    <t>00000000A6C727E4353C314FBD93409EF639422707000D702909B30966478A168622D1D80E2400000000010D00000D702909B30966478A168622D1D80E240001D1F5EDA80000</t>
  </si>
  <si>
    <t>00000000A6C727E4353C314FBD93409EF639422707000D702909B30966478A168622D1D80E2400000000010D00000D702909B30966478A168622D1D80E240001D1F5EDA70000</t>
  </si>
  <si>
    <t xml:space="preserve">valantic </t>
  </si>
  <si>
    <t>00000000A6C727E4353C314FBD93409EF639422707000D702909B30966478A168622D1D80E2400000000010D00000D702909B30966478A168622D1D80E240001D1F5EDA60000</t>
  </si>
  <si>
    <t>insurance</t>
  </si>
  <si>
    <t>https://us02web.zoom.us/s/8708608670</t>
  </si>
  <si>
    <t>00000000A6C727E4353C314FBD93409EF639422707000D702909B30966478A168622D1D80E2400000000010D00000D702909B30966478A168622D1D80E240001E5316C9F0000</t>
  </si>
  <si>
    <t>valkantic agreem,ents</t>
  </si>
  <si>
    <t>00000000A6C727E4353C314FBD93409EF639422707000D702909B30966478A168622D1D80E2400000000010D00000D702909B30966478A168622D1D80E240001D1F5EDA50000</t>
  </si>
  <si>
    <t>valantic/velox SAFE discussion with ETFSC</t>
  </si>
  <si>
    <t>Martyn James,Timo Huguet,Jason Yan,Alison Hood</t>
  </si>
  <si>
    <t>00000000A6C727E4353C314FBD93409EF639422707000D702909B30966478A168622D1D80E2400000000010D00000D702909B30966478A168622D1D80E240001D1F5EDA40000</t>
  </si>
  <si>
    <t>velox feedback on 0.5 timeline ahead of Trads update</t>
  </si>
  <si>
    <t>Jon Butler,Aaron Pryce,Jason Yan,Aaron Pryce</t>
  </si>
  <si>
    <t>00000000A6C727E4353C314FBD93409EF639422707000D702909B30966478A168622D1D80E2400000000010D00000D702909B30966478A168622D1D80E240001D1F5EDA30000</t>
  </si>
  <si>
    <t>valantic SAFE</t>
  </si>
  <si>
    <t>Joe Knox,Martyn James,Jason Yan,Alison Hood</t>
  </si>
  <si>
    <t>00000000A6C727E4353C314FBD93409EF639422707000D702909B30966478A168622D1D80E2400000000010D00000D702909B30966478A168622D1D80E240001D1F5EDA20000</t>
  </si>
  <si>
    <t>Jon/Andy - Velox agreements</t>
  </si>
  <si>
    <t>Jon Butler,Andy Browning</t>
  </si>
  <si>
    <t>00000000A6C727E4353C314FBD93409EF639422707000D702909B30966478A168622D1D80E2400000000010D00000D702909B30966478A168622D1D80E240001D1F5EDA10000</t>
  </si>
  <si>
    <t>Biweekly : Velox Update</t>
  </si>
  <si>
    <t>Mark Weeks,Alison Hood,Jason Yan</t>
  </si>
  <si>
    <t>00000000A6C727E4353C314FBD93409EF639422707000D702909B30966478A168622D1D80E2400000000010D00000D702909B30966478A168622D1D80E240001D1F5EDA00000</t>
  </si>
  <si>
    <t>Velox -SIX : follow up</t>
  </si>
  <si>
    <t>Hug, Stéphane,Gligoric, Natasa,jon.butler@veloxfintech.com,Lecompte, David,de Lame, David,Ali Moosavi</t>
  </si>
  <si>
    <t>00000000A6C727E4353C314FBD93409EF639422707000D702909B30966478A168622D1D80E2400000000010D00000D702909B30966478A168622D1D80E240001D1F5EDAF0000</t>
  </si>
  <si>
    <t>Objectivity / Velox Meeting</t>
  </si>
  <si>
    <t>Jon Finn,Jon Butler,Grzegorz Strzelecki,Murad Uddin,Jason Yan</t>
  </si>
  <si>
    <t>Jon Finn</t>
  </si>
  <si>
    <t>00000000A6C727E4353C314FBD93409EF639422707000D702909B30966478A168622D1D80E2400000000010D00000D702909B30966478A168622D1D80E240001D1F5EDB00000</t>
  </si>
  <si>
    <t>00000000A6C727E4353C314FBD93409EF639422707000D702909B30966478A168622D1D80E2400000000010D00000D702909B30966478A168622D1D80E240001D1F5ED9E0000</t>
  </si>
  <si>
    <t>00000000A6C727E4353C314FBD93409EF639422707000D702909B30966478A168622D1D80E2400000000010D00000D702909B30966478A168622D1D80E240001D1F5ED9D0000</t>
  </si>
  <si>
    <t>00000000A6C727E4353C314FBD93409EF639422707000D702909B30966478A168622D1D80E2400000000010D00000D702909B30966478A168622D1D80E240001D1F5ED9C0000</t>
  </si>
  <si>
    <t>00000000A6C727E4353C314FBD93409EF639422707000D702909B30966478A168622D1D80E2400000000010D00000D702909B30966478A168622D1D80E240001D1F5ED9B0000</t>
  </si>
  <si>
    <t>00000000A6C727E4353C314FBD93409EF639422707000D702909B30966478A168622D1D80E2400000000010D00000D702909B30966478A168622D1D80E240001D1F5ED9A0000</t>
  </si>
  <si>
    <t xml:space="preserve">SAFE </t>
  </si>
  <si>
    <t>Timo Huguet,Jon Butler,alison.hood@veloxfintech.com</t>
  </si>
  <si>
    <t>00000000A6C727E4353C314FBD93409EF639422707000D702909B30966478A168622D1D80E2400000000010D00000D702909B30966478A168622D1D80E240001D1F5ED980000</t>
  </si>
  <si>
    <t>Tradition 0.5 - effort to finish</t>
  </si>
  <si>
    <t>Auckland, New York, London</t>
  </si>
  <si>
    <t>Aaron Pryce,Mike Powell,Jon Butler,Andy Bennett</t>
  </si>
  <si>
    <t>00000000A6C727E4353C314FBD93409EF639422707000D702909B30966478A168622D1D80E2400000000010D00000D702909B30966478A168622D1D80E240001D1F5ED9F0000</t>
  </si>
  <si>
    <t>00000000A6C727E4353C314FBD93409EF639422707000D702909B30966478A168622D1D80E2400000000010D00000D702909B30966478A168622D1D80E240001D1F5ED970000</t>
  </si>
  <si>
    <t>00000000A6C727E4353C314FBD93409EF639422707000D702909B30966478A168622D1D80E2400000000010D00000D702909B30966478A168622D1D80E240001D1F5ED960000</t>
  </si>
  <si>
    <t>Joachim</t>
  </si>
  <si>
    <t>00000000A6C727E4353C314FBD93409EF639422707000D702909B30966478A168622D1D80E2400000000010D00000D702909B30966478A168622D1D80E240001D1F5ED950000</t>
  </si>
  <si>
    <t>00000000A6C727E4353C314FBD93409EF639422707000D702909B30966478A168622D1D80E2400000000010D00000D702909B30966478A168622D1D80E240001D1F5ED940000</t>
  </si>
  <si>
    <t>00000000A6C727E4353C314FBD93409EF639422707000D702909B30966478A168622D1D80E2400000000010D00000D702909B30966478A168622D1D80E240001D1F5ED930000</t>
  </si>
  <si>
    <t>00000000A6C727E4353C314FBD93409EF639422707000D702909B30966478A168622D1D80E2400000000010D00000D702909B30966478A168622D1D80E240001D1F5ED920000</t>
  </si>
  <si>
    <t>00000000A6C727E4353C314FBD93409EF639422707000D702909B30966478A168622D1D80E2400000000010D00000D702909B30966478A168622D1D80E240001D1F5ED910000</t>
  </si>
  <si>
    <t>00000000A6C727E4353C314FBD93409EF639422707000D702909B30966478A168622D1D80E2400000000010D00000D702909B30966478A168622D1D80E240001D1F5ED900000</t>
  </si>
  <si>
    <t>BRAND REVEAl</t>
  </si>
  <si>
    <t>00000000A6C727E4353C314FBD93409EF639422707000D702909B30966478A168622D1D80E2400000000010D00000D702909B30966478A168622D1D80E240001D1F5ED8F0000</t>
  </si>
  <si>
    <t>00000000A6C727E4353C314FBD93409EF639422707000D702909B30966478A168622D1D80E2400000000010D00000D702909B30966478A168622D1D80E240001D1F5ED8E0000</t>
  </si>
  <si>
    <t>00000000A6C727E4353C314FBD93409EF639422707000D702909B30966478A168622D1D80E2400000000010D00000D702909B30966478A168622D1D80E240001D1F5ED8D0000</t>
  </si>
  <si>
    <t>00000000A6C727E4353C314FBD93409EF639422707000D702909B30966478A168622D1D80E2400000000010D00000D702909B30966478A168622D1D80E240001D1F5ED8C0000</t>
  </si>
  <si>
    <t>00000000A6C727E4353C314FBD93409EF639422707000D702909B30966478A168622D1D80E2400000000010D00000D702909B30966478A168622D1D80E240001D1F5ED8B0000</t>
  </si>
  <si>
    <t>00000000A6C727E4353C314FBD93409EF639422707000D702909B30966478A168622D1D80E2400000000010D00000D702909B30966478A168622D1D80E240001D1F5ED8A0000</t>
  </si>
  <si>
    <t>AM JY JB sales strategy</t>
  </si>
  <si>
    <t>00000000A6C727E4353C314FBD93409EF639422707000D702909B30966478A168622D1D80E2400000000010D00000D702909B30966478A168622D1D80E240001D1F5ED890000</t>
  </si>
  <si>
    <t>Velox</t>
  </si>
  <si>
    <t>Annalisa CHECCHI,Alison Hood,'Jon Butler'</t>
  </si>
  <si>
    <t>00000000A6C727E4353C314FBD93409EF639422707000D702909B30966478A168622D1D80E2400000000010D00000D702909B30966478A168622D1D80E240001D1F5ED990000</t>
  </si>
  <si>
    <t>Thoughts on couple potential opps</t>
  </si>
  <si>
    <t>00000000A6C727E4353C314FBD93409EF639422707000D702909B30966478A168622D1D80E2400000000010D00000D702909B30966478A168622D1D80E240001E0C52C8C0000</t>
  </si>
  <si>
    <t>Quick catch up</t>
  </si>
  <si>
    <t>Annalisa CHECCHI,Jon Butler,Alison Hood</t>
  </si>
  <si>
    <t>00000000A6C727E4353C314FBD93409EF639422707000D702909B30966478A168622D1D80E2400000000010D00000D702909B30966478A168622D1D80E240001E0C52C8B0000</t>
  </si>
  <si>
    <t>00000000A6C727E4353C314FBD93409EF639422707000D702909B30966478A168622D1D80E2400000000010D00000D702909B30966478A168622D1D80E240001D1F5ED880000</t>
  </si>
  <si>
    <t>Velox Discussion re: French Terminal</t>
  </si>
  <si>
    <t>Hug, Stéphane,Gligoric, Natasa,Dervaux, Franck,Jon Butler,jason.yan@veloxfintech.com,ali.moosavi@veloxfintech.com</t>
  </si>
  <si>
    <t>00000000A6C727E4353C314FBD93409EF639422707000D702909B30966478A168622D1D80E2400000000010D00000D702909B30966478A168622D1D80E240001D1F5ED870000</t>
  </si>
  <si>
    <t>00000000A6C727E4353C314FBD93409EF639422707000D702909B30966478A168622D1D80E2400000000010D00000D702909B30966478A168622D1D80E240001D1F5ED850000</t>
  </si>
  <si>
    <t>00000000A6C727E4353C314FBD93409EF639422707000D702909B30966478A168622D1D80E2400000000010D00000D702909B30966478A168622D1D80E240001D1F5ED840000</t>
  </si>
  <si>
    <t>00000000A6C727E4353C314FBD93409EF639422707000D702909B30966478A168622D1D80E2400000000010D00000D702909B30966478A168622D1D80E240001D1F5ED830000</t>
  </si>
  <si>
    <t>brandreveal</t>
  </si>
  <si>
    <t>00000000A6C727E4353C314FBD93409EF639422707000D702909B30966478A168622D1D80E2400000000010D00000D702909B30966478A168622D1D80E240001D1F5ED820000</t>
  </si>
  <si>
    <t>ali/alison</t>
  </si>
  <si>
    <t>00000000A6C727E4353C314FBD93409EF639422707000D702909B30966478A168622D1D80E2400000000010D00000D702909B30966478A168622D1D80E240001D1F5ED810000</t>
  </si>
  <si>
    <t>00000000A6C727E4353C314FBD93409EF639422707000D702909B30966478A168622D1D80E2400000000010D00000D702909B30966478A168622D1D80E240001D1F5ED800000</t>
  </si>
  <si>
    <t>00000000A6C727E4353C314FBD93409EF639422707000D702909B30966478A168622D1D80E2400000000010D00000D702909B30966478A168622D1D80E240001D1F5ED7F0000</t>
  </si>
  <si>
    <t>Reading</t>
  </si>
  <si>
    <t>00000000A6C727E4353C314FBD93409EF639422707000D702909B30966478A168622D1D80E2400000000010D00000D702909B30966478A168622D1D80E240001D1F5ED7E0000</t>
  </si>
  <si>
    <t>00000000A6C727E4353C314FBD93409EF639422707000D702909B30966478A168622D1D80E2400000000010D00000D702909B30966478A168622D1D80E240001D1F5ED7D0000</t>
  </si>
  <si>
    <t>00000000A6C727E4353C314FBD93409EF639422707000D702909B30966478A168622D1D80E2400000000010D00000D702909B30966478A168622D1D80E240001D1F5ED7C0000</t>
  </si>
  <si>
    <t>00000000A6C727E4353C314FBD93409EF639422707000D702909B30966478A168622D1D80E2400000000010D00000D702909B30966478A168622D1D80E240001D1F5ED7B0000</t>
  </si>
  <si>
    <t>00000000A6C727E4353C314FBD93409EF639422707000D702909B30966478A168622D1D80E2400000000010D00000D702909B30966478A168622D1D80E240001D1F5ED7A0000</t>
  </si>
  <si>
    <t>00000000A6C727E4353C314FBD93409EF639422707000D702909B30966478A168622D1D80E2400000000010D00000D702909B30966478A168622D1D80E240001D1F5ED790000</t>
  </si>
  <si>
    <t>strategy</t>
  </si>
  <si>
    <t>00000000A6C727E4353C314FBD93409EF639422707000D702909B30966478A168622D1D80E2400000000010D00000D702909B30966478A168622D1D80E240001D1F5ED780000</t>
  </si>
  <si>
    <t>00000000A6C727E4353C314FBD93409EF639422707000D702909B30966478A168622D1D80E2400000000010D00000D702909B30966478A168622D1D80E240001D1F5ED770000</t>
  </si>
  <si>
    <t>00000000A6C727E4353C314FBD93409EF639422707000D702909B30966478A168622D1D80E2400000000010D00000D702909B30966478A168622D1D80E240001D1F5ED760000</t>
  </si>
  <si>
    <t>00000000A6C727E4353C314FBD93409EF639422707000D702909B30966478A168622D1D80E2400000000010D00000D702909B30966478A168622D1D80E240001D1F5ED750000</t>
  </si>
  <si>
    <t>00000000A6C727E4353C314FBD93409EF639422707000D702909B30966478A168622D1D80E2400000000010D00000D702909B30966478A168622D1D80E240001D1F5ED740000</t>
  </si>
  <si>
    <t xml:space="preserve">ETFS / Velox </t>
  </si>
  <si>
    <t>Steph Poulier,Jon Butler,'Alison Hood'</t>
  </si>
  <si>
    <t>Steph Poulier</t>
  </si>
  <si>
    <t>00000000A6C727E4353C314FBD93409EF639422707000D702909B30966478A168622D1D80E2400000000010D00000D702909B30966478A168622D1D80E240001D1F5ED730000</t>
  </si>
  <si>
    <t>00000000A6C727E4353C314FBD93409EF639422707000D702909B30966478A168622D1D80E2400000000010D00000D702909B30966478A168622D1D80E240001D1F5ED720000</t>
  </si>
  <si>
    <t>00000000A6C727E4353C314FBD93409EF639422707000D702909B30966478A168622D1D80E2400000000010D00000D702909B30966478A168622D1D80E240001D1F5ED710000</t>
  </si>
  <si>
    <t>demo prep</t>
  </si>
  <si>
    <t>00000000A6C727E4353C314FBD93409EF639422707000D702909B30966478A168622D1D80E2400000000010D00000D702909B30966478A168622D1D80E240001D1F5ED700000</t>
  </si>
  <si>
    <t>00000000A6C727E4353C314FBD93409EF639422707000D702909B30966478A168622D1D80E2400000000010D00000D702909B30966478A168622D1D80E240001D1F5ED6F0000</t>
  </si>
  <si>
    <t>00000000A6C727E4353C314FBD93409EF639422707000D702909B30966478A168622D1D80E2400000000010D00000D702909B30966478A168622D1D80E240001D1F5ED6E0000</t>
  </si>
  <si>
    <t>ERP CRM defn</t>
  </si>
  <si>
    <t>00000000A6C727E4353C314FBD93409EF639422707000D702909B30966478A168622D1D80E2400000000010D00000D702909B30966478A168622D1D80E240001D1F5ED6D0000</t>
  </si>
  <si>
    <t xml:space="preserve">checkpoint on velox/valantic agreements </t>
  </si>
  <si>
    <t>Jon Butler,Annalisa CHECCHI,Alison Hood</t>
  </si>
  <si>
    <t>00000000A6C727E4353C314FBD93409EF639422707000D702909B30966478A168622D1D80E2400000000010D00000D702909B30966478A168622D1D80E240001D1F5ED6C0000</t>
  </si>
  <si>
    <t>ultumus admin</t>
  </si>
  <si>
    <t>00000000A6C727E4353C314FBD93409EF639422707000D702909B30966478A168622D1D80E2400000000010D00000D702909B30966478A168622D1D80E240001D1F5ED6B0000</t>
  </si>
  <si>
    <t>00000000A6C727E4353C314FBD93409EF639422707000D702909B30966478A168622D1D80E2400000000010D00000D702909B30966478A168622D1D80E240001D1F5ED6A0000</t>
  </si>
  <si>
    <t>00000000A6C727E4353C314FBD93409EF639422707000D702909B30966478A168622D1D80E2400000000010D00000D702909B30966478A168622D1D80E240001D1F5ED690000</t>
  </si>
  <si>
    <t>00000000A6C727E4353C314FBD93409EF639422707000D702909B30966478A168622D1D80E2400000000010D00000D702909B30966478A168622D1D80E240001D1F5ED680000</t>
  </si>
  <si>
    <t>pre for SSGM</t>
  </si>
  <si>
    <t>00000000A6C727E4353C314FBD93409EF639422707000D702909B30966478A168622D1D80E2400000000010D00000D702909B30966478A168622D1D80E240001D1F5ED660000</t>
  </si>
  <si>
    <t>00000000A6C727E4353C314FBD93409EF639422707000D702909B30966478A168622D1D80E2400000000010D00000D702909B30966478A168622D1D80E240001D1F5ED650000</t>
  </si>
  <si>
    <t>00000000A6C727E4353C314FBD93409EF639422707000D702909B30966478A168622D1D80E2400000000010D00000D702909B30966478A168622D1D80E240001D1F5ED640000</t>
  </si>
  <si>
    <t>00000000A6C727E4353C314FBD93409EF639422707000D702909B30966478A168622D1D80E2400000000010D00000D702909B30966478A168622D1D80E240001D1F5ED630000</t>
  </si>
  <si>
    <t>JB/AM/AH continued</t>
  </si>
  <si>
    <t>00000000A6C727E4353C314FBD93409EF639422707000D702909B30966478A168622D1D80E2400000000010D00000D702909B30966478A168622D1D80E240001D1F5ED620000</t>
  </si>
  <si>
    <t>Strategy, Goals and Objectives</t>
  </si>
  <si>
    <t>00000000A6C727E4353C314FBD93409EF639422707000D702909B30966478A168622D1D80E2400000000010D00000D702909B30966478A168622D1D80E240001D1F5ED600000</t>
  </si>
  <si>
    <t>JB/AM/AH catch up</t>
  </si>
  <si>
    <t>00000000A6C727E4353C314FBD93409EF639422707000D702909B30966478A168622D1D80E2400000000010D00000D702909B30966478A168622D1D80E240001E0C52C850000</t>
  </si>
  <si>
    <t>00000000A6C727E4353C314FBD93409EF639422707000D702909B30966478A168622D1D80E2400000000010D00000D702909B30966478A168622D1D80E240001D1F5ED5F0000</t>
  </si>
  <si>
    <t>00000000A6C727E4353C314FBD93409EF639422707000D702909B30966478A168622D1D80E2400000000010D00000D702909B30966478A168622D1D80E240001D1F5ED5E0000</t>
  </si>
  <si>
    <t>00000000A6C727E4353C314FBD93409EF639422707000D702909B30966478A168622D1D80E2400000000010D00000D702909B30966478A168622D1D80E240001D1F5ED5D0000</t>
  </si>
  <si>
    <t>id=2283582123</t>
  </si>
  <si>
    <t>00000000A6C727E4353C314FBD93409EF639422707000D702909B30966478A168622D1D80E2400000000010D00000D702909B30966478A168622D1D80E240001D1F5ED5C0000</t>
  </si>
  <si>
    <t>capsule uploads</t>
  </si>
  <si>
    <t>id=2285153194</t>
  </si>
  <si>
    <t>00000000A6C727E4353C314FBD93409EF639422707000D702909B30966478A168622D1D80E2400000000010D00000D702909B30966478A168622D1D80E240001D1F5ED5B0000</t>
  </si>
  <si>
    <t>00000000A6C727E4353C314FBD93409EF639422707000D702909B30966478A168622D1D80E2400000000010D00000D702909B30966478A168622D1D80E240001D1F5ED5A0000</t>
  </si>
  <si>
    <t>Ali Upload</t>
  </si>
  <si>
    <t>Id= 2281889113</t>
  </si>
  <si>
    <t>00000000A6C727E4353C314FBD93409EF639422707000D702909B30966478A168622D1D80E2400000000010D00000D702909B30966478A168622D1D80E240001D1F5ED590000</t>
  </si>
  <si>
    <t>00000000A6C727E4353C314FBD93409EF639422707000D702909B30966478A168622D1D80E2400000000010D00000D702909B30966478A168622D1D80E240001D1F5ED580000</t>
  </si>
  <si>
    <t>00000000A6C727E4353C314FBD93409EF639422707000D702909B30966478A168622D1D80E2400000000010D00000D702909B30966478A168622D1D80E240001D1F5ED570000</t>
  </si>
  <si>
    <t>capsule ERP defn</t>
  </si>
  <si>
    <t>Sales Proc Support^ Admin</t>
  </si>
  <si>
    <t>id=2280033801</t>
  </si>
  <si>
    <t>00000000A6C727E4353C314FBD93409EF639422707000D702909B30966478A168622D1D80E2400000000010D00000D702909B30966478A168622D1D80E240001D1F5ED560000</t>
  </si>
  <si>
    <t>00000000A6C727E4353C314FBD93409EF639422707000D702909B30966478A168622D1D80E2400000000010D00000D702909B30966478A168622D1D80E240001D1F5ED550000</t>
  </si>
  <si>
    <t>00000000A6C727E4353C314FBD93409EF639422707000D702909B30966478A168622D1D80E2400000000010D00000D702909B30966478A168622D1D80E240001D1F5ED540000</t>
  </si>
  <si>
    <t>00000000A6C727E4353C314FBD93409EF639422707000D702909B30966478A168622D1D80E2400000000010D00000D702909B30966478A168622D1D80E240001D1F5ED530000</t>
  </si>
  <si>
    <t>legal agreements</t>
  </si>
  <si>
    <t>00000000A6C727E4353C314FBD93409EF639422707000D702909B30966478A168622D1D80E2400000000010D00000D702909B30966478A168622D1D80E240001D1F5ED520000</t>
  </si>
  <si>
    <t>00000000A6C727E4353C314FBD93409EF639422707000D702909B30966478A168622D1D80E2400000000010D00000D702909B30966478A168622D1D80E240001D1F5ED510000</t>
  </si>
  <si>
    <t>various items/brand reveal</t>
  </si>
  <si>
    <t>00000000A6C727E4353C314FBD93409EF639422707000D702909B30966478A168622D1D80E2400000000010D00000D702909B30966478A168622D1D80E240001D1F5ED500000</t>
  </si>
  <si>
    <t>00000000A6C727E4353C314FBD93409EF639422707000D702909B30966478A168622D1D80E2400000000010D00000D702909B30966478A168622D1D80E240001D1F5ED4F0000</t>
  </si>
  <si>
    <t>00000000A6C727E4353C314FBD93409EF639422707000D702909B30966478A168622D1D80E2400000000010D00000D702909B30966478A168622D1D80E240001D1F5ED4E0000</t>
  </si>
  <si>
    <t>00000000A6C727E4353C314FBD93409EF639422707000D702909B30966478A168622D1D80E2400000000010D00000D702909B30966478A168622D1D80E240001D1F5ED4D0000</t>
  </si>
  <si>
    <t>00000000A6C727E4353C314FBD93409EF639422707000D702909B30966478A168622D1D80E2400000000010D00000D702909B30966478A168622D1D80E240001D1F5ED4C0000</t>
  </si>
  <si>
    <t>velox/valantic SAFE</t>
  </si>
  <si>
    <t>Jon Butler,Daniels, Joseph,Alison Hood</t>
  </si>
  <si>
    <t>00000000A6C727E4353C314FBD93409EF639422707000D702909B30966478A168622D1D80E2400000000010D00000D702909B30966478A168622D1D80E240001D1F5ED4B0000</t>
  </si>
  <si>
    <t>00000000A6C727E4353C314FBD93409EF639422707000D702909B30966478A168622D1D80E2400000000010D00000D702909B30966478A168622D1D80E240001D1F5ED4A0000</t>
  </si>
  <si>
    <t>00000000A6C727E4353C314FBD93409EF639422707000D702909B30966478A168622D1D80E2400000000010D00000D702909B30966478A168622D1D80E240001D1F5ED490000</t>
  </si>
  <si>
    <t>00000000A6C727E4353C314FBD93409EF639422707000D702909B30966478A168622D1D80E2400000000010D00000D702909B30966478A168622D1D80E240001D1F5ED480000</t>
  </si>
  <si>
    <t>velox &lt;&gt; valantic finalizing agreements</t>
  </si>
  <si>
    <t>Timo Huguet,Ashley Williams,andy.browning@fsa.valantic.com,Tobias Grennrich,'Annalisa CHECCHI',jon.butler@veloxfintech.com,alison.hood@veloxfintech.com</t>
  </si>
  <si>
    <t>00000000A6C727E4353C314FBD93409EF639422707000D702909B30966478A168622D1D80E2400000000010D00000D702909B30966478A168622D1D80E240001D1F5ED860000</t>
  </si>
  <si>
    <t>00000000A6C727E4353C314FBD93409EF639422707000D702909B30966478A168622D1D80E2400000000010D00000D702909B30966478A168622D1D80E240001D1F5ED470000</t>
  </si>
  <si>
    <t>00000000A6C727E4353C314FBD93409EF639422707000D702909B30966478A168622D1D80E2400000000010D00000D702909B30966478A168622D1D80E240001D1F5ED460000</t>
  </si>
  <si>
    <t>cleaning up notes</t>
  </si>
  <si>
    <t>00000000A6C727E4353C314FBD93409EF639422707000D702909B30966478A168622D1D80E2400000000010D00000D702909B30966478A168622D1D80E240001D1F5ED450000</t>
  </si>
  <si>
    <t>reading</t>
  </si>
  <si>
    <t>00000000A6C727E4353C314FBD93409EF639422707000D702909B30966478A168622D1D80E2400000000010D00000D702909B30966478A168622D1D80E240001D1F5ED440000</t>
  </si>
  <si>
    <t xml:space="preserve">AH AM </t>
  </si>
  <si>
    <t>00000000A6C727E4353C314FBD93409EF639422707000D702909B30966478A168622D1D80E2400000000010D00000D702909B30966478A168622D1D80E240001D1F5ED430000</t>
  </si>
  <si>
    <t>SAFE</t>
  </si>
  <si>
    <t>00000000A6C727E4353C314FBD93409EF639422707000D702909B30966478A168622D1D80E2400000000010D00000D702909B30966478A168622D1D80E240001D1F5ED420000</t>
  </si>
  <si>
    <t>00000000A6C727E4353C314FBD93409EF639422707000D702909B30966478A168622D1D80E2400000000010D00000D702909B30966478A168622D1D80E240001D1F5ED410000</t>
  </si>
  <si>
    <t>00000000A6C727E4353C314FBD93409EF639422707000D702909B30966478A168622D1D80E2400000000010D00000D702909B30966478A168622D1D80E240001D1F5ED400000</t>
  </si>
  <si>
    <t>00000000A6C727E4353C314FBD93409EF639422707000D702909B30966478A168622D1D80E2400000000010D00000D702909B30966478A168622D1D80E240001D1F5ED3F0000</t>
  </si>
  <si>
    <t>00000000A6C727E4353C314FBD93409EF639422707000D702909B30966478A168622D1D80E2400000000010D00000D702909B30966478A168622D1D80E240001D1F5ED3E0000</t>
  </si>
  <si>
    <t>00000000A6C727E4353C314FBD93409EF639422707000D702909B30966478A168622D1D80E2400000000010D00000D702909B30966478A168622D1D80E240001D1F5ED3D0000</t>
  </si>
  <si>
    <t>00000000A6C727E4353C314FBD93409EF639422707000D702909B30966478A168622D1D80E2400000000010D00000D702909B30966478A168622D1D80E240001D1F5ED3B0000</t>
  </si>
  <si>
    <t>Updated time - Follow up to initial SSGM/Velox call</t>
  </si>
  <si>
    <t>Ali Moosavi,Scannell, Jeffrey,Jon Butler</t>
  </si>
  <si>
    <t>00000000A6C727E4353C314FBD93409EF639422707000D702909B30966478A168622D1D80E2400000000010D00000D702909B30966478A168622D1D80E240001D1F5ED610000</t>
  </si>
  <si>
    <t>00000000A6C727E4353C314FBD93409EF639422707000D702909B30966478A168622D1D80E2400000000010D00000D702909B30966478A168622D1D80E240001D1F5ED3A0000</t>
  </si>
  <si>
    <t>00000000A6C727E4353C314FBD93409EF639422707000D702909B30966478A168622D1D80E2400000000010D00000D702909B30966478A168622D1D80E240001D1F5ED380000</t>
  </si>
  <si>
    <t>00000000A6C727E4353C314FBD93409EF639422707000D702909B30966478A168622D1D80E2400000000010D00000D702909B30966478A168622D1D80E240001D1F5ED370000</t>
  </si>
  <si>
    <t>SIX Demo</t>
  </si>
  <si>
    <t>00000000A6C727E4353C314FBD93409EF639422707000D702909B30966478A168622D1D80E2400000000010D00000D702909B30966478A168622D1D80E240001D1F5ED360000</t>
  </si>
  <si>
    <t>00000000A6C727E4353C314FBD93409EF639422707000D702909B30966478A168622D1D80E2400000000010D00000D702909B30966478A168622D1D80E240001D1F5ED350000</t>
  </si>
  <si>
    <t>00000000A6C727E4353C314FBD93409EF639422707000D702909B30966478A168622D1D80E2400000000010D00000D702909B30966478A168622D1D80E240001D1F5ED340000</t>
  </si>
  <si>
    <t>SIX demo</t>
  </si>
  <si>
    <t>00000000A6C727E4353C314FBD93409EF639422707000D702909B30966478A168622D1D80E2400000000010D00000D702909B30966478A168622D1D80E240001D1F5ED320000</t>
  </si>
  <si>
    <t>chris job description</t>
  </si>
  <si>
    <t>00000000A6C727E4353C314FBD93409EF639422707000D702909B30966478A168622D1D80E2400000000010D00000D702909B30966478A168622D1D80E240001D1F5ED310000</t>
  </si>
  <si>
    <t>00000000A6C727E4353C314FBD93409EF639422707000D702909B30966478A168622D1D80E2400000000010D00000D702909B30966478A168622D1D80E240001D1F5ED300000</t>
  </si>
  <si>
    <t>00000000A6C727E4353C314FBD93409EF639422707000D702909B30966478A168622D1D80E2400000000010D00000D702909B30966478A168622D1D80E240001D1F5ED2F0000</t>
  </si>
  <si>
    <t>00000000A6C727E4353C314FBD93409EF639422707000D702909B30966478A168622D1D80E2400000000010D00000D702909B30966478A168622D1D80E240001D1F5ED2E0000</t>
  </si>
  <si>
    <t>00000000A6C727E4353C314FBD93409EF639422707000D702909B30966478A168622D1D80E2400000000010D00000D702909B30966478A168622D1D80E240001D1F5ED2D0000</t>
  </si>
  <si>
    <t>00000000A6C727E4353C314FBD93409EF639422707000D702909B30966478A168622D1D80E2400000000010D00000D702909B30966478A168622D1D80E240001D1F5ED2B0000</t>
  </si>
  <si>
    <t>00000000A6C727E4353C314FBD93409EF639422707000D702909B30966478A168622D1D80E2400000000010D00000D702909B30966478A168622D1D80E240001D1F5ED2A0000</t>
  </si>
  <si>
    <t>alison finances</t>
  </si>
  <si>
    <t>00000000A6C727E4353C314FBD93409EF639422707000D702909B30966478A168622D1D80E2400000000010D00000D702909B30966478A168622D1D80E240001D1F5ED290000</t>
  </si>
  <si>
    <t>00000000A6C727E4353C314FBD93409EF639422707000D702909B30966478A168622D1D80E2400000000010D00000D702909B30966478A168622D1D80E240001D1F5ED280000</t>
  </si>
  <si>
    <t xml:space="preserve">Regular Check-in velox &amp; valantic </t>
  </si>
  <si>
    <t>Timo Huguet,jon.butler@veloxfintech.com,Browning, Andy,Tobias Grennrich,Alison Hood</t>
  </si>
  <si>
    <t>00000000A6C727E4353C314FBD93409EF639422707000D702909B30966478A168622D1D80E2400000000010D00000D702909B30966478A168622D1D80E240001D1F5ED270000</t>
  </si>
  <si>
    <t>00000000A6C727E4353C314FBD93409EF639422707000D702909B30966478A168622D1D80E2400000000010D00000D702909B30966478A168622D1D80E240001D1F5ED260000</t>
  </si>
  <si>
    <t>00000000A6C727E4353C314FBD93409EF639422707000D702909B30966478A168622D1D80E2400000000010D00000D702909B30966478A168622D1D80E240001D1F5ED250000</t>
  </si>
  <si>
    <t>velox hiring etfsc</t>
  </si>
  <si>
    <t>00000000A6C727E4353C314FBD93409EF639422707000D702909B30966478A168622D1D80E2400000000010D00000D702909B30966478A168622D1D80E240001D1F5ED220000</t>
  </si>
  <si>
    <t>Finances</t>
  </si>
  <si>
    <t>00000000A6C727E4353C314FBD93409EF639422707000D702909B30966478A168622D1D80E2400000000010D00000D702909B30966478A168622D1D80E240001D1F5ED210000</t>
  </si>
  <si>
    <t>Velox Hiring Plan</t>
  </si>
  <si>
    <t>Martyn James,Martyn James,Mark Weeks,Jon Butler</t>
  </si>
  <si>
    <t>Martyn James</t>
  </si>
  <si>
    <t>00000000A6C727E4353C314FBD93409EF639422707000D702909B30966478A168622D1D80E2400000000010D00000D702909B30966478A168622D1D80E240001D1F5ED200000</t>
  </si>
  <si>
    <t>00000000A6C727E4353C314FBD93409EF639422707000D702909B30966478A168622D1D80E2400000000010D00000D702909B30966478A168622D1D80E240001D1F5ED1F0000</t>
  </si>
  <si>
    <t>00000000A6C727E4353C314FBD93409EF639422707000D702909B30966478A168622D1D80E2400000000010D00000D702909B30966478A168622D1D80E240001D1F5ED1E0000</t>
  </si>
  <si>
    <t>00000000A6C727E4353C314FBD93409EF639422707000D702909B30966478A168622D1D80E2400000000010D00000D702909B30966478A168622D1D80E240001D1F5ED1D0000</t>
  </si>
  <si>
    <t>00000000A6C727E4353C314FBD93409EF639422707000D702909B30966478A168622D1D80E2400000000010D00000D702909B30966478A168622D1D80E240001D1F5ED1C0000</t>
  </si>
  <si>
    <t>FW: Ultumus Desktop overview</t>
  </si>
  <si>
    <t>de Lame, David,Jon Butler,Kirby, Roy,Ultumus: Bernie Thurston,Popat, Shai,Vazquez, Catalina,Hug, Stéphane,Gligoric, Natasa,Jason Yan,Pohlmann, Caroline,Ganesan, Niranjana,Parker, Rebecca</t>
  </si>
  <si>
    <t>00000000A6C727E4353C314FBD93409EF639422707000D702909B30966478A168622D1D80E2400000000010D00000D702909B30966478A168622D1D80E240001D1F5ED1A0000</t>
  </si>
  <si>
    <t>00000000A6C727E4353C314FBD93409EF639422707000D702909B30966478A168622D1D80E2400000000010D00000D702909B30966478A168622D1D80E240001D1F5ED190000</t>
  </si>
  <si>
    <t>Legal / valantic</t>
  </si>
  <si>
    <t>00000000A6C727E4353C314FBD93409EF639422707000D702909B30966478A168622D1D80E2400000000010D00000D702909B30966478A168622D1D80E240001D1F5ED180000</t>
  </si>
  <si>
    <t>00000000A6C727E4353C314FBD93409EF639422707000D702909B30966478A168622D1D80E2400000000010D00000D702909B30966478A168622D1D80E240001D1F5ED330000</t>
  </si>
  <si>
    <t>00000000A6C727E4353C314FBD93409EF639422707000D702909B30966478A168622D1D80E2400000000010D00000D702909B30966478A168622D1D80E240001D1F5ED170000</t>
  </si>
  <si>
    <t>velox/valantic contracts</t>
  </si>
  <si>
    <t>Annalisa CHECCHI,Alison Hood</t>
  </si>
  <si>
    <t>00000000A6C727E4353C314FBD93409EF639422707000D702909B30966478A168622D1D80E2400000000010D00000D702909B30966478A168622D1D80E240001D1F5ED160000</t>
  </si>
  <si>
    <t>00000000A6C727E4353C314FBD93409EF639422707000D702909B30966478A168622D1D80E2400000000010D00000D702909B30966478A168622D1D80E240001D1F5ED140000</t>
  </si>
  <si>
    <t>00000000A6C727E4353C314FBD93409EF639422707000D702909B30966478A168622D1D80E2400000000010D00000D702909B30966478A168622D1D80E240001D1F5ED130000</t>
  </si>
  <si>
    <t>00000000A6C727E4353C314FBD93409EF639422707000D702909B30966478A168622D1D80E2400000000010D00000D702909B30966478A168622D1D80E240001D1F5ED120000</t>
  </si>
  <si>
    <t>00000000A6C727E4353C314FBD93409EF639422707000D702909B30966478A168622D1D80E2400000000010D00000D702909B30966478A168622D1D80E240001D1F5ED110000</t>
  </si>
  <si>
    <t>00000000A6C727E4353C314FBD93409EF639422707000D702909B30966478A168622D1D80E2400000000010D00000D702909B30966478A168622D1D80E240001D1F5ED100000</t>
  </si>
  <si>
    <t>00000000A6C727E4353C314FBD93409EF639422707000D702909B30966478A168622D1D80E2400000000010D00000D702909B30966478A168622D1D80E240001D1F5ED0F0000</t>
  </si>
  <si>
    <t>monday fuck up</t>
  </si>
  <si>
    <t>00000000A6C727E4353C314FBD93409EF639422707000D702909B30966478A168622D1D80E2400000000010D00000D702909B30966478A168622D1D80E240001D1F5ED0E0000</t>
  </si>
  <si>
    <t>ETFSC Prep</t>
  </si>
  <si>
    <t>00000000A6C727E4353C314FBD93409EF639422707000D702909B30966478A168622D1D80E2400000000010D00000D702909B30966478A168622D1D80E240001D1F5ED0D0000</t>
  </si>
  <si>
    <t>low code demo</t>
  </si>
  <si>
    <t>00000000A6C727E4353C314FBD93409EF639422707000D702909B30966478A168622D1D80E2400000000010D00000D702909B30966478A168622D1D80E240001D1F5ED0C0000</t>
  </si>
  <si>
    <t>ETFS PREP</t>
  </si>
  <si>
    <t>00000000A6C727E4353C314FBD93409EF639422707000D702909B30966478A168622D1D80E2400000000010D00000D702909B30966478A168622D1D80E240001D1F5ED0B0000</t>
  </si>
  <si>
    <t>etfs prep</t>
  </si>
  <si>
    <t>00000000A6C727E4353C314FBD93409EF639422707000D702909B30966478A168622D1D80E2400000000010D00000D702909B30966478A168622D1D80E240001D1F5ED0A0000</t>
  </si>
  <si>
    <t>Admin / Followups</t>
  </si>
  <si>
    <t>00000000A6C727E4353C314FBD93409EF639422707000D702909B30966478A168622D1D80E2400000000010D00000D702909B30966478A168622D1D80E240001D1F5ED090000</t>
  </si>
  <si>
    <t>NORDEA DEMO</t>
  </si>
  <si>
    <t>id=2198132438</t>
  </si>
  <si>
    <t>00000000A6C727E4353C314FBD93409EF639422707000D702909B30966478A168622D1D80E2400000000010D00000D702909B30966478A168622D1D80E240001D1F5ED080000</t>
  </si>
  <si>
    <t>00000000A6C727E4353C314FBD93409EF639422707000D702909B30966478A168622D1D80E2400000000010D00000D702909B30966478A168622D1D80E240001D1F5ED070000</t>
  </si>
  <si>
    <t>00000000A6C727E4353C314FBD93409EF639422707000D702909B30966478A168622D1D80E2400000000010D00000D702909B30966478A168622D1D80E240001D1F5ED060000</t>
  </si>
  <si>
    <t>legal</t>
  </si>
  <si>
    <t>00000000A6C727E4353C314FBD93409EF639422707000D702909B30966478A168622D1D80E2400000000010D00000D702909B30966478A168622D1D80E240001D1F5ED050000</t>
  </si>
  <si>
    <t>joachim follow up on legal</t>
  </si>
  <si>
    <t>00000000A6C727E4353C314FBD93409EF639422707000D702909B30966478A168622D1D80E2400000000010D00000D702909B30966478A168622D1D80E240001D1F5ED040000</t>
  </si>
  <si>
    <t>exane</t>
  </si>
  <si>
    <t>id=2251908916</t>
  </si>
  <si>
    <t>00000000A6C727E4353C314FBD93409EF639422707000D702909B30966478A168622D1D80E2400000000010D00000D702909B30966478A168622D1D80E240001D1F5ED030000</t>
  </si>
  <si>
    <t>00000000A6C727E4353C314FBD93409EF639422707000D702909B30966478A168622D1D80E2400000000010D00000D702909B30966478A168622D1D80E240001D1F5ED020000</t>
  </si>
  <si>
    <t>00000000A6C727E4353C314FBD93409EF639422707000D702909B30966478A168622D1D80E2400000000010D00000D702909B30966478A168622D1D80E240001D1F5ED010000</t>
  </si>
  <si>
    <t>demo for exane</t>
  </si>
  <si>
    <t>00000000A6C727E4353C314FBD93409EF639422707000D702909B30966478A168622D1D80E2400000000010D00000D702909B30966478A168622D1D80E240001D1F5ECFF0000</t>
  </si>
  <si>
    <t>00000000A6C727E4353C314FBD93409EF639422707000D702909B30966478A168622D1D80E2400000000010D00000D702909B30966478A168622D1D80E240001D1F5ECFE0000</t>
  </si>
  <si>
    <t>1 pager</t>
  </si>
  <si>
    <t>id=2225714604</t>
  </si>
  <si>
    <t>00000000A6C727E4353C314FBD93409EF639422707000D702909B30966478A168622D1D80E2400000000010D00000D702909B30966478A168622D1D80E240001D1F5ECFC0000</t>
  </si>
  <si>
    <t>00000000A6C727E4353C314FBD93409EF639422707000D702909B30966478A168622D1D80E2400000000010D00000D702909B30966478A168622D1D80E240001D1F5ECFB0000</t>
  </si>
  <si>
    <t>00000000A6C727E4353C314FBD93409EF639422707000D702909B30966478A168622D1D80E2400000000010D00000D702909B30966478A168622D1D80E240001D1F5ECFA0000</t>
  </si>
  <si>
    <t>changes for demo</t>
  </si>
  <si>
    <t>00000000A6C727E4353C314FBD93409EF639422707000D702909B30966478A168622D1D80E2400000000010D00000D702909B30966478A168622D1D80E240001D1F5ECF80000</t>
  </si>
  <si>
    <t>00000000A6C727E4353C314FBD93409EF639422707000D702909B30966478A168622D1D80E2400000000010D00000D702909B30966478A168622D1D80E240001D1F5ECF70000</t>
  </si>
  <si>
    <t>00000000A6C727E4353C314FBD93409EF639422707000D702909B30966478A168622D1D80E2400000000010D00000D702909B30966478A168622D1D80E240001D1F5ECF60000</t>
  </si>
  <si>
    <t>00000000A6C727E4353C314FBD93409EF639422707000D702909B30966478A168622D1D80E2400000000010D00000D702909B30966478A168622D1D80E240001D1F5ECF50000</t>
  </si>
  <si>
    <t>00000000A6C727E4353C314FBD93409EF639422707000D702909B30966478A168622D1D80E2400000000010D00000D702909B30966478A168622D1D80E240001D1F5ECF40000</t>
  </si>
  <si>
    <t>00000000A6C727E4353C314FBD93409EF639422707000D702909B30966478A168622D1D80E2400000000010D00000D702909B30966478A168622D1D80E240001D1F5ECF30000</t>
  </si>
  <si>
    <t>00000000A6C727E4353C314FBD93409EF639422707000D702909B30966478A168622D1D80E2400000000010D00000D702909B30966478A168622D1D80E240001D1F5ECF20000</t>
  </si>
  <si>
    <t>Canceled: Transformation Steering Committee Meeting</t>
  </si>
  <si>
    <t>Ansgar Bruell,Jon Butler,Andy Browning,Philipp Königs,Joachim Lauterbach,René Bärecke,Luigi Marino,Andreas Schebesch,Peter Holmgren</t>
  </si>
  <si>
    <t>00000000A6C727E4353C314FBD93409EF639422707000D702909B30966478A168622D1D80E2400000000010D00000D702909B30966478A168622D1D80E240001D1F5ECFD0000</t>
  </si>
  <si>
    <t>00000000A6C727E4353C314FBD93409EF639422707000D702909B30966478A168622D1D80E2400000000010D00000D702909B30966478A168622D1D80E240001D1F5ECF10000</t>
  </si>
  <si>
    <t>Jon/Mike velox/CRUX</t>
  </si>
  <si>
    <t>Jon Butler,Michael Rude</t>
  </si>
  <si>
    <t>00000000A6C727E4353C314FBD93409EF639422707000D702909B30966478A168622D1D80E2400000000010D00000D702909B30966478A168622D1D80E240001D1F5ECF00000</t>
  </si>
  <si>
    <t>00000000A6C727E4353C314FBD93409EF639422707000D702909B30966478A168622D1D80E2400000000010D00000D702909B30966478A168622D1D80E240001D1F5ECEF0000</t>
  </si>
  <si>
    <t>00000000A6C727E4353C314FBD93409EF639422707000D702909B30966478A168622D1D80E2400000000010D00000D702909B30966478A168622D1D80E240001D1F5ECEE0000</t>
  </si>
  <si>
    <t>00000000A6C727E4353C314FBD93409EF639422707000D702909B30966478A168622D1D80E2400000000010D00000D702909B30966478A168622D1D80E240001D1F5ECED0000</t>
  </si>
  <si>
    <t>Jon/Steve - Weekly (Moved from Wed)</t>
  </si>
  <si>
    <t>Steve Grob'</t>
  </si>
  <si>
    <t>00000000A6C727E4353C314FBD93409EF639422707000D702909B30966478A168622D1D80E2400000000010D00000D702909B30966478A168622D1D80E240001D1F5ECEC0000</t>
  </si>
  <si>
    <t>video of cash eq demo</t>
  </si>
  <si>
    <t>00000000A6C727E4353C314FBD93409EF639422707000D702909B30966478A168622D1D80E2400000000010D00000D702909B30966478A168622D1D80E240001D1F5ECEB0000</t>
  </si>
  <si>
    <t>00000000A6C727E4353C314FBD93409EF639422707000D702909B30966478A168622D1D80E2400000000010D00000D702909B30966478A168622D1D80E240001D1F5ECEA0000</t>
  </si>
  <si>
    <t>Jon/Annalisa - review valantic redlines</t>
  </si>
  <si>
    <t>Annalisa CHECCHI,Annalisa CHECCHI</t>
  </si>
  <si>
    <t>00000000A6C727E4353C314FBD93409EF639422707000D702909B30966478A168622D1D80E2400000000010D00000D702909B30966478A168622D1D80E240001D1F5ECE90000</t>
  </si>
  <si>
    <t>Grob</t>
  </si>
  <si>
    <t>00000000A6C727E4353C314FBD93409EF639422707000D702909B30966478A168622D1D80E2400000000010D00000D702909B30966478A168622D1D80E240001D1F5ECE70000</t>
  </si>
  <si>
    <t>nordea prep</t>
  </si>
  <si>
    <t>00000000A6C727E4353C314FBD93409EF639422707000D702909B30966478A168622D1D80E2400000000010D00000D702909B30966478A168622D1D80E240001D1F5ECE60000</t>
  </si>
  <si>
    <t>00000000A6C727E4353C314FBD93409EF639422707000D702909B30966478A168622D1D80E2400000000010D00000D702909B30966478A168622D1D80E240001D1F5ECE50000</t>
  </si>
  <si>
    <t>id=2197287869</t>
  </si>
  <si>
    <t>00000000A6C727E4353C314FBD93409EF639422707000D702909B30966478A168622D1D80E2400000000010D00000D702909B30966478A168622D1D80E240001D1F5ECE40000</t>
  </si>
  <si>
    <t>nordea</t>
  </si>
  <si>
    <t>00000000A6C727E4353C314FBD93409EF639422707000D702909B30966478A168622D1D80E2400000000010D00000D702909B30966478A168622D1D80E240001D1F5ECE30000</t>
  </si>
  <si>
    <t>Jon/Andy - Syncup</t>
  </si>
  <si>
    <t>Andy Browning,Aaron Pryce</t>
  </si>
  <si>
    <t>00000000A6C727E4353C314FBD93409EF639422707000D702909B30966478A168622D1D80E2400000000010D00000D702909B30966478A168622D1D80E240001D1F5ECE00000</t>
  </si>
  <si>
    <t>00000000A6C727E4353C314FBD93409EF639422707000D702909B30966478A168622D1D80E2400000000010D00000D702909B30966478A168622D1D80E240001D1F5ECDF0000</t>
  </si>
  <si>
    <t>id=2251911737</t>
  </si>
  <si>
    <t>00000000A6C727E4353C314FBD93409EF639422707000D702909B30966478A168622D1D80E2400000000010D00000D702909B30966478A168622D1D80E240001D1F5ECDD0000</t>
  </si>
  <si>
    <t>Admin^ Sales Proc Support</t>
  </si>
  <si>
    <t>00000000A6C727E4353C314FBD93409EF639422707000D702909B30966478A168622D1D80E2400000000010D00000D702909B30966478A168622D1D80E240001D1F5ECDC0000</t>
  </si>
  <si>
    <t>00000000A6C727E4353C314FBD93409EF639422707000D702909B30966478A168622D1D80E2400000000010D00000D702909B30966478A168622D1D80E240001D1F5ECDB0000</t>
  </si>
  <si>
    <t>Velox discussion w/SMBC Nikko</t>
  </si>
  <si>
    <t>Ali Moosavi,ngallet@smbcnikko-si.com,Jon Butler</t>
  </si>
  <si>
    <t>00000000A6C727E4353C314FBD93409EF639422707000D702909B30966478A168622D1D80E2400000000010D00000D702909B30966478A168622D1D80E240001D1F5ED2C0000</t>
  </si>
  <si>
    <t>00000000A6C727E4353C314FBD93409EF639422707000D702909B30966478A168622D1D80E2400000000010D00000D702909B30966478A168622D1D80E240001D1F5ECDA0000</t>
  </si>
  <si>
    <t>id=2193364497</t>
  </si>
  <si>
    <t>00000000A6C727E4353C314FBD93409EF639422707000D702909B30966478A168622D1D80E2400000000010D00000D702909B30966478A168622D1D80E240001D1F5ECD90000</t>
  </si>
  <si>
    <t>velox US legal assistance w/funding docs</t>
  </si>
  <si>
    <t>Jon Butler,Annalisa CHECCHI,Kosch, James A.,JGarde@McCarter.com,Daniels, Joseph</t>
  </si>
  <si>
    <t>00000000A6C727E4353C314FBD93409EF639422707000D702909B30966478A168622D1D80E2400000000010D00000D702909B30966478A168622D1D80E240001D1F5ECD70000</t>
  </si>
  <si>
    <t>Jon/Mike - Tradition strategy</t>
  </si>
  <si>
    <t>00000000A6C727E4353C314FBD93409EF639422707000D702909B30966478A168622D1D80E2400000000010D00000D702909B30966478A168622D1D80E240001D1F5ECD60000</t>
  </si>
  <si>
    <t>Ali Sales new deck</t>
  </si>
  <si>
    <t>00000000A6C727E4353C314FBD93409EF639422707000D702909B30966478A168622D1D80E2400000000010D00000D702909B30966478A168622D1D80E240001D1F5ECD50000</t>
  </si>
  <si>
    <t>ali new sales</t>
  </si>
  <si>
    <t>00000000A6C727E4353C314FBD93409EF639422707000D702909B30966478A168622D1D80E2400000000010D00000D702909B30966478A168622D1D80E240001D1F5ECD40000</t>
  </si>
  <si>
    <t>00000000A6C727E4353C314FBD93409EF639422707000D702909B30966478A168622D1D80E2400000000010D00000D702909B30966478A168622D1D80E240001D1F5ECD30000</t>
  </si>
  <si>
    <t>00000000A6C727E4353C314FBD93409EF639422707000D702909B30966478A168622D1D80E2400000000010D00000D702909B30966478A168622D1D80E240001D1F5ECD20000</t>
  </si>
  <si>
    <t>High-level Velox demo to CM.T and BornTec</t>
  </si>
  <si>
    <t>Ali Moosavi,Jon Butler,Anders Henriksson,Peter Mott,vaibhav.shukla@capitalmarkets.technology</t>
  </si>
  <si>
    <t>00000000A6C727E4353C314FBD93409EF639422707000D702909B30966478A168622D1D80E2400000000010D00000D702909B30966478A168622D1D80E240001D1F5ECD80000</t>
  </si>
  <si>
    <t>velox / ETFS Capital</t>
  </si>
  <si>
    <t>Jon Butler,Martyn James,Mark Weeks,Jason Yan,Alison Hood</t>
  </si>
  <si>
    <t>00000000A6C727E4353C314FBD93409EF639422707000D702909B30966478A168622D1D80E2400000000010D00000D702909B30966478A168622D1D80E240001D1F5ECD10000</t>
  </si>
  <si>
    <t>Pete / Admin</t>
  </si>
  <si>
    <t>00000000A6C727E4353C314FBD93409EF639422707000D702909B30966478A168622D1D80E2400000000010D00000D702909B30966478A168622D1D80E240001D1F5ECD00000</t>
  </si>
  <si>
    <t>00000000A6C727E4353C314FBD93409EF639422707000D702909B30966478A168622D1D80E2400000000010D00000D702909B30966478A168622D1D80E240001D1F5ECCF0000</t>
  </si>
  <si>
    <t>00000000A6C727E4353C314FBD93409EF639422707000D702909B30966478A168622D1D80E2400000000010D00000D702909B30966478A168622D1D80E240001D1F5ECCE0000</t>
  </si>
  <si>
    <t>danske &amp; valantic</t>
  </si>
  <si>
    <t>id=2198075522</t>
  </si>
  <si>
    <t>00000000A6C727E4353C314FBD93409EF639422707000D702909B30966478A168622D1D80E2400000000010D00000D702909B30966478A168622D1D80E240001D1F5ECCD0000</t>
  </si>
  <si>
    <t>danske and valantic</t>
  </si>
  <si>
    <t>00000000A6C727E4353C314FBD93409EF639422707000D702909B30966478A168622D1D80E2400000000010D00000D702909B30966478A168622D1D80E240001D1F5ECCC0000</t>
  </si>
  <si>
    <t>00000000A6C727E4353C314FBD93409EF639422707000D702909B30966478A168622D1D80E2400000000010D00000D702909B30966478A168622D1D80E240001D1F5ECCB0000</t>
  </si>
  <si>
    <t>00000000A6C727E4353C314FBD93409EF639422707000D702909B30966478A168622D1D80E2400000000010D00000D702909B30966478A168622D1D80E240001D1F5ECCA0000</t>
  </si>
  <si>
    <t>00000000A6C727E4353C314FBD93409EF639422707000D702909B30966478A168622D1D80E2400000000010D00000D702909B30966478A168622D1D80E240001D1F5ECC90000</t>
  </si>
  <si>
    <t>00000000A6C727E4353C314FBD93409EF639422707000D702909B30966478A168622D1D80E2400000000010D00000D702909B30966478A168622D1D80E240001D1F5ECC80000</t>
  </si>
  <si>
    <t>Danske prep</t>
  </si>
  <si>
    <t>https://zoom.us/j/5694196921 id=2198075522</t>
  </si>
  <si>
    <t>Jon Butler,Jason Yan,Peter Holmgren</t>
  </si>
  <si>
    <t>00000000A6C727E4353C314FBD93409EF639422707000D702909B30966478A168622D1D80E2400000000010D00000D702909B30966478A168622D1D80E240001D1F5ECC70000</t>
  </si>
  <si>
    <t>00000000A6C727E4353C314FBD93409EF639422707000D702909B30966478A168622D1D80E2400000000010D00000D702909B30966478A168622D1D80E240001D1F5ECC50000</t>
  </si>
  <si>
    <t>monday pressos</t>
  </si>
  <si>
    <t>00000000A6C727E4353C314FBD93409EF639422707000D702909B30966478A168622D1D80E2400000000010D00000D702909B30966478A168622D1D80E240001D1F5ECC40000</t>
  </si>
  <si>
    <t>danske</t>
  </si>
  <si>
    <t>00000000A6C727E4353C314FBD93409EF639422707000D702909B30966478A168622D1D80E2400000000010D00000D702909B30966478A168622D1D80E240001D1F5ECC30000</t>
  </si>
  <si>
    <t>00000000A6C727E4353C314FBD93409EF639422707000D702909B30966478A168622D1D80E2400000000010D00000D702909B30966478A168622D1D80E240001D1F5ECC20000</t>
  </si>
  <si>
    <t>berryman and pitch</t>
  </si>
  <si>
    <t>00000000A6C727E4353C314FBD93409EF639422707000D702909B30966478A168622D1D80E2400000000010D00000D702909B30966478A168622D1D80E240001D1F5ECBF0000</t>
  </si>
  <si>
    <t>xav and nad and use cases</t>
  </si>
  <si>
    <t>id=2214041654</t>
  </si>
  <si>
    <t>00000000A6C727E4353C314FBD93409EF639422707000D702909B30966478A168622D1D80E2400000000010D00000D702909B30966478A168622D1D80E240001D1F5ECBE0000</t>
  </si>
  <si>
    <t>00000000A6C727E4353C314FBD93409EF639422707000D702909B30966478A168622D1D80E2400000000010D00000D702909B30966478A168622D1D80E240001D1F5ECBD0000</t>
  </si>
  <si>
    <t>ali catchup</t>
  </si>
  <si>
    <t>00000000A6C727E4353C314FBD93409EF639422707000D702909B30966478A168622D1D80E2400000000010D00000D702909B30966478A168622D1D80E240001D1F5ECBB0000</t>
  </si>
  <si>
    <t>00000000A6C727E4353C314FBD93409EF639422707000D702909B30966478A168622D1D80E2400000000010D00000D702909B30966478A168622D1D80E240001D1F5ECBA0000</t>
  </si>
  <si>
    <t>00000000A6C727E4353C314FBD93409EF639422707000D702909B30966478A168622D1D80E2400000000010D00000D702909B30966478A168622D1D80E240001D1F5ECB90000</t>
  </si>
  <si>
    <t>HTML5 strategy</t>
  </si>
  <si>
    <t>Teams</t>
  </si>
  <si>
    <t>00000000A6C727E4353C314FBD93409EF639422707000D702909B30966478A168622D1D80E2400000000010D00000D702909B30966478A168622D1D80E240001D1F5ECB80000</t>
  </si>
  <si>
    <t>00000000A6C727E4353C314FBD93409EF639422707000D702909B30966478A168622D1D80E2400000000010D00000D702909B30966478A168622D1D80E240001D1F5ECB70000</t>
  </si>
  <si>
    <t>00000000A6C727E4353C314FBD93409EF639422707000D702909B30966478A168622D1D80E2400000000010D00000D702909B30966478A168622D1D80E240001D1F5ECB50000</t>
  </si>
  <si>
    <t>Jon/Ross - Catchup</t>
  </si>
  <si>
    <t>https://zoom.us/j/5694196921 id=2197287869</t>
  </si>
  <si>
    <t>Jon Butler,ross lucas</t>
  </si>
  <si>
    <t>00000000A6C727E4353C314FBD93409EF639422707000D702909B30966478A168622D1D80E2400000000010D00000D702909B30966478A168622D1D80E240001D1F5ECB40000</t>
  </si>
  <si>
    <t>Velox product &amp; messaging overview</t>
  </si>
  <si>
    <t>Jon Butler,Claudia Stirner,Alison Hood,Steve Grob</t>
  </si>
  <si>
    <t>00000000A6C727E4353C314FBD93409EF639422707000D702909B30966478A168622D1D80E2400000000010D00000D702909B30966478A168622D1D80E240001D1F5ECB30000</t>
  </si>
  <si>
    <t>00000000A6C727E4353C314FBD93409EF639422707000D702909B30966478A168622D1D80E2400000000010D00000D702909B30966478A168622D1D80E240001D1F5ECB10000</t>
  </si>
  <si>
    <t>Luigi stuff w/Jason</t>
  </si>
  <si>
    <t>00000000A6C727E4353C314FBD93409EF639422707000D702909B30966478A168622D1D80E2400000000010D00000D702909B30966478A168622D1D80E240001D1F5ECB00000</t>
  </si>
  <si>
    <t>andy CRM</t>
  </si>
  <si>
    <t>id=2213401574</t>
  </si>
  <si>
    <t>00000000A6C727E4353C314FBD93409EF639422707000D702909B30966478A168622D1D80E2400000000010D00000D702909B30966478A168622D1D80E240001D1F5ECAF0000</t>
  </si>
  <si>
    <t>ultumus setting up ETF Changes</t>
  </si>
  <si>
    <t>00000000A6C727E4353C314FBD93409EF639422707000D702909B30966478A168622D1D80E2400000000010D00000D702909B30966478A168622D1D80E240001D1F5ECAE0000</t>
  </si>
  <si>
    <t>monday deck</t>
  </si>
  <si>
    <t>00000000A6C727E4353C314FBD93409EF639422707000D702909B30966478A168622D1D80E2400000000010D00000D702909B30966478A168622D1D80E240001D1F5ECAD0000</t>
  </si>
  <si>
    <t>00000000A6C727E4353C314FBD93409EF639422707000D702909B30966478A168622D1D80E2400000000010D00000D702909B30966478A168622D1D80E240001D1F5ECAC0000</t>
  </si>
  <si>
    <t>00000000A6C727E4353C314FBD93409EF639422707000D702909B30966478A168622D1D80E2400000000010D00000D702909B30966478A168622D1D80E240001D1F5ECAB0000</t>
  </si>
  <si>
    <t>Ali sales sheet</t>
  </si>
  <si>
    <t>id=2212135062</t>
  </si>
  <si>
    <t>00000000A6C727E4353C314FBD93409EF639422707000D702909B30966478A168622D1D80E2400000000010D00000D702909B30966478A168622D1D80E240001D1F5ECAA0000</t>
  </si>
  <si>
    <t>00000000A6C727E4353C314FBD93409EF639422707000D702909B30966478A168622D1D80E2400000000010D00000D702909B30966478A168622D1D80E240001D1F5ECA90000</t>
  </si>
  <si>
    <t>admin alison</t>
  </si>
  <si>
    <t>00000000A6C727E4353C314FBD93409EF639422707000D702909B30966478A168622D1D80E2400000000010D00000D702909B30966478A168622D1D80E240001D1F5ECA80000</t>
  </si>
  <si>
    <t>00000000A6C727E4353C314FBD93409EF639422707000D702909B30966478A168622D1D80E2400000000010D00000D702909B30966478A168622D1D80E240001D1F5ECA70000</t>
  </si>
  <si>
    <t>id=2211945462</t>
  </si>
  <si>
    <t>00000000A6C727E4353C314FBD93409EF639422707000D702909B30966478A168622D1D80E2400000000010D00000D702909B30966478A168622D1D80E240001D1F5ECA60000</t>
  </si>
  <si>
    <t>SLA</t>
  </si>
  <si>
    <t>00000000A6C727E4353C314FBD93409EF639422707000D702909B30966478A168622D1D80E2400000000010D00000D702909B30966478A168622D1D80E240001D1F5ECA40000</t>
  </si>
  <si>
    <t>ali templates</t>
  </si>
  <si>
    <t>id=2209984634</t>
  </si>
  <si>
    <t>00000000A6C727E4353C314FBD93409EF639422707000D702909B30966478A168622D1D80E2400000000010D00000D702909B30966478A168622D1D80E240001D1F5ECA30000</t>
  </si>
  <si>
    <t>Doctors visit</t>
  </si>
  <si>
    <t>00000000A6C727E4353C314FBD93409EF639422707000D702909B30966478A168622D1D80E2400000000010D00000D702909B30966478A168622D1D80E240001D1F5ECA20000</t>
  </si>
  <si>
    <t>00000000A6C727E4353C314FBD93409EF639422707000D702909B30966478A168622D1D80E2400000000010D00000D702909B30966478A168622D1D80E240001D1F5ECA10000</t>
  </si>
  <si>
    <t>00000000A6C727E4353C314FBD93409EF639422707000D702909B30966478A168622D1D80E2400000000010D00000D702909B30966478A168622D1D80E240001D1F5ECA00000</t>
  </si>
  <si>
    <t>00000000A6C727E4353C314FBD93409EF639422707000D702909B30966478A168622D1D80E2400000000010D00000D702909B30966478A168622D1D80E240001D1F5EC9F0000</t>
  </si>
  <si>
    <t>velox - technische Einführung</t>
  </si>
  <si>
    <t>Microsoft Teams-Besprechung; id=2193364497</t>
  </si>
  <si>
    <t>René Bärecke,jon.butler@veloxfintech.com,VL Alle MD,Govind Jajoo - Extern,imm.all@fsa.valantic.com,Jason Yan - Extern,Karsten Reich,Ansgar Bruell</t>
  </si>
  <si>
    <t>René Bärecke</t>
  </si>
  <si>
    <t>00000000A6C727E4353C314FBD93409EF639422707000D702909B30966478A168622D1D80E2400000000010D00000D702909B30966478A168622D1D80E240001D1F5EC9E0000</t>
  </si>
  <si>
    <t>velox | Follow-Up communication boilerplate</t>
  </si>
  <si>
    <t>Nadine Bürger,Xavier Sarras,Jon Butler,'Alison Hood',Ali.moosavi@veloxfintech.com</t>
  </si>
  <si>
    <t>00000000A6C727E4353C314FBD93409EF639422707000D702909B30966478A168622D1D80E2400000000010D00000D702909B30966478A168622D1D80E240001D1F5ED240000</t>
  </si>
  <si>
    <t>00000000A6C727E4353C314FBD93409EF639422707000D702909B30966478A168622D1D80E2400000000010D00000D702909B30966478A168622D1D80E240001D1F5EC9C0000</t>
  </si>
  <si>
    <t>00000000A6C727E4353C314FBD93409EF639422707000D702909B30966478A168622D1D80E2400000000010D00000D702909B30966478A168622D1D80E240001D1F5EC9B0000</t>
  </si>
  <si>
    <t>00000000A6C727E4353C314FBD93409EF639422707000D702909B30966478A168622D1D80E2400000000010D00000D702909B30966478A168622D1D80E240001D1F5EC9A0000</t>
  </si>
  <si>
    <t>00000000A6C727E4353C314FBD93409EF639422707000D702909B30966478A168622D1D80E2400000000010D00000D702909B30966478A168622D1D80E240001D1F5EC990000</t>
  </si>
  <si>
    <t>00000000A6C727E4353C314FBD93409EF639422707000D702909B30966478A168622D1D80E2400000000010D00000D702909B30966478A168622D1D80E240001D1F5EC980000</t>
  </si>
  <si>
    <t>00000000A6C727E4353C314FBD93409EF639422707000D702909B30966478A168622D1D80E2400000000010D00000D702909B30966478A168622D1D80E240001D1F5EC970000</t>
  </si>
  <si>
    <t>00000000A6C727E4353C314FBD93409EF639422707000D702909B30966478A168622D1D80E2400000000010D00000D702909B30966478A168622D1D80E240001D1F5EC960000</t>
  </si>
  <si>
    <t>00000000A6C727E4353C314FBD93409EF639422707000D702909B30966478A168622D1D80E2400000000010D00000D702909B30966478A168622D1D80E240001D1F5EC950000</t>
  </si>
  <si>
    <t>00000000A6C727E4353C314FBD93409EF639422707000D702909B30966478A168622D1D80E2400000000010D00000D702909B30966478A168622D1D80E240001D1F5EC940000</t>
  </si>
  <si>
    <t>00000000A6C727E4353C314FBD93409EF639422707000D702909B30966478A168622D1D80E2400000000010D00000D702909B30966478A168622D1D80E240001D1F5EC930000</t>
  </si>
  <si>
    <t>00000000A6C727E4353C314FBD93409EF639422707000D702909B30966478A168622D1D80E2400000000010D00000D702909B30966478A168622D1D80E240001D1F5EC920000</t>
  </si>
  <si>
    <t>00000000A6C727E4353C314FBD93409EF639422707000D702909B30966478A168622D1D80E2400000000010D00000D702909B30966478A168622D1D80E240001D1F5EC910000</t>
  </si>
  <si>
    <t>00000000A6C727E4353C314FBD93409EF639422707000D702909B30966478A168622D1D80E2400000000010D00000D702909B30966478A168622D1D80E240001D1F5EC900000</t>
  </si>
  <si>
    <t>00000000A6C727E4353C314FBD93409EF639422707000D702909B30966478A168622D1D80E2400000000010D00000D702909B30966478A168622D1D80E240001D1F5EC8F0000</t>
  </si>
  <si>
    <t>00000000A6C727E4353C314FBD93409EF639422707000D702909B30966478A168622D1D80E2400000000010D00000D702909B30966478A168622D1D80E240001D1F5EC8E0000</t>
  </si>
  <si>
    <t>00000000A6C727E4353C314FBD93409EF639422707000D702909B30966478A168622D1D80E2400000000010D00000D702909B30966478A168622D1D80E240001D1F5EC8D0000</t>
  </si>
  <si>
    <t>00000000A6C727E4353C314FBD93409EF639422707000D702909B30966478A168622D1D80E2400000000010D00000D702909B30966478A168622D1D80E240001D1F5EC8C0000</t>
  </si>
  <si>
    <t>ali offer</t>
  </si>
  <si>
    <t>00000000A6C727E4353C314FBD93409EF639422707000D702909B30966478A168622D1D80E2400000000010D00000D702909B30966478A168622D1D80E240001D1F5EC8B0000</t>
  </si>
  <si>
    <t>luigi dash</t>
  </si>
  <si>
    <t>00000000A6C727E4353C314FBD93409EF639422707000D702909B30966478A168622D1D80E2400000000010D00000D702909B30966478A168622D1D80E240001D1F5EC8A0000</t>
  </si>
  <si>
    <t>00000000A6C727E4353C314FBD93409EF639422707000D702909B30966478A168622D1D80E2400000000010D00000D702909B30966478A168622D1D80E240001D1F5EC890000</t>
  </si>
  <si>
    <t>00000000A6C727E4353C314FBD93409EF639422707000D702909B30966478A168622D1D80E2400000000010D00000D702909B30966478A168622D1D80E240001D1F5EC880000</t>
  </si>
  <si>
    <t>DEMO</t>
  </si>
  <si>
    <t>00000000A6C727E4353C314FBD93409EF639422707000D702909B30966478A168622D1D80E2400000000010D00000D702909B30966478A168622D1D80E240001D1F5EC870000</t>
  </si>
  <si>
    <t>00000000A6C727E4353C314FBD93409EF639422707000D702909B30966478A168622D1D80E2400000000010D00000D702909B30966478A168622D1D80E240001D1F5EC860000</t>
  </si>
  <si>
    <t>admin bills</t>
  </si>
  <si>
    <t>00000000A6C727E4353C314FBD93409EF639422707000D702909B30966478A168622D1D80E2400000000010D00000D702909B30966478A168622D1D80E240001D1F5EC850000</t>
  </si>
  <si>
    <t>00000000A6C727E4353C314FBD93409EF639422707000D702909B30966478A168622D1D80E2400000000010D00000D702909B30966478A168622D1D80E240001D1F5EC840000</t>
  </si>
  <si>
    <t>00000000A6C727E4353C314FBD93409EF639422707000D702909B30966478A168622D1D80E2400000000010D00000D702909B30966478A168622D1D80E240001D1F5EC830000</t>
  </si>
  <si>
    <t>FW: Quick sync up on Ali Moosavi</t>
  </si>
  <si>
    <t>jon.butler@veloxfintech.com,Jon Butler</t>
  </si>
  <si>
    <t>00000000A6C727E4353C314FBD93409EF639422707000D702909B30966478A168622D1D80E2400000000010D00000D702909B30966478A168622D1D80E240001D37A2D150000</t>
  </si>
  <si>
    <t>00000000A6C727E4353C314FBD93409EF639422707000D702909B30966478A168622D1D80E2400000000010D00000D702909B30966478A168622D1D80E240001D1F5EC7E0000</t>
  </si>
  <si>
    <t>00000000A6C727E4353C314FBD93409EF639422707000D702909B30966478A168622D1D80E2400000000010D00000D702909B30966478A168622D1D80E240001D1F5EC7D0000</t>
  </si>
  <si>
    <t>00000000A6C727E4353C314FBD93409EF639422707000D702909B30966478A168622D1D80E2400000000010D00000D702909B30966478A168622D1D80E240001D1F5EC7C0000</t>
  </si>
  <si>
    <t>00000000A6C727E4353C314FBD93409EF639422707000D702909B30966478A168622D1D80E2400000000010D00000D702909B30966478A168622D1D80E240001D1F5EC7B0000</t>
  </si>
  <si>
    <t>00000000A6C727E4353C314FBD93409EF639422707000D702909B30966478A168622D1D80E2400000000010D00000D702909B30966478A168622D1D80E240001D1F5EC7A0000</t>
  </si>
  <si>
    <t>00000000A6C727E4353C314FBD93409EF639422707000D702909B30966478A168622D1D80E2400000000010D00000D702909B30966478A168622D1D80E240001D1F5EC790000</t>
  </si>
  <si>
    <t>00000000A6C727E4353C314FBD93409EF639422707000D702909B30966478A168622D1D80E2400000000010D00000D702909B30966478A168622D1D80E240001D1F5EC780000</t>
  </si>
  <si>
    <t>alison todo list</t>
  </si>
  <si>
    <t>00000000A6C727E4353C314FBD93409EF639422707000D702909B30966478A168622D1D80E2400000000010D00000D702909B30966478A168622D1D80E240001D1F5EC770000</t>
  </si>
  <si>
    <t>00000000A6C727E4353C314FBD93409EF639422707000D702909B30966478A168622D1D80E2400000000010D00000D702909B30966478A168622D1D80E240001D1F5EC760000</t>
  </si>
  <si>
    <t>00000000A6C727E4353C314FBD93409EF639422707000D702909B30966478A168622D1D80E2400000000010D00000D702909B30966478A168622D1D80E240001D1F5EC750000</t>
  </si>
  <si>
    <t>00000000A6C727E4353C314FBD93409EF639422707000D702909B30966478A168622D1D80E2400000000010D00000D702909B30966478A168622D1D80E240001D1F5EC740000</t>
  </si>
  <si>
    <t>00000000A6C727E4353C314FBD93409EF639422707000D702909B30966478A168622D1D80E2400000000010D00000D702909B30966478A168622D1D80E240001D1F5EC730000</t>
  </si>
  <si>
    <t>00000000A6C727E4353C314FBD93409EF639422707000D702909B30966478A168622D1D80E2400000000010D00000D702909B30966478A168622D1D80E240001D1F5EC720000</t>
  </si>
  <si>
    <t>00000000A6C727E4353C314FBD93409EF639422707000D702909B30966478A168622D1D80E2400000000010D00000D702909B30966478A168622D1D80E240001D1F5EC710000</t>
  </si>
  <si>
    <t>Ironhide Trade deck</t>
  </si>
  <si>
    <t>id=2203503779</t>
  </si>
  <si>
    <t>00000000A6C727E4353C314FBD93409EF639422707000D702909B30966478A168622D1D80E2400000000010D00000D702909B30966478A168622D1D80E240001D1F5EC700000</t>
  </si>
  <si>
    <t>Review Press Release</t>
  </si>
  <si>
    <t>00000000A6C727E4353C314FBD93409EF639422707000D702909B30966478A168622D1D80E2400000000010D00000D702909B30966478A168622D1D80E240001D1F5EC6F0000</t>
  </si>
  <si>
    <t>Ironhide Trade</t>
  </si>
  <si>
    <t>00000000A6C727E4353C314FBD93409EF639422707000D702909B30966478A168622D1D80E2400000000010D00000D702909B30966478A168622D1D80E240001D1F5EC6C0000</t>
  </si>
  <si>
    <t>00000000A6C727E4353C314FBD93409EF639422707000D702909B30966478A168622D1D80E2400000000010D00000D702909B30966478A168622D1D80E240001D1F5EC6B0000</t>
  </si>
  <si>
    <t>synch</t>
  </si>
  <si>
    <t>Microsoft Teams Meeting; id=2193345636</t>
  </si>
  <si>
    <t>Aaron Pryce,Jon Butler,Jason Yan</t>
  </si>
  <si>
    <t>00000000A6C727E4353C314FBD93409EF639422707000D702909B30966478A168622D1D80E2400000000010D00000D702909B30966478A168622D1D80E240001D1F5EC6A0000</t>
  </si>
  <si>
    <t>andy and press release</t>
  </si>
  <si>
    <t>id=2201819750</t>
  </si>
  <si>
    <t>00000000A6C727E4353C314FBD93409EF639422707000D702909B30966478A168622D1D80E2400000000010D00000D702909B30966478A168622D1D80E240001D1F5EC680000</t>
  </si>
  <si>
    <t>00000000A6C727E4353C314FBD93409EF639422707000D702909B30966478A168622D1D80E2400000000010D00000D702909B30966478A168622D1D80E240001D1F5EC660000</t>
  </si>
  <si>
    <t>00000000A6C727E4353C314FBD93409EF639422707000D702909B30966478A168622D1D80E2400000000010D00000D702909B30966478A168622D1D80E240001D1F5EC650000</t>
  </si>
  <si>
    <t>00000000A6C727E4353C314FBD93409EF639422707000D702909B30966478A168622D1D80E2400000000010D00000D702909B30966478A168622D1D80E240001D1F5EC640000</t>
  </si>
  <si>
    <t>00000000A6C727E4353C314FBD93409EF639422707000D702909B30966478A168622D1D80E2400000000010D00000D702909B30966478A168622D1D80E240001D1F5EC630000</t>
  </si>
  <si>
    <t>Ironhide ETF Changes / ETF Delta / SQUID demo</t>
  </si>
  <si>
    <t>Bernie Thurston,daniel.hodgetts@ultumus.com,Alison Hood,Ali Moosavi,Bernie Thurston</t>
  </si>
  <si>
    <t>00000000A6C727E4353C314FBD93409EF639422707000D702909B30966478A168622D1D80E2400000000010D00000D702909B30966478A168622D1D80E240001D1F5EC620000</t>
  </si>
  <si>
    <t>00000000A6C727E4353C314FBD93409EF639422707000D702909B30966478A168622D1D80E2400000000010D00000D702909B30966478A168622D1D80E240001D1F5EC610000</t>
  </si>
  <si>
    <t>00000000A6C727E4353C314FBD93409EF639422707000D702909B30966478A168622D1D80E2400000000010D00000D702909B30966478A168622D1D80E240001D1F5EC600000</t>
  </si>
  <si>
    <t>BNY Cap Markets  - Review of Ul</t>
  </si>
  <si>
    <t xml:space="preserve">Teams Call </t>
  </si>
  <si>
    <t>Giles Sarton,Bonaguro, Michael,Mas, Jean-Christophe,Bernie Thurston,Jon Butler,ali.moosavi@veloxfintech.com,Hooey Jr, Rolland</t>
  </si>
  <si>
    <t>Giles Sarton</t>
  </si>
  <si>
    <t>00000000A6C727E4353C314FBD93409EF639422707000D702909B30966478A168622D1D80E2400000000010D00000D702909B30966478A168622D1D80E240001D1F5EC690000</t>
  </si>
  <si>
    <t>00000000A6C727E4353C314FBD93409EF639422707000D702909B30966478A168622D1D80E2400000000010D00000D702909B30966478A168622D1D80E240001D1F5EC5F0000</t>
  </si>
  <si>
    <t>Jon/Giles - Workflow stuff</t>
  </si>
  <si>
    <t>Jon Butler,Giles Sarton</t>
  </si>
  <si>
    <t>00000000A6C727E4353C314FBD93409EF639422707000D702909B30966478A168622D1D80E2400000000010D00000D702909B30966478A168622D1D80E240001D1F5EC5E0000</t>
  </si>
  <si>
    <t>Velox Intro for Objectivity</t>
  </si>
  <si>
    <t>https://zoom.us/j/5694196921 id=2251911737</t>
  </si>
  <si>
    <t>Murad Uddin,jfinn@objectivity.co.uk</t>
  </si>
  <si>
    <t>00000000A6C727E4353C314FBD93409EF639422707000D702909B30966478A168622D1D80E2400000000010D00000D702909B30966478A168622D1D80E240001D1F5EC5D0000</t>
  </si>
  <si>
    <t>00000000A6C727E4353C314FBD93409EF639422707000D702909B30966478A168622D1D80E2400000000010D00000D702909B30966478A168622D1D80E240001D1F5EC5C0000</t>
  </si>
  <si>
    <t>Ironhide Upgrade Discussion</t>
  </si>
  <si>
    <t>Bernie Thurston,daniel.hodgetts@ultumus.com,Alison Hood</t>
  </si>
  <si>
    <t>00000000A6C727E4353C314FBD93409EF639422707000D702909B30966478A168622D1D80E2400000000010D00000D702909B30966478A168622D1D80E240001D1F5EC5B0000</t>
  </si>
  <si>
    <t>00000000A6C727E4353C314FBD93409EF639422707000D702909B30966478A168622D1D80E2400000000010D00000D702909B30966478A168622D1D80E240001D1F5EC5A0000</t>
  </si>
  <si>
    <t>00000000A6C727E4353C314FBD93409EF639422707000D702909B30966478A168622D1D80E2400000000010D00000D702909B30966478A168622D1D80E240001D1F5EC580000</t>
  </si>
  <si>
    <t>Velox Team Meeting</t>
  </si>
  <si>
    <t>https://us02web.zoom.us/j/8708608670       id=1506701839</t>
  </si>
  <si>
    <t>Jon Butler,Jason Yan,Alison Hood,Ali Moosavi,Xinchao Zhang,govind.jajoo,Mohamed Arkate,Mike Wilkins,Shridhar Guravannavar</t>
  </si>
  <si>
    <t>00000000A6C727E4353C314FBD93409EF639422707000D702909B30966478A168622D1D80E2400000000010D00000D702909B30966478A168622D1D80E240001D1F5EC560000</t>
  </si>
  <si>
    <t>weekly team meeting</t>
  </si>
  <si>
    <t>00000000A6C727E4353C314FBD93409EF639422707000D702909B30966478A168622D1D80E2400000000010D00000D702909B30966478A168622D1D80E240001D1F5EC550000</t>
  </si>
  <si>
    <t>FW: Exane - valantic FSA intro</t>
  </si>
  <si>
    <t>Microsoft Teams Meeting; id=2251908916</t>
  </si>
  <si>
    <t>Peter Holmgren,Antoine Baptiste,Matthieu COEFFE,Butler, Jon,Jon Butler</t>
  </si>
  <si>
    <t>00000000A6C727E4353C314FBD93409EF639422707000D702909B30966478A168622D1D80E2400000000010D00000D702909B30966478A168622D1D80E240001D1F5EC590000</t>
  </si>
  <si>
    <t>FW: Deep-dive BNP - valantic</t>
  </si>
  <si>
    <t>10 Harewood Avenue (10 Harewood Avenue, North Marylebone, England, NW1 6AA)</t>
  </si>
  <si>
    <t>Peter Holmgren,Geri IVANOVA,Denis FRANCES,Andreas Schebesch,Luigi Marino,Sophie Verdellet,Sahbi JERAD,Thierry REHMANN,Quan SIM,Salah AMRAOUI,Butler, Jon,Jon Butler,Rui MENDES</t>
  </si>
  <si>
    <t>00000000A6C727E4353C314FBD93409EF639422707000D702909B30966478A168622D1D80E2400000000010D00000D702909B30966478A168622D1D80E240001D1F5EC530000</t>
  </si>
  <si>
    <t>ali daily</t>
  </si>
  <si>
    <t>00000000A6C727E4353C314FBD93409EF639422707000D702909B30966478A168622D1D80E2400000000010D00000D702909B30966478A168622D1D80E240001D1F5EC510000</t>
  </si>
  <si>
    <t>Admin - Sharepoint</t>
  </si>
  <si>
    <t>00000000A6C727E4353C314FBD93409EF639422707000D702909B30966478A168622D1D80E2400000000010D00000D702909B30966478A168622D1D80E240001D1F5EC500000</t>
  </si>
  <si>
    <t>Tradition Internal Call</t>
  </si>
  <si>
    <t>Andy Bennett,Aaron Pryce,Mike Powell,Jon Butler,Jason Yan</t>
  </si>
  <si>
    <t>Andy Bennett</t>
  </si>
  <si>
    <t>00000000A6C727E4353C314FBD93409EF639422707000D702909B30966478A168622D1D80E2400000000010D00000D702909B30966478A168622D1D80E240001D1F5EC4F0000</t>
  </si>
  <si>
    <t>Capsule cleanup after update with Pete</t>
  </si>
  <si>
    <t>00000000A6C727E4353C314FBD93409EF639422707000D702909B30966478A168622D1D80E2400000000010D00000D702909B30966478A168622D1D80E240001D1F5EC4E0000</t>
  </si>
  <si>
    <t>Pete &amp; Jason overun</t>
  </si>
  <si>
    <t>00000000A6C727E4353C314FBD93409EF639422707000D702909B30966478A168622D1D80E2400000000010D00000D702909B30966478A168622D1D80E240001D1F5EC4D0000</t>
  </si>
  <si>
    <t>valantic / velox weekly sales call</t>
  </si>
  <si>
    <t>Jon Butler,Ross Lucas,Peter Holmgren,Alison Hood</t>
  </si>
  <si>
    <t>00000000A6C727E4353C314FBD93409EF639422707000D702909B30966478A168622D1D80E2400000000010D00000D702909B30966478A168622D1D80E240001D1F5EC4B0000</t>
  </si>
  <si>
    <t>Pete ING</t>
  </si>
  <si>
    <t>id=2193345642</t>
  </si>
  <si>
    <t>00000000A6C727E4353C314FBD93409EF639422707000D702909B30966478A168622D1D80E2400000000010D00000D702909B30966478A168622D1D80E240001D1F5EC4A0000</t>
  </si>
  <si>
    <t>Interview: Rudi &amp; Jon</t>
  </si>
  <si>
    <t>https://zoom.us/j/5694196921 id=2199741878</t>
  </si>
  <si>
    <t>Alison Hood,Jon Butler,thisisrudi@hotmail.co.uk,Lee Harding - The North Starr</t>
  </si>
  <si>
    <t>00000000A6C727E4353C314FBD93409EF639422707000D702909B30966478A168622D1D80E2400000000010D00000D702909B30966478A168622D1D80E240001D1F5EC480000</t>
  </si>
  <si>
    <t>FW: Dan / Jon / Alison - Discuss velox sales opportunity</t>
  </si>
  <si>
    <t>00000000A6C727E4353C314FBD93409EF639422707000D702909B30966478A168622D1D80E2400000000010D00000D702909B30966478A168622D1D80E240001D1F5EC460000</t>
  </si>
  <si>
    <t>Pete - ING</t>
  </si>
  <si>
    <t>00000000A6C727E4353C314FBD93409EF639422707000D702909B30966478A168622D1D80E2400000000010D00000D702909B30966478A168622D1D80E240001D1F5EC440000</t>
  </si>
  <si>
    <t>Admin / Trads / Microsoft</t>
  </si>
  <si>
    <t>00000000A6C727E4353C314FBD93409EF639422707000D702909B30966478A168622D1D80E2400000000010D00000D702909B30966478A168622D1D80E240001D1F5EC430000</t>
  </si>
  <si>
    <t>Jason (TRADS)</t>
  </si>
  <si>
    <t>00000000A6C727E4353C314FBD93409EF639422707000D702909B30966478A168622D1D80E2400000000010D00000D702909B30966478A168622D1D80E240001D1F5EC420000</t>
  </si>
  <si>
    <t>Jon/Mike</t>
  </si>
  <si>
    <t>00000000A6C727E4353C314FBD93409EF639422707000D702909B30966478A168622D1D80E2400000000010D00000D702909B30966478A168622D1D80E240001D1F5A8FC0000</t>
  </si>
  <si>
    <t>Velox story</t>
  </si>
  <si>
    <t>Alison Hood,nadine@shokubai.io,Jon Butler,xavier@shokubai.io</t>
  </si>
  <si>
    <t>00000000A6C727E4353C314FBD93409EF639422707000D702909B30966478A168622D1D80E2400000000010D00000D702909B30966478A168622D1D80E240001D1F5EC490000</t>
  </si>
  <si>
    <t>HOSPITAL</t>
  </si>
  <si>
    <t>00000000A6C727E4353C314FBD93409EF639422707000D702909B30966478A168622D1D80E2400000000010D00000D702909B30966478A168622D1D80E240001D1F5EC7F0000</t>
  </si>
  <si>
    <t>admin / options impact</t>
  </si>
  <si>
    <t>00000000A6C727E4353C314FBD93409EF639422707000D702909B30966478A168622D1D80E2400000000010D00000D702909B30966478A168622D1D80E240001D1F5EC820000</t>
  </si>
  <si>
    <t>alison misc</t>
  </si>
  <si>
    <t>00000000A6C727E4353C314FBD93409EF639422707000D702909B30966478A168622D1D80E2400000000010D00000D702909B30966478A168622D1D80E240001D1F5EC800000</t>
  </si>
  <si>
    <t>00000000A6C727E4353C314FBD93409EF639422707000D702909B30966478A168622D1D80E2400000000010D00000D702909B30966478A168622D1D80E240001D1F5EC810000</t>
  </si>
  <si>
    <t>Catch up JF Jon &amp; Joachim</t>
  </si>
  <si>
    <t>Microsoft Teams-Besprechung; id=2193345640</t>
  </si>
  <si>
    <t>Joachim Lauterbach</t>
  </si>
  <si>
    <t>00000000A6C727E4353C314FBD93409EF639422707000D702909B30966478A168622D1D80E2400000000010D00000D702909B30966478A168622D1D80E240001D01830220000</t>
  </si>
  <si>
    <t>Catch-up - Jon / Andy</t>
  </si>
  <si>
    <t>00000000A6C727E4353C314FBD93409EF639422707000D702909B30966478A168622D1D80E2400000000010D00000D702909B30966478A168622D1D80E240001D018301A0000</t>
  </si>
  <si>
    <t>JB/SG/AH weekly touch point</t>
  </si>
  <si>
    <t>https://us02web.zoom.us/j/83704861204</t>
  </si>
  <si>
    <t>alison.hood@veloxfintech.com,Jon Butler,steve@vision57.com</t>
  </si>
  <si>
    <t>00000000A6C727E4353C314FBD93409EF639422707000D702909B30966478A168622D1D80E2400000000010D00000D702909B30966478A168622D1D80E240001D018300D0000</t>
  </si>
  <si>
    <t>TradMatch2 UI Review </t>
  </si>
  <si>
    <t>Sina Hakman,Jason Yan,Greg Lee,Elif Izbirak,Tuan Tran,Martin Harrison,Lyndon Smith,Aaron Pryce,Yilian Tang,Vanessa Tng,Stanley Tang,Jon Butler,Andy Bennett</t>
  </si>
  <si>
    <t>00000000A6C727E4353C314FBD93409EF639422707000D702909B30966478A168622D1D80E2400000000010D00000D702909B30966478A168622D1D80E240001D018301D0000</t>
  </si>
  <si>
    <t>Velox/ii - Tech Discussion</t>
  </si>
  <si>
    <t>Manchester 2.03; London 1.01; Leeds Embankment 2.01; Microsoft Teams</t>
  </si>
  <si>
    <t>govind.jajoo@veloxfintech.com,jason.yan@veloxfintech.com,John Tumilty,jon.butler@veloxfintech.com,xinchao.zhang@veloxfintech.com,Christopher Crooks,David Melia,Myles Garbett,Stuart Bilton</t>
  </si>
  <si>
    <t>Senita Suri</t>
  </si>
  <si>
    <t>00000000A6C727E4353C314FBD93409EF639422707000D702909B30966478A168622D1D80E2400000000010D00000D702909B30966478A168622D1D80E240001D17688620000</t>
  </si>
  <si>
    <t xml:space="preserve">FW: Danske Bank - valantic </t>
  </si>
  <si>
    <t>Microsoft Teams Meeting; id=2198075522</t>
  </si>
  <si>
    <t>Jason Yan,jon.butler@veloxfintech.com,Luigi Marino,Peter Holmgren</t>
  </si>
  <si>
    <t>Ugne Labaziniene</t>
  </si>
  <si>
    <t>00000000A6C727E4353C314FBD93409EF639422707000D702909B30966478A168622D1D80E2400000000010D00000D702909B30966478A168622D1D80E240001D01830110000</t>
  </si>
  <si>
    <t>jon.butler@veloxfintech.com,Luigi Marino,Peter Holmgren,Kenneth Lindgaard Kristensen,Linus Kajsajuntti,Sébastien Pierre,Steen Kaalund Retbøll</t>
  </si>
  <si>
    <t>00000000A6C727E4353C314FBD93409EF639422707000D702909B30966478A168622D1D80E2400000000010D00000D702909B30966478A168622D1D80E240001D01830190000</t>
  </si>
  <si>
    <t xml:space="preserve">Danske Bank Prep-Meeting </t>
  </si>
  <si>
    <t>jon.butler@veloxfintech.com,Luigi Marino</t>
  </si>
  <si>
    <t>00000000A6C727E4353C314FBD93409EF639422707000D702909B30966478A168622D1D80E2400000000010D00000D702909B30966478A168622D1D80E240001D0182FD90000</t>
  </si>
  <si>
    <t>Danske dry-run</t>
  </si>
  <si>
    <t>jon.butler@veloxfintech.com,Luigi Marino,Andreas Schebesch</t>
  </si>
  <si>
    <t>00000000A6C727E4353C314FBD93409EF639422707000D702909B30966478A168622D1D80E2400000000010D00000D702909B30966478A168622D1D80E240001D0182FFE0000</t>
  </si>
  <si>
    <t xml:space="preserve">Danske Bank Repo demo - internal prep meeting </t>
  </si>
  <si>
    <t>Peter Holmgren,Andy Browning,Andreas Schebesch,Luigi Marino,Jon Butler,butlerjon72@gmail.com</t>
  </si>
  <si>
    <t>00000000A6C727E4353C314FBD93409EF639422707000D702909B30966478A168622D1D80E2400000000010D00000D702909B30966478A168622D1D80E240001D01830150000</t>
  </si>
  <si>
    <t>Jon/Alison check point</t>
  </si>
  <si>
    <t>https://us02web.zoom.us/j/8708608670; id=2192778972</t>
  </si>
  <si>
    <t>Alison Hood,jon.butler@veloxfintech.com,butlerjon72@gmail.com</t>
  </si>
  <si>
    <t>00000000A6C727E4353C314FBD93409EF639422707000D702909B30966478A168622D1D80E2400000000010D00000D702909B30966478A168622D1D80E240001D01830250000</t>
  </si>
  <si>
    <t>USE THIS LINK for JB/AM/SG/AH catch up</t>
  </si>
  <si>
    <t>jon.butler@veloxfintech.com,alison.hood@veloxfintech.com,ali.moosavi@veloxfintech.com,steve@vision57.com</t>
  </si>
  <si>
    <t>00000000A6C727E4353C314FBD93409EF639422707000D702909B30966478A168622D1D80E2400000000010D00000D702909B30966478A168622D1D80E240001D018300E0000</t>
  </si>
  <si>
    <t>Alison Hood's Zoom Meeting</t>
  </si>
  <si>
    <t>https://us02web.zoom.us/j/89156174375</t>
  </si>
  <si>
    <t>alison.hood@veloxfintech.com,jon.butler@veloxfintech.com</t>
  </si>
  <si>
    <t>00000000A6C727E4353C314FBD93409EF639422707000D702909B30966478A168622D1D80E2400000000010D00000D702909B30966478A168622D1D80E240001D018300F0000</t>
  </si>
  <si>
    <t>Training Platform</t>
  </si>
  <si>
    <t>jon.butler@veloxfintech.com,Philipp Königs</t>
  </si>
  <si>
    <t>00000000A6C727E4353C314FBD93409EF639422707000D702909B30966478A168622D1D80E2400000000010D00000D702909B30966478A168622D1D80E240001D01830100000</t>
  </si>
  <si>
    <t>demo and review checkpoint - tradition project</t>
  </si>
  <si>
    <t>Andy Bennett,jason.yan@veloxfintech.com,jon.butler@veloxfintech.com,Mike Powell,Tuan Tran</t>
  </si>
  <si>
    <t>00000000A6C727E4353C314FBD93409EF639422707000D702909B30966478A168622D1D80E2400000000010D00000D702909B30966478A168622D1D80E240001D01830160000</t>
  </si>
  <si>
    <t>Catch-up - Jon / Andy.</t>
  </si>
  <si>
    <t>00000000A6C727E4353C314FBD93409EF639422707000D702909B30966478A168622D1D80E2400000000010D00000D702909B30966478A168622D1D80E240001D01830170000</t>
  </si>
  <si>
    <t>Jon/Luigi Catch-up</t>
  </si>
  <si>
    <t>00000000A6C727E4353C314FBD93409EF639422707000D702909B30966478A168622D1D80E2400000000010D00000D702909B30966478A168622D1D80E240001D01830180000</t>
  </si>
  <si>
    <t>Quick catch-up on contract</t>
  </si>
  <si>
    <t>00000000A6C727E4353C314FBD93409EF639422707000D702909B30966478A168622D1D80E2400000000010D00000D702909B30966478A168622D1D80E240001D018301E0000</t>
  </si>
  <si>
    <t>Virtu - Ultumus COSMOS - Create/Redeem Platform - Requirements for an API</t>
  </si>
  <si>
    <t>https://us02web.zoom.us/j/8924968189?pwd=WGlzdmJCbkFweHp4K2VaWFVISVRNZz09&amp;from=addon</t>
  </si>
  <si>
    <t>Bernie Thurston,jason.yan@veloxfintech.com,jon.butler@veloxfintech.com,David Furlong,Jane Lemmon,Mohsin Sheikh</t>
  </si>
  <si>
    <t>00000000A6C727E4353C314FBD93409EF639422707000D702909B30966478A168622D1D80E2400000000010D00000D702909B30966478A168622D1D80E240001D01830210000</t>
  </si>
  <si>
    <t>JB/SG/AH catch up</t>
  </si>
  <si>
    <t>https://us02web.zoom.us/j/87573981403</t>
  </si>
  <si>
    <t>jon.butler@veloxfintech.com,alison.hood@veloxfintech.com,steve@vision57.com</t>
  </si>
  <si>
    <t>00000000A6C727E4353C314FBD93409EF639422707000D702909B30966478A168622D1D80E2400000000010D00000D702909B30966478A168622D1D80E240001D01830240000</t>
  </si>
  <si>
    <t>Interview: Ross &amp; Jon</t>
  </si>
  <si>
    <t>lee.harding@thenorthstarr.com,jon.butler@veloxfintech.com,alison.hood@veloxfintech.com,ross.lucas@ntlworld.com</t>
  </si>
  <si>
    <t>00000000A6C727E4353C314FBD93409EF639422707000D702909B30966478A168622D1D80E2400000000010D00000D702909B30966478A168622D1D80E240001D01830260000</t>
  </si>
  <si>
    <t>Jon/Chris</t>
  </si>
  <si>
    <t>jason.yan@veloxfintech.com,jon.butler@veloxfintech.com,chriz.schueler@gmail.com</t>
  </si>
  <si>
    <t>jason.yan@veloxfintech.com</t>
  </si>
  <si>
    <t>00000000A6C727E4353C314FBD93409EF639422707000D702909B30966478A168622D1D80E2400000000010D00000D702909B30966478A168622D1D80E240001D01830270000</t>
  </si>
  <si>
    <t>Interview: Eugene &amp; Jon</t>
  </si>
  <si>
    <t>lee.harding@thenorthstarr.com,jon.butler@veloxfintech.com,e_oherlihy@yahoo.co.uk,alison.hood@veloxfintech.com</t>
  </si>
  <si>
    <t>00000000A6C727E4353C314FBD93409EF639422707000D702909B30966478A168622D1D80E2400000000010D00000D702909B30966478A168622D1D80E240001D018302A0000</t>
  </si>
  <si>
    <t>Jon/Mike catch-up</t>
  </si>
  <si>
    <t>00000000A6C727E4353C314FBD93409EF639422707000D702909B30966478A168622D1D80E2400000000010D00000D702909B30966478A168622D1D80E240001D01830140000</t>
  </si>
  <si>
    <t>Call with Foot Anstey and Velox Financial Technology</t>
  </si>
  <si>
    <t>alison.hood@veloxfintech.com,Annalisa CHECCHI,jon.butler@veloxfintech.com,Karl BRADFORD,John PINDARD</t>
  </si>
  <si>
    <t>00000000A6C727E4353C314FBD93409EF639422707000D702909B30966478A168622D1D80E2400000000010D00000D702909B30966478A168622D1D80E240001D01830120000</t>
  </si>
  <si>
    <t>Catch Up - Lee/Jon/Alison</t>
  </si>
  <si>
    <t>lee.harding@thenorthstarr.com,jon.butler@veloxfintech.com,alison.hood@veloxfintech.com</t>
  </si>
  <si>
    <t>00000000A6C727E4353C314FBD93409EF639422707000D702909B30966478A168622D1D80E2400000000010D00000D702909B30966478A168622D1D80E240001D01830300000</t>
  </si>
  <si>
    <t>Velox Gsuite to Office 365 Migration Checkout</t>
  </si>
  <si>
    <t>https://us06web.zoom.us/j/82325390293?pwd=bTFHaEZwMitxYzlSNjRxZXNGa09Ddz09</t>
  </si>
  <si>
    <t>Jason Yan,Jon Butler,alison.hood@veloxfintech.com,xinchao.zhang@veloxfintech.com,ali.moosavi@veloxfintech.com,alex@sysadmin.uz,greg.lee@veloxfintech.com,govind.jajoo@veloxfintech.com,butlerjon72@gmail.com</t>
  </si>
  <si>
    <t>00000000A6C727E4353C314FBD93409EF639422707000D702909B30966478A168622D1D80E2400000000010D00000D702909B30966478A168622D1D80E240001D018302E0000</t>
  </si>
  <si>
    <t>Velox/BMLL (Fidessa GTM product and plan)</t>
  </si>
  <si>
    <t>https://us02web.zoom.us/j/89118478360?pwd=OE5jamdEZktRWCt4TTdJVXluL3VXQT09</t>
  </si>
  <si>
    <t>bencollins@bmlltech.com,jon.butler@veloxfintech.com,simonellis@bmlltech.com,alison.hood@veloxfintech.com,willdean@bmlltech.com,elliotbanks@bmlltech.com</t>
  </si>
  <si>
    <t>00000000A6C727E4353C314FBD93409EF639422707000D702909B30966478A168622D1D80E2400000000010D00000D702909B30966478A168622D1D80E240001D018302C0000</t>
  </si>
  <si>
    <t>ETFS prep &amp; Strategy session</t>
  </si>
  <si>
    <t>https://us02web.zoom.us/j/89138043603</t>
  </si>
  <si>
    <t>jason.yan@veloxfintech.com,jon.butler@veloxfintech.com,alison.hood@veloxfintech.com,steve@vision57.com</t>
  </si>
  <si>
    <t>00000000A6C727E4353C314FBD93409EF639422707000D702909B30966478A168622D1D80E2400000000010D00000D702909B30966478A168622D1D80E240001D018302B0000</t>
  </si>
  <si>
    <t>Interview: James &amp; Jon</t>
  </si>
  <si>
    <t xml:space="preserve"> https://zoom.us/j/5694196921</t>
  </si>
  <si>
    <t>lee.harding@thenorthstarr.com,jon.butler@veloxfintech.com,alison.hood@veloxfintech.com,james333f@yahoo.co.uk</t>
  </si>
  <si>
    <t>00000000A6C727E4353C314FBD93409EF639422707000D702909B30966478A168622D1D80E2400000000010D00000D702909B30966478A168622D1D80E240001D01830290000</t>
  </si>
  <si>
    <t>00000000A6C727E4353C314FBD93409EF639422707000D702909B30966478A168622D1D80E2400000000010D00000D702909B30966478A168622D1D80E240001D01830280000</t>
  </si>
  <si>
    <t>TradMatch2 - 0.2 Scope Review</t>
  </si>
  <si>
    <t>Greg Lee,jason.yan@veloxfintech.com,jon.butler@veloxfintech.com,Aaron Pryce,Elif Izbirak,Lyndon Smith,Martin Harrison,Stanley Tang,Tuan Tran,Vanessa Tng,Yilian Tang</t>
  </si>
  <si>
    <t>00000000A6C727E4353C314FBD93409EF639422707000D702909B30966478A168622D1D80E2400000000010D00000D702909B30966478A168622D1D80E240001D01830230000</t>
  </si>
  <si>
    <t xml:space="preserve">Call to discuss funding </t>
  </si>
  <si>
    <t>Jason Yan,jon.butler@veloxfintech.com,Mark Weeks,Martyn James,alison.hood@veloxfintech.com,'Steve Grob',alison.j.hood@gmail.com,Meeting Room 1</t>
  </si>
  <si>
    <t>Simona Daukantiene</t>
  </si>
  <si>
    <t>00000000A6C727E4353C314FBD93409EF639422707000D702909B30966478A168622D1D80E2400000000010D00000D702909B30966478A168622D1D80E240001D018301F0000</t>
  </si>
  <si>
    <t>Simon Bittlestone - Jon Butler</t>
  </si>
  <si>
    <t>Simon Bittlestone</t>
  </si>
  <si>
    <t>00000000A6C727E4353C314FBD93409EF639422707000D702909B30966478A168622D1D80E2400000000010D00000D702909B30966478A168622D1D80E240001D018301C0000</t>
  </si>
  <si>
    <t>Velox / LUSID Hackathon</t>
  </si>
  <si>
    <t>Nicholas, Edward,govind.jajoo@veloxfintech.com,jason.yan@veloxfintech.com,jon.butler@veloxfintech.com,Lloyd-Lyons, Joshua,Chandrasheker, Prasad,Koziarz, Rafal,Rizwan Saeed,xinchao.zhang@veloxfintech.com,Ashida, Yugo,chris.searle@finbourne.com</t>
  </si>
  <si>
    <t>00000000A6C727E4353C314FBD93409EF639422707000D702909B30966478A168622D1D80E2400000000010D00000D702909B30966478A168622D1D80E240001D018301B0000</t>
  </si>
  <si>
    <t>Quick catch-up to discuss the conversation with Antonio</t>
  </si>
  <si>
    <t>jon.butler@veloxfintech.com,Peter Holmgren</t>
  </si>
  <si>
    <t>00000000A6C727E4353C314FBD93409EF639422707000D702909B30966478A168622D1D80E2400000000010D00000D702909B30966478A168622D1D80E240001D01830130000</t>
  </si>
  <si>
    <t>Valantic/Velox/BMLL integration discussion (potential demo's)</t>
  </si>
  <si>
    <t>https://us02web.zoom.us/j/87836424666?pwd=UGdrWFpyaDBRbkQ1QmxiRTBqeXZwQT09</t>
  </si>
  <si>
    <t>peter.holmgren@fsa.valantic.com,elliotbanks@bmlltech.com,jon.butler@veloxfintech.com,simonellis@bmlltech.com,alison.hood@veloxfintech.com</t>
  </si>
  <si>
    <t>00000000A6C727E4353C314FBD93409EF639422707000D702909B30966478A168622D1D80E2400000000010D00000D702909B30966478A168622D1D80E240001D01830090000</t>
  </si>
  <si>
    <t>II/Velox architecture</t>
  </si>
  <si>
    <t>https://us06web.zoom.us/j/6278136607</t>
  </si>
  <si>
    <t>jason.yan@veloxfintech.com,john.tumilty@ii.co.uk,jon.butler@veloxfintech.com,govind.jajoo@veloxfintech.com</t>
  </si>
  <si>
    <t>00000000A6C727E4353C314FBD93409EF639422707000D702909B30966478A168622D1D80E2400000000010D00000D702909B30966478A168622D1D80E240001D01830060000</t>
  </si>
  <si>
    <t>Presentation Electronic Offering and go to Market approach</t>
  </si>
  <si>
    <t>Andy Browning,jon.butler@veloxfintech.com,Peter Holmgren,Andreas Schebesch,'antonio@novillo.de',Butler, Jon</t>
  </si>
  <si>
    <t>00000000A6C727E4353C314FBD93409EF639422707000D702909B30966478A168622D1D80E2400000000010D00000D702909B30966478A168622D1D80E240001D01830000000</t>
  </si>
  <si>
    <t>Alison Hood and Lee Harding</t>
  </si>
  <si>
    <t>+44 7785 915348</t>
  </si>
  <si>
    <t>Alison Hood,jon.butler@veloxfintech.com,alison.j.hood@gmail.com</t>
  </si>
  <si>
    <t>00000000A6C727E4353C314FBD93409EF639422707000D702909B30966478A168622D1D80E2400000000010D00000D702909B30966478A168622D1D80E240001D0182FDF0000</t>
  </si>
  <si>
    <t xml:space="preserve">Danske Bank - valantic </t>
  </si>
  <si>
    <t>jon.butler@veloxfintech.com,peter.holmgren@fsa.valantic.com,jason.yan@veloxfintech.com,Luigi Marino,Kenneth Lindgaard Kristensen,Linus Kajsajuntti,Sébastien Pierre,Steen Kaalund Retbøll</t>
  </si>
  <si>
    <t>00000000A6C727E4353C314FBD93409EF639422707000D702909B30966478A168622D1D80E2400000000010D00000D702909B30966478A168622D1D80E240001D0182FD10000</t>
  </si>
  <si>
    <t>Quinton Passport</t>
  </si>
  <si>
    <t>US Post Office
28 Maple Pl, Manhasset, NY  11030, United States</t>
  </si>
  <si>
    <t>Nancy Butler</t>
  </si>
  <si>
    <t>00000000A6C727E4353C314FBD93409EF639422707000D702909B30966478A168622D1D80E2400000000010D00000D702909B30966478A168622D1D80E240001D0182FC90000</t>
  </si>
  <si>
    <t>Daily Stand-Up</t>
  </si>
  <si>
    <t>Daily</t>
  </si>
  <si>
    <t>Ansgar Bruell - Extern</t>
  </si>
  <si>
    <t>00000000A6C727E4353C314FBD93409EF639422707000D702909B30966478A168622D1D80E2400000000010D00000D702909B30966478A168622D1D80E240001D0182F5E0000</t>
  </si>
  <si>
    <t>00000000A6C727E4353C314FBD93409EF639422707000D702909B30966478A168622D1D80E2400000000010D00000D702909B30966478A168622D1D80E240001D0182F470000</t>
  </si>
  <si>
    <t>Neto Interview</t>
  </si>
  <si>
    <t>id=3044544073</t>
  </si>
  <si>
    <t>00000000A6C727E4353C314FBD93409EF639422707000D702909B30966478A168622D1D80E2400000000010D00000D702909B30966478A168622D1D80E240002534C92340000</t>
  </si>
  <si>
    <t>Continue to reinstall laptop</t>
  </si>
  <si>
    <t>00000000A6C727E4353C314FBD93409EF639422707000D702909B30966478A168622D1D80E2400000000010D00000D702909B30966478A168622D1D80E240002534C92350000</t>
  </si>
  <si>
    <t>PPTX tags</t>
  </si>
  <si>
    <t>00000000A6C727E4353C314FBD93409EF639422707000D702909B30966478A168622D1D80E2400000000010D00000D702909B30966478A168622D1D80E240001FCBF44430000</t>
  </si>
  <si>
    <t>monday - status updates</t>
  </si>
  <si>
    <t>00000000A6C727E4353C314FBD93409EF639422707000D702909B30966478A168622D1D80E2400000000010D00000D702909B30966478A168622D1D80E240001FCBF44420000</t>
  </si>
  <si>
    <t>monday - item filters</t>
  </si>
  <si>
    <t>id=3045441266</t>
  </si>
  <si>
    <t>00000000A6C727E4353C314FBD93409EF639422707000D702909B30966478A168622D1D80E2400000000010D00000D702909B30966478A168622D1D80E240001FCBF44410000</t>
  </si>
  <si>
    <t>00000000A6C727E4353C314FBD93409EF639422707000D702909B30966478A168622D1D80E2400000000010D00000D702909B30966478A168622D1D80E240001FCBF44400000</t>
  </si>
  <si>
    <t>00000000A6C727E4353C314FBD93409EF639422707000D702909B30966478A168622D1D80E2400000000010D00000D702909B30966478A168622D1D80E240001FCBF443F0000</t>
  </si>
  <si>
    <t>00000000A6C727E4353C314FBD93409EF639422707000D702909B30966478A168622D1D80E2400000000010D00000D702909B30966478A168622D1D80E240001FCBF443E0000</t>
  </si>
  <si>
    <t>00000000A6C727E4353C314FBD93409EF639422707000D702909B30966478A168622D1D80E2400000000010D00000D702909B30966478A168622D1D80E240001FCBF443D0000</t>
  </si>
  <si>
    <t>00000000A6C727E4353C314FBD93409EF639422707000D702909B30966478A168622D1D80E2400000000010D00000D702909B30966478A168622D1D80E240001FCBF443C0000</t>
  </si>
  <si>
    <t>00000000A6C727E4353C314FBD93409EF639422707000D702909B30966478A168622D1D80E2400000000010D00000D702909B30966478A168622D1D80E240001FCBF443B0000</t>
  </si>
  <si>
    <t>00000000A6C727E4353C314FBD93409EF639422707000D702909B30966478A168622D1D80E2400000000010D00000D702909B30966478A168622D1D80E240001FCBF443A0000</t>
  </si>
  <si>
    <t>00000000A6C727E4353C314FBD93409EF639422707000D702909B30966478A168622D1D80E2400000000010D00000D702909B30966478A168622D1D80E240001FCBF44390000</t>
  </si>
  <si>
    <t>00000000A6C727E4353C314FBD93409EF639422707000D702909B30966478A168622D1D80E2400000000010D00000D702909B30966478A168622D1D80E240002534DC0760000</t>
  </si>
  <si>
    <t>00000000A6C727E4353C314FBD93409EF639422707000D702909B30966478A168622D1D80E2400000000010D00000D702909B30966478A168622D1D80E240002534DC0750000</t>
  </si>
  <si>
    <t>00000000A6C727E4353C314FBD93409EF639422707000D702909B30966478A168622D1D80E2400000000010D00000D702909B30966478A168622D1D80E240002534DC0740000</t>
  </si>
  <si>
    <t>00000000A6C727E4353C314FBD93409EF639422707000D702909B30966478A168622D1D80E2400000000010D00000D702909B30966478A168622D1D80E240002534DC0730000</t>
  </si>
  <si>
    <t>00000000A6C727E4353C314FBD93409EF639422707000D702909B30966478A168622D1D80E2400000000010D00000D702909B30966478A168622D1D80E240002534DC0720000</t>
  </si>
  <si>
    <t>00000000A6C727E4353C314FBD93409EF639422707000D702909B30966478A168622D1D80E2400000000010D00000D702909B30966478A168622D1D80E240002534DC0710000</t>
  </si>
  <si>
    <t>00000000A6C727E4353C314FBD93409EF639422707000D702909B30966478A168622D1D80E2400000000010D00000D702909B30966478A168622D1D80E240002534DC0700000</t>
  </si>
  <si>
    <t>00000000A6C727E4353C314FBD93409EF639422707000D702909B30966478A168622D1D80E2400000000010D00000D702909B30966478A168622D1D80E240002534DC06F0000</t>
  </si>
  <si>
    <t>00000000A6C727E4353C314FBD93409EF639422707000D702909B30966478A168622D1D80E2400000000010D00000D702909B30966478A168622D1D80E240002534DC06E0000</t>
  </si>
  <si>
    <t>id=2287823437</t>
  </si>
  <si>
    <t>00000000A6C727E4353C314FBD93409EF639422707000D702909B30966478A168622D1D80E2400000000010D00000D702909B30966478A168622D1D80E240002534DC06D0000</t>
  </si>
  <si>
    <t>00000000A6C727E4353C314FBD93409EF639422707000D702909B30966478A168622D1D80E2400000000010D00000D702909B30966478A168622D1D80E240002534DC06C0000</t>
  </si>
  <si>
    <t>PPTX APP</t>
  </si>
  <si>
    <t>00000000A6C727E4353C314FBD93409EF639422707000D702909B30966478A168622D1D80E2400000000010D00000D702909B30966478A168622D1D80E240002534DC06B0000</t>
  </si>
  <si>
    <t>00000000A6C727E4353C314FBD93409EF639422707000D702909B30966478A168622D1D80E2400000000010D00000D702909B30966478A168622D1D80E240001FCBF44380000</t>
  </si>
  <si>
    <t>travel back from NYC / cleanup posts</t>
  </si>
  <si>
    <t>00000000A6C727E4353C314FBD93409EF639422707000D702909B30966478A168622D1D80E2400000000010D00000D702909B30966478A168622D1D80E240001FCBF44370000</t>
  </si>
  <si>
    <t>travel to NYC / cleanup posts</t>
  </si>
  <si>
    <t>00000000A6C727E4353C314FBD93409EF639422707000D702909B30966478A168622D1D80E2400000000010D00000D702909B30966478A168622D1D80E240001FCBF44360000</t>
  </si>
  <si>
    <t>coffee w/ali</t>
  </si>
  <si>
    <t>00000000A6C727E4353C314FBD93409EF639422707000D702909B30966478A168622D1D80E2400000000010D00000D702909B30966478A168622D1D80E240001FCBF44350000</t>
  </si>
  <si>
    <t>dinner with Jeff</t>
  </si>
  <si>
    <t>00000000A6C727E4353C314FBD93409EF639422707000D702909B30966478A168622D1D80E2400000000010D00000D702909B30966478A168622D1D80E240001FCBF44340000</t>
  </si>
  <si>
    <t>00000000A6C727E4353C314FBD93409EF639422707000D702909B30966478A168622D1D80E2400000000010D00000D702909B30966478A168622D1D80E240001FCBF44330000</t>
  </si>
  <si>
    <t>PPTX review</t>
  </si>
  <si>
    <t>00000000A6C727E4353C314FBD93409EF639422707000D702909B30966478A168622D1D80E2400000000010D00000D702909B30966478A168622D1D80E240002534C92360000</t>
  </si>
  <si>
    <t>emails / admin</t>
  </si>
  <si>
    <t>00000000A6C727E4353C314FBD93409EF639422707000D702909B30966478A168622D1D80E2400000000010D00000D702909B30966478A168622D1D80E240002534C92370000</t>
  </si>
  <si>
    <t>JB july sales tracking</t>
  </si>
  <si>
    <t>id=3045165420</t>
  </si>
  <si>
    <t>00000000A6C727E4353C314FBD93409EF639422707000D702909B30966478A168622D1D80E2400000000010D00000D702909B30966478A168622D1D80E240001FCBF44440000</t>
  </si>
  <si>
    <t>sales time tracking</t>
  </si>
  <si>
    <t>00000000A6C727E4353C314FBD93409EF639422707000D702909B30966478A168622D1D80E2400000000010D00000D702909B30966478A168622D1D80E240002534C92380000</t>
  </si>
  <si>
    <t>2:15 Jessica nutrition</t>
  </si>
  <si>
    <t>00000000A6C727E4353C314FBD93409EF639422707000D702909B30966478A168622D1D80E2400000000010D00000D702909B30966478A168622D1D80E240001FCBF44520000</t>
  </si>
  <si>
    <t>OPCO</t>
  </si>
  <si>
    <t>00000000A6C727E4353C314FBD93409EF639422707000D702909B30966478A168622D1D80E2400000000010D00000D702909B30966478A168622D1D80E240001FCBF44510000</t>
  </si>
  <si>
    <t>00000000A6C727E4353C314FBD93409EF639422707000D702909B30966478A168622D1D80E2400000000010D00000D702909B30966478A168622D1D80E240001FCBF44500000</t>
  </si>
  <si>
    <t>OPCO prep</t>
  </si>
  <si>
    <t>00000000A6C727E4353C314FBD93409EF639422707000D702909B30966478A168622D1D80E2400000000010D00000D702909B30966478A168622D1D80E240001FCBF444F0000</t>
  </si>
  <si>
    <t>00000000A6C727E4353C314FBD93409EF639422707000D702909B30966478A168622D1D80E2400000000010D00000D702909B30966478A168622D1D80E240001FCBF444E0000</t>
  </si>
  <si>
    <t>Velox: Demo/Walkthrough</t>
  </si>
  <si>
    <t>https://us02web.zoom.us/j/88673557370?pwd=K1BnajA4MC9sNmFmWHNTK0FqalhqUT09; id=2857168355</t>
  </si>
  <si>
    <t>00000000A6C727E4353C314FBD93409EF639422707000D702909B30966478A168622D1D80E2400000000010D00000D702909B30966478A168622D1D80E2400025480D6ED0000</t>
  </si>
  <si>
    <t>00000000A6C727E4353C314FBD93409EF639422707000D702909B30966478A168622D1D80E2400000000010D00000D702909B30966478A168622D1D80E240001FCBF444D0000</t>
  </si>
  <si>
    <t>Ross catchup</t>
  </si>
  <si>
    <t>00000000A6C727E4353C314FBD93409EF639422707000D702909B30966478A168622D1D80E2400000000010D00000D702909B30966478A168622D1D80E240001FCBF444C0000</t>
  </si>
  <si>
    <t>OPCO PREP</t>
  </si>
  <si>
    <t>00000000A6C727E4353C314FBD93409EF639422707000D702909B30966478A168622D1D80E2400000000010D00000D702909B30966478A168622D1D80E240001FCBF444A0000</t>
  </si>
  <si>
    <t>Sales Team meeting</t>
  </si>
  <si>
    <t>Alison Hood,Ali Moosavi,Jon Butler,Ross Lucas</t>
  </si>
  <si>
    <t>00000000A6C727E4353C314FBD93409EF639422707000D702909B30966478A168622D1D80E2400000000010D00000D702909B30966478A168622D1D80E240001FCBF444B0000</t>
  </si>
  <si>
    <t>travel back from OPCO</t>
  </si>
  <si>
    <t>00000000A6C727E4353C314FBD93409EF639422707000D702909B30966478A168622D1D80E2400000000010D00000D702909B30966478A168622D1D80E240001FCBF44490000</t>
  </si>
  <si>
    <t xml:space="preserve">Travel to OPCO </t>
  </si>
  <si>
    <t>12:17 train to get there at 130 -  id=2857168355</t>
  </si>
  <si>
    <t>00000000A6C727E4353C314FBD93409EF639422707000D702909B30966478A168622D1D80E2400000000010D00000D702909B30966478A168622D1D80E240001FCBF44480000</t>
  </si>
  <si>
    <t>time tracking sales activity july</t>
  </si>
  <si>
    <t>00000000A6C727E4353C314FBD93409EF639422707000D702909B30966478A168622D1D80E2400000000010D00000D702909B30966478A168622D1D80E240001FCBF44470000</t>
  </si>
  <si>
    <t>00000000A6C727E4353C314FBD93409EF639422707000D702909B30966478A168622D1D80E2400000000010D00000D702909B30966478A168622D1D80E240002534C92390000</t>
  </si>
  <si>
    <t>OPCONM</t>
  </si>
  <si>
    <t>00000000A6C727E4353C314FBD93409EF639422707000D702909B30966478A168622D1D80E2400000000010D00000D702909B30966478A168622D1D80E240001FCBF44530000</t>
  </si>
  <si>
    <t>JB/Neto - Velox Pitch Deck / Tech Overview / GTM</t>
  </si>
  <si>
    <t>https://veloxfintech.zoom.us/my/buildfaster  id=3045184552</t>
  </si>
  <si>
    <t>Jon Butler,Juarez Neto</t>
  </si>
  <si>
    <t>00000000A6C727E4353C314FBD93409EF639422707000D702909B30966478A168622D1D80E2400000000010D00000D702909B30966478A168622D1D80E240001FCBF44570000</t>
  </si>
  <si>
    <t>https://veloxfintech.zoom.us/my/buildfaster id=3045184552</t>
  </si>
  <si>
    <t>00000000A6C727E4353C314FBD93409EF639422707000D702909B30966478A168622D1D80E2400000000010D00000D702909B30966478A168622D1D80E240001FCBF44560000</t>
  </si>
  <si>
    <t>00000000A6C727E4353C314FBD93409EF639422707000D702909B30966478A168622D1D80E2400000000010D00000D702909B30966478A168622D1D80E240001FCBF44550000</t>
  </si>
  <si>
    <t>Jon Butler,Mantil, Lisa,rich.james@gs.com,Jason Yan</t>
  </si>
  <si>
    <t>00000000A6C727E4353C314FBD93409EF639422707000D702909B30966478A168622D1D80E2400000000010D00000D702909B30966478A168622D1D80E240001FCBF44580000</t>
  </si>
  <si>
    <t>00000000A6C727E4353C314FBD93409EF639422707000D702909B30966478A168622D1D80E2400000000010D00000D702909B30966478A168622D1D80E240001FCBF44660000</t>
  </si>
  <si>
    <t>ppt competing approaches</t>
  </si>
  <si>
    <t>id=3074518865</t>
  </si>
  <si>
    <t>00000000A6C727E4353C314FBD93409EF639422707000D702909B30966478A168622D1D80E2400000000010D00000D702909B30966478A168622D1D80E240001FCBF44650000</t>
  </si>
  <si>
    <t>00000000A6C727E4353C314FBD93409EF639422707000D702909B30966478A168622D1D80E2400000000010D00000D702909B30966478A168622D1D80E240001FCBF44640000</t>
  </si>
  <si>
    <t>00000000A6C727E4353C314FBD93409EF639422707000D702909B30966478A168622D1D80E2400000000010D00000D702909B30966478A168622D1D80E240001FCBF44630000</t>
  </si>
  <si>
    <t>Velox Discussion</t>
  </si>
  <si>
    <t>Jon Butler,John Lowrey,John Lowrey</t>
  </si>
  <si>
    <t>00000000A6C727E4353C314FBD93409EF639422707000D702909B30966478A168622D1D80E2400000000010D00000D702909B30966478A168622D1D80E240001FCBF44620000</t>
  </si>
  <si>
    <t>Nedto Prep</t>
  </si>
  <si>
    <t>00000000A6C727E4353C314FBD93409EF639422707000D702909B30966478A168622D1D80E2400000000010D00000D702909B30966478A168622D1D80E240001FCBF44610000</t>
  </si>
  <si>
    <t>00000000A6C727E4353C314FBD93409EF639422707000D702909B30966478A168622D1D80E2400000000010D00000D702909B30966478A168622D1D80E240001FCBF44600000</t>
  </si>
  <si>
    <t>00000000A6C727E4353C314FBD93409EF639422707000D702909B30966478A168622D1D80E2400000000010D00000D702909B30966478A168622D1D80E240001FCBF445F0000</t>
  </si>
  <si>
    <t>JB Prep for CA RFP Review</t>
  </si>
  <si>
    <t>00000000A6C727E4353C314FBD93409EF639422707000D702909B30966478A168622D1D80E2400000000010D00000D702909B30966478A168622D1D80E240001FCBF445E0000</t>
  </si>
  <si>
    <t>slide polishing</t>
  </si>
  <si>
    <t>00000000A6C727E4353C314FBD93409EF639422707000D702909B30966478A168622D1D80E2400000000010D00000D702909B30966478A168622D1D80E240001FCBF445D0000</t>
  </si>
  <si>
    <t>00000000A6C727E4353C314FBD93409EF639422707000D702909B30966478A168622D1D80E2400000000010D00000D702909B30966478A168622D1D80E240001FCBF445C0000</t>
  </si>
  <si>
    <t xml:space="preserve">GTM - Finsemble / Velox </t>
  </si>
  <si>
    <t>Jim Bunting,Jon Butler,Ali Moosavi</t>
  </si>
  <si>
    <t>00000000A6C727E4353C314FBD93409EF639422707000D702909B30966478A168622D1D80E2400000000010D00000D702909B30966478A168622D1D80E240001FCBF445A0000</t>
  </si>
  <si>
    <t>Tech Talk -- Finsemble / Velox</t>
  </si>
  <si>
    <t>Jim Bunting,eric.smith@cosaic.io,Jon Butler</t>
  </si>
  <si>
    <t>00000000A6C727E4353C314FBD93409EF639422707000D702909B30966478A168622D1D80E2400000000010D00000D702909B30966478A168622D1D80E240001FCBF445B0000</t>
  </si>
  <si>
    <t>Finsemble Overview</t>
  </si>
  <si>
    <t>Jim Bunting,Jon Butler,eric.smith@cosaic.io</t>
  </si>
  <si>
    <t>00000000A6C727E4353C314FBD93409EF639422707000D702909B30966478A168622D1D80E2400000000010D00000D702909B30966478A168622D1D80E240001FCBF44590000</t>
  </si>
  <si>
    <t>Jon/Bernie</t>
  </si>
  <si>
    <t>00000000A6C727E4353C314FBD93409EF639422707000D702909B30966478A168622D1D80E2400000000010D00000D702909B30966478A168622D1D80E240002534C923B0000</t>
  </si>
  <si>
    <t>Velox Thought Experiment</t>
  </si>
  <si>
    <t>WebEx</t>
  </si>
  <si>
    <t>HORTH, Eliza (CA-CIB),Jon Butler,Jason Yan,govind.jajoo,Ross Lucas,EVANS, Linda (External)</t>
  </si>
  <si>
    <t>HORTH, Eliza (CA-CIB)</t>
  </si>
  <si>
    <t>00000000A6C727E4353C314FBD93409EF639422707000D702909B30966478A168622D1D80E2400000000010D00000D702909B30966478A168622D1D80E240002534C923D0000</t>
  </si>
  <si>
    <t>Velox/Creative Mines follow up</t>
  </si>
  <si>
    <t>https://veloxfintech.zoom.us/j/81228033730?pwd=cFNFRkdhRmcyWFRkNDBqZnJsUnZsdz09&amp;from=addon</t>
  </si>
  <si>
    <t>Ali Moosavi,Jake Northey,Jon Butler</t>
  </si>
  <si>
    <t>00000000A6C727E4353C314FBD93409EF639422707000D702909B30966478A168622D1D80E2400000000010D00000D702909B30966478A168622D1D80E240002534C923E0000</t>
  </si>
  <si>
    <t>00000000A6C727E4353C314FBD93409EF639422707000D702909B30966478A168622D1D80E2400000000010D00000D702909B30966478A168622D1D80E240002534C923F0000</t>
  </si>
  <si>
    <t>00000000A6C727E4353C314FBD93409EF639422707000D702909B30966478A168622D1D80E2400000000010D00000D702909B30966478A168622D1D80E240002534C92400000</t>
  </si>
  <si>
    <t>AlphaCrest Capital/Velox introductory call</t>
  </si>
  <si>
    <t>https://veloxfintech.zoom.us/j/87595626057?pwd=a0F0d3hOSXRWOGJHWWQ4RVhRRDhjdz09&amp;from=addon; id=3037554526</t>
  </si>
  <si>
    <t>Ali Moosavi,Rao Parlapalli,Jon Butler</t>
  </si>
  <si>
    <t>00000000A6C727E4353C314FBD93409EF639422707000D702909B30966478A168622D1D80E2400000000010D00000D702909B30966478A168622D1D80E240002534C92410000</t>
  </si>
  <si>
    <t>00000000A6C727E4353C314FBD93409EF639422707000D702909B30966478A168622D1D80E2400000000010D00000D702909B30966478A168622D1D80E240002534C92420000</t>
  </si>
  <si>
    <t>00000000A6C727E4353C314FBD93409EF639422707000D702909B30966478A168622D1D80E2400000000010D00000D702909B30966478A168622D1D80E240002534C92430000</t>
  </si>
  <si>
    <t>new website messages</t>
  </si>
  <si>
    <t>00000000A6C727E4353C314FBD93409EF639422707000D702909B30966478A168622D1D80E2400000000010D00000D702909B30966478A168622D1D80E240001FCBF44670000</t>
  </si>
  <si>
    <t>ppt slides/reading</t>
  </si>
  <si>
    <t>00000000A6C727E4353C314FBD93409EF639422707000D702909B30966478A168622D1D80E2400000000010D00000D702909B30966478A168622D1D80E240001FCBF44700000</t>
  </si>
  <si>
    <t>00000000A6C727E4353C314FBD93409EF639422707000D702909B30966478A168622D1D80E2400000000010D00000D702909B30966478A168622D1D80E240001FCBF446F0000</t>
  </si>
  <si>
    <t>00000000A6C727E4353C314FBD93409EF639422707000D702909B30966478A168622D1D80E2400000000010D00000D702909B30966478A168622D1D80E240001FCBF446E0000</t>
  </si>
  <si>
    <t>00000000A6C727E4353C314FBD93409EF639422707000D702909B30966478A168622D1D80E2400000000010D00000D702909B30966478A168622D1D80E240001FCBF446D0000</t>
  </si>
  <si>
    <t>Glue42 // Velox - Partnership, Product Overview and Business Demo</t>
  </si>
  <si>
    <t>https://us02web.zoom.us/j/8381504791; id=3079724900</t>
  </si>
  <si>
    <t>Reena Raichura,Ross Lucas,Jon Butler,Viktoriya Shopova</t>
  </si>
  <si>
    <t>Reena Raichura</t>
  </si>
  <si>
    <t>00000000A6C727E4353C314FBD93409EF639422707000D702909B30966478A168622D1D80E2400000000010D00000D702909B30966478A168622D1D80E240001FCBF446C0000</t>
  </si>
  <si>
    <t>ppt buf</t>
  </si>
  <si>
    <t>00000000A6C727E4353C314FBD93409EF639422707000D702909B30966478A168622D1D80E2400000000010D00000D702909B30966478A168622D1D80E240001FCBF446B0000</t>
  </si>
  <si>
    <t>Catch-up Jon / Andy</t>
  </si>
  <si>
    <t>00000000A6C727E4353C314FBD93409EF639422707000D702909B30966478A168622D1D80E2400000000010D00000D702909B30966478A168622D1D80E240001FCBF446A0000</t>
  </si>
  <si>
    <t>admin / email / monday items</t>
  </si>
  <si>
    <t>00000000A6C727E4353C314FBD93409EF639422707000D702909B30966478A168622D1D80E2400000000010D00000D702909B30966478A168622D1D80E240001FCBF44690000</t>
  </si>
  <si>
    <t>Jon/Leslie Continued</t>
  </si>
  <si>
    <t>00000000A6C727E4353C314FBD93409EF639422707000D702909B30966478A168622D1D80E2400000000010D00000D702909B30966478A168622D1D80E240001FCBF44680000</t>
  </si>
  <si>
    <t>00000000A6C727E4353C314FBD93409EF639422707000D702909B30966478A168622D1D80E2400000000010D00000D702909B30966478A168622D1D80E240002534C92440000</t>
  </si>
  <si>
    <t>todo's /monday</t>
  </si>
  <si>
    <t>00000000A6C727E4353C314FBD93409EF639422707000D702909B30966478A168622D1D80E2400000000010D00000D702909B30966478A168622D1D80E240002534C92450000</t>
  </si>
  <si>
    <t>pptx seacrhing</t>
  </si>
  <si>
    <t>00000000A6C727E4353C314FBD93409EF639422707000D702909B30966478A168622D1D80E2400000000010D00000D702909B30966478A168622D1D80E240001FCBF44780000</t>
  </si>
  <si>
    <t>indexing/ looking for interop stuff</t>
  </si>
  <si>
    <t>00000000A6C727E4353C314FBD93409EF639422707000D702909B30966478A168622D1D80E2400000000010D00000D702909B30966478A168622D1D80E240001FCBF44770000</t>
  </si>
  <si>
    <t>ppt slides</t>
  </si>
  <si>
    <t>00000000A6C727E4353C314FBD93409EF639422707000D702909B30966478A168622D1D80E2400000000010D00000D702909B30966478A168622D1D80E240001FCBF44760000</t>
  </si>
  <si>
    <t>news</t>
  </si>
  <si>
    <t>00000000A6C727E4353C314FBD93409EF639422707000D702909B30966478A168622D1D80E2400000000010D00000D702909B30966478A168622D1D80E240001FCBF44750000</t>
  </si>
  <si>
    <t>pptx slides</t>
  </si>
  <si>
    <t>00000000A6C727E4353C314FBD93409EF639422707000D702909B30966478A168622D1D80E2400000000010D00000D702909B30966478A168622D1D80E240001FCBF44740000</t>
  </si>
  <si>
    <t>00000000A6C727E4353C314FBD93409EF639422707000D702909B30966478A168622D1D80E2400000000010D00000D702909B30966478A168622D1D80E240001FCBF44730000</t>
  </si>
  <si>
    <t>pptx builder</t>
  </si>
  <si>
    <t>00000000A6C727E4353C314FBD93409EF639422707000D702909B30966478A168622D1D80E2400000000010D00000D702909B30966478A168622D1D80E240001FCBF44720000</t>
  </si>
  <si>
    <t>news stuff</t>
  </si>
  <si>
    <t>00000000A6C727E4353C314FBD93409EF639422707000D702909B30966478A168622D1D80E2400000000010D00000D702909B30966478A168622D1D80E240001FCBF44710000</t>
  </si>
  <si>
    <t>monday search feature</t>
  </si>
  <si>
    <t>id=3087342675</t>
  </si>
  <si>
    <t>00000000A6C727E4353C314FBD93409EF639422707000D702909B30966478A168622D1D80E2400000000010D00000D702909B30966478A168622D1D80E240001FCBF447D0000</t>
  </si>
  <si>
    <t>00000000A6C727E4353C314FBD93409EF639422707000D702909B30966478A168622D1D80E2400000000010D00000D702909B30966478A168622D1D80E240001FCBF447C0000</t>
  </si>
  <si>
    <t>monday search features</t>
  </si>
  <si>
    <t>00000000A6C727E4353C314FBD93409EF639422707000D702909B30966478A168622D1D80E2400000000010D00000D702909B30966478A168622D1D80E240001FCBF447B0000</t>
  </si>
  <si>
    <t>search / pptx / feedly stuff</t>
  </si>
  <si>
    <t>00000000A6C727E4353C314FBD93409EF639422707000D702909B30966478A168622D1D80E2400000000010D00000D702909B30966478A168622D1D80E240001FCBF447A0000</t>
  </si>
  <si>
    <t>00000000A6C727E4353C314FBD93409EF639422707000D702909B30966478A168622D1D80E2400000000010D00000D702909B30966478A168622D1D80E240001FCBF44790000</t>
  </si>
  <si>
    <t>feedly google alerts</t>
  </si>
  <si>
    <t>00000000A6C727E4353C314FBD93409EF639422707000D702909B30966478A168622D1D80E2400000000010D00000D702909B30966478A168622D1D80E240002534C92460000</t>
  </si>
  <si>
    <t>feedly news managemen</t>
  </si>
  <si>
    <t>00000000A6C727E4353C314FBD93409EF639422707000D702909B30966478A168622D1D80E2400000000010D00000D702909B30966478A168622D1D80E240002534C92470000</t>
  </si>
  <si>
    <t>00000000A6C727E4353C314FBD93409EF639422707000D702909B30966478A168622D1D80E2400000000010D00000D702909B30966478A168622D1D80E240001FCBF447E0000</t>
  </si>
  <si>
    <t>Capsule / Sales Report for July</t>
  </si>
  <si>
    <t>00000000A6C727E4353C314FBD93409EF639422707000D702909B30966478A168622D1D80E2400000000010D00000D702909B30966478A168622D1D80E240001FCBF44870000</t>
  </si>
  <si>
    <t>00000000A6C727E4353C314FBD93409EF639422707000D702909B30966478A168622D1D80E2400000000010D00000D702909B30966478A168622D1D80E240001FCBF44860000</t>
  </si>
  <si>
    <t>Introduction to Velox Part 3</t>
  </si>
  <si>
    <t>Microsoft Teams Meeting; id=3203999780</t>
  </si>
  <si>
    <t>00000000A6C727E4353C314FBD93409EF639422707000D702909B30966478A168622D1D80E2400000000010D00000D702909B30966478A168622D1D80E240001FCBF44810000</t>
  </si>
  <si>
    <t>Greg Introduction to Velox Part 2</t>
  </si>
  <si>
    <t>00000000A6C727E4353C314FBD93409EF639422707000D702909B30966478A168622D1D80E2400000000010D00000D702909B30966478A168622D1D80E240001FCBF44830000</t>
  </si>
  <si>
    <t>Greg Introduction to Velox Part 1</t>
  </si>
  <si>
    <t>00000000A6C727E4353C314FBD93409EF639422707000D702909B30966478A168622D1D80E2400000000010D00000D702909B30966478A168622D1D80E240001FCBF44840000</t>
  </si>
  <si>
    <t>put together skill gaps for Neto</t>
  </si>
  <si>
    <t>id=3089407182</t>
  </si>
  <si>
    <t>00000000A6C727E4353C314FBD93409EF639422707000D702909B30966478A168622D1D80E2400000000010D00000D702909B30966478A168622D1D80E240001FCBF44800000</t>
  </si>
  <si>
    <t>overview of news feed process</t>
  </si>
  <si>
    <t>id=3089232698</t>
  </si>
  <si>
    <t>00000000A6C727E4353C314FBD93409EF639422707000D702909B30966478A168622D1D80E2400000000010D00000D702909B30966478A168622D1D80E240001FCBF447F0000</t>
  </si>
  <si>
    <t>T. Rowe Price / Velox : Follow-Up Technical Deep-Dive</t>
  </si>
  <si>
    <t>https://trpconf.zoom.us/j/97099682191?pwd=QWx4bG9DNUppdWZRRFoyeEtYbTJ1dz09&amp;from=addon; id=2919076903</t>
  </si>
  <si>
    <t>Balla, Daniel,Palos, Vlad,Jon Butler,Ross Lucas,Jason Yan,govind.jajoo</t>
  </si>
  <si>
    <t>Balla, Daniel</t>
  </si>
  <si>
    <t>00000000A6C727E4353C314FBD93409EF639422707000D702909B30966478A168622D1D80E2400000000010D00000D702909B30966478A168622D1D80E240001FCBF44850000</t>
  </si>
  <si>
    <t>admin - get remote desktop working</t>
  </si>
  <si>
    <t>00000000A6C727E4353C314FBD93409EF639422707000D702909B30966478A168622D1D80E2400000000010D00000D702909B30966478A168622D1D80E240001FCBF44890000</t>
  </si>
  <si>
    <t>00000000A6C727E4353C314FBD93409EF639422707000D702909B30966478A168622D1D80E2400000000010D00000D702909B30966478A168622D1D80E240001FCBF44880000</t>
  </si>
  <si>
    <t>Ali - Cosiac / Xinthesys</t>
  </si>
  <si>
    <t>00000000A6C727E4353C314FBD93409EF639422707000D702909B30966478A168622D1D80E2400000000010D00000D702909B30966478A168622D1D80E240001FCBF448A0000</t>
  </si>
  <si>
    <t>cosaic desktop interop</t>
  </si>
  <si>
    <t>00000000A6C727E4353C314FBD93409EF639422707000D702909B30966478A168622D1D80E2400000000010D00000D702909B30966478A168622D1D80E240002534C92480000</t>
  </si>
  <si>
    <t>OpCo - Prime platform discussion and next steps</t>
  </si>
  <si>
    <t>https://us02web.zoom.us/j/82418852486?pwd=TFpQaGVVQ3ROZmt4VjYwdDg3WVdiZz09</t>
  </si>
  <si>
    <t>Jeffrey Stein,Weingarten, Daniel,Giordano, Peter,Weitz, Matthew,Jon Butler,Ali Moosavi</t>
  </si>
  <si>
    <t>00000000A6C727E4353C314FBD93409EF639422707000D702909B30966478A168622D1D80E2400000000010D00000D702909B30966478A168622D1D80E240001FCBF448B0000</t>
  </si>
  <si>
    <t>00000000A6C727E4353C314FBD93409EF639422707000D702909B30966478A168622D1D80E2400000000010D00000D702909B30966478A168622D1D80E240002534C924B0000</t>
  </si>
  <si>
    <t>Velox - Credit Agricole EFX RFP - Round table with Master Builders (Answers to Questions)</t>
  </si>
  <si>
    <t>WebEx (Audio only)</t>
  </si>
  <si>
    <t>SATCHEL, Thomas (CA-CIB),Jon Butler,Jason Yan,Ross Lucas,Alison Hood</t>
  </si>
  <si>
    <t>SATCHEL, Thomas (CA-CIB)</t>
  </si>
  <si>
    <t>00000000A6C727E4353C314FBD93409EF639422707000D702909B30966478A168622D1D80E2400000000010D00000D702909B30966478A168622D1D80E240001FCBF448C0000</t>
  </si>
  <si>
    <t>Jon/Mark Intro</t>
  </si>
  <si>
    <t>https://us02web.zoom.us/j/85366782791?pwd=NFZGWXB6ZGgvNnp0aWh4Q3BNUTRtQT09&amp;from=addon</t>
  </si>
  <si>
    <t>Steve Grob,Mark Ryland,Jon Butler</t>
  </si>
  <si>
    <t>00000000A6C727E4353C314FBD93409EF639422707000D702909B30966478A168622D1D80E2400000000010D00000D702909B30966478A168622D1D80E240001FCBF448D0000</t>
  </si>
  <si>
    <t>Velox/CG Catch-up</t>
  </si>
  <si>
    <t>Alexander Sargent,Jon Butler,Timothy Sargent</t>
  </si>
  <si>
    <t>Alexander Sargent</t>
  </si>
  <si>
    <t>00000000A6C727E4353C314FBD93409EF639422707000D702909B30966478A168622D1D80E2400000000010D00000D702909B30966478A168622D1D80E240001FCBF448F0000</t>
  </si>
  <si>
    <t>cosaic</t>
  </si>
  <si>
    <t>00000000A6C727E4353C314FBD93409EF639422707000D702909B30966478A168622D1D80E2400000000010D00000D702909B30966478A168622D1D80E240001FCBF44900000</t>
  </si>
  <si>
    <t>demo config</t>
  </si>
  <si>
    <t>00000000A6C727E4353C314FBD93409EF639422707000D702909B30966478A168622D1D80E2400000000010D00000D702909B30966478A168622D1D80E240002534C924C0000</t>
  </si>
  <si>
    <t>Neto Prep</t>
  </si>
  <si>
    <t>00000000A6C727E4353C314FBD93409EF639422707000D702909B30966478A168622D1D80E2400000000010D00000D702909B30966478A168622D1D80E240001FCBF44960000</t>
  </si>
  <si>
    <t>00000000A6C727E4353C314FBD93409EF639422707000D702909B30966478A168622D1D80E2400000000010D00000D702909B30966478A168622D1D80E240001FCBF44950000</t>
  </si>
  <si>
    <t>00000000A6C727E4353C314FBD93409EF639422707000D702909B30966478A168622D1D80E2400000000010D00000D702909B30966478A168622D1D80E240001FCBF44940000</t>
  </si>
  <si>
    <t>00000000A6C727E4353C314FBD93409EF639422707000D702909B30966478A168622D1D80E2400000000010D00000D702909B30966478A168622D1D80E240001FCBF44930000</t>
  </si>
  <si>
    <t xml:space="preserve">Reminder- CA - Thought Experiment / poC last day for submission to CA is Friday 26th August. </t>
  </si>
  <si>
    <t>Reminder only</t>
  </si>
  <si>
    <t>Ross Lucas,Jason Yan,Jon Butler,Alison Hood</t>
  </si>
  <si>
    <t>00000000A6C727E4353C314FBD93409EF639422707000D702909B30966478A168622D1D80E2400000000010D00000D702909B30966478A168622D1D80E24000256059DE90000</t>
  </si>
  <si>
    <t xml:space="preserve">Credit Agricole - RFP progress catch up. </t>
  </si>
  <si>
    <t>https://veloxfintech.zoom.us/j/86922103708?pwd=LzhMVjNIS0lXVzYxQWNqV1hBS1hwQT09&amp;from=addon; id=2967265419</t>
  </si>
  <si>
    <t>Ross Lucas,Jon Butler,Jason Yan,Alison Hood</t>
  </si>
  <si>
    <t>00000000A6C727E4353C314FBD93409EF639422707000D702909B30966478A168622D1D80E2400000000010D00000D702909B30966478A168622D1D80E24000256059DE80000</t>
  </si>
  <si>
    <t>Jon/Neto - Continued</t>
  </si>
  <si>
    <t>00000000A6C727E4353C314FBD93409EF639422707000D702909B30966478A168622D1D80E2400000000010D00000D702909B30966478A168622D1D80E240001FCBF44920000</t>
  </si>
  <si>
    <t>pptx search</t>
  </si>
  <si>
    <t>00000000A6C727E4353C314FBD93409EF639422707000D702909B30966478A168622D1D80E2400000000010D00000D702909B30966478A168622D1D80E240001FCBF44910000</t>
  </si>
  <si>
    <t>Agree next round of website updates</t>
  </si>
  <si>
    <t>00000000A6C727E4353C314FBD93409EF639422707000D702909B30966478A168622D1D80E2400000000010D00000D702909B30966478A168622D1D80E240002534C924D0000</t>
  </si>
  <si>
    <t>ETFS sales report</t>
  </si>
  <si>
    <t>00000000A6C727E4353C314FBD93409EF639422707000D702909B30966478A168622D1D80E2400000000010D00000D702909B30966478A168622D1D80E240002534C924E0000</t>
  </si>
  <si>
    <t>00000000A6C727E4353C314FBD93409EF639422707000D702909B30966478A168622D1D80E2400000000010D00000D702909B30966478A168622D1D80E240001FCBF44990000</t>
  </si>
  <si>
    <t>worklout</t>
  </si>
  <si>
    <t>00000000A6C727E4353C314FBD93409EF639422707000D702909B30966478A168622D1D80E2400000000010D00000D702909B30966478A168622D1D80E240001FCBF44980000</t>
  </si>
  <si>
    <t>00000000A6C727E4353C314FBD93409EF639422707000D702909B30966478A168622D1D80E2400000000010D00000D702909B30966478A168622D1D80E240001FCBF44970000</t>
  </si>
  <si>
    <t>Velox Demo - Regnology</t>
  </si>
  <si>
    <t>Linda Middleditch,Antoine Moreau,Jon Butler,Ali Moosavi</t>
  </si>
  <si>
    <t>Linda Middleditch</t>
  </si>
  <si>
    <t>00000000A6C727E4353C314FBD93409EF639422707000D702909B30966478A168622D1D80E2400000000010D00000D702909B30966478A168622D1D80E240001FCBF449A0000</t>
  </si>
  <si>
    <t>sales report ETFSC</t>
  </si>
  <si>
    <t>00000000A6C727E4353C314FBD93409EF639422707000D702909B30966478A168622D1D80E2400000000010D00000D702909B30966478A168622D1D80E240001FCBF449B0000</t>
  </si>
  <si>
    <t>RFP questions</t>
  </si>
  <si>
    <t>00000000A6C727E4353C314FBD93409EF639422707000D702909B30966478A168622D1D80E2400000000010D00000D702909B30966478A168622D1D80E240001FCBF44A30000</t>
  </si>
  <si>
    <t>00000000A6C727E4353C314FBD93409EF639422707000D702909B30966478A168622D1D80E2400000000010D00000D702909B30966478A168622D1D80E240001FCBF44A20000</t>
  </si>
  <si>
    <t>jeff / xinthesys overun</t>
  </si>
  <si>
    <t>00000000A6C727E4353C314FBD93409EF639422707000D702909B30966478A168622D1D80E2400000000010D00000D702909B30966478A168622D1D80E240001FCBF44A10000</t>
  </si>
  <si>
    <t>Xinthesys Prep</t>
  </si>
  <si>
    <t>00000000A6C727E4353C314FBD93409EF639422707000D702909B30966478A168622D1D80E2400000000010D00000D702909B30966478A168622D1D80E240001FCBF44A00000</t>
  </si>
  <si>
    <t>ETFS sales</t>
  </si>
  <si>
    <t>00000000A6C727E4353C314FBD93409EF639422707000D702909B30966478A168622D1D80E2400000000010D00000D702909B30966478A168622D1D80E240001FCBF449F0000</t>
  </si>
  <si>
    <t>Partnership/next steps</t>
  </si>
  <si>
    <t>https://veloxfintech.zoom.us/my/buildfaster id=2857168355</t>
  </si>
  <si>
    <t>Jon Butler,Jeffrey Stein</t>
  </si>
  <si>
    <t>00000000A6C727E4353C314FBD93409EF639422707000D702909B30966478A168622D1D80E2400000000010D00000D702909B30966478A168622D1D80E240001FCBF449E0000</t>
  </si>
  <si>
    <t>ETSC sales report</t>
  </si>
  <si>
    <t>00000000A6C727E4353C314FBD93409EF639422707000D702909B30966478A168622D1D80E2400000000010D00000D702909B30966478A168622D1D80E240001FCBF449D0000</t>
  </si>
  <si>
    <t>regnology prep</t>
  </si>
  <si>
    <t>00000000A6C727E4353C314FBD93409EF639422707000D702909B30966478A168622D1D80E2400000000010D00000D702909B30966478A168622D1D80E240001FCBF449C0000</t>
  </si>
  <si>
    <t>Jon/Steve Synch</t>
  </si>
  <si>
    <t>https://us02web.zoom.us/j/89689314562?pwd=NlZxNjZSS2lLVWFEVExsSU4zOE9Ldz09&amp;from=addon</t>
  </si>
  <si>
    <t>00000000A6C727E4353C314FBD93409EF639422707000D702909B30966478A168622D1D80E2400000000010D00000D702909B30966478A168622D1D80E24000256059DEF0000</t>
  </si>
  <si>
    <t>SSGA/Velox - demo prep call</t>
  </si>
  <si>
    <t>https://veloxfintech.zoom.us/j/85633947641?pwd=cElTd1ZxL2RkUkhqTlg1Sm5pWVcvZz09&amp;from=addon</t>
  </si>
  <si>
    <t>Ali Moosavi,Jon Butler,Swamy, Umesh,Bergeron, Shoshanna</t>
  </si>
  <si>
    <t>00000000A6C727E4353C314FBD93409EF639422707000D702909B30966478A168622D1D80E2400000000010D00000D702909B30966478A168622D1D80E240002534C924F0000</t>
  </si>
  <si>
    <t>Velox overview</t>
  </si>
  <si>
    <t>https://statestreet.zoom.us/j/94884562668?pwd=cGlSZGk3Sm5YaDRjeGxEZjVLTW90dz09</t>
  </si>
  <si>
    <t>Swamy, Umesh,Jon Butler,Federico, Rick,Boatwright, David,Najeebuddin, Syed,Qian, Wensong,Spear, Barry,Favazza, Tom,Wysocki, John,Roy, Aloke,Bergeron, Shoshanna,Ali Moosavi</t>
  </si>
  <si>
    <t>Swamy, Umesh</t>
  </si>
  <si>
    <t>00000000A6C727E4353C314FBD93409EF639422707000D702909B30966478A168622D1D80E2400000000010D00000D702909B30966478A168622D1D80E240002534C92500000</t>
  </si>
  <si>
    <t>admin / case study</t>
  </si>
  <si>
    <t>00000000A6C727E4353C314FBD93409EF639422707000D702909B30966478A168622D1D80E2400000000010D00000D702909B30966478A168622D1D80E240002534C92510000</t>
  </si>
  <si>
    <t>00000000A6C727E4353C314FBD93409EF639422707000D702909B30966478A168622D1D80E2400000000010D00000D702909B30966478A168622D1D80E240001FCBF44B10000</t>
  </si>
  <si>
    <t>Velox Tech Deep-dive w/Xinthesys (Jeff Stein)</t>
  </si>
  <si>
    <t>Jon Butler,Jeffrey Stein,Jason Yan,Ali Moosavi,Jeffrey Stein,Jason Yan,Ali Moosavi</t>
  </si>
  <si>
    <t>00000000A6C727E4353C314FBD93409EF639422707000D702909B30966478A168622D1D80E2400000000010D00000D702909B30966478A168622D1D80E240001FCBF44B00000</t>
  </si>
  <si>
    <t>Jon/Jeff</t>
  </si>
  <si>
    <t>00000000A6C727E4353C314FBD93409EF639422707000D702909B30966478A168622D1D80E2400000000010D00000D702909B30966478A168622D1D80E240001FCBF44AF0000</t>
  </si>
  <si>
    <t>SSGA prep</t>
  </si>
  <si>
    <t>id=3111665690</t>
  </si>
  <si>
    <t>00000000A6C727E4353C314FBD93409EF639422707000D702909B30966478A168622D1D80E2400000000010D00000D702909B30966478A168622D1D80E240001FCBF44AE0000</t>
  </si>
  <si>
    <t>ultumus support</t>
  </si>
  <si>
    <t>00000000A6C727E4353C314FBD93409EF639422707000D702909B30966478A168622D1D80E2400000000010D00000D702909B30966478A168622D1D80E240001FCBF44AD0000</t>
  </si>
  <si>
    <t>00000000A6C727E4353C314FBD93409EF639422707000D702909B30966478A168622D1D80E2400000000010D00000D702909B30966478A168622D1D80E240001FCBF44AB0000</t>
  </si>
  <si>
    <t>CAIB - Questions (IP etc) final wording</t>
  </si>
  <si>
    <t>https://veloxfintech.zoom.us/j/84871007621?pwd=VkJjYWd0bng4dVFQWEphUUxiOUNCdz09&amp;from=addon; id=2967265419</t>
  </si>
  <si>
    <t>Ross Lucas,Jason Yan,Alison Hood,Jon Butler</t>
  </si>
  <si>
    <t>00000000A6C727E4353C314FBD93409EF639422707000D702909B30966478A168622D1D80E2400000000010D00000D702909B30966478A168622D1D80E24000256059DF20000</t>
  </si>
  <si>
    <t>00000000A6C727E4353C314FBD93409EF639422707000D702909B30966478A168622D1D80E2400000000010D00000D702909B30966478A168622D1D80E240001FCBF44AA0000</t>
  </si>
  <si>
    <t>Jon/Jim</t>
  </si>
  <si>
    <t>00000000A6C727E4353C314FBD93409EF639422707000D702909B30966478A168622D1D80E2400000000010D00000D702909B30966478A168622D1D80E24000256059DF00000</t>
  </si>
  <si>
    <t>00000000A6C727E4353C314FBD93409EF639422707000D702909B30966478A168622D1D80E2400000000010D00000D702909B30966478A168622D1D80E240001FCBF44A90000</t>
  </si>
  <si>
    <t>RFP thought exp</t>
  </si>
  <si>
    <t>00000000A6C727E4353C314FBD93409EF639422707000D702909B30966478A168622D1D80E2400000000010D00000D702909B30966478A168622D1D80E240001FCBF44A80000</t>
  </si>
  <si>
    <t>write up of alphacrest</t>
  </si>
  <si>
    <t>id=3037554526</t>
  </si>
  <si>
    <t>00000000A6C727E4353C314FBD93409EF639422707000D702909B30966478A168622D1D80E2400000000010D00000D702909B30966478A168622D1D80E240001FCBF44A70000</t>
  </si>
  <si>
    <t>admin / xinthesys write up</t>
  </si>
  <si>
    <t>00000000A6C727E4353C314FBD93409EF639422707000D702909B30966478A168622D1D80E2400000000010D00000D702909B30966478A168622D1D80E240001FCBF44A60000</t>
  </si>
  <si>
    <t>Jon/Jason</t>
  </si>
  <si>
    <t>00000000A6C727E4353C314FBD93409EF639422707000D702909B30966478A168622D1D80E2400000000010D00000D702909B30966478A168622D1D80E240001FCBF44A50000</t>
  </si>
  <si>
    <t xml:space="preserve">CA (internal meeting) Review progress on RFP tabs. (also 19th is last day to send questions). </t>
  </si>
  <si>
    <t>https://veloxfintech.zoom.us/j/88911884188?pwd=NkE3U1hHSXhKMHNOVVJGMWFtSEhGUT09&amp;from=addon; id=2967265419</t>
  </si>
  <si>
    <t>00000000A6C727E4353C314FBD93409EF639422707000D702909B30966478A168622D1D80E2400000000010D00000D702909B30966478A168622D1D80E240001FCBF44AC0000</t>
  </si>
  <si>
    <t>meeting notes/admin</t>
  </si>
  <si>
    <t>00000000A6C727E4353C314FBD93409EF639422707000D702909B30966478A168622D1D80E2400000000010D00000D702909B30966478A168622D1D80E240001FCBF44B20000</t>
  </si>
  <si>
    <t>00000000A6C727E4353C314FBD93409EF639422707000D702909B30966478A168622D1D80E2400000000010D00000D702909B30966478A168622D1D80E240002534C92520000</t>
  </si>
  <si>
    <t>00000000A6C727E4353C314FBD93409EF639422707000D702909B30966478A168622D1D80E2400000000010D00000D702909B30966478A168622D1D80E240001FCBF44B30000</t>
  </si>
  <si>
    <t>00000000A6C727E4353C314FBD93409EF639422707000D702909B30966478A168622D1D80E2400000000010D00000D702909B30966478A168622D1D80E240001FCBF44B40000</t>
  </si>
  <si>
    <t>00000000A6C727E4353C314FBD93409EF639422707000D702909B30966478A168622D1D80E2400000000010D00000D702909B30966478A168622D1D80E240001FCBF44B50000</t>
  </si>
  <si>
    <t>00000000A6C727E4353C314FBD93409EF639422707000D702909B30966478A168622D1D80E2400000000010D00000D702909B30966478A168622D1D80E240001FCBF54BF0000</t>
  </si>
  <si>
    <t>00000000A6C727E4353C314FBD93409EF639422707000D702909B30966478A168622D1D80E2400000000010D00000D702909B30966478A168622D1D80E240001FCBF54BD0000</t>
  </si>
  <si>
    <t>SSGA debtreif</t>
  </si>
  <si>
    <t>00000000A6C727E4353C314FBD93409EF639422707000D702909B30966478A168622D1D80E2400000000010D00000D702909B30966478A168622D1D80E240001FCBF54BC0000</t>
  </si>
  <si>
    <t>Ali/Jon catch up</t>
  </si>
  <si>
    <t>https://veloxfintech.zoom.us/j/82052084609?pwd=d1ViQTRQOXZDczF0VWdCMjJTdUtYdz09&amp;from=addon</t>
  </si>
  <si>
    <t>00000000A6C727E4353C314FBD93409EF639422707000D702909B30966478A168622D1D80E2400000000010D00000D702909B30966478A168622D1D80E240001FCBF54BE0000</t>
  </si>
  <si>
    <t>prep for SSGA</t>
  </si>
  <si>
    <t>00000000A6C727E4353C314FBD93409EF639422707000D702909B30966478A168622D1D80E2400000000010D00000D702909B30966478A168622D1D80E240001FCBF54BB0000</t>
  </si>
  <si>
    <t>OPCO report</t>
  </si>
  <si>
    <t>00000000A6C727E4353C314FBD93409EF639422707000D702909B30966478A168622D1D80E2400000000010D00000D702909B30966478A168622D1D80E240001FCBF54BA0000</t>
  </si>
  <si>
    <t>CA report</t>
  </si>
  <si>
    <t>00000000A6C727E4353C314FBD93409EF639422707000D702909B30966478A168622D1D80E2400000000010D00000D702909B30966478A168622D1D80E240001FCBF44B90000</t>
  </si>
  <si>
    <t>Giles / Cosmos</t>
  </si>
  <si>
    <t>00000000A6C727E4353C314FBD93409EF639422707000D702909B30966478A168622D1D80E2400000000010D00000D702909B30966478A168622D1D80E240001FCBF44B80000</t>
  </si>
  <si>
    <t>Capsule report weekly</t>
  </si>
  <si>
    <t>00000000A6C727E4353C314FBD93409EF639422707000D702909B30966478A168622D1D80E2400000000010D00000D702909B30966478A168622D1D80E240001FCBF44B70000</t>
  </si>
  <si>
    <t>HORTH, Eliza (CA-CIB),EVANS, Linda (External),SATCHEL, Thomas (CA-CIB),Ross Lucas,Jon Butler</t>
  </si>
  <si>
    <t>00000000A6C727E4353C314FBD93409EF639422707000D702909B30966478A168622D1D80E2400000000010D00000D702909B30966478A168622D1D80E240001FCBF44B60000</t>
  </si>
  <si>
    <t>00000000A6C727E4353C314FBD93409EF639422707000D702909B30966478A168622D1D80E2400000000010D00000D702909B30966478A168622D1D80E240002534C92530000</t>
  </si>
  <si>
    <t>00000000A6C727E4353C314FBD93409EF639422707000D702909B30966478A168622D1D80E2400000000010D00000D702909B30966478A168622D1D80E240001FCBF54C10000</t>
  </si>
  <si>
    <t>00000000A6C727E4353C314FBD93409EF639422707000D702909B30966478A168622D1D80E2400000000010D00000D702909B30966478A168622D1D80E240001FCBF54C00000</t>
  </si>
  <si>
    <t>competing approaches</t>
  </si>
  <si>
    <t>00000000A6C727E4353C314FBD93409EF639422707000D702909B30966478A168622D1D80E2400000000010D00000D702909B30966478A168622D1D80E240001FCBF54C30000</t>
  </si>
  <si>
    <t>00000000A6C727E4353C314FBD93409EF639422707000D702909B30966478A168622D1D80E2400000000010D00000D702909B30966478A168622D1D80E240001FCBF54C20000</t>
  </si>
  <si>
    <t>news / content processing schema</t>
  </si>
  <si>
    <t>00000000A6C727E4353C314FBD93409EF639422707000D702909B30966478A168622D1D80E2400000000010D00000D702909B30966478A168622D1D80E240002534C92540000</t>
  </si>
  <si>
    <t>news / content / ranking</t>
  </si>
  <si>
    <t>00000000A6C727E4353C314FBD93409EF639422707000D702909B30966478A168622D1D80E2400000000010D00000D702909B30966478A168622D1D80E240002534C92550000</t>
  </si>
  <si>
    <t>news / content / feedly stuff</t>
  </si>
  <si>
    <t>00000000A6C727E4353C314FBD93409EF639422707000D702909B30966478A168622D1D80E2400000000010D00000D702909B30966478A168622D1D80E240002534C92560000</t>
  </si>
  <si>
    <t>approach slide</t>
  </si>
  <si>
    <t>00000000A6C727E4353C314FBD93409EF639422707000D702909B30966478A168622D1D80E2400000000010D00000D702909B30966478A168622D1D80E240001FCBF54C40000</t>
  </si>
  <si>
    <t>news content</t>
  </si>
  <si>
    <t>00000000A6C727E4353C314FBD93409EF639422707000D702909B30966478A168622D1D80E2400000000010D00000D702909B30966478A168622D1D80E240001FCBF54C60000</t>
  </si>
  <si>
    <t>wiorkout</t>
  </si>
  <si>
    <t>00000000A6C727E4353C314FBD93409EF639422707000D702909B30966478A168622D1D80E2400000000010D00000D702909B30966478A168622D1D80E240001FCBF54C50000</t>
  </si>
  <si>
    <t>content writing</t>
  </si>
  <si>
    <t>00000000A6C727E4353C314FBD93409EF639422707000D702909B30966478A168622D1D80E2400000000010D00000D702909B30966478A168622D1D80E240002534C92570000</t>
  </si>
  <si>
    <t>00000000A6C727E4353C314FBD93409EF639422707000D702909B30966478A168622D1D80E2400000000010D00000D702909B30966478A168622D1D80E240002534C92580000</t>
  </si>
  <si>
    <t>prep for neto offer call</t>
  </si>
  <si>
    <t>00000000A6C727E4353C314FBD93409EF639422707000D702909B30966478A168622D1D80E2400000000010D00000D702909B30966478A168622D1D80E240002534C92590000</t>
  </si>
  <si>
    <t>news content writing</t>
  </si>
  <si>
    <t>00000000A6C727E4353C314FBD93409EF639422707000D702909B30966478A168622D1D80E2400000000010D00000D702909B30966478A168622D1D80E240002534C925A0000</t>
  </si>
  <si>
    <t>posts / content / writing</t>
  </si>
  <si>
    <t>00000000A6C727E4353C314FBD93409EF639422707000D702909B30966478A168622D1D80E2400000000010D00000D702909B30966478A168622D1D80E240002534C925B0000</t>
  </si>
  <si>
    <t>Jon/Jack - Velox/3B</t>
  </si>
  <si>
    <t>https://meet.google.com/ktr-ewkg-nwj</t>
  </si>
  <si>
    <t>Jon Butler,Jack Bremer</t>
  </si>
  <si>
    <t>00000000A6C727E4353C314FBD93409EF639422707000D702909B30966478A168622D1D80E2400000000010D00000D702909B30966478A168622D1D80E240001FCBF54C70000</t>
  </si>
  <si>
    <t>ssga demo</t>
  </si>
  <si>
    <t>00000000A6C727E4353C314FBD93409EF639422707000D702909B30966478A168622D1D80E2400000000010D00000D702909B30966478A168622D1D80E240001FCBF54D70000</t>
  </si>
  <si>
    <t>cosaic followup</t>
  </si>
  <si>
    <t>00000000A6C727E4353C314FBD93409EF639422707000D702909B30966478A168622D1D80E2400000000010D00000D702909B30966478A168622D1D80E240001FCBF54D60000</t>
  </si>
  <si>
    <t>00000000A6C727E4353C314FBD93409EF639422707000D702909B30966478A168622D1D80E2400000000010D00000D702909B30966478A168622D1D80E240001FCBF54D50000</t>
  </si>
  <si>
    <t>andy followups</t>
  </si>
  <si>
    <t>00000000A6C727E4353C314FBD93409EF639422707000D702909B30966478A168622D1D80E2400000000010D00000D702909B30966478A168622D1D80E240001FCBF54D40000</t>
  </si>
  <si>
    <t>00000000A6C727E4353C314FBD93409EF639422707000D702909B30966478A168622D1D80E2400000000010D00000D702909B30966478A168622D1D80E240001FCBF54D30000</t>
  </si>
  <si>
    <t>00000000A6C727E4353C314FBD93409EF639422707000D702909B30966478A168622D1D80E2400000000010D00000D702909B30966478A168622D1D80E240001FCBF54D20000</t>
  </si>
  <si>
    <t xml:space="preserve">SSGA followup </t>
  </si>
  <si>
    <t>00000000A6C727E4353C314FBD93409EF639422707000D702909B30966478A168622D1D80E2400000000010D00000D702909B30966478A168622D1D80E240001FCBF54D10000</t>
  </si>
  <si>
    <t>different approaches</t>
  </si>
  <si>
    <t>00000000A6C727E4353C314FBD93409EF639422707000D702909B30966478A168622D1D80E2400000000010D00000D702909B30966478A168622D1D80E240001FCBF54D00000</t>
  </si>
  <si>
    <t>trime booking</t>
  </si>
  <si>
    <t>00000000A6C727E4353C314FBD93409EF639422707000D702909B30966478A168622D1D80E2400000000010D00000D702909B30966478A168622D1D80E240001FCBF54CE0000</t>
  </si>
  <si>
    <t>00000000A6C727E4353C314FBD93409EF639422707000D702909B30966478A168622D1D80E2400000000010D00000D702909B30966478A168622D1D80E240001FCBF54CD0000</t>
  </si>
  <si>
    <t>00000000A6C727E4353C314FBD93409EF639422707000D702909B30966478A168622D1D80E2400000000010D00000D702909B30966478A168622D1D80E240001FCBF54CC0000</t>
  </si>
  <si>
    <t>00000000A6C727E4353C314FBD93409EF639422707000D702909B30966478A168622D1D80E2400000000010D00000D702909B30966478A168622D1D80E240001FCBF54CB0000</t>
  </si>
  <si>
    <t>00000000A6C727E4353C314FBD93409EF639422707000D702909B30966478A168622D1D80E2400000000010D00000D702909B30966478A168622D1D80E240001FCBF54CA0000</t>
  </si>
  <si>
    <t>00000000A6C727E4353C314FBD93409EF639422707000D702909B30966478A168622D1D80E2400000000010D00000D702909B30966478A168622D1D80E240001FCBF54C80000</t>
  </si>
  <si>
    <t>Neto - Velox Onboarding (w/Alison &amp; Jon)</t>
  </si>
  <si>
    <t>Jon Butler,Juarez Neto,Alison Hood</t>
  </si>
  <si>
    <t>00000000A6C727E4353C314FBD93409EF639422707000D702909B30966478A168622D1D80E2400000000010D00000D702909B30966478A168622D1D80E240002534C925C0000</t>
  </si>
  <si>
    <t>neto prep</t>
  </si>
  <si>
    <t>00000000A6C727E4353C314FBD93409EF639422707000D702909B30966478A168622D1D80E2400000000010D00000D702909B30966478A168622D1D80E240002534C925D0000</t>
  </si>
  <si>
    <t>Steve</t>
  </si>
  <si>
    <t>00000000A6C727E4353C314FBD93409EF639422707000D702909B30966478A168622D1D80E2400000000010D00000D702909B30966478A168622D1D80E240001FCBF54E30000</t>
  </si>
  <si>
    <t>TRowe prep</t>
  </si>
  <si>
    <t>00000000A6C727E4353C314FBD93409EF639422707000D702909B30966478A168622D1D80E2400000000010D00000D702909B30966478A168622D1D80E240001FCBF54E20000</t>
  </si>
  <si>
    <t>00000000A6C727E4353C314FBD93409EF639422707000D702909B30966478A168622D1D80E2400000000010D00000D702909B30966478A168622D1D80E240001FCBF54E10000</t>
  </si>
  <si>
    <t>00000000A6C727E4353C314FBD93409EF639422707000D702909B30966478A168622D1D80E2400000000010D00000D702909B30966478A168622D1D80E240001FCBF54E00000</t>
  </si>
  <si>
    <t>00000000A6C727E4353C314FBD93409EF639422707000D702909B30966478A168622D1D80E2400000000010D00000D702909B30966478A168622D1D80E240001FCBF54DF0000</t>
  </si>
  <si>
    <t>MLP followup</t>
  </si>
  <si>
    <t>00000000A6C727E4353C314FBD93409EF639422707000D702909B30966478A168622D1D80E2400000000010D00000D702909B30966478A168622D1D80E240001FCBF54DE0000</t>
  </si>
  <si>
    <t>00000000A6C727E4353C314FBD93409EF639422707000D702909B30966478A168622D1D80E2400000000010D00000D702909B30966478A168622D1D80E240001FCBF54DD0000</t>
  </si>
  <si>
    <t>admin / fineqia</t>
  </si>
  <si>
    <t>00000000A6C727E4353C314FBD93409EF639422707000D702909B30966478A168622D1D80E2400000000010D00000D702909B30966478A168622D1D80E240001FCBF54DC0000</t>
  </si>
  <si>
    <t>00000000A6C727E4353C314FBD93409EF639422707000D702909B30966478A168622D1D80E2400000000010D00000D702909B30966478A168622D1D80E240001FCBF54DB0000</t>
  </si>
  <si>
    <t>00000000A6C727E4353C314FBD93409EF639422707000D702909B30966478A168622D1D80E2400000000010D00000D702909B30966478A168622D1D80E240001FCBF54DA0000</t>
  </si>
  <si>
    <t>steve notes</t>
  </si>
  <si>
    <t>00000000A6C727E4353C314FBD93409EF639422707000D702909B30966478A168622D1D80E2400000000010D00000D702909B30966478A168622D1D80E240001FCBF54D90000</t>
  </si>
  <si>
    <t>00000000A6C727E4353C314FBD93409EF639422707000D702909B30966478A168622D1D80E2400000000010D00000D702909B30966478A168622D1D80E240001FCBF54D80000</t>
  </si>
  <si>
    <t>GSP response</t>
  </si>
  <si>
    <t>00000000A6C727E4353C314FBD93409EF639422707000D702909B30966478A168622D1D80E2400000000010D00000D702909B30966478A168622D1D80E240002534C925E0000</t>
  </si>
  <si>
    <t>sales report</t>
  </si>
  <si>
    <t>00000000A6C727E4353C314FBD93409EF639422707000D702909B30966478A168622D1D80E2400000000010D00000D702909B30966478A168622D1D80E240002534C925F0000</t>
  </si>
  <si>
    <t>TROWE physical version</t>
  </si>
  <si>
    <t>00000000A6C727E4353C314FBD93409EF639422707000D702909B30966478A168622D1D80E2400000000010D00000D702909B30966478A168622D1D80E240001FCBF54E50000</t>
  </si>
  <si>
    <t>00000000A6C727E4353C314FBD93409EF639422707000D702909B30966478A168622D1D80E2400000000010D00000D702909B30966478A168622D1D80E240001FCBF54E40000</t>
  </si>
  <si>
    <t>00000000A6C727E4353C314FBD93409EF639422707000D702909B30966478A168622D1D80E2400000000010D00000D702909B30966478A168622D1D80E240001FCBF54FE0000</t>
  </si>
  <si>
    <t>MLP</t>
  </si>
  <si>
    <t>id=3137199888</t>
  </si>
  <si>
    <t>00000000A6C727E4353C314FBD93409EF639422707000D702909B30966478A168622D1D80E2400000000010D00000D702909B30966478A168622D1D80E240001FCBF54FD0000</t>
  </si>
  <si>
    <t>https://veloxfintech.zoom.us/my/buildfaster id=3204006305</t>
  </si>
  <si>
    <t>00000000A6C727E4353C314FBD93409EF639422707000D702909B30966478A168622D1D80E2400000000010D00000D702909B30966478A168622D1D80E240001FCBF54FC0000</t>
  </si>
  <si>
    <t>UI Build session</t>
  </si>
  <si>
    <t>https://veloxfintech.zoom.us/j/86335720760?pwd=RDF4dkorbkw4aTZPYzR4RVRTVjN3dz09&amp;from=addon</t>
  </si>
  <si>
    <t>Ali Moosavi,Jon Butler,Ross Lucas</t>
  </si>
  <si>
    <t>00000000A6C727E4353C314FBD93409EF639422707000D702909B30966478A168622D1D80E2400000000010D00000D702909B30966478A168622D1D80E240001FCBF54FB0000</t>
  </si>
  <si>
    <t>00000000A6C727E4353C314FBD93409EF639422707000D702909B30966478A168622D1D80E2400000000010D00000D702909B30966478A168622D1D80E240001FCBF54FA0000</t>
  </si>
  <si>
    <t xml:space="preserve">Velox Coverage Tool Demo </t>
  </si>
  <si>
    <t>updated to WEBEX https://veloxfintech.my.webex.com/meet/demo id=3137199888</t>
  </si>
  <si>
    <t>00000000A6C727E4353C314FBD93409EF639422707000D702909B30966478A168622D1D80E2400000000010D00000D702909B30966478A168622D1D80E240001FCBF54F90000</t>
  </si>
  <si>
    <t>00000000A6C727E4353C314FBD93409EF639422707000D702909B30966478A168622D1D80E2400000000010D00000D702909B30966478A168622D1D80E240001FCBF54F80000</t>
  </si>
  <si>
    <t>00000000A6C727E4353C314FBD93409EF639422707000D702909B30966478A168622D1D80E2400000000010D00000D702909B30966478A168622D1D80E240001FCBF54F70000</t>
  </si>
  <si>
    <t>00000000A6C727E4353C314FBD93409EF639422707000D702909B30966478A168622D1D80E2400000000010D00000D702909B30966478A168622D1D80E240001FCBF54F60000</t>
  </si>
  <si>
    <t>00000000A6C727E4353C314FBD93409EF639422707000D702909B30966478A168622D1D80E2400000000010D00000D702909B30966478A168622D1D80E240001FCBF54F50000</t>
  </si>
  <si>
    <t>00000000A6C727E4353C314FBD93409EF639422707000D702909B30966478A168622D1D80E2400000000010D00000D702909B30966478A168622D1D80E240001FCBF54F40000</t>
  </si>
  <si>
    <t>00000000A6C727E4353C314FBD93409EF639422707000D702909B30966478A168622D1D80E2400000000010D00000D702909B30966478A168622D1D80E240001FCBF54F30000</t>
  </si>
  <si>
    <t>00000000A6C727E4353C314FBD93409EF639422707000D702909B30966478A168622D1D80E2400000000010D00000D702909B30966478A168622D1D80E240001FCBF54F20000</t>
  </si>
  <si>
    <t>00000000A6C727E4353C314FBD93409EF639422707000D702909B30966478A168622D1D80E2400000000010D00000D702909B30966478A168622D1D80E240001FCBF54F10000</t>
  </si>
  <si>
    <t>00000000A6C727E4353C314FBD93409EF639422707000D702909B30966478A168622D1D80E2400000000010D00000D702909B30966478A168622D1D80E240001FCBF54F00000</t>
  </si>
  <si>
    <t>00000000A6C727E4353C314FBD93409EF639422707000D702909B30966478A168622D1D80E2400000000010D00000D702909B30966478A168622D1D80E240001FCBF54EF0000</t>
  </si>
  <si>
    <t>00000000A6C727E4353C314FBD93409EF639422707000D702909B30966478A168622D1D80E2400000000010D00000D702909B30966478A168622D1D80E240001FCBF54EE0000</t>
  </si>
  <si>
    <t>00000000A6C727E4353C314FBD93409EF639422707000D702909B30966478A168622D1D80E2400000000010D00000D702909B30966478A168622D1D80E240001FCBF54ED0000</t>
  </si>
  <si>
    <t>00000000A6C727E4353C314FBD93409EF639422707000D702909B30966478A168622D1D80E2400000000010D00000D702909B30966478A168622D1D80E240001FCBF54EC0000</t>
  </si>
  <si>
    <t>Jon/Steve</t>
  </si>
  <si>
    <t>Jon Butler,'Steve Grob'</t>
  </si>
  <si>
    <t>00000000A6C727E4353C314FBD93409EF639422707000D702909B30966478A168622D1D80E2400000000010D00000D702909B30966478A168622D1D80E240001FCBF54EB0000</t>
  </si>
  <si>
    <t>TROWE price prep</t>
  </si>
  <si>
    <t>00000000A6C727E4353C314FBD93409EF639422707000D702909B30966478A168622D1D80E2400000000010D00000D702909B30966478A168622D1D80E240001FCBF54EA0000</t>
  </si>
  <si>
    <t>00000000A6C727E4353C314FBD93409EF639422707000D702909B30966478A168622D1D80E2400000000010D00000D702909B30966478A168622D1D80E240001FCBF54E90000</t>
  </si>
  <si>
    <t>TROWE price</t>
  </si>
  <si>
    <t>00000000A6C727E4353C314FBD93409EF639422707000D702909B30966478A168622D1D80E2400000000010D00000D702909B30966478A168622D1D80E240001FCBF54E80000</t>
  </si>
  <si>
    <t>TROWE physical</t>
  </si>
  <si>
    <t>00000000A6C727E4353C314FBD93409EF639422707000D702909B30966478A168622D1D80E2400000000010D00000D702909B30966478A168622D1D80E240001FCBF54E70000</t>
  </si>
  <si>
    <t>00000000A6C727E4353C314FBD93409EF639422707000D702909B30966478A168622D1D80E2400000000010D00000D702909B30966478A168622D1D80E240001FCBF54E60000</t>
  </si>
  <si>
    <t>pull out team calendar for time tracking</t>
  </si>
  <si>
    <t>00000000A6C727E4353C314FBD93409EF639422707000D702909B30966478A168622D1D80E2400000000010D00000D702909B30966478A168622D1D80E240001FCBF55030000</t>
  </si>
  <si>
    <t>news / writing up meetings</t>
  </si>
  <si>
    <t>id=3204006305</t>
  </si>
  <si>
    <t>00000000A6C727E4353C314FBD93409EF639422707000D702909B30966478A168622D1D80E2400000000010D00000D702909B30966478A168622D1D80E240001FCBF55020000</t>
  </si>
  <si>
    <t>00000000A6C727E4353C314FBD93409EF639422707000D702909B30966478A168622D1D80E2400000000010D00000D702909B30966478A168622D1D80E240001FCBF55010000</t>
  </si>
  <si>
    <t>00000000A6C727E4353C314FBD93409EF639422707000D702909B30966478A168622D1D80E2400000000010D00000D702909B30966478A168622D1D80E240001FCBF55000000</t>
  </si>
  <si>
    <t>00000000A6C727E4353C314FBD93409EF639422707000D702909B30966478A168622D1D80E2400000000010D00000D702909B30966478A168622D1D80E240001FCBF54FF0000</t>
  </si>
  <si>
    <t>monday tools</t>
  </si>
  <si>
    <t>00000000A6C727E4353C314FBD93409EF639422707000D702909B30966478A168622D1D80E2400000000010D00000D702909B30966478A168622D1D80E240002534C92610000</t>
  </si>
  <si>
    <t>00000000A6C727E4353C314FBD93409EF639422707000D702909B30966478A168622D1D80E2400000000010D00000D702909B30966478A168622D1D80E240001FCBF550F0000</t>
  </si>
  <si>
    <t>tools admin as i have disk space issues</t>
  </si>
  <si>
    <t>id=3204045494</t>
  </si>
  <si>
    <t>00000000A6C727E4353C314FBD93409EF639422707000D702909B30966478A168622D1D80E2400000000010D00000D702909B30966478A168622D1D80E240001FCBF550C0000</t>
  </si>
  <si>
    <t>monday too</t>
  </si>
  <si>
    <t>00000000A6C727E4353C314FBD93409EF639422707000D702909B30966478A168622D1D80E2400000000010D00000D702909B30966478A168622D1D80E240001FCBF550B0000</t>
  </si>
  <si>
    <t>00000000A6C727E4353C314FBD93409EF639422707000D702909B30966478A168622D1D80E2400000000010D00000D702909B30966478A168622D1D80E240001FCBF550A0000</t>
  </si>
  <si>
    <t>CACIB TE</t>
  </si>
  <si>
    <t>00000000A6C727E4353C314FBD93409EF639422707000D702909B30966478A168622D1D80E2400000000010D00000D702909B30966478A168622D1D80E240001FCBF55090000</t>
  </si>
  <si>
    <t>00000000A6C727E4353C314FBD93409EF639422707000D702909B30966478A168622D1D80E2400000000010D00000D702909B30966478A168622D1D80E240001FCBF55080000</t>
  </si>
  <si>
    <t>MONDAY TOOLS</t>
  </si>
  <si>
    <t>00000000A6C727E4353C314FBD93409EF639422707000D702909B30966478A168622D1D80E2400000000010D00000D702909B30966478A168622D1D80E240001FCBF55070000</t>
  </si>
  <si>
    <t>NETO</t>
  </si>
  <si>
    <t>00000000A6C727E4353C314FBD93409EF639422707000D702909B30966478A168622D1D80E2400000000010D00000D702909B30966478A168622D1D80E240001FCBF55060000</t>
  </si>
  <si>
    <t>Dr. Chang - Jon Eye Checkup</t>
  </si>
  <si>
    <t>Stahl Eyecare Experts_x000D_
450 Endo Blvd, Garden City, NY 11530, United States</t>
  </si>
  <si>
    <t>Nancy Butler,butlerjon72@gmail.com,Jon Butler</t>
  </si>
  <si>
    <t>00000000A6C727E4353C314FBD93409EF639422707000D702909B30966478A168622D1D80E2400000000010D00000D702909B30966478A168622D1D80E240001FCBF55050000</t>
  </si>
  <si>
    <t>00000000A6C727E4353C314FBD93409EF639422707000D702909B30966478A168622D1D80E2400000000010D00000D702909B30966478A168622D1D80E240001FCBF55040000</t>
  </si>
  <si>
    <t>Velox presentation - product / business model</t>
  </si>
  <si>
    <t>WebEx; id=2967265419</t>
  </si>
  <si>
    <t>SATCHEL, Thomas (CA-CIB),Jon Butler,Alison Hood,Jason Yan,MCCALL, Ian (CA-CIB),RABBIOSI, Alessandro (CA-CIB),RAVEN, Erwan (CA-CIB),HORTH, Eliza (CA-CIB),EVANS, Linda (External),ABDUL, Rashad (CA-CIB),Ross Lucas</t>
  </si>
  <si>
    <t>00000000A6C727E4353C314FBD93409EF639422707000D702909B30966478A168622D1D80E2400000000010D00000D702909B30966478A168622D1D80E240001FCBF550D0000</t>
  </si>
  <si>
    <t>Thought Experiment - Final presentation</t>
  </si>
  <si>
    <t>Webex; id=2967265419</t>
  </si>
  <si>
    <t>EVANS, Linda (External),Jason Yan,Alison Hood,Jon Butler,Ross Lucas,HORTH, Eliza (CA-CIB),SATCHEL, Thomas (CA-CIB)</t>
  </si>
  <si>
    <t>EVANS, Linda (External)</t>
  </si>
  <si>
    <t>00000000A6C727E4353C314FBD93409EF639422707000D702909B30966478A168622D1D80E2400000000010D00000D702909B30966478A168622D1D80E240001FCBF550E0000</t>
  </si>
  <si>
    <t>news feed</t>
  </si>
  <si>
    <t>00000000A6C727E4353C314FBD93409EF639422707000D702909B30966478A168622D1D80E2400000000010D00000D702909B30966478A168622D1D80E240002534C92620000</t>
  </si>
  <si>
    <t>00000000A6C727E4353C314FBD93409EF639422707000D702909B30966478A168622D1D80E2400000000010D00000D702909B30966478A168622D1D80E240001FCBF55100000</t>
  </si>
  <si>
    <t>CACIB</t>
  </si>
  <si>
    <t>00000000A6C727E4353C314FBD93409EF639422707000D702909B30966478A168622D1D80E2400000000010D00000D702909B30966478A168622D1D80E240002534C92630000</t>
  </si>
  <si>
    <t>00000000A6C727E4353C314FBD93409EF639422707000D702909B30966478A168622D1D80E2400000000010D00000D702909B30966478A168622D1D80E240001FCBF55110000</t>
  </si>
  <si>
    <t>00000000A6C727E4353C314FBD93409EF639422707000D702909B30966478A168622D1D80E2400000000010D00000D702909B30966478A168622D1D80E240001FCBF55130000</t>
  </si>
  <si>
    <t>Synch RA VX trads</t>
  </si>
  <si>
    <t>00000000A6C727E4353C314FBD93409EF639422707000D702909B30966478A168622D1D80E2400000000010D00000D702909B30966478A168622D1D80E240001FCBF55120000</t>
  </si>
  <si>
    <t>00000000A6C727E4353C314FBD93409EF639422707000D702909B30966478A168622D1D80E2400000000010D00000D702909B30966478A168622D1D80E240001FCBF55160000</t>
  </si>
  <si>
    <t>00000000A6C727E4353C314FBD93409EF639422707000D702909B30966478A168622D1D80E2400000000010D00000D702909B30966478A168622D1D80E240001FCBF55150000</t>
  </si>
  <si>
    <t>https://veloxfintech.zoom.us/my/buildfaster  id=3204006305</t>
  </si>
  <si>
    <t>00000000A6C727E4353C314FBD93409EF639422707000D702909B30966478A168622D1D80E2400000000010D00000D702909B30966478A168622D1D80E240001FCBF55140000</t>
  </si>
  <si>
    <t>00000000A6C727E4353C314FBD93409EF639422707000D702909B30966478A168622D1D80E2400000000010D00000D702909B30966478A168622D1D80E240002534C92640000</t>
  </si>
  <si>
    <t>00000000A6C727E4353C314FBD93409EF639422707000D702909B30966478A168622D1D80E2400000000010D00000D702909B30966478A168622D1D80E240002534C92650000</t>
  </si>
  <si>
    <t>news articles</t>
  </si>
  <si>
    <t>00000000A6C727E4353C314FBD93409EF639422707000D702909B30966478A168622D1D80E2400000000010D00000D702909B30966478A168622D1D80E240001FCBF55180000</t>
  </si>
  <si>
    <t>00000000A6C727E4353C314FBD93409EF639422707000D702909B30966478A168622D1D80E2400000000010D00000D702909B30966478A168622D1D80E240001FCBF55170000</t>
  </si>
  <si>
    <t>news / content</t>
  </si>
  <si>
    <t>00000000A6C727E4353C314FBD93409EF639422707000D702909B30966478A168622D1D80E2400000000010D00000D702909B30966478A168622D1D80E240002534C92660000</t>
  </si>
  <si>
    <t>JAson</t>
  </si>
  <si>
    <t>00000000A6C727E4353C314FBD93409EF639422707000D702909B30966478A168622D1D80E2400000000010D00000D702909B30966478A168622D1D80E240002534C92670000</t>
  </si>
  <si>
    <t>test bike / breakfast</t>
  </si>
  <si>
    <t>00000000A6C727E4353C314FBD93409EF639422707000D702909B30966478A168622D1D80E2400000000010D00000D702909B30966478A168622D1D80E240001FCBF551A0000</t>
  </si>
  <si>
    <t>lunch/bikestore/quinton</t>
  </si>
  <si>
    <t>00000000A6C727E4353C314FBD93409EF639422707000D702909B30966478A168622D1D80E2400000000010D00000D702909B30966478A168622D1D80E240001FCBF55190000</t>
  </si>
  <si>
    <t>greg</t>
  </si>
  <si>
    <t>id=3203999780</t>
  </si>
  <si>
    <t>00000000A6C727E4353C314FBD93409EF639422707000D702909B30966478A168622D1D80E2400000000010D00000D702909B30966478A168622D1D80E240002534C92680000</t>
  </si>
  <si>
    <t>neto microsoft account</t>
  </si>
  <si>
    <t>00000000A6C727E4353C314FBD93409EF639422707000D702909B30966478A168622D1D80E2400000000010D00000D702909B30966478A168622D1D80E240001FCBF551D0000</t>
  </si>
  <si>
    <t>00000000A6C727E4353C314FBD93409EF639422707000D702909B30966478A168622D1D80E2400000000010D00000D702909B30966478A168622D1D80E240001FCBF551C0000</t>
  </si>
  <si>
    <t>00000000A6C727E4353C314FBD93409EF639422707000D702909B30966478A168622D1D80E2400000000010D00000D702909B30966478A168622D1D80E240001FCBF551B0000</t>
  </si>
  <si>
    <t>UK Board Meeting</t>
  </si>
  <si>
    <t>Alison Hood,Jason Yan,Jon Butler,govind.jajoo</t>
  </si>
  <si>
    <t>00000000A6C727E4353C314FBD93409EF639422707000D702909B30966478A168622D1D80E2400000000010D00000D702909B30966478A168622D1D80E24000261C36A850000</t>
  </si>
  <si>
    <t>RA</t>
  </si>
  <si>
    <t>00000000A6C727E4353C314FBD93409EF639422707000D702909B30966478A168622D1D80E2400000000010D00000D702909B30966478A168622D1D80E240002534C92690000</t>
  </si>
  <si>
    <t>00000000A6C727E4353C314FBD93409EF639422707000D702909B30966478A168622D1D80E2400000000010D00000D702909B30966478A168622D1D80E240002534C926A0000</t>
  </si>
  <si>
    <t>00000000A6C727E4353C314FBD93409EF639422707000D702909B30966478A168622D1D80E2400000000010D00000D702909B30966478A168622D1D80E240001FCBF551E0000</t>
  </si>
  <si>
    <t>00000000A6C727E4353C314FBD93409EF639422707000D702909B30966478A168622D1D80E2400000000010D00000D702909B30966478A168622D1D80E240002534C926B0000</t>
  </si>
  <si>
    <t>TRADS</t>
  </si>
  <si>
    <t>00000000A6C727E4353C314FBD93409EF639422707000D702909B30966478A168622D1D80E2400000000010D00000D702909B30966478A168622D1D80E240002534C926C0000</t>
  </si>
  <si>
    <t>00000000A6C727E4353C314FBD93409EF639422707000D702909B30966478A168622D1D80E2400000000010D00000D702909B30966478A168622D1D80E240002534C926D0000</t>
  </si>
  <si>
    <t>00000000A6C727E4353C314FBD93409EF639422707000D702909B30966478A168622D1D80E2400000000010D00000D702909B30966478A168622D1D80E240001FCBF55220000</t>
  </si>
  <si>
    <t>CACIB prep</t>
  </si>
  <si>
    <t>00000000A6C727E4353C314FBD93409EF639422707000D702909B30966478A168622D1D80E2400000000010D00000D702909B30966478A168622D1D80E240001FCBF55210000</t>
  </si>
  <si>
    <t>ultumus</t>
  </si>
  <si>
    <t>00000000A6C727E4353C314FBD93409EF639422707000D702909B30966478A168622D1D80E2400000000010D00000D702909B30966478A168622D1D80E240001FCBF55200000</t>
  </si>
  <si>
    <t>Jon/Jim - Catchup</t>
  </si>
  <si>
    <t>https://veloxfintech.zoom.us/my/buildfaster id=2982883300</t>
  </si>
  <si>
    <t>Jon Butler,Jim Bunting</t>
  </si>
  <si>
    <t>00000000A6C727E4353C314FBD93409EF639422707000D702909B30966478A168622D1D80E2400000000010D00000D702909B30966478A168622D1D80E240001FCBF551F0000</t>
  </si>
  <si>
    <t>00000000A6C727E4353C314FBD93409EF639422707000D702909B30966478A168622D1D80E2400000000010D00000D702909B30966478A168622D1D80E240002534C926E0000</t>
  </si>
  <si>
    <t>00000000A6C727E4353C314FBD93409EF639422707000D702909B30966478A168622D1D80E2400000000010D00000D702909B30966478A168622D1D80E240001FCBF55230000</t>
  </si>
  <si>
    <t>00000000A6C727E4353C314FBD93409EF639422707000D702909B30966478A168622D1D80E2400000000010D00000D702909B30966478A168622D1D80E240001FCBF552E0000</t>
  </si>
  <si>
    <t>Mike</t>
  </si>
  <si>
    <t>00000000A6C727E4353C314FBD93409EF639422707000D702909B30966478A168622D1D80E2400000000010D00000D702909B30966478A168622D1D80E240001FCBF552D0000</t>
  </si>
  <si>
    <t>00000000A6C727E4353C314FBD93409EF639422707000D702909B30966478A168622D1D80E2400000000010D00000D702909B30966478A168622D1D80E240001FCBF552C0000</t>
  </si>
  <si>
    <t>00000000A6C727E4353C314FBD93409EF639422707000D702909B30966478A168622D1D80E2400000000010D00000D702909B30966478A168622D1D80E240001FCBF552B0000</t>
  </si>
  <si>
    <t>https://veloxfintech.zoom.us/my/buildfaster  id=2193345636</t>
  </si>
  <si>
    <t>00000000A6C727E4353C314FBD93409EF639422707000D702909B30966478A168622D1D80E2400000000010D00000D702909B30966478A168622D1D80E240001FCBF552A0000</t>
  </si>
  <si>
    <t>00000000A6C727E4353C314FBD93409EF639422707000D702909B30966478A168622D1D80E2400000000010D00000D702909B30966478A168622D1D80E240001FCBF55290000</t>
  </si>
  <si>
    <t>meeting minutes</t>
  </si>
  <si>
    <t>00000000A6C727E4353C314FBD93409EF639422707000D702909B30966478A168622D1D80E2400000000010D00000D702909B30966478A168622D1D80E240001FCBF55280000</t>
  </si>
  <si>
    <t>trADS</t>
  </si>
  <si>
    <t>00000000A6C727E4353C314FBD93409EF639422707000D702909B30966478A168622D1D80E2400000000010D00000D702909B30966478A168622D1D80E240001FCBF55270000</t>
  </si>
  <si>
    <t>00000000A6C727E4353C314FBD93409EF639422707000D702909B30966478A168622D1D80E2400000000010D00000D702909B30966478A168622D1D80E240001FCBF55250000</t>
  </si>
  <si>
    <t>00000000A6C727E4353C314FBD93409EF639422707000D702909B30966478A168622D1D80E2400000000010D00000D702909B30966478A168622D1D80E240001FCBF55240000</t>
  </si>
  <si>
    <t>Neto &amp; Jon - 1st day kick-off</t>
  </si>
  <si>
    <t>Neto,Jon Butler</t>
  </si>
  <si>
    <t>00000000A6C727E4353C314FBD93409EF639422707000D702909B30966478A168622D1D80E2400000000010D00000D702909B30966478A168622D1D80E240001FCBF55260000</t>
  </si>
  <si>
    <t>00000000A6C727E4353C314FBD93409EF639422707000D702909B30966478A168622D1D80E2400000000010D00000D702909B30966478A168622D1D80E240002534C926F0000</t>
  </si>
  <si>
    <t>00000000A6C727E4353C314FBD93409EF639422707000D702909B30966478A168622D1D80E2400000000010D00000D702909B30966478A168622D1D80E240002534C92700000</t>
  </si>
  <si>
    <t>00000000A6C727E4353C314FBD93409EF639422707000D702909B30966478A168622D1D80E2400000000010D00000D702909B30966478A168622D1D80E240002534C92710000</t>
  </si>
  <si>
    <t>00000000A6C727E4353C314FBD93409EF639422707000D702909B30966478A168622D1D80E2400000000010D00000D702909B30966478A168622D1D80E240001FCBF55380000</t>
  </si>
  <si>
    <t>00000000A6C727E4353C314FBD93409EF639422707000D702909B30966478A168622D1D80E2400000000010D00000D702909B30966478A168622D1D80E240001FCBF55370000</t>
  </si>
  <si>
    <t>00000000A6C727E4353C314FBD93409EF639422707000D702909B30966478A168622D1D80E2400000000010D00000D702909B30966478A168622D1D80E240001FCBF55360000</t>
  </si>
  <si>
    <t>Jon/Neto</t>
  </si>
  <si>
    <t>00000000A6C727E4353C314FBD93409EF639422707000D702909B30966478A168622D1D80E2400000000010D00000D702909B30966478A168622D1D80E240001FCBF55350000</t>
  </si>
  <si>
    <t>Resiliency Testing and Go-Live Delay</t>
  </si>
  <si>
    <t>Deepak Dhayatker,Jason Yan,Jon Butler,Greg Lee</t>
  </si>
  <si>
    <t>Deepak Dhayatker</t>
  </si>
  <si>
    <t>00000000A6C727E4353C314FBD93409EF639422707000D702909B30966478A168622D1D80E2400000000010D00000D702909B30966478A168622D1D80E240001FCBF55340000</t>
  </si>
  <si>
    <t>Jon/Alison</t>
  </si>
  <si>
    <t>Jon Butler,Alison Hood</t>
  </si>
  <si>
    <t>00000000A6C727E4353C314FBD93409EF639422707000D702909B30966478A168622D1D80E2400000000010D00000D702909B30966478A168622D1D80E240001FCBF55330000</t>
  </si>
  <si>
    <t>Jon/Ross - Sync up on CACIB response</t>
  </si>
  <si>
    <t>00000000A6C727E4353C314FBD93409EF639422707000D702909B30966478A168622D1D80E2400000000010D00000D702909B30966478A168622D1D80E240001FCBF55320000</t>
  </si>
  <si>
    <t>Jon Butler,Neto</t>
  </si>
  <si>
    <t>00000000A6C727E4353C314FBD93409EF639422707000D702909B30966478A168622D1D80E2400000000010D00000D702909B30966478A168622D1D80E240001FCBF55310000</t>
  </si>
  <si>
    <t>00000000A6C727E4353C314FBD93409EF639422707000D702909B30966478A168622D1D80E2400000000010D00000D702909B30966478A168622D1D80E240001FCBF55300000</t>
  </si>
  <si>
    <t>00000000A6C727E4353C314FBD93409EF639422707000D702909B30966478A168622D1D80E2400000000010D00000D702909B30966478A168622D1D80E240001FCBF552F0000</t>
  </si>
  <si>
    <t>fix my computer</t>
  </si>
  <si>
    <t>00000000A6C727E4353C314FBD93409EF639422707000D702909B30966478A168622D1D80E2400000000010D00000D702909B30966478A168622D1D80E240002534C92720000</t>
  </si>
  <si>
    <t>00000000A6C727E4353C314FBD93409EF639422707000D702909B30966478A168622D1D80E2400000000010D00000D702909B30966478A168622D1D80E240002534C92730000</t>
  </si>
  <si>
    <t>00000000A6C727E4353C314FBD93409EF639422707000D702909B30966478A168622D1D80E2400000000010D00000D702909B30966478A168622D1D80E240002534C92740000</t>
  </si>
  <si>
    <t>00000000A6C727E4353C314FBD93409EF639422707000D702909B30966478A168622D1D80E2400000000010D00000D702909B30966478A168622D1D80E240002534C92750000</t>
  </si>
  <si>
    <t>cosaic marketing</t>
  </si>
  <si>
    <t>00000000A6C727E4353C314FBD93409EF639422707000D702909B30966478A168622D1D80E2400000000010D00000D702909B30966478A168622D1D80E240002534C92760000</t>
  </si>
  <si>
    <t>00000000A6C727E4353C314FBD93409EF639422707000D702909B30966478A168622D1D80E2400000000010D00000D702909B30966478A168622D1D80E240002534C92770000</t>
  </si>
  <si>
    <t>COSAIC</t>
  </si>
  <si>
    <t>Sales opp support^ Sales Proc Support</t>
  </si>
  <si>
    <t>00000000A6C727E4353C314FBD93409EF639422707000D702909B30966478A168622D1D80E2400000000010D00000D702909B30966478A168622D1D80E240002534C92780000</t>
  </si>
  <si>
    <t>00000000A6C727E4353C314FBD93409EF639422707000D702909B30966478A168622D1D80E2400000000010D00000D702909B30966478A168622D1D80E240002534C92790000</t>
  </si>
  <si>
    <t>00000000A6C727E4353C314FBD93409EF639422707000D702909B30966478A168622D1D80E2400000000010D00000D702909B30966478A168622D1D80E240002534C927A0000</t>
  </si>
  <si>
    <t>cosaci and content releases</t>
  </si>
  <si>
    <t>00000000A6C727E4353C314FBD93409EF639422707000D702909B30966478A168622D1D80E2400000000010D00000D702909B30966478A168622D1D80E240002534C927B0000</t>
  </si>
  <si>
    <t>digital content</t>
  </si>
  <si>
    <t>00000000A6C727E4353C314FBD93409EF639422707000D702909B30966478A168622D1D80E2400000000010D00000D702909B30966478A168622D1D80E240002534C927C0000</t>
  </si>
  <si>
    <t>00000000A6C727E4353C314FBD93409EF639422707000D702909B30966478A168622D1D80E2400000000010D00000D702909B30966478A168622D1D80E24000265333F2D0000</t>
  </si>
  <si>
    <t>PC setup / fix</t>
  </si>
  <si>
    <t>00000000A6C727E4353C314FBD93409EF639422707000D702909B30966478A168622D1D80E2400000000010D00000D702909B30966478A168622D1D80E24000265333F2A0000</t>
  </si>
  <si>
    <t>00000000A6C727E4353C314FBD93409EF639422707000D702909B30966478A168622D1D80E2400000000010D00000D702909B30966478A168622D1D80E24000265333F2C0000</t>
  </si>
  <si>
    <t>00000000A6C727E4353C314FBD93409EF639422707000D702909B30966478A168622D1D80E2400000000010D00000D702909B30966478A168622D1D80E24000265333F2B0000</t>
  </si>
  <si>
    <t>id=1641661718</t>
  </si>
  <si>
    <t>00000000A6C727E4353C314FBD93409EF639422707000D702909B30966478A168622D1D80E2400000000010D00000D702909B30966478A168622D1D80E24000265348E710000</t>
  </si>
  <si>
    <t>00000000A6C727E4353C314FBD93409EF639422707000D702909B30966478A168622D1D80E2400000000010D00000D702909B30966478A168622D1D80E24000265318BAE0000</t>
  </si>
  <si>
    <t>sales milestons</t>
  </si>
  <si>
    <t>00000000A6C727E4353C314FBD93409EF639422707000D702909B30966478A168622D1D80E2400000000010D00000D702909B30966478A168622D1D80E240002534C927D0000</t>
  </si>
  <si>
    <t>sales milestones</t>
  </si>
  <si>
    <t>00000000A6C727E4353C314FBD93409EF639422707000D702909B30966478A168622D1D80E2400000000010D00000D702909B30966478A168622D1D80E240002534C927E0000</t>
  </si>
  <si>
    <t>00000000A6C727E4353C314FBD93409EF639422707000D702909B30966478A168622D1D80E2400000000010D00000D702909B30966478A168622D1D80E24000265333F2E0000</t>
  </si>
  <si>
    <t>II SDLC</t>
  </si>
  <si>
    <t>00000000A6C727E4353C314FBD93409EF639422707000D702909B30966478A168622D1D80E2400000000010D00000D702909B30966478A168622D1D80E240002534C927F0000</t>
  </si>
  <si>
    <t xml:space="preserve">content </t>
  </si>
  <si>
    <t>00000000A6C727E4353C314FBD93409EF639422707000D702909B30966478A168622D1D80E2400000000010D00000D702909B30966478A168622D1D80E24000265333F2F0000</t>
  </si>
  <si>
    <t>00000000A6C727E4353C314FBD93409EF639422707000D702909B30966478A168622D1D80E2400000000010D00000D702909B30966478A168622D1D80E24000265333F320000</t>
  </si>
  <si>
    <t>Weekly Prep for Trads Mgmt Update</t>
  </si>
  <si>
    <t>Jon Butler,Deepak Dhayatker,Andy Bennett,Jason Yan,mike.powell@rapidaddition.com,Mike Powell</t>
  </si>
  <si>
    <t>00000000A6C727E4353C314FBD93409EF639422707000D702909B30966478A168622D1D80E2400000000010D00000D702909B30966478A168622D1D80E24000265333F310000</t>
  </si>
  <si>
    <t>post / sales process</t>
  </si>
  <si>
    <t>00000000A6C727E4353C314FBD93409EF639422707000D702909B30966478A168622D1D80E2400000000010D00000D702909B30966478A168622D1D80E24000265333F300000</t>
  </si>
  <si>
    <t>00000000A6C727E4353C314FBD93409EF639422707000D702909B30966478A168622D1D80E2400000000010D00000D702909B30966478A168622D1D80E240002534C92800000</t>
  </si>
  <si>
    <t>00000000A6C727E4353C314FBD93409EF639422707000D702909B30966478A168622D1D80E2400000000010D00000D702909B30966478A168622D1D80E24000265348E750000</t>
  </si>
  <si>
    <t>Jon Butler,Ali Moosavi</t>
  </si>
  <si>
    <t>00000000A6C727E4353C314FBD93409EF639422707000D702909B30966478A168622D1D80E2400000000010D00000D702909B30966478A168622D1D80E24000265348E740000</t>
  </si>
  <si>
    <t>Jon/Jim Velox Positioning</t>
  </si>
  <si>
    <t>00000000A6C727E4353C314FBD93409EF639422707000D702909B30966478A168622D1D80E2400000000010D00000D702909B30966478A168622D1D80E24000265348E730000</t>
  </si>
  <si>
    <t>https://veloxfintech.zoom.us/my/buildfaster; id=3045184552</t>
  </si>
  <si>
    <t>00000000A6C727E4353C314FBD93409EF639422707000D702909B30966478A168622D1D80E2400000000010D00000D702909B30966478A168622D1D80E24000265348E720000</t>
  </si>
  <si>
    <t>00000000A6C727E4353C314FBD93409EF639422707000D702909B30966478A168622D1D80E2400000000010D00000D702909B30966478A168622D1D80E24000265333F330000</t>
  </si>
  <si>
    <t>00000000A6C727E4353C314FBD93409EF639422707000D702909B30966478A168622D1D80E2400000000010D00000D702909B30966478A168622D1D80E24000265333F3B0000</t>
  </si>
  <si>
    <t>giles</t>
  </si>
  <si>
    <t>00000000A6C727E4353C314FBD93409EF639422707000D702909B30966478A168622D1D80E2400000000010D00000D702909B30966478A168622D1D80E24000265333F3A0000</t>
  </si>
  <si>
    <t>sales strategy</t>
  </si>
  <si>
    <t>00000000A6C727E4353C314FBD93409EF639422707000D702909B30966478A168622D1D80E2400000000010D00000D702909B30966478A168622D1D80E24000265333F390000</t>
  </si>
  <si>
    <t>content support</t>
  </si>
  <si>
    <t>00000000A6C727E4353C314FBD93409EF639422707000D702909B30966478A168622D1D80E2400000000010D00000D702909B30966478A168622D1D80E24000265333F380000</t>
  </si>
  <si>
    <t>PLACEHOLDER : Fineqia Up-sell Strategy (new Cosmos client)</t>
  </si>
  <si>
    <t>Sales opp support^ Client</t>
  </si>
  <si>
    <t>Jon Butler,Ross Lucas,Bernie Thurston,Jason Yan,Giles Sarton</t>
  </si>
  <si>
    <t>00000000A6C727E4353C314FBD93409EF639422707000D702909B30966478A168622D1D80E2400000000010D00000D702909B30966478A168622D1D80E24000265333F360000</t>
  </si>
  <si>
    <t>LI support</t>
  </si>
  <si>
    <t>id=3199073505</t>
  </si>
  <si>
    <t>00000000A6C727E4353C314FBD93409EF639422707000D702909B30966478A168622D1D80E2400000000010D00000D702909B30966478A168622D1D80E24000265333F350000</t>
  </si>
  <si>
    <t>00000000A6C727E4353C314FBD93409EF639422707000D702909B30966478A168622D1D80E2400000000010D00000D702909B30966478A168622D1D80E24000265333F340000</t>
  </si>
  <si>
    <t>neto</t>
  </si>
  <si>
    <t>00000000A6C727E4353C314FBD93409EF639422707000D702909B30966478A168622D1D80E2400000000010D00000D702909B30966478A168622D1D80E24000265348E780000</t>
  </si>
  <si>
    <t>prospecting</t>
  </si>
  <si>
    <t>00000000A6C727E4353C314FBD93409EF639422707000D702909B30966478A168622D1D80E2400000000010D00000D702909B30966478A168622D1D80E24000265348E770000</t>
  </si>
  <si>
    <t>sales pipeline cleanup</t>
  </si>
  <si>
    <t>00000000A6C727E4353C314FBD93409EF639422707000D702909B30966478A168622D1D80E2400000000010D00000D702909B30966478A168622D1D80E24000265348E760000</t>
  </si>
  <si>
    <t>00000000A6C727E4353C314FBD93409EF639422707000D702909B30966478A168622D1D80E2400000000010D00000D702909B30966478A168622D1D80E240002534C92810000</t>
  </si>
  <si>
    <t>00000000A6C727E4353C314FBD93409EF639422707000D702909B30966478A168622D1D80E2400000000010D00000D702909B30966478A168622D1D80E24000265333F3E0000</t>
  </si>
  <si>
    <t>00000000A6C727E4353C314FBD93409EF639422707000D702909B30966478A168622D1D80E2400000000010D00000D702909B30966478A168622D1D80E24000265333F3D0000</t>
  </si>
  <si>
    <t>00000000A6C727E4353C314FBD93409EF639422707000D702909B30966478A168622D1D80E2400000000010D00000D702909B30966478A168622D1D80E24000265333F3F0000</t>
  </si>
  <si>
    <t>quinton pickup</t>
  </si>
  <si>
    <t>00000000A6C727E4353C314FBD93409EF639422707000D702909B30966478A168622D1D80E2400000000010D00000D702909B30966478A168622D1D80E24000265333F400000</t>
  </si>
  <si>
    <t>00000000A6C727E4353C314FBD93409EF639422707000D702909B30966478A168622D1D80E2400000000010D00000D702909B30966478A168622D1D80E24000265333F410000</t>
  </si>
  <si>
    <t>00000000A6C727E4353C314FBD93409EF639422707000D702909B30966478A168622D1D80E2400000000010D00000D702909B30966478A168622D1D80E24000265333F4A0000</t>
  </si>
  <si>
    <t>00000000A6C727E4353C314FBD93409EF639422707000D702909B30966478A168622D1D80E2400000000010D00000D702909B30966478A168622D1D80E24000265333F490000</t>
  </si>
  <si>
    <t>00000000A6C727E4353C314FBD93409EF639422707000D702909B30966478A168622D1D80E2400000000010D00000D702909B30966478A168622D1D80E24000265333F470000</t>
  </si>
  <si>
    <t>00000000A6C727E4353C314FBD93409EF639422707000D702909B30966478A168622D1D80E2400000000010D00000D702909B30966478A168622D1D80E24000265333F460000</t>
  </si>
  <si>
    <t>email</t>
  </si>
  <si>
    <t>00000000A6C727E4353C314FBD93409EF639422707000D702909B30966478A168622D1D80E2400000000010D00000D702909B30966478A168622D1D80E24000265333F450000</t>
  </si>
  <si>
    <t>Sales Approach</t>
  </si>
  <si>
    <t>Alison Hood,Ali Moosavi,Jon Butler</t>
  </si>
  <si>
    <t>00000000A6C727E4353C314FBD93409EF639422707000D702909B30966478A168622D1D80E2400000000010D00000D702909B30966478A168622D1D80E24000265333F430000</t>
  </si>
  <si>
    <t>Alison Hood,Ross Lucas,Jon Butler</t>
  </si>
  <si>
    <t>00000000A6C727E4353C314FBD93409EF639422707000D702909B30966478A168622D1D80E2400000000010D00000D702909B30966478A168622D1D80E24000265333F4B0000</t>
  </si>
  <si>
    <t>Jon / Fred catchup on potential benchmarking project</t>
  </si>
  <si>
    <t>Frederic Ponzo,Jon Butler</t>
  </si>
  <si>
    <t>Frederic Ponzo</t>
  </si>
  <si>
    <t>00000000A6C727E4353C314FBD93409EF639422707000D702909B30966478A168622D1D80E2400000000010D00000D702909B30966478A168622D1D80E240002534C92820000</t>
  </si>
  <si>
    <t>OMS Target List</t>
  </si>
  <si>
    <t>00000000A6C727E4353C314FBD93409EF639422707000D702909B30966478A168622D1D80E2400000000010D00000D702909B30966478A168622D1D80E240002534C92830000</t>
  </si>
  <si>
    <t>neto/greg intros</t>
  </si>
  <si>
    <t>00000000A6C727E4353C314FBD93409EF639422707000D702909B30966478A168622D1D80E2400000000010D00000D702909B30966478A168622D1D80E240002534C92840000</t>
  </si>
  <si>
    <t>meeting notes / email</t>
  </si>
  <si>
    <t>00000000A6C727E4353C314FBD93409EF639422707000D702909B30966478A168622D1D80E2400000000010D00000D702909B30966478A168622D1D80E240002534C92850000</t>
  </si>
  <si>
    <t>Velox checking in</t>
  </si>
  <si>
    <t>TBD; Microsoft Teams Meeting</t>
  </si>
  <si>
    <t>Best, Stephen,Jon Butler,Barker, Nicholas</t>
  </si>
  <si>
    <t>Best, Stephen</t>
  </si>
  <si>
    <t>00000000A6C727E4353C314FBD93409EF639422707000D702909B30966478A168622D1D80E2400000000010D00000D702909B30966478A168622D1D80E24000265333F4C0000</t>
  </si>
  <si>
    <t>00000000A6C727E4353C314FBD93409EF639422707000D702909B30966478A168622D1D80E2400000000010D00000D702909B30966478A168622D1D80E24000265333F4F0000</t>
  </si>
  <si>
    <t>Canceled: Social Media Weekly Wrap</t>
  </si>
  <si>
    <t>Alison Hood,Jon Butler,Christian Schueler</t>
  </si>
  <si>
    <t>00000000A6C727E4353C314FBD93409EF639422707000D702909B30966478A168622D1D80E2400000000010D00000D702909B30966478A168622D1D80E240002694F810D0000</t>
  </si>
  <si>
    <t>capsule lost reasons</t>
  </si>
  <si>
    <t>00000000A6C727E4353C314FBD93409EF639422707000D702909B30966478A168622D1D80E2400000000010D00000D702909B30966478A168622D1D80E24000265333F4E0000</t>
  </si>
  <si>
    <t>00000000A6C727E4353C314FBD93409EF639422707000D702909B30966478A168622D1D80E2400000000010D00000D702909B30966478A168622D1D80E240002534C92860000</t>
  </si>
  <si>
    <t>00000000A6C727E4353C314FBD93409EF639422707000D702909B30966478A168622D1D80E2400000000010D00000D702909B30966478A168622D1D80E240002534C92870000</t>
  </si>
  <si>
    <t>00000000A6C727E4353C314FBD93409EF639422707000D702909B30966478A168622D1D80E2400000000010D00000D702909B30966478A168622D1D80E24000265333F500000</t>
  </si>
  <si>
    <t>00000000A6C727E4353C314FBD93409EF639422707000D702909B30966478A168622D1D80E2400000000010D00000D702909B30966478A168622D1D80E24000265348E7B0000</t>
  </si>
  <si>
    <t>00000000A6C727E4353C314FBD93409EF639422707000D702909B30966478A168622D1D80E2400000000010D00000D702909B30966478A168622D1D80E24000265348E7A0000</t>
  </si>
  <si>
    <t>00000000A6C727E4353C314FBD93409EF639422707000D702909B30966478A168622D1D80E2400000000010D00000D702909B30966478A168622D1D80E24000265333F530000</t>
  </si>
  <si>
    <t>00000000A6C727E4353C314FBD93409EF639422707000D702909B30966478A168622D1D80E2400000000010D00000D702909B30966478A168622D1D80E24000265333F520000</t>
  </si>
  <si>
    <t>capsule lost reasons and report improve</t>
  </si>
  <si>
    <t>00000000A6C727E4353C314FBD93409EF639422707000D702909B30966478A168622D1D80E2400000000010D00000D702909B30966478A168622D1D80E24000265333F510000</t>
  </si>
  <si>
    <t xml:space="preserve">Sync up on Cosaic/Finsemble </t>
  </si>
  <si>
    <t>Jon Butler,Ali Moosavi,Neto</t>
  </si>
  <si>
    <t>00000000A6C727E4353C314FBD93409EF639422707000D702909B30966478A168622D1D80E2400000000010D00000D702909B30966478A168622D1D80E240002534C92880000</t>
  </si>
  <si>
    <t>00000000A6C727E4353C314FBD93409EF639422707000D702909B30966478A168622D1D80E2400000000010D00000D702909B30966478A168622D1D80E240002534C92890000</t>
  </si>
  <si>
    <t>neto i9</t>
  </si>
  <si>
    <t>00000000A6C727E4353C314FBD93409EF639422707000D702909B30966478A168622D1D80E2400000000010D00000D702909B30966478A168622D1D80E24000265333F540000</t>
  </si>
  <si>
    <t>reading / content</t>
  </si>
  <si>
    <t>00000000A6C727E4353C314FBD93409EF639422707000D702909B30966478A168622D1D80E2400000000010D00000D702909B30966478A168622D1D80E240002534C928A0000</t>
  </si>
  <si>
    <t>00000000A6C727E4353C314FBD93409EF639422707000D702909B30966478A168622D1D80E2400000000010D00000D702909B30966478A168622D1D80E240002534C928B0000</t>
  </si>
  <si>
    <t>contacts cleanup</t>
  </si>
  <si>
    <t>00000000A6C727E4353C314FBD93409EF639422707000D702909B30966478A168622D1D80E2400000000010D00000D702909B30966478A168622D1D80E240002534C928C0000</t>
  </si>
  <si>
    <t>00000000A6C727E4353C314FBD93409EF639422707000D702909B30966478A168622D1D80E2400000000010D00000D702909B30966478A168622D1D80E24000265333F560000</t>
  </si>
  <si>
    <t>00000000A6C727E4353C314FBD93409EF639422707000D702909B30966478A168622D1D80E2400000000010D00000D702909B30966478A168622D1D80E24000265333F550000</t>
  </si>
  <si>
    <t>content</t>
  </si>
  <si>
    <t>00000000A6C727E4353C314FBD93409EF639422707000D702909B30966478A168622D1D80E2400000000010D00000D702909B30966478A168622D1D80E240002534C928D0000</t>
  </si>
  <si>
    <t>00000000A6C727E4353C314FBD93409EF639422707000D702909B30966478A168622D1D80E2400000000010D00000D702909B30966478A168622D1D80E240002534C928E0000</t>
  </si>
  <si>
    <t>capsule cleaup</t>
  </si>
  <si>
    <t>00000000A6C727E4353C314FBD93409EF639422707000D702909B30966478A168622D1D80E2400000000010D00000D702909B30966478A168622D1D80E240002534C928F0000</t>
  </si>
  <si>
    <t>00000000A6C727E4353C314FBD93409EF639422707000D702909B30966478A168622D1D80E2400000000010D00000D702909B30966478A168622D1D80E240002534C92900000</t>
  </si>
  <si>
    <t>00000000A6C727E4353C314FBD93409EF639422707000D702909B30966478A168622D1D80E2400000000010D00000D702909B30966478A168622D1D80E240002534C92910000</t>
  </si>
  <si>
    <t>00000000A6C727E4353C314FBD93409EF639422707000D702909B30966478A168622D1D80E2400000000010D00000D702909B30966478A168622D1D80E24000265333F5A0000</t>
  </si>
  <si>
    <t>capsule cleanr</t>
  </si>
  <si>
    <t>00000000A6C727E4353C314FBD93409EF639422707000D702909B30966478A168622D1D80E2400000000010D00000D702909B30966478A168622D1D80E24000265333F590000</t>
  </si>
  <si>
    <t>Capsule cleanup</t>
  </si>
  <si>
    <t>00000000A6C727E4353C314FBD93409EF639422707000D702909B30966478A168622D1D80E2400000000010D00000D702909B30966478A168622D1D80E24000265333F580000</t>
  </si>
  <si>
    <t>00000000A6C727E4353C314FBD93409EF639422707000D702909B30966478A168622D1D80E2400000000010D00000D702909B30966478A168622D1D80E24000265333F570000</t>
  </si>
  <si>
    <t>00000000A6C727E4353C314FBD93409EF639422707000D702909B30966478A168622D1D80E2400000000010D00000D702909B30966478A168622D1D80E240002534C92920000</t>
  </si>
  <si>
    <t>how to create a page for the website</t>
  </si>
  <si>
    <t>00000000A6C727E4353C314FBD93409EF639422707000D702909B30966478A168622D1D80E2400000000010D00000D702909B30966478A168622D1D80E24000265333F5B0000</t>
  </si>
  <si>
    <t>how to create a webpage</t>
  </si>
  <si>
    <t>00000000A6C727E4353C314FBD93409EF639422707000D702909B30966478A168622D1D80E2400000000010D00000D702909B30966478A168622D1D80E24000265333F5C0000</t>
  </si>
  <si>
    <t xml:space="preserve">Velox V57 synch </t>
  </si>
  <si>
    <t>https://us02web.zoom.us/j/85844039501?pwd=OHpMUjI3R1BHR0xOcW9CMEpueitEUT09&amp;from=addon</t>
  </si>
  <si>
    <t>Steve Grob,Jon Butler,Alison Hood</t>
  </si>
  <si>
    <t>00000000A6C727E4353C314FBD93409EF639422707000D702909B30966478A168622D1D80E2400000000010D00000D702909B30966478A168622D1D80E24000265333F5D0000</t>
  </si>
  <si>
    <t>00000000A6C727E4353C314FBD93409EF639422707000D702909B30966478A168622D1D80E2400000000010D00000D702909B30966478A168622D1D80E24000265333F640000</t>
  </si>
  <si>
    <t>sales meeting reviews</t>
  </si>
  <si>
    <t>00000000A6C727E4353C314FBD93409EF639422707000D702909B30966478A168622D1D80E2400000000010D00000D702909B30966478A168622D1D80E24000265333F630000</t>
  </si>
  <si>
    <t>00000000A6C727E4353C314FBD93409EF639422707000D702909B30966478A168622D1D80E2400000000010D00000D702909B30966478A168622D1D80E24000265333F620000</t>
  </si>
  <si>
    <t>00000000A6C727E4353C314FBD93409EF639422707000D702909B30966478A168622D1D80E2400000000010D00000D702909B30966478A168622D1D80E24000265333F610000</t>
  </si>
  <si>
    <t>00000000A6C727E4353C314FBD93409EF639422707000D702909B30966478A168622D1D80E2400000000010D00000D702909B30966478A168622D1D80E24000265333F600000</t>
  </si>
  <si>
    <t>00000000A6C727E4353C314FBD93409EF639422707000D702909B30966478A168622D1D80E2400000000010D00000D702909B30966478A168622D1D80E24000265333F5F0000</t>
  </si>
  <si>
    <t xml:space="preserve">ponzo </t>
  </si>
  <si>
    <t>00000000A6C727E4353C314FBD93409EF639422707000D702909B30966478A168622D1D80E2400000000010D00000D702909B30966478A168622D1D80E240002534C92930000</t>
  </si>
  <si>
    <t>SG/JB/AH catch up</t>
  </si>
  <si>
    <t>00000000A6C727E4353C314FBD93409EF639422707000D702909B30966478A168622D1D80E2400000000010D00000D702909B30966478A168622D1D80E2400026A7E649B0000</t>
  </si>
  <si>
    <t>Neto &amp; Jon - Updates</t>
  </si>
  <si>
    <t>00000000A6C727E4353C314FBD93409EF639422707000D702909B30966478A168622D1D80E2400000000010D00000D702909B30966478A168622D1D80E24000265333F660000</t>
  </si>
  <si>
    <t>00000000A6C727E4353C314FBD93409EF639422707000D702909B30966478A168622D1D80E2400000000010D00000D702909B30966478A168622D1D80E24000265333F670000</t>
  </si>
  <si>
    <t>00000000A6C727E4353C314FBD93409EF639422707000D702909B30966478A168622D1D80E2400000000010D00000D702909B30966478A168622D1D80E24000265333F6A0000</t>
  </si>
  <si>
    <t>00000000A6C727E4353C314FBD93409EF639422707000D702909B30966478A168622D1D80E2400000000010D00000D702909B30966478A168622D1D80E24000265333F690000</t>
  </si>
  <si>
    <t>00000000A6C727E4353C314FBD93409EF639422707000D702909B30966478A168622D1D80E2400000000010D00000D702909B30966478A168622D1D80E24000265333F680000</t>
  </si>
  <si>
    <t>Velox Intro</t>
  </si>
  <si>
    <t>Jon Butler,Mike McCarter,Jon Hansen,Ali Moosavi</t>
  </si>
  <si>
    <t>00000000A6C727E4353C314FBD93409EF639422707000D702909B30966478A168622D1D80E2400000000010D00000D702909B30966478A168622D1D80E24000265333F6B0000</t>
  </si>
  <si>
    <t>Jon/Neto Continued</t>
  </si>
  <si>
    <t>00000000A6C727E4353C314FBD93409EF639422707000D702909B30966478A168622D1D80E2400000000010D00000D702909B30966478A168622D1D80E24000265333F6C0000</t>
  </si>
  <si>
    <t>00000000A6C727E4353C314FBD93409EF639422707000D702909B30966478A168622D1D80E2400000000010D00000D702909B30966478A168622D1D80E24000265333F6E0000</t>
  </si>
  <si>
    <t>ali deck</t>
  </si>
  <si>
    <t>00000000A6C727E4353C314FBD93409EF639422707000D702909B30966478A168622D1D80E2400000000010D00000D702909B30966478A168622D1D80E24000265333F6D0000</t>
  </si>
  <si>
    <t>capsule reports</t>
  </si>
  <si>
    <t>00000000A6C727E4353C314FBD93409EF639422707000D702909B30966478A168622D1D80E2400000000010D00000D702909B30966478A168622D1D80E24000265333F6F0000</t>
  </si>
  <si>
    <t>00000000A6C727E4353C314FBD93409EF639422707000D702909B30966478A168622D1D80E2400000000010D00000D702909B30966478A168622D1D80E24000265333F750000</t>
  </si>
  <si>
    <t>Velox #22365</t>
  </si>
  <si>
    <t>Jon Butler,Jack Bremer,Alex Bremer</t>
  </si>
  <si>
    <t>00000000A6C727E4353C314FBD93409EF639422707000D702909B30966478A168622D1D80E2400000000010D00000D702909B30966478A168622D1D80E24000265333F740000</t>
  </si>
  <si>
    <t>00000000A6C727E4353C314FBD93409EF639422707000D702909B30966478A168622D1D80E2400000000010D00000D702909B30966478A168622D1D80E24000265333F720000</t>
  </si>
  <si>
    <t>Ali demo environment prep</t>
  </si>
  <si>
    <t>https://veloxfintech.zoom.us/j/82689256458?pwd=RHJPL0Z0cTRqUUdGL2hpVkgybGFUZz09&amp;from=addon</t>
  </si>
  <si>
    <t>00000000A6C727E4353C314FBD93409EF639422707000D702909B30966478A168622D1D80E2400000000010D00000D702909B30966478A168622D1D80E24000265333F730000</t>
  </si>
  <si>
    <t>00000000A6C727E4353C314FBD93409EF639422707000D702909B30966478A168622D1D80E2400000000010D00000D702909B30966478A168622D1D80E24000265333F710000</t>
  </si>
  <si>
    <t>capsule data</t>
  </si>
  <si>
    <t>00000000A6C727E4353C314FBD93409EF639422707000D702909B30966478A168622D1D80E2400000000010D00000D702909B30966478A168622D1D80E24000265333F700000</t>
  </si>
  <si>
    <t>TradMatch FX - Live System Data Initialisation</t>
  </si>
  <si>
    <t>Sina Hakman,Jason Yan,Tuan Tran,Martin Harrison,Elif Izbirak,Aaron Pryce,Jon Butler</t>
  </si>
  <si>
    <t>00000000A6C727E4353C314FBD93409EF639422707000D702909B30966478A168622D1D80E2400000000010D00000D702909B30966478A168622D1D80E2400026A7E649D0000</t>
  </si>
  <si>
    <t>Jon/Neto - continued</t>
  </si>
  <si>
    <t>00000000A6C727E4353C314FBD93409EF639422707000D702909B30966478A168622D1D80E2400000000010D00000D702909B30966478A168622D1D80E2400026A7E64A00000</t>
  </si>
  <si>
    <t>aaropn</t>
  </si>
  <si>
    <t>00000000A6C727E4353C314FBD93409EF639422707000D702909B30966478A168622D1D80E2400000000010D00000D702909B30966478A168622D1D80E24000265333F770000</t>
  </si>
  <si>
    <t>00000000A6C727E4353C314FBD93409EF639422707000D702909B30966478A168622D1D80E2400000000010D00000D702909B30966478A168622D1D80E24000265333F760000</t>
  </si>
  <si>
    <t xml:space="preserve">Helios - Asian Market Opportunity for COSMOS </t>
  </si>
  <si>
    <t>Jane Lemmon,Jon Butler,Bernie Thurston,Giles Sarton,Jason Yan,Aru Mukasheva,Bakar Ahmedou</t>
  </si>
  <si>
    <t>00000000A6C727E4353C314FBD93409EF639422707000D702909B30966478A168622D1D80E2400000000010D00000D702909B30966478A168622D1D80E2400026A7E64A20000</t>
  </si>
  <si>
    <t>website updates</t>
  </si>
  <si>
    <t>00000000A6C727E4353C314FBD93409EF639422707000D702909B30966478A168622D1D80E2400000000010D00000D702909B30966478A168622D1D80E24000265333F780000</t>
  </si>
  <si>
    <t>ftp site for test webage access</t>
  </si>
  <si>
    <t>00000000A6C727E4353C314FBD93409EF639422707000D702909B30966478A168622D1D80E2400000000010D00000D702909B30966478A168622D1D80E24000265333F7E0000</t>
  </si>
  <si>
    <t>00000000A6C727E4353C314FBD93409EF639422707000D702909B30966478A168622D1D80E2400000000010D00000D702909B30966478A168622D1D80E24000265333F7D0000</t>
  </si>
  <si>
    <t>jon/chris HTML stuff</t>
  </si>
  <si>
    <t>00000000A6C727E4353C314FBD93409EF639422707000D702909B30966478A168622D1D80E2400000000010D00000D702909B30966478A168622D1D80E24000265333F7C0000</t>
  </si>
  <si>
    <t>00000000A6C727E4353C314FBD93409EF639422707000D702909B30966478A168622D1D80E2400000000010D00000D702909B30966478A168622D1D80E24000265333F7B0000</t>
  </si>
  <si>
    <t>pptx viewer</t>
  </si>
  <si>
    <t>00000000A6C727E4353C314FBD93409EF639422707000D702909B30966478A168622D1D80E2400000000010D00000D702909B30966478A168622D1D80E24000265333F7A0000</t>
  </si>
  <si>
    <t>00000000A6C727E4353C314FBD93409EF639422707000D702909B30966478A168622D1D80E2400000000010D00000D702909B30966478A168622D1D80E24000265333F790000</t>
  </si>
  <si>
    <t>00000000A6C727E4353C314FBD93409EF639422707000D702909B30966478A168622D1D80E2400000000010D00000D702909B30966478A168622D1D80E240002534C92940000</t>
  </si>
  <si>
    <t>FXAll prep</t>
  </si>
  <si>
    <t>00000000A6C727E4353C314FBD93409EF639422707000D702909B30966478A168622D1D80E2400000000010D00000D702909B30966478A168622D1D80E240002534C92950000</t>
  </si>
  <si>
    <t>00000000A6C727E4353C314FBD93409EF639422707000D702909B30966478A168622D1D80E2400000000010D00000D702909B30966478A168622D1D80E240002534C92960000</t>
  </si>
  <si>
    <t>00000000A6C727E4353C314FBD93409EF639422707000D702909B30966478A168622D1D80E2400000000010D00000D702909B30966478A168622D1D80E240002534C92970000</t>
  </si>
  <si>
    <t>00000000A6C727E4353C314FBD93409EF639422707000D702909B30966478A168622D1D80E2400000000010D00000D702909B30966478A168622D1D80E240002534C92980000</t>
  </si>
  <si>
    <t>00000000A6C727E4353C314FBD93409EF639422707000D702909B30966478A168622D1D80E2400000000010D00000D702909B30966478A168622D1D80E24000265333F800000</t>
  </si>
  <si>
    <t>Jeff stein's Zoom Meeting</t>
  </si>
  <si>
    <t>https://us02web.zoom.us/j/82106323608?pwd=a2lxVlRRejhGb3htbDFoVXpLaG43dz09</t>
  </si>
  <si>
    <t>Jeffrey Stein,Ali Moosavi,Jon Butler</t>
  </si>
  <si>
    <t>00000000A6C727E4353C314FBD93409EF639422707000D702909B30966478A168622D1D80E2400000000010D00000D702909B30966478A168622D1D80E2400026A7E64A40000</t>
  </si>
  <si>
    <t>data cleansing capsule</t>
  </si>
  <si>
    <t>00000000A6C727E4353C314FBD93409EF639422707000D702909B30966478A168622D1D80E2400000000010D00000D702909B30966478A168622D1D80E24000265333F810000</t>
  </si>
  <si>
    <t>ULTUMUS contracs</t>
  </si>
  <si>
    <t>00000000A6C727E4353C314FBD93409EF639422707000D702909B30966478A168622D1D80E2400000000010D00000D702909B30966478A168622D1D80E24000265333F880000</t>
  </si>
  <si>
    <t>00000000A6C727E4353C314FBD93409EF639422707000D702909B30966478A168622D1D80E2400000000010D00000D702909B30966478A168622D1D80E24000265333F870000</t>
  </si>
  <si>
    <t>00000000A6C727E4353C314FBD93409EF639422707000D702909B30966478A168622D1D80E2400000000010D00000D702909B30966478A168622D1D80E24000265333F860000</t>
  </si>
  <si>
    <t>00000000A6C727E4353C314FBD93409EF639422707000D702909B30966478A168622D1D80E2400000000010D00000D702909B30966478A168622D1D80E24000265333F850000</t>
  </si>
  <si>
    <t>b ernie</t>
  </si>
  <si>
    <t>00000000A6C727E4353C314FBD93409EF639422707000D702909B30966478A168622D1D80E2400000000010D00000D702909B30966478A168622D1D80E24000265333F840000</t>
  </si>
  <si>
    <t>sales targets</t>
  </si>
  <si>
    <t>00000000A6C727E4353C314FBD93409EF639422707000D702909B30966478A168622D1D80E2400000000010D00000D702909B30966478A168622D1D80E24000265333F830000</t>
  </si>
  <si>
    <t xml:space="preserve">Ignite &lt;&gt; Velox catch up </t>
  </si>
  <si>
    <t>Ian Salmon,Alison Hood,Jon Butler</t>
  </si>
  <si>
    <t>00000000A6C727E4353C314FBD93409EF639422707000D702909B30966478A168622D1D80E2400000000010D00000D702909B30966478A168622D1D80E240002534C92990000</t>
  </si>
  <si>
    <t>Jon/Greg</t>
  </si>
  <si>
    <t>Jon Butler,Greg Cooper</t>
  </si>
  <si>
    <t>00000000A6C727E4353C314FBD93409EF639422707000D702909B30966478A168622D1D80E2400000000010D00000D702909B30966478A168622D1D80E240002534C929B0000</t>
  </si>
  <si>
    <t>Jon Butler,Mohamed Arkate</t>
  </si>
  <si>
    <t>00000000A6C727E4353C314FBD93409EF639422707000D702909B30966478A168622D1D80E2400000000010D00000D702909B30966478A168622D1D80E240002534C929C0000</t>
  </si>
  <si>
    <t>00000000A6C727E4353C314FBD93409EF639422707000D702909B30966478A168622D1D80E2400000000010D00000D702909B30966478A168622D1D80E240002534C929D0000</t>
  </si>
  <si>
    <t>00000000A6C727E4353C314FBD93409EF639422707000D702909B30966478A168622D1D80E2400000000010D00000D702909B30966478A168622D1D80E24000265333F8B0000</t>
  </si>
  <si>
    <t>capsule clean</t>
  </si>
  <si>
    <t>00000000A6C727E4353C314FBD93409EF639422707000D702909B30966478A168622D1D80E2400000000010D00000D702909B30966478A168622D1D80E24000265333F8A0000</t>
  </si>
  <si>
    <t xml:space="preserve">ali </t>
  </si>
  <si>
    <t>00000000A6C727E4353C314FBD93409EF639422707000D702909B30966478A168622D1D80E2400000000010D00000D702909B30966478A168622D1D80E24000265333F890000</t>
  </si>
  <si>
    <t>investor SIX</t>
  </si>
  <si>
    <t>00000000A6C727E4353C314FBD93409EF639422707000D702909B30966478A168622D1D80E2400000000010D00000D702909B30966478A168622D1D80E240002534C929E0000</t>
  </si>
  <si>
    <t>FX All</t>
  </si>
  <si>
    <t>00000000A6C727E4353C314FBD93409EF639422707000D702909B30966478A168622D1D80E2400000000010D00000D702909B30966478A168622D1D80E240002534C929F0000</t>
  </si>
  <si>
    <t>00000000A6C727E4353C314FBD93409EF639422707000D702909B30966478A168622D1D80E2400000000010D00000D702909B30966478A168622D1D80E24000265333F8E0000</t>
  </si>
  <si>
    <t>00000000A6C727E4353C314FBD93409EF639422707000D702909B30966478A168622D1D80E2400000000010D00000D702909B30966478A168622D1D80E24000265333F8D0000</t>
  </si>
  <si>
    <t>FXAll/CA/SIX</t>
  </si>
  <si>
    <t>00000000A6C727E4353C314FBD93409EF639422707000D702909B30966478A168622D1D80E2400000000010D00000D702909B30966478A168622D1D80E24000265333F8C0000</t>
  </si>
  <si>
    <t>admion</t>
  </si>
  <si>
    <t>00000000A6C727E4353C314FBD93409EF639422707000D702909B30966478A168622D1D80E2400000000010D00000D702909B30966478A168622D1D80E24000265333F920000</t>
  </si>
  <si>
    <t>00000000A6C727E4353C314FBD93409EF639422707000D702909B30966478A168622D1D80E2400000000010D00000D702909B30966478A168622D1D80E24000265333F910000</t>
  </si>
  <si>
    <t>Borntec/Velox follow up - Velox demo</t>
  </si>
  <si>
    <t>https://veloxfintech.zoom.us/j/85766877155?pwd=ZE03czZrWTlHQ3RVcmlHQk1GbjNqZz09&amp;from=addon</t>
  </si>
  <si>
    <t>Ali Moosavi,chris.hernandez@borntec.com,Peter Mott,Jon Butler,Neto</t>
  </si>
  <si>
    <t>00000000A6C727E4353C314FBD93409EF639422707000D702909B30966478A168622D1D80E2400000000010D00000D702909B30966478A168622D1D80E24000265333F900000</t>
  </si>
  <si>
    <t>Leave</t>
  </si>
  <si>
    <t>00000000A6C727E4353C314FBD93409EF639422707000D702909B30966478A168622D1D80E2400000000010D00000D702909B30966478A168622D1D80E24000265333F8F0000</t>
  </si>
  <si>
    <t>trying to get ftp server to work</t>
  </si>
  <si>
    <t>00000000A6C727E4353C314FBD93409EF639422707000D702909B30966478A168622D1D80E2400000000010D00000D702909B30966478A168622D1D80E240002534C92A00000</t>
  </si>
  <si>
    <t>ftpserver</t>
  </si>
  <si>
    <t>00000000A6C727E4353C314FBD93409EF639422707000D702909B30966478A168622D1D80E2400000000010D00000D702909B30966478A168622D1D80E240002534C92A10000</t>
  </si>
  <si>
    <t>00000000A6C727E4353C314FBD93409EF639422707000D702909B30966478A168622D1D80E2400000000010D00000D702909B30966478A168622D1D80E240002534C92A20000</t>
  </si>
  <si>
    <t>00000000A6C727E4353C314FBD93409EF639422707000D702909B30966478A168622D1D80E2400000000010D00000D702909B30966478A168622D1D80E240002534C92A30000</t>
  </si>
  <si>
    <t>00000000A6C727E4353C314FBD93409EF639422707000D702909B30966478A168622D1D80E2400000000010D00000D702909B30966478A168622D1D80E240002534C92A40000</t>
  </si>
  <si>
    <t>news feedly</t>
  </si>
  <si>
    <t>00000000A6C727E4353C314FBD93409EF639422707000D702909B30966478A168622D1D80E2400000000010D00000D702909B30966478A168622D1D80E240002534C92A50000</t>
  </si>
  <si>
    <t>ftp</t>
  </si>
  <si>
    <t>00000000A6C727E4353C314FBD93409EF639422707000D702909B30966478A168622D1D80E2400000000010D00000D702909B30966478A168622D1D80E240002534C92A60000</t>
  </si>
  <si>
    <t>capsule upload linkedin new adds</t>
  </si>
  <si>
    <t>00000000A6C727E4353C314FBD93409EF639422707000D702909B30966478A168622D1D80E2400000000010D00000D702909B30966478A168622D1D80E24000265333F950000</t>
  </si>
  <si>
    <t xml:space="preserve">Jason Yan (Velox) / Mohamed Arkate </t>
  </si>
  <si>
    <t>Jon Butler,mohamed.arkate@gmail.com,Jason Yan</t>
  </si>
  <si>
    <t>00000000A6C727E4353C314FBD93409EF639422707000D702909B30966478A168622D1D80E2400000000010D00000D702909B30966478A168622D1D80E24000265333F940000</t>
  </si>
  <si>
    <t>mapping / loading new capsule contacts</t>
  </si>
  <si>
    <t>00000000A6C727E4353C314FBD93409EF639422707000D702909B30966478A168622D1D80E2400000000010D00000D702909B30966478A168622D1D80E24000265333F930000</t>
  </si>
  <si>
    <t>capsule upload / domain url</t>
  </si>
  <si>
    <t>00000000A6C727E4353C314FBD93409EF639422707000D702909B30966478A168622D1D80E2400000000010D00000D702909B30966478A168622D1D80E24000265333F960000</t>
  </si>
  <si>
    <t>content prep work</t>
  </si>
  <si>
    <t>00000000A6C727E4353C314FBD93409EF639422707000D702909B30966478A168622D1D80E2400000000010D00000D702909B30966478A168622D1D80E240002534C92A70000</t>
  </si>
  <si>
    <t>00000000A6C727E4353C314FBD93409EF639422707000D702909B30966478A168622D1D80E2400000000010D00000D702909B30966478A168622D1D80E240002534C92A80000</t>
  </si>
  <si>
    <t>00000000A6C727E4353C314FBD93409EF639422707000D702909B30966478A168622D1D80E2400000000010D00000D702909B30966478A168622D1D80E240002534C92A90000</t>
  </si>
  <si>
    <t>00000000A6C727E4353C314FBD93409EF639422707000D702909B30966478A168622D1D80E2400000000010D00000D702909B30966478A168622D1D80E24000265333F980000</t>
  </si>
  <si>
    <t>finding domains from company names (uplead?)</t>
  </si>
  <si>
    <t>00000000A6C727E4353C314FBD93409EF639422707000D702909B30966478A168622D1D80E2400000000010D00000D702909B30966478A168622D1D80E24000265333F970000</t>
  </si>
  <si>
    <t>FIDO 2 pager</t>
  </si>
  <si>
    <t>00000000A6C727E4353C314FBD93409EF639422707000D702909B30966478A168622D1D80E2400000000010D00000D702909B30966478A168622D1D80E24000265348E7C0000</t>
  </si>
  <si>
    <t>fidelity one pager</t>
  </si>
  <si>
    <t>00000000A6C727E4353C314FBD93409EF639422707000D702909B30966478A168622D1D80E2400000000010D00000D702909B30966478A168622D1D80E240002534C92AA0000</t>
  </si>
  <si>
    <t>00000000A6C727E4353C314FBD93409EF639422707000D702909B30966478A168622D1D80E2400000000010D00000D702909B30966478A168622D1D80E24000265333F990000</t>
  </si>
  <si>
    <t>00000000A6C727E4353C314FBD93409EF639422707000D702909B30966478A168622D1D80E2400000000010D00000D702909B30966478A168622D1D80E240002534C92AB0000</t>
  </si>
  <si>
    <t>00000000A6C727E4353C314FBD93409EF639422707000D702909B30966478A168622D1D80E2400000000010D00000D702909B30966478A168622D1D80E240002534C92AC0000</t>
  </si>
  <si>
    <t>00000000A6C727E4353C314FBD93409EF639422707000D702909B30966478A168622D1D80E2400000000010D00000D702909B30966478A168622D1D80E240002534C92AD0000</t>
  </si>
  <si>
    <t>Fidelity</t>
  </si>
  <si>
    <t>00000000A6C727E4353C314FBD93409EF639422707000D702909B30966478A168622D1D80E2400000000010D00000D702909B30966478A168622D1D80E240002534C92AE0000</t>
  </si>
  <si>
    <t>fidelity</t>
  </si>
  <si>
    <t>00000000A6C727E4353C314FBD93409EF639422707000D702909B30966478A168622D1D80E2400000000010D00000D702909B30966478A168622D1D80E24000265333F9A0000</t>
  </si>
  <si>
    <t>fido / 1 pager</t>
  </si>
  <si>
    <t>00000000A6C727E4353C314FBD93409EF639422707000D702909B30966478A168622D1D80E2400000000010D00000D702909B30966478A168622D1D80E24000265333FA00000</t>
  </si>
  <si>
    <t>00000000A6C727E4353C314FBD93409EF639422707000D702909B30966478A168622D1D80E2400000000010D00000D702909B30966478A168622D1D80E24000265333F9F0000</t>
  </si>
  <si>
    <t>Neto &amp; Jon - Catchup and updates</t>
  </si>
  <si>
    <t>00000000A6C727E4353C314FBD93409EF639422707000D702909B30966478A168622D1D80E2400000000010D00000D702909B30966478A168622D1D80E240002705B91CB0000</t>
  </si>
  <si>
    <t>00000000A6C727E4353C314FBD93409EF639422707000D702909B30966478A168622D1D80E2400000000010D00000D702909B30966478A168622D1D80E24000265333F9E0000</t>
  </si>
  <si>
    <t>00000000A6C727E4353C314FBD93409EF639422707000D702909B30966478A168622D1D80E2400000000010D00000D702909B30966478A168622D1D80E24000265333F9D0000</t>
  </si>
  <si>
    <t>finsemble</t>
  </si>
  <si>
    <t>00000000A6C727E4353C314FBD93409EF639422707000D702909B30966478A168622D1D80E2400000000010D00000D702909B30966478A168622D1D80E24000265333F9C0000</t>
  </si>
  <si>
    <t>00000000A6C727E4353C314FBD93409EF639422707000D702909B30966478A168622D1D80E2400000000010D00000D702909B30966478A168622D1D80E24000265333F9B0000</t>
  </si>
  <si>
    <t>fido</t>
  </si>
  <si>
    <t>00000000A6C727E4353C314FBD93409EF639422707000D702909B30966478A168622D1D80E2400000000010D00000D702909B30966478A168622D1D80E240002534C92AF0000</t>
  </si>
  <si>
    <t>00000000A6C727E4353C314FBD93409EF639422707000D702909B30966478A168622D1D80E2400000000010D00000D702909B30966478A168622D1D80E240002534C92B00000</t>
  </si>
  <si>
    <t>00000000A6C727E4353C314FBD93409EF639422707000D702909B30966478A168622D1D80E2400000000010D00000D702909B30966478A168622D1D80E240002534C92B10000</t>
  </si>
  <si>
    <t>00000000A6C727E4353C314FBD93409EF639422707000D702909B30966478A168622D1D80E2400000000010D00000D702909B30966478A168622D1D80E240002534C92B20000</t>
  </si>
  <si>
    <t>00000000A6C727E4353C314FBD93409EF639422707000D702909B30966478A168622D1D80E2400000000010D00000D702909B30966478A168622D1D80E240002534C92B30000</t>
  </si>
  <si>
    <t>post for tomorrow</t>
  </si>
  <si>
    <t>00000000A6C727E4353C314FBD93409EF639422707000D702909B30966478A168622D1D80E2400000000010D00000D702909B30966478A168622D1D80E240002534C92B40000</t>
  </si>
  <si>
    <t>prospect data clean up</t>
  </si>
  <si>
    <t>00000000A6C727E4353C314FBD93409EF639422707000D702909B30966478A168622D1D80E2400000000010D00000D702909B30966478A168622D1D80E240002534C92B50000</t>
  </si>
  <si>
    <t>00000000A6C727E4353C314FBD93409EF639422707000D702909B30966478A168622D1D80E2400000000010D00000D702909B30966478A168622D1D80E24000265333FA30000</t>
  </si>
  <si>
    <t>ali / xinthesys</t>
  </si>
  <si>
    <t>00000000A6C727E4353C314FBD93409EF639422707000D702909B30966478A168622D1D80E2400000000010D00000D702909B30966478A168622D1D80E24000265333FA20000</t>
  </si>
  <si>
    <t>chris linux script</t>
  </si>
  <si>
    <t>00000000A6C727E4353C314FBD93409EF639422707000D702909B30966478A168622D1D80E2400000000010D00000D702909B30966478A168622D1D80E240002534C92B60000</t>
  </si>
  <si>
    <t>script</t>
  </si>
  <si>
    <t>00000000A6C727E4353C314FBD93409EF639422707000D702909B30966478A168622D1D80E2400000000010D00000D702909B30966478A168622D1D80E24000265333FA90000</t>
  </si>
  <si>
    <t>posting and II alison and script</t>
  </si>
  <si>
    <t>00000000A6C727E4353C314FBD93409EF639422707000D702909B30966478A168622D1D80E2400000000010D00000D702909B30966478A168622D1D80E24000265333FA80000</t>
  </si>
  <si>
    <t>00000000A6C727E4353C314FBD93409EF639422707000D702909B30966478A168622D1D80E2400000000010D00000D702909B30966478A168622D1D80E24000265333FA70000</t>
  </si>
  <si>
    <t>Sales Planning</t>
  </si>
  <si>
    <t>Jon Butler,Neto,Alison Hood,Ali Moosavi</t>
  </si>
  <si>
    <t>00000000A6C727E4353C314FBD93409EF639422707000D702909B30966478A168622D1D80E2400000000010D00000D702909B30966478A168622D1D80E24000265333FA60000</t>
  </si>
  <si>
    <t>leads / prospecting</t>
  </si>
  <si>
    <t>00000000A6C727E4353C314FBD93409EF639422707000D702909B30966478A168622D1D80E2400000000010D00000D702909B30966478A168622D1D80E24000265333FA50000</t>
  </si>
  <si>
    <t>00000000A6C727E4353C314FBD93409EF639422707000D702909B30966478A168622D1D80E2400000000010D00000D702909B30966478A168622D1D80E24000265333FA40000</t>
  </si>
  <si>
    <t>jon/steve</t>
  </si>
  <si>
    <t>00000000A6C727E4353C314FBD93409EF639422707000D702909B30966478A168622D1D80E2400000000010D00000D702909B30966478A168622D1D80E24000265333FAA0000</t>
  </si>
  <si>
    <t>00000000A6C727E4353C314FBD93409EF639422707000D702909B30966478A168622D1D80E2400000000010D00000D702909B30966478A168622D1D80E24000265333FAB0000</t>
  </si>
  <si>
    <t>00000000A6C727E4353C314FBD93409EF639422707000D702909B30966478A168622D1D80E2400000000010D00000D702909B30966478A168622D1D80E24000265333FAC0000</t>
  </si>
  <si>
    <t>sales prep</t>
  </si>
  <si>
    <t>00000000A6C727E4353C314FBD93409EF639422707000D702909B30966478A168622D1D80E2400000000010D00000D702909B30966478A168622D1D80E24000265333FAD0000</t>
  </si>
  <si>
    <t>Jon/Mohammed</t>
  </si>
  <si>
    <t>Jon Butler,Mohamed Arkate &lt;mohamed.arkate@gmail.com&gt;</t>
  </si>
  <si>
    <t>00000000A6C727E4353C314FBD93409EF639422707000D702909B30966478A168622D1D80E2400000000010D00000D702909B30966478A168622D1D80E240002534C92B70000</t>
  </si>
  <si>
    <t>CA RFP response</t>
  </si>
  <si>
    <t>00000000A6C727E4353C314FBD93409EF639422707000D702909B30966478A168622D1D80E2400000000010D00000D702909B30966478A168622D1D80E240002534C92B80000</t>
  </si>
  <si>
    <t>load ali's data</t>
  </si>
  <si>
    <t>00000000A6C727E4353C314FBD93409EF639422707000D702909B30966478A168622D1D80E2400000000010D00000D702909B30966478A168622D1D80E240002534C92B90000</t>
  </si>
  <si>
    <t>00000000A6C727E4353C314FBD93409EF639422707000D702909B30966478A168622D1D80E2400000000010D00000D702909B30966478A168622D1D80E240002534C92BA0000</t>
  </si>
  <si>
    <t>ali data map</t>
  </si>
  <si>
    <t>00000000A6C727E4353C314FBD93409EF639422707000D702909B30966478A168622D1D80E2400000000010D00000D702909B30966478A168622D1D80E240002534C92BB0000</t>
  </si>
  <si>
    <t>00000000A6C727E4353C314FBD93409EF639422707000D702909B30966478A168622D1D80E2400000000010D00000D702909B30966478A168622D1D80E240002534C92BC0000</t>
  </si>
  <si>
    <t>load ali data</t>
  </si>
  <si>
    <t>00000000A6C727E4353C314FBD93409EF639422707000D702909B30966478A168622D1D80E2400000000010D00000D702909B30966478A168622D1D80E24000265333FAE0000</t>
  </si>
  <si>
    <t>00000000A6C727E4353C314FBD93409EF639422707000D702909B30966478A168622D1D80E2400000000010D00000D702909B30966478A168622D1D80E240002534C92BD0000</t>
  </si>
  <si>
    <t>Canceled: Call: Fidessa Enhancement</t>
  </si>
  <si>
    <t>Zoom;</t>
  </si>
  <si>
    <t>Owen, John (London),Steve Grob,Jon Butler,Reena Raichura,Orchard, Gary (IT - London)</t>
  </si>
  <si>
    <t>Owen, John (London)</t>
  </si>
  <si>
    <t>00000000A6C727E4353C314FBD93409EF639422707000D702909B30966478A168622D1D80E2400000000010D00000D702909B30966478A168622D1D80E240002534C92BE0000</t>
  </si>
  <si>
    <t xml:space="preserve">GHCO case study </t>
  </si>
  <si>
    <t>Ian Salmon,Jon Butler,Alison Hood</t>
  </si>
  <si>
    <t>00000000A6C727E4353C314FBD93409EF639422707000D702909B30966478A168622D1D80E2400000000010D00000D702909B30966478A168622D1D80E240002534C92BF0000</t>
  </si>
  <si>
    <t>ali data</t>
  </si>
  <si>
    <t>00000000A6C727E4353C314FBD93409EF639422707000D702909B30966478A168622D1D80E2400000000010D00000D702909B30966478A168622D1D80E240002534C92C00000</t>
  </si>
  <si>
    <t>00000000A6C727E4353C314FBD93409EF639422707000D702909B30966478A168622D1D80E2400000000010D00000D702909B30966478A168622D1D80E24000265333FAF0000</t>
  </si>
  <si>
    <t>00000000A6C727E4353C314FBD93409EF639422707000D702909B30966478A168622D1D80E2400000000010D00000D702909B30966478A168622D1D80E24000265333FB00000</t>
  </si>
  <si>
    <t>Jon &amp; Neto - quick update</t>
  </si>
  <si>
    <t>00000000A6C727E4353C314FBD93409EF639422707000D702909B30966478A168622D1D80E2400000000010D00000D702909B30966478A168622D1D80E240002705B91CD0000</t>
  </si>
  <si>
    <t>Alison Annual leave</t>
  </si>
  <si>
    <t>Alison Hood,Jon Butler,Christian Schueler,Ali Moosavi,Jason Yan,Neto</t>
  </si>
  <si>
    <t>00000000A6C727E4353C314FBD93409EF639422707000D702909B30966478A168622D1D80E2400000000010D00000D702909B30966478A168622D1D80E240002705B91CE0000</t>
  </si>
  <si>
    <t>ca rfp</t>
  </si>
  <si>
    <t>00000000A6C727E4353C314FBD93409EF639422707000D702909B30966478A168622D1D80E2400000000010D00000D702909B30966478A168622D1D80E240002534C92C10000</t>
  </si>
  <si>
    <t>00000000A6C727E4353C314FBD93409EF639422707000D702909B30966478A168622D1D80E2400000000010D00000D702909B30966478A168622D1D80E24000265333FB10000</t>
  </si>
  <si>
    <t>00000000A6C727E4353C314FBD93409EF639422707000D702909B30966478A168622D1D80E2400000000010D00000D702909B30966478A168622D1D80E240002534C92C20000</t>
  </si>
  <si>
    <t>Jon / Mo</t>
  </si>
  <si>
    <t>00000000A6C727E4353C314FBD93409EF639422707000D702909B30966478A168622D1D80E2400000000010D00000D702909B30966478A168622D1D80E24000265333FBC0000</t>
  </si>
  <si>
    <t>00000000A6C727E4353C314FBD93409EF639422707000D702909B30966478A168622D1D80E2400000000010D00000D702909B30966478A168622D1D80E24000265333FBA0000</t>
  </si>
  <si>
    <t>sync up on message ahead of weeks</t>
  </si>
  <si>
    <t>00000000A6C727E4353C314FBD93409EF639422707000D702909B30966478A168622D1D80E2400000000010D00000D702909B30966478A168622D1D80E24000265333FB80000</t>
  </si>
  <si>
    <t>00000000A6C727E4353C314FBD93409EF639422707000D702909B30966478A168622D1D80E2400000000010D00000D702909B30966478A168622D1D80E24000265333FB70000</t>
  </si>
  <si>
    <t>00000000A6C727E4353C314FBD93409EF639422707000D702909B30966478A168622D1D80E2400000000010D00000D702909B30966478A168622D1D80E24000265333FB60000</t>
  </si>
  <si>
    <t>TMX</t>
  </si>
  <si>
    <t>00000000A6C727E4353C314FBD93409EF639422707000D702909B30966478A168622D1D80E2400000000010D00000D702909B30966478A168622D1D80E24000265333FB50000</t>
  </si>
  <si>
    <t>00000000A6C727E4353C314FBD93409EF639422707000D702909B30966478A168622D1D80E2400000000010D00000D702909B30966478A168622D1D80E24000265333FB40000</t>
  </si>
  <si>
    <t xml:space="preserve">Handelsbanken Cap Markets </t>
  </si>
  <si>
    <t>00000000A6C727E4353C314FBD93409EF639422707000D702909B30966478A168622D1D80E2400000000010D00000D702909B30966478A168622D1D80E24000265333FB90000</t>
  </si>
  <si>
    <t>00000000A6C727E4353C314FBD93409EF639422707000D702909B30966478A168622D1D80E2400000000010D00000D702909B30966478A168622D1D80E24000265333FB30000</t>
  </si>
  <si>
    <t>00000000A6C727E4353C314FBD93409EF639422707000D702909B30966478A168622D1D80E2400000000010D00000D702909B30966478A168622D1D80E24000265333FB20000</t>
  </si>
  <si>
    <t>Jon/Ali catch up - Who, What, How, Why Deck finalize</t>
  </si>
  <si>
    <t>https://veloxfintech.zoom.us/j/81390786053?pwd=RExBbEF4amk3bk5zNHRXNklqREZTQT09&amp;from=addon</t>
  </si>
  <si>
    <t>00000000A6C727E4353C314FBD93409EF639422707000D702909B30966478A168622D1D80E2400000000010D00000D702909B30966478A168622D1D80E2400027267E69D0000</t>
  </si>
  <si>
    <t>00000000A6C727E4353C314FBD93409EF639422707000D702909B30966478A168622D1D80E2400000000010D00000D702909B30966478A168622D1D80E24000265333FBD0000</t>
  </si>
  <si>
    <t>00000000A6C727E4353C314FBD93409EF639422707000D702909B30966478A168622D1D80E2400000000010D00000D702909B30966478A168622D1D80E240002534C92C30000</t>
  </si>
  <si>
    <t>00000000A6C727E4353C314FBD93409EF639422707000D702909B30966478A168622D1D80E2400000000010D00000D702909B30966478A168622D1D80E24000265333FC10000</t>
  </si>
  <si>
    <t>mo</t>
  </si>
  <si>
    <t>00000000A6C727E4353C314FBD93409EF639422707000D702909B30966478A168622D1D80E2400000000010D00000D702909B30966478A168622D1D80E24000265333FC00000</t>
  </si>
  <si>
    <t>prep for ali</t>
  </si>
  <si>
    <t>00000000A6C727E4353C314FBD93409EF639422707000D702909B30966478A168622D1D80E2400000000010D00000D702909B30966478A168622D1D80E24000265333FBF0000</t>
  </si>
  <si>
    <t>00000000A6C727E4353C314FBD93409EF639422707000D702909B30966478A168622D1D80E2400000000010D00000D702909B30966478A168622D1D80E24000265333FBE0000</t>
  </si>
  <si>
    <t>CA pricing</t>
  </si>
  <si>
    <t>00000000A6C727E4353C314FBD93409EF639422707000D702909B30966478A168622D1D80E2400000000010D00000D702909B30966478A168622D1D80E24000265333FC20000</t>
  </si>
  <si>
    <t>Jon &amp; Neto - Intel</t>
  </si>
  <si>
    <t>00000000A6C727E4353C314FBD93409EF639422707000D702909B30966478A168622D1D80E2400000000010D00000D702909B30966478A168622D1D80E24000265333FC30000</t>
  </si>
  <si>
    <t>00000000A6C727E4353C314FBD93409EF639422707000D702909B30966478A168622D1D80E2400000000010D00000D702909B30966478A168622D1D80E24000265333FD30000</t>
  </si>
  <si>
    <t>00000000A6C727E4353C314FBD93409EF639422707000D702909B30966478A168622D1D80E2400000000010D00000D702909B30966478A168622D1D80E24000265333FD20000</t>
  </si>
  <si>
    <t>00000000A6C727E4353C314FBD93409EF639422707000D702909B30966478A168622D1D80E2400000000010D00000D702909B30966478A168622D1D80E24000265333FD10000</t>
  </si>
  <si>
    <t>Elephant x Velox</t>
  </si>
  <si>
    <t>chialin@elephantvc.com,Jon Butler</t>
  </si>
  <si>
    <t>chialin@elephantvc.com</t>
  </si>
  <si>
    <t>00000000A6C727E4353C314FBD93409EF639422707000D702909B30966478A168622D1D80E2400000000010D00000D702909B30966478A168622D1D80E240002730029350000</t>
  </si>
  <si>
    <t>Jon/Chris - Intro's</t>
  </si>
  <si>
    <t>Jon Butler,chrisanderson85@gmail.com</t>
  </si>
  <si>
    <t>00000000A6C727E4353C314FBD93409EF639422707000D702909B30966478A168622D1D80E2400000000010D00000D702909B30966478A168622D1D80E24000265333FD00000</t>
  </si>
  <si>
    <t>SIX Conversation</t>
  </si>
  <si>
    <t>Andy Browning,Markus Boehme,Jon Butler</t>
  </si>
  <si>
    <t>00000000A6C727E4353C314FBD93409EF639422707000D702909B30966478A168622D1D80E2400000000010D00000D702909B30966478A168622D1D80E24000265333FCF0000</t>
  </si>
  <si>
    <t>Jim/Jon</t>
  </si>
  <si>
    <t>00000000A6C727E4353C314FBD93409EF639422707000D702909B30966478A168622D1D80E2400000000010D00000D702909B30966478A168622D1D80E24000265333FCD0000</t>
  </si>
  <si>
    <t>capsule data mess</t>
  </si>
  <si>
    <t>00000000A6C727E4353C314FBD93409EF639422707000D702909B30966478A168622D1D80E2400000000010D00000D702909B30966478A168622D1D80E24000265333FCC0000</t>
  </si>
  <si>
    <t>CalcGuard/Velox call - post IMAC</t>
  </si>
  <si>
    <t>https://veloxfintech.zoom.us/j/82920413810?pwd=cmpaWjNiL2dQY0czUVQ2b3Fvbk1jZz09&amp;from=addon</t>
  </si>
  <si>
    <t>00000000A6C727E4353C314FBD93409EF639422707000D702909B30966478A168622D1D80E2400000000010D00000D702909B30966478A168622D1D80E24000265333FCE0000</t>
  </si>
  <si>
    <t>school</t>
  </si>
  <si>
    <t>00000000A6C727E4353C314FBD93409EF639422707000D702909B30966478A168622D1D80E2400000000010D00000D702909B30966478A168622D1D80E24000265333FCB0000</t>
  </si>
  <si>
    <t>00000000A6C727E4353C314FBD93409EF639422707000D702909B30966478A168622D1D80E2400000000010D00000D702909B30966478A168622D1D80E24000265333FCA0000</t>
  </si>
  <si>
    <t>we solve the problem</t>
  </si>
  <si>
    <t>00000000A6C727E4353C314FBD93409EF639422707000D702909B30966478A168622D1D80E2400000000010D00000D702909B30966478A168622D1D80E24000265333FC90000</t>
  </si>
  <si>
    <t>admin / email template</t>
  </si>
  <si>
    <t>00000000A6C727E4353C314FBD93409EF639422707000D702909B30966478A168622D1D80E2400000000010D00000D702909B30966478A168622D1D80E24000265333FC80000</t>
  </si>
  <si>
    <t>Jon Butler and Lee Harding</t>
  </si>
  <si>
    <t>+1 347-988-9520</t>
  </si>
  <si>
    <t>00000000A6C727E4353C314FBD93409EF639422707000D702909B30966478A168622D1D80E2400000000010D00000D702909B30966478A168622D1D80E24000272CFB73D0000</t>
  </si>
  <si>
    <t>00000000A6C727E4353C314FBD93409EF639422707000D702909B30966478A168622D1D80E2400000000010D00000D702909B30966478A168622D1D80E24000265333FC50000</t>
  </si>
  <si>
    <t>francis financial</t>
  </si>
  <si>
    <t>00000000A6C727E4353C314FBD93409EF639422707000D702909B30966478A168622D1D80E2400000000010D00000D702909B30966478A168622D1D80E24000265333FC40000</t>
  </si>
  <si>
    <t>Citi ETFs | Mike &amp; Jon to Catch Up</t>
  </si>
  <si>
    <t>https://citi.zoom.us/j/4759391666?pwd=UVMrUnNLL1k5WGo0aU5uSlZpT09pdz09</t>
  </si>
  <si>
    <t>Bonaguro, Michael [ICG-MKTS],Jon Butler</t>
  </si>
  <si>
    <t>Bonaguro, Michael [ICG-MKTS]</t>
  </si>
  <si>
    <t>00000000A6C727E4353C314FBD93409EF639422707000D702909B30966478A168622D1D80E2400000000010D00000D702909B30966478A168622D1D80E24000265333FC60000</t>
  </si>
  <si>
    <t>RFP eFX - Velox presentation</t>
  </si>
  <si>
    <t>ABDUL, Rashad (CA-CIB),Jon Butler,Alison Hood,RAVEN, Erwan (CA-CIB),MCCALL, Ian (CA-CIB),RABBIOSI, Alessandro (CA-CIB),SATCHEL, Thomas (CA-CIB),HORTH, Eliza (CA-CIB),EVANS, Linda (External)</t>
  </si>
  <si>
    <t>00000000A6C727E4353C314FBD93409EF639422707000D702909B30966478A168622D1D80E2400000000010D00000D702909B30966478A168622D1D80E24000265333FC70000</t>
  </si>
  <si>
    <t>00000000A6C727E4353C314FBD93409EF639422707000D702909B30966478A168622D1D80E2400000000010D00000D702909B30966478A168622D1D80E24000265333FD50000</t>
  </si>
  <si>
    <t>00000000A6C727E4353C314FBD93409EF639422707000D702909B30966478A168622D1D80E2400000000010D00000D702909B30966478A168622D1D80E24000265333FD40000</t>
  </si>
  <si>
    <t>handelsbanken</t>
  </si>
  <si>
    <t>00000000A6C727E4353C314FBD93409EF639422707000D702909B30966478A168622D1D80E2400000000010D00000D702909B30966478A168622D1D80E24000265333FD90000</t>
  </si>
  <si>
    <t>handlesbanken</t>
  </si>
  <si>
    <t>00000000A6C727E4353C314FBD93409EF639422707000D702909B30966478A168622D1D80E2400000000010D00000D702909B30966478A168622D1D80E24000265333FD80000</t>
  </si>
  <si>
    <t>00000000A6C727E4353C314FBD93409EF639422707000D702909B30966478A168622D1D80E2400000000010D00000D702909B30966478A168622D1D80E24000265333FD70000</t>
  </si>
  <si>
    <t>screenshoots</t>
  </si>
  <si>
    <t>00000000A6C727E4353C314FBD93409EF639422707000D702909B30966478A168622D1D80E2400000000010D00000D702909B30966478A168622D1D80E24000265333FD60000</t>
  </si>
  <si>
    <t>00000000A6C727E4353C314FBD93409EF639422707000D702909B30966478A168622D1D80E2400000000010D00000D702909B30966478A168622D1D80E24000265333FDB0000</t>
  </si>
  <si>
    <t>neto data</t>
  </si>
  <si>
    <t>00000000A6C727E4353C314FBD93409EF639422707000D702909B30966478A168622D1D80E2400000000010D00000D702909B30966478A168622D1D80E24000265333FDA0000</t>
  </si>
  <si>
    <t>00000000A6C727E4353C314FBD93409EF639422707000D702909B30966478A168622D1D80E2400000000010D00000D702909B30966478A168622D1D80E240002534C92C40000</t>
  </si>
  <si>
    <t>00000000A6C727E4353C314FBD93409EF639422707000D702909B30966478A168622D1D80E2400000000010D00000D702909B30966478A168622D1D80E240002534C92C50000</t>
  </si>
  <si>
    <t>handelsbankern</t>
  </si>
  <si>
    <t>00000000A6C727E4353C314FBD93409EF639422707000D702909B30966478A168622D1D80E2400000000010D00000D702909B30966478A168622D1D80E240002534C92C60000</t>
  </si>
  <si>
    <t>00000000A6C727E4353C314FBD93409EF639422707000D702909B30966478A168622D1D80E2400000000010D00000D702909B30966478A168622D1D80E24000265333FDF0000</t>
  </si>
  <si>
    <t>00000000A6C727E4353C314FBD93409EF639422707000D702909B30966478A168622D1D80E2400000000010D00000D702909B30966478A168622D1D80E24000265333FDE0000</t>
  </si>
  <si>
    <t>00000000A6C727E4353C314FBD93409EF639422707000D702909B30966478A168622D1D80E2400000000010D00000D702909B30966478A168622D1D80E24000265333FDD0000</t>
  </si>
  <si>
    <t>00000000A6C727E4353C314FBD93409EF639422707000D702909B30966478A168622D1D80E2400000000010D00000D702909B30966478A168622D1D80E24000265333FDC0000</t>
  </si>
  <si>
    <t>00000000A6C727E4353C314FBD93409EF639422707000D702909B30966478A168622D1D80E2400000000010D00000D702909B30966478A168622D1D80E240002534C92C70000</t>
  </si>
  <si>
    <t>00000000A6C727E4353C314FBD93409EF639422707000D702909B30966478A168622D1D80E2400000000010D00000D702909B30966478A168622D1D80E240002534C92C80000</t>
  </si>
  <si>
    <t>00000000A6C727E4353C314FBD93409EF639422707000D702909B30966478A168622D1D80E2400000000010D00000D702909B30966478A168622D1D80E240002534C92C90000</t>
  </si>
  <si>
    <t>00000000A6C727E4353C314FBD93409EF639422707000D702909B30966478A168622D1D80E2400000000010D00000D702909B30966478A168622D1D80E240002534C92CA0000</t>
  </si>
  <si>
    <t>00000000A6C727E4353C314FBD93409EF639422707000D702909B30966478A168622D1D80E2400000000010D00000D702909B30966478A168622D1D80E240002534C92CB0000</t>
  </si>
  <si>
    <t>capsule data cleanup</t>
  </si>
  <si>
    <t>00000000A6C727E4353C314FBD93409EF639422707000D702909B30966478A168622D1D80E2400000000010D00000D702909B30966478A168622D1D80E24000265333FE00000</t>
  </si>
  <si>
    <t>00000000A6C727E4353C314FBD93409EF639422707000D702909B30966478A168622D1D80E2400000000010D00000D702909B30966478A168622D1D80E24000265333FE80000</t>
  </si>
  <si>
    <t>00000000A6C727E4353C314FBD93409EF639422707000D702909B30966478A168622D1D80E2400000000010D00000D702909B30966478A168622D1D80E24000265333FE70000</t>
  </si>
  <si>
    <t>00000000A6C727E4353C314FBD93409EF639422707000D702909B30966478A168622D1D80E2400000000010D00000D702909B30966478A168622D1D80E24000265333FE60000</t>
  </si>
  <si>
    <t>00000000A6C727E4353C314FBD93409EF639422707000D702909B30966478A168622D1D80E2400000000010D00000D702909B30966478A168622D1D80E24000265333FE50000</t>
  </si>
  <si>
    <t>00000000A6C727E4353C314FBD93409EF639422707000D702909B30966478A168622D1D80E2400000000010D00000D702909B30966478A168622D1D80E24000265333FE40000</t>
  </si>
  <si>
    <t>Jon/Mohamed</t>
  </si>
  <si>
    <t>00000000A6C727E4353C314FBD93409EF639422707000D702909B30966478A168622D1D80E2400000000010D00000D702909B30966478A168622D1D80E24000265333FE30000</t>
  </si>
  <si>
    <t xml:space="preserve">Cognizant/Velox </t>
  </si>
  <si>
    <t>Aditya.Sadhotra@cognizant.com,Jon Butler</t>
  </si>
  <si>
    <t>00000000A6C727E4353C314FBD93409EF639422707000D702909B30966478A168622D1D80E2400000000010D00000D702909B30966478A168622D1D80E24000265333FE20000</t>
  </si>
  <si>
    <t>mohammed</t>
  </si>
  <si>
    <t>00000000A6C727E4353C314FBD93409EF639422707000D702909B30966478A168622D1D80E2400000000010D00000D702909B30966478A168622D1D80E240002534C92CC0000</t>
  </si>
  <si>
    <t>00000000A6C727E4353C314FBD93409EF639422707000D702909B30966478A168622D1D80E2400000000010D00000D702909B30966478A168622D1D80E240002534C92CD0000</t>
  </si>
  <si>
    <t xml:space="preserve">Velox / Cosaic / Symphony - FDC3 Demo </t>
  </si>
  <si>
    <t>mijung.kim@symphony.com,Richard Ring,Robert Friend,Dimiter Georgiev,umesh.patel@symphony.com,Jon Butler,Jim Bunting</t>
  </si>
  <si>
    <t>00000000A6C727E4353C314FBD93409EF639422707000D702909B30966478A168622D1D80E2400000000010D00000D702909B30966478A168622D1D80E240002534C92CE0000</t>
  </si>
  <si>
    <t>00000000A6C727E4353C314FBD93409EF639422707000D702909B30966478A168622D1D80E2400000000010D00000D702909B30966478A168622D1D80E240002534C92D00000</t>
  </si>
  <si>
    <t>00000000A6C727E4353C314FBD93409EF639422707000D702909B30966478A168622D1D80E2400000000010D00000D702909B30966478A168622D1D80E240002534C92D10000</t>
  </si>
  <si>
    <t>00000000A6C727E4353C314FBD93409EF639422707000D702909B30966478A168622D1D80E2400000000010D00000D702909B30966478A168622D1D80E240002534C92D20000</t>
  </si>
  <si>
    <t>Velox Tech Deeper Dive</t>
  </si>
  <si>
    <t>Jon Butler,Michael Coletta FINEQIA,Nij Saha FINEQIA,Neto</t>
  </si>
  <si>
    <t>00000000A6C727E4353C314FBD93409EF639422707000D702909B30966478A168622D1D80E2400000000010D00000D702909B30966478A168622D1D80E24000265333FE90000</t>
  </si>
  <si>
    <t>00000000A6C727E4353C314FBD93409EF639422707000D702909B30966478A168622D1D80E2400000000010D00000D702909B30966478A168622D1D80E24000265333FEA0000</t>
  </si>
  <si>
    <t>00000000A6C727E4353C314FBD93409EF639422707000D702909B30966478A168622D1D80E2400000000010D00000D702909B30966478A168622D1D80E240002534C92D30000</t>
  </si>
  <si>
    <t>00000000A6C727E4353C314FBD93409EF639422707000D702909B30966478A168622D1D80E2400000000010D00000D702909B30966478A168622D1D80E24000265333FEB0000</t>
  </si>
  <si>
    <t>linked in post</t>
  </si>
  <si>
    <t>00000000A6C727E4353C314FBD93409EF639422707000D702909B30966478A168622D1D80E2400000000010D00000D702909B30966478A168622D1D80E24000265333FEC0000</t>
  </si>
  <si>
    <t>00000000A6C727E4353C314FBD93409EF639422707000D702909B30966478A168622D1D80E2400000000010D00000D702909B30966478A168622D1D80E24000265333FED0000</t>
  </si>
  <si>
    <t>Sales Strategy</t>
  </si>
  <si>
    <t>Jon Butler,Neto,Ali Moosavi</t>
  </si>
  <si>
    <t>00000000A6C727E4353C314FBD93409EF639422707000D702909B30966478A168622D1D80E2400000000010D00000D702909B30966478A168622D1D80E24000265333FEE0000</t>
  </si>
  <si>
    <t>00000000A6C727E4353C314FBD93409EF639422707000D702909B30966478A168622D1D80E2400000000010D00000D702909B30966478A168622D1D80E24000265333FF00000</t>
  </si>
  <si>
    <t>00000000A6C727E4353C314FBD93409EF639422707000D702909B30966478A168622D1D80E2400000000010D00000D702909B30966478A168622D1D80E24000265333FEF0000</t>
  </si>
  <si>
    <t>Level 1 Pitch Deck</t>
  </si>
  <si>
    <t>00000000A6C727E4353C314FBD93409EF639422707000D702909B30966478A168622D1D80E2400000000010D00000D702909B30966478A168622D1D80E240002754ABFDE0000</t>
  </si>
  <si>
    <t>00000000A6C727E4353C314FBD93409EF639422707000D702909B30966478A168622D1D80E2400000000010D00000D702909B30966478A168622D1D80E24000265333FF10000</t>
  </si>
  <si>
    <t>00000000A6C727E4353C314FBD93409EF639422707000D702909B30966478A168622D1D80E2400000000010D00000D702909B30966478A168622D1D80E24000265333FF30000</t>
  </si>
  <si>
    <t>prep for Ca &amp; Fineqia</t>
  </si>
  <si>
    <t>00000000A6C727E4353C314FBD93409EF639422707000D702909B30966478A168622D1D80E2400000000010D00000D702909B30966478A168622D1D80E240002534C92D40000</t>
  </si>
  <si>
    <t>neto deck</t>
  </si>
  <si>
    <t>00000000A6C727E4353C314FBD93409EF639422707000D702909B30966478A168622D1D80E2400000000010D00000D702909B30966478A168622D1D80E240002534C92D50000</t>
  </si>
  <si>
    <t>00000000A6C727E4353C314FBD93409EF639422707000D702909B30966478A168622D1D80E2400000000010D00000D702909B30966478A168622D1D80E240002534C92D60000</t>
  </si>
  <si>
    <t>00000000A6C727E4353C314FBD93409EF639422707000D702909B30966478A168622D1D80E2400000000010D00000D702909B30966478A168622D1D80E24000265333FF50000</t>
  </si>
  <si>
    <t>00000000A6C727E4353C314FBD93409EF639422707000D702909B30966478A168622D1D80E2400000000010D00000D702909B30966478A168622D1D80E24000265333FF40000</t>
  </si>
  <si>
    <t>00000000A6C727E4353C314FBD93409EF639422707000D702909B30966478A168622D1D80E2400000000010D00000D702909B30966478A168622D1D80E24000265333FF80000</t>
  </si>
  <si>
    <t>prep for FINEQIA</t>
  </si>
  <si>
    <t>00000000A6C727E4353C314FBD93409EF639422707000D702909B30966478A168622D1D80E2400000000010D00000D702909B30966478A168622D1D80E24000265333FF70000</t>
  </si>
  <si>
    <t>00000000A6C727E4353C314FBD93409EF639422707000D702909B30966478A168622D1D80E2400000000010D00000D702909B30966478A168622D1D80E24000265333FF60000</t>
  </si>
  <si>
    <t>Kevie &amp; Alyssa</t>
  </si>
  <si>
    <t>57 Hillside Ave_x000D_
Manhasset, NY, United States</t>
  </si>
  <si>
    <t>00000000A6C727E4353C314FBD93409EF639422707000D702909B30966478A168622D1D80E2400000000010D00000D702909B30966478A168622D1D80E240002754ABFDF0000</t>
  </si>
  <si>
    <t>00000000A6C727E4353C314FBD93409EF639422707000D702909B30966478A168622D1D80E2400000000010D00000D702909B30966478A168622D1D80E240002534C92D70000</t>
  </si>
  <si>
    <t>carfp</t>
  </si>
  <si>
    <t>00000000A6C727E4353C314FBD93409EF639422707000D702909B30966478A168622D1D80E2400000000010D00000D702909B30966478A168622D1D80E240002534C92D80000</t>
  </si>
  <si>
    <t>00000000A6C727E4353C314FBD93409EF639422707000D702909B30966478A168622D1D80E2400000000010D00000D702909B30966478A168622D1D80E240002534C92D90000</t>
  </si>
  <si>
    <t>Velox / FXall into Workspace</t>
  </si>
  <si>
    <t>Best, Stephen,Kleinmann, Lisa,Greasby, Ian,McCrady, Owen,Gidding, Jack,Barker, Nicholas,Jon Butler,Ali Moosavi,Pereira, Nigel</t>
  </si>
  <si>
    <t>00000000A6C727E4353C314FBD93409EF639422707000D702909B30966478A168622D1D80E2400000000010D00000D702909B30966478A168622D1D80E240002534C92DA0000</t>
  </si>
  <si>
    <t>00000000A6C727E4353C314FBD93409EF639422707000D702909B30966478A168622D1D80E2400000000010D00000D702909B30966478A168622D1D80E240002534C92DB0000</t>
  </si>
  <si>
    <t>post</t>
  </si>
  <si>
    <t>00000000A6C727E4353C314FBD93409EF639422707000D702909B30966478A168622D1D80E2400000000010D00000D702909B30966478A168622D1D80E240002534C92DC0000</t>
  </si>
  <si>
    <t>00000000A6C727E4353C314FBD93409EF639422707000D702909B30966478A168622D1D80E2400000000010D00000D702909B30966478A168622D1D80E240002534C92DD0000</t>
  </si>
  <si>
    <t>00000000A6C727E4353C314FBD93409EF639422707000D702909B30966478A168622D1D80E2400000000010D00000D702909B30966478A168622D1D80E24000265333FFA0000</t>
  </si>
  <si>
    <t>00000000A6C727E4353C314FBD93409EF639422707000D702909B30966478A168622D1D80E2400000000010D00000D702909B30966478A168622D1D80E24000265333FF90000</t>
  </si>
  <si>
    <t>varfp</t>
  </si>
  <si>
    <t>00000000A6C727E4353C314FBD93409EF639422707000D702909B30966478A168622D1D80E2400000000010D00000D702909B30966478A168622D1D80E24000265333FFC0000</t>
  </si>
  <si>
    <t>Jon/Mo - Velox</t>
  </si>
  <si>
    <t>00000000A6C727E4353C314FBD93409EF639422707000D702909B30966478A168622D1D80E2400000000010D00000D702909B30966478A168622D1D80E240002534C92DE0000</t>
  </si>
  <si>
    <t>admin / website / Neto JW</t>
  </si>
  <si>
    <t>00000000A6C727E4353C314FBD93409EF639422707000D702909B30966478A168622D1D80E2400000000010D00000D702909B30966478A168622D1D80E240002534C92DF0000</t>
  </si>
  <si>
    <t>00000000A6C727E4353C314FBD93409EF639422707000D702909B30966478A168622D1D80E2400000000010D00000D702909B30966478A168622D1D80E24000265333FFD0000</t>
  </si>
  <si>
    <t>00000000A6C727E4353C314FBD93409EF639422707000D702909B30966478A168622D1D80E2400000000010D00000D702909B30966478A168622D1D80E240002534C92E00000</t>
  </si>
  <si>
    <t>fineqia</t>
  </si>
  <si>
    <t>00000000A6C727E4353C314FBD93409EF639422707000D702909B30966478A168622D1D80E2400000000010D00000D702909B30966478A168622D1D80E240002534C92E10000</t>
  </si>
  <si>
    <t>00000000A6C727E4353C314FBD93409EF639422707000D702909B30966478A168622D1D80E2400000000010D00000D702909B30966478A168622D1D80E24000265333FFE0000</t>
  </si>
  <si>
    <t>00000000A6C727E4353C314FBD93409EF639422707000D702909B30966478A168622D1D80E2400000000010D00000D702909B30966478A168622D1D80E240002534C92E20000</t>
  </si>
  <si>
    <t>Ang. RE: Ang. Handelsbanken Capital Markets - vFSA Equity Demo</t>
  </si>
  <si>
    <t>Peter Holmgren,Thomas Ekefalk,Jon Butler</t>
  </si>
  <si>
    <t>00000000A6C727E4353C314FBD93409EF639422707000D702909B30966478A168622D1D80E2400000000010D00000D702909B30966478A168622D1D80E24000265333FFF0000</t>
  </si>
  <si>
    <t>daily sales</t>
  </si>
  <si>
    <t>00000000A6C727E4353C314FBD93409EF639422707000D702909B30966478A168622D1D80E2400000000010D00000D702909B30966478A168622D1D80E240002653340030000</t>
  </si>
  <si>
    <t>Gen of Gen - Q&amp;A</t>
  </si>
  <si>
    <t>Neto,Ali Moosavi,Jon Butler</t>
  </si>
  <si>
    <t>00000000A6C727E4353C314FBD93409EF639422707000D702909B30966478A168622D1D80E2400000000010D00000D702909B30966478A168622D1D80E240002653340020000</t>
  </si>
  <si>
    <t>jaosn</t>
  </si>
  <si>
    <t>00000000A6C727E4353C314FBD93409EF639422707000D702909B30966478A168622D1D80E2400000000010D00000D702909B30966478A168622D1D80E240002653340010000</t>
  </si>
  <si>
    <t>Jon/Yogesh</t>
  </si>
  <si>
    <t>Jon Butler,Yogesh Wagle</t>
  </si>
  <si>
    <t>00000000A6C727E4353C314FBD93409EF639422707000D702909B30966478A168622D1D80E2400000000010D00000D702909B30966478A168622D1D80E240002534C92E30000</t>
  </si>
  <si>
    <t>00000000A6C727E4353C314FBD93409EF639422707000D702909B30966478A168622D1D80E2400000000010D00000D702909B30966478A168622D1D80E240002653340050000</t>
  </si>
  <si>
    <t>admikn</t>
  </si>
  <si>
    <t>00000000A6C727E4353C314FBD93409EF639422707000D702909B30966478A168622D1D80E2400000000010D00000D702909B30966478A168622D1D80E240002653340060000</t>
  </si>
  <si>
    <t>pre for fineqia</t>
  </si>
  <si>
    <t>00000000A6C727E4353C314FBD93409EF639422707000D702909B30966478A168622D1D80E2400000000010D00000D702909B30966478A168622D1D80E240002653340070000</t>
  </si>
  <si>
    <t>linked in prospecting</t>
  </si>
  <si>
    <t>00000000A6C727E4353C314FBD93409EF639422707000D702909B30966478A168622D1D80E2400000000010D00000D702909B30966478A168622D1D80E240002534C92E40000</t>
  </si>
  <si>
    <t>missing capsule data</t>
  </si>
  <si>
    <t>00000000A6C727E4353C314FBD93409EF639422707000D702909B30966478A168622D1D80E2400000000010D00000D702909B30966478A168622D1D80E240002534C92E50000</t>
  </si>
  <si>
    <t>cacib demo</t>
  </si>
  <si>
    <t>00000000A6C727E4353C314FBD93409EF639422707000D702909B30966478A168622D1D80E2400000000010D00000D702909B30966478A168622D1D80E2400026533400A0000</t>
  </si>
  <si>
    <t>00000000A6C727E4353C314FBD93409EF639422707000D702909B30966478A168622D1D80E2400000000010D00000D702909B30966478A168622D1D80E240002653340090000</t>
  </si>
  <si>
    <t>00000000A6C727E4353C314FBD93409EF639422707000D702909B30966478A168622D1D80E2400000000010D00000D702909B30966478A168622D1D80E240002653340080000</t>
  </si>
  <si>
    <t>00000000A6C727E4353C314FBD93409EF639422707000D702909B30966478A168622D1D80E2400000000010D00000D702909B30966478A168622D1D80E2400026533400E0000</t>
  </si>
  <si>
    <t>00000000A6C727E4353C314FBD93409EF639422707000D702909B30966478A168622D1D80E2400000000010D00000D702909B30966478A168622D1D80E2400026533400D0000</t>
  </si>
  <si>
    <t>00000000A6C727E4353C314FBD93409EF639422707000D702909B30966478A168622D1D80E2400000000010D00000D702909B30966478A168622D1D80E2400026533400C0000</t>
  </si>
  <si>
    <t>00000000A6C727E4353C314FBD93409EF639422707000D702909B30966478A168622D1D80E2400000000010D00000D702909B30966478A168622D1D80E2400026533400B0000</t>
  </si>
  <si>
    <t>admin / write up meeting notes</t>
  </si>
  <si>
    <t>00000000A6C727E4353C314FBD93409EF639422707000D702909B30966478A168622D1D80E2400000000010D00000D702909B30966478A168622D1D80E240002534C92E60000</t>
  </si>
  <si>
    <t>notes from meetings and cleaning up decks</t>
  </si>
  <si>
    <t>00000000A6C727E4353C314FBD93409EF639422707000D702909B30966478A168622D1D80E2400000000010D00000D702909B30966478A168622D1D80E240002534C92E70000</t>
  </si>
  <si>
    <t>Ultumus contract</t>
  </si>
  <si>
    <t>Alison Hood,Mark SEARLE,Jon Butler</t>
  </si>
  <si>
    <t>00000000A6C727E4353C314FBD93409EF639422707000D702909B30966478A168622D1D80E2400000000010D00000D702909B30966478A168622D1D80E24000279E53D4A0000</t>
  </si>
  <si>
    <t>00000000A6C727E4353C314FBD93409EF639422707000D702909B30966478A168622D1D80E2400000000010D00000D702909B30966478A168622D1D80E240002653340100000</t>
  </si>
  <si>
    <t>demo for caciubv</t>
  </si>
  <si>
    <t>00000000A6C727E4353C314FBD93409EF639422707000D702909B30966478A168622D1D80E2400000000010D00000D702909B30966478A168622D1D80E2400026533400F0000</t>
  </si>
  <si>
    <t>https://us02web.zoom.us/j/84368662522?pwd=cDdEcGdwQWpsZldCSUZkVHh3QnhHQT09&amp;from=addon</t>
  </si>
  <si>
    <t>00000000A6C727E4353C314FBD93409EF639422707000D702909B30966478A168622D1D80E2400000000010D00000D702909B30966478A168622D1D80E240002653340110000</t>
  </si>
  <si>
    <t>cacib</t>
  </si>
  <si>
    <t>00000000A6C727E4353C314FBD93409EF639422707000D702909B30966478A168622D1D80E2400000000010D00000D702909B30966478A168622D1D80E2400026533401A0000</t>
  </si>
  <si>
    <t>00000000A6C727E4353C314FBD93409EF639422707000D702909B30966478A168622D1D80E2400000000010D00000D702909B30966478A168622D1D80E240002653340190000</t>
  </si>
  <si>
    <t>00000000A6C727E4353C314FBD93409EF639422707000D702909B30966478A168622D1D80E2400000000010D00000D702909B30966478A168622D1D80E240002653340180000</t>
  </si>
  <si>
    <t>00000000A6C727E4353C314FBD93409EF639422707000D702909B30966478A168622D1D80E2400000000010D00000D702909B30966478A168622D1D80E240002653340170000</t>
  </si>
  <si>
    <t>00000000A6C727E4353C314FBD93409EF639422707000D702909B30966478A168622D1D80E2400000000010D00000D702909B30966478A168622D1D80E240002653340160000</t>
  </si>
  <si>
    <t>handelsbank prep</t>
  </si>
  <si>
    <t>00000000A6C727E4353C314FBD93409EF639422707000D702909B30966478A168622D1D80E2400000000010D00000D702909B30966478A168622D1D80E240002653340150000</t>
  </si>
  <si>
    <t>FX prep</t>
  </si>
  <si>
    <t>00000000A6C727E4353C314FBD93409EF639422707000D702909B30966478A168622D1D80E2400000000010D00000D702909B30966478A168622D1D80E240002653340140000</t>
  </si>
  <si>
    <t>sales notes</t>
  </si>
  <si>
    <t>00000000A6C727E4353C314FBD93409EF639422707000D702909B30966478A168622D1D80E2400000000010D00000D702909B30966478A168622D1D80E240002653340130000</t>
  </si>
  <si>
    <t>00000000A6C727E4353C314FBD93409EF639422707000D702909B30966478A168622D1D80E2400000000010D00000D702909B30966478A168622D1D80E240002534C92E80000</t>
  </si>
  <si>
    <t>00000000A6C727E4353C314FBD93409EF639422707000D702909B30966478A168622D1D80E2400000000010D00000D702909B30966478A168622D1D80E240002653340270000</t>
  </si>
  <si>
    <t>00000000A6C727E4353C314FBD93409EF639422707000D702909B30966478A168622D1D80E2400000000010D00000D702909B30966478A168622D1D80E240002653340260000</t>
  </si>
  <si>
    <t>00000000A6C727E4353C314FBD93409EF639422707000D702909B30966478A168622D1D80E2400000000010D00000D702909B30966478A168622D1D80E240002653340240000</t>
  </si>
  <si>
    <t>00000000A6C727E4353C314FBD93409EF639422707000D702909B30966478A168622D1D80E2400000000010D00000D702909B30966478A168622D1D80E240002653340230000</t>
  </si>
  <si>
    <t>00000000A6C727E4353C314FBD93409EF639422707000D702909B30966478A168622D1D80E2400000000010D00000D702909B30966478A168622D1D80E240002653340220000</t>
  </si>
  <si>
    <t>trads releases</t>
  </si>
  <si>
    <t>00000000A6C727E4353C314FBD93409EF639422707000D702909B30966478A168622D1D80E2400000000010D00000D702909B30966478A168622D1D80E240002653340250000</t>
  </si>
  <si>
    <t>00000000A6C727E4353C314FBD93409EF639422707000D702909B30966478A168622D1D80E2400000000010D00000D702909B30966478A168622D1D80E240002653340200000</t>
  </si>
  <si>
    <t>00000000A6C727E4353C314FBD93409EF639422707000D702909B30966478A168622D1D80E2400000000010D00000D702909B30966478A168622D1D80E2400026533401F0000</t>
  </si>
  <si>
    <t>giles bonaguro</t>
  </si>
  <si>
    <t>00000000A6C727E4353C314FBD93409EF639422707000D702909B30966478A168622D1D80E2400000000010D00000D702909B30966478A168622D1D80E2400026533401E0000</t>
  </si>
  <si>
    <t>00000000A6C727E4353C314FBD93409EF639422707000D702909B30966478A168622D1D80E2400000000010D00000D702909B30966478A168622D1D80E2400026533401D0000</t>
  </si>
  <si>
    <t>00000000A6C727E4353C314FBD93409EF639422707000D702909B30966478A168622D1D80E2400000000010D00000D702909B30966478A168622D1D80E2400026533401C0000</t>
  </si>
  <si>
    <t>00000000A6C727E4353C314FBD93409EF639422707000D702909B30966478A168622D1D80E2400000000010D00000D702909B30966478A168622D1D80E2400026533401B0000</t>
  </si>
  <si>
    <t>Review L1 Slides</t>
  </si>
  <si>
    <t>00000000A6C727E4353C314FBD93409EF639422707000D702909B30966478A168622D1D80E2400000000010D00000D702909B30966478A168622D1D80E240002653340210000</t>
  </si>
  <si>
    <t>valantic case study</t>
  </si>
  <si>
    <t>00000000A6C727E4353C314FBD93409EF639422707000D702909B30966478A168622D1D80E2400000000010D00000D702909B30966478A168622D1D80E240002653340330000</t>
  </si>
  <si>
    <t>00000000A6C727E4353C314FBD93409EF639422707000D702909B30966478A168622D1D80E2400000000010D00000D702909B30966478A168622D1D80E240002653340320000</t>
  </si>
  <si>
    <t>00000000A6C727E4353C314FBD93409EF639422707000D702909B30966478A168622D1D80E2400000000010D00000D702909B30966478A168622D1D80E240002653340310000</t>
  </si>
  <si>
    <t>00000000A6C727E4353C314FBD93409EF639422707000D702909B30966478A168622D1D80E2400000000010D00000D702909B30966478A168622D1D80E240002653340300000</t>
  </si>
  <si>
    <t>FXAll followup</t>
  </si>
  <si>
    <t>00000000A6C727E4353C314FBD93409EF639422707000D702909B30966478A168622D1D80E2400000000010D00000D702909B30966478A168622D1D80E2400026533402F0000</t>
  </si>
  <si>
    <t xml:space="preserve">Velox-Markets Media call to discuss expedited article </t>
  </si>
  <si>
    <t>https://us04web.zoom.us/j/73811383098?pwd=qE3dPfM2ktg1LIjA3HGGawWMV2wl3a.1</t>
  </si>
  <si>
    <t>00000000A6C727E4353C314FBD93409EF639422707000D702909B30966478A168622D1D80E2400000000010D00000D702909B30966478A168622D1D80E2400026533402E0000</t>
  </si>
  <si>
    <t>Sales write ups</t>
  </si>
  <si>
    <t>00000000A6C727E4353C314FBD93409EF639422707000D702909B30966478A168622D1D80E2400000000010D00000D702909B30966478A168622D1D80E2400026533402D0000</t>
  </si>
  <si>
    <t>introductions</t>
  </si>
  <si>
    <t>00000000A6C727E4353C314FBD93409EF639422707000D702909B30966478A168622D1D80E2400000000010D00000D702909B30966478A168622D1D80E2400026533402C0000</t>
  </si>
  <si>
    <t>00000000A6C727E4353C314FBD93409EF639422707000D702909B30966478A168622D1D80E2400000000010D00000D702909B30966478A168622D1D80E2400026533402B0000</t>
  </si>
  <si>
    <t>00000000A6C727E4353C314FBD93409EF639422707000D702909B30966478A168622D1D80E2400000000010D00000D702909B30966478A168622D1D80E2400026533402A0000</t>
  </si>
  <si>
    <t>Velox Introductions</t>
  </si>
  <si>
    <t>Jon Butler,Gunawan Santoso,Ali Moosavi</t>
  </si>
  <si>
    <t>00000000A6C727E4353C314FBD93409EF639422707000D702909B30966478A168622D1D80E2400000000010D00000D702909B30966478A168622D1D80E240002653340290000</t>
  </si>
  <si>
    <t xml:space="preserve">Citi - Velox Tools (Velox Core?) - Discussion on Potential Requirements </t>
  </si>
  <si>
    <t>Giles Sarton,Bonaguro, Michael,Jon Butler</t>
  </si>
  <si>
    <t>00000000A6C727E4353C314FBD93409EF639422707000D702909B30966478A168622D1D80E2400000000010D00000D702909B30966478A168622D1D80E240002653340280000</t>
  </si>
  <si>
    <t>LSEG</t>
  </si>
  <si>
    <t>00000000A6C727E4353C314FBD93409EF639422707000D702909B30966478A168622D1D80E2400000000010D00000D702909B30966478A168622D1D80E240002653340340000</t>
  </si>
  <si>
    <t>Purestream overview</t>
  </si>
  <si>
    <t>Alison Hood,Jon Butler,Ian Salmon,Christian Schueler</t>
  </si>
  <si>
    <t>00000000A6C727E4353C314FBD93409EF639422707000D702909B30966478A168622D1D80E2400000000010D00000D702909B30966478A168622D1D80E24000279E53D4E0000</t>
  </si>
  <si>
    <t>Jon/Mo - NBO &amp; Contract</t>
  </si>
  <si>
    <t>00000000A6C727E4353C314FBD93409EF639422707000D702909B30966478A168622D1D80E2400000000010D00000D702909B30966478A168622D1D80E240002653340350000</t>
  </si>
  <si>
    <t>00000000A6C727E4353C314FBD93409EF639422707000D702909B30966478A168622D1D80E2400000000010D00000D702909B30966478A168622D1D80E240002653340360000</t>
  </si>
  <si>
    <t>00000000A6C727E4353C314FBD93409EF639422707000D702909B30966478A168622D1D80E2400000000010D00000D702909B30966478A168622D1D80E240002653340370000</t>
  </si>
  <si>
    <t>00000000A6C727E4353C314FBD93409EF639422707000D702909B30966478A168622D1D80E2400000000010D00000D702909B30966478A168622D1D80E240002534C92E90000</t>
  </si>
  <si>
    <t>linked in prospect</t>
  </si>
  <si>
    <t>00000000A6C727E4353C314FBD93409EF639422707000D702909B30966478A168622D1D80E2400000000010D00000D702909B30966478A168622D1D80E240002653340380000</t>
  </si>
  <si>
    <t>00000000A6C727E4353C314FBD93409EF639422707000D702909B30966478A168622D1D80E2400000000010D00000D702909B30966478A168622D1D80E240002653340400000</t>
  </si>
  <si>
    <t>Jon &amp; Neto</t>
  </si>
  <si>
    <t>00000000A6C727E4353C314FBD93409EF639422707000D702909B30966478A168622D1D80E2400000000010D00000D702909B30966478A168622D1D80E2400026533403F0000</t>
  </si>
  <si>
    <t>clients / admin</t>
  </si>
  <si>
    <t>00000000A6C727E4353C314FBD93409EF639422707000D702909B30966478A168622D1D80E2400000000010D00000D702909B30966478A168622D1D80E2400026533403E0000</t>
  </si>
  <si>
    <t>Sales strategy</t>
  </si>
  <si>
    <t>00000000A6C727E4353C314FBD93409EF639422707000D702909B30966478A168622D1D80E2400000000010D00000D702909B30966478A168622D1D80E2400026533403D0000</t>
  </si>
  <si>
    <t>Gidding, Jack,Kleinmann, Lisa,Greasby, Ian,McCrady, Owen,Ali Moosavi,Jon Butler,Pereira, Nigel,Barker, Nicholas</t>
  </si>
  <si>
    <t>Gidding, Jack</t>
  </si>
  <si>
    <t>00000000A6C727E4353C314FBD93409EF639422707000D702909B30966478A168622D1D80E2400000000010D00000D702909B30966478A168622D1D80E2400026533403C0000</t>
  </si>
  <si>
    <t>00000000A6C727E4353C314FBD93409EF639422707000D702909B30966478A168622D1D80E2400000000010D00000D702909B30966478A168622D1D80E2400026533403B0000</t>
  </si>
  <si>
    <t>00000000A6C727E4353C314FBD93409EF639422707000D702909B30966478A168622D1D80E2400000000010D00000D702909B30966478A168622D1D80E2400026533403A0000</t>
  </si>
  <si>
    <t>00000000A6C727E4353C314FBD93409EF639422707000D702909B30966478A168622D1D80E2400000000010D00000D702909B30966478A168622D1D80E240002653340390000</t>
  </si>
  <si>
    <t>00000000A6C727E4353C314FBD93409EF639422707000D702909B30966478A168622D1D80E2400000000010D00000D702909B30966478A168622D1D80E240002534C92EA0000</t>
  </si>
  <si>
    <t>00000000A6C727E4353C314FBD93409EF639422707000D702909B30966478A168622D1D80E2400000000010D00000D702909B30966478A168622D1D80E240002653340410000</t>
  </si>
  <si>
    <t>sales capsule</t>
  </si>
  <si>
    <t>00000000A6C727E4353C314FBD93409EF639422707000D702909B30966478A168622D1D80E2400000000010D00000D702909B30966478A168622D1D80E240002534C92EB0000</t>
  </si>
  <si>
    <t>Level 1 deck</t>
  </si>
  <si>
    <t>00000000A6C727E4353C314FBD93409EF639422707000D702909B30966478A168622D1D80E2400000000010D00000D702909B30966478A168622D1D80E240002653340420000</t>
  </si>
  <si>
    <t>daily sales washup</t>
  </si>
  <si>
    <t>00000000A6C727E4353C314FBD93409EF639422707000D702909B30966478A168622D1D80E2400000000010D00000D702909B30966478A168622D1D80E240002534C92EC0000</t>
  </si>
  <si>
    <t>00000000A6C727E4353C314FBD93409EF639422707000D702909B30966478A168622D1D80E2400000000010D00000D702909B30966478A168622D1D80E240002534C92ED0000</t>
  </si>
  <si>
    <t>00000000A6C727E4353C314FBD93409EF639422707000D702909B30966478A168622D1D80E2400000000010D00000D702909B30966478A168622D1D80E2400026533404A0000</t>
  </si>
  <si>
    <t>00000000A6C727E4353C314FBD93409EF639422707000D702909B30966478A168622D1D80E2400000000010D00000D702909B30966478A168622D1D80E240002653340490000</t>
  </si>
  <si>
    <t>hiring in france</t>
  </si>
  <si>
    <t>00000000A6C727E4353C314FBD93409EF639422707000D702909B30966478A168622D1D80E2400000000010D00000D702909B30966478A168622D1D80E240002653340480000</t>
  </si>
  <si>
    <t>MCAP - Ultumus - Velox - Overview Capabilities  - Q&amp;A</t>
  </si>
  <si>
    <t>Zoom Call; https://us02web.zoom.us/j/8924968189?pwd=WGlzdmJCbkFweHp4K2VaWFVISVRNZz09&amp;from=addon</t>
  </si>
  <si>
    <t>Giles Sarton,Jon Butler,Nick Phillips,aaron.kehoe@mcapmarkets.com,David Falter,Corey Moncure,William Dennis,Keith Cheshire</t>
  </si>
  <si>
    <t>00000000A6C727E4353C314FBD93409EF639422707000D702909B30966478A168622D1D80E2400000000010D00000D702909B30966478A168622D1D80E240002653340470000</t>
  </si>
  <si>
    <t>capsuledata</t>
  </si>
  <si>
    <t>00000000A6C727E4353C314FBD93409EF639422707000D702909B30966478A168622D1D80E2400000000010D00000D702909B30966478A168622D1D80E240002653340460000</t>
  </si>
  <si>
    <t>Hiring plans in France</t>
  </si>
  <si>
    <t>00000000A6C727E4353C314FBD93409EF639422707000D702909B30966478A168622D1D80E2400000000010D00000D702909B30966478A168622D1D80E24000279E53D530000</t>
  </si>
  <si>
    <t>Velox FX TradMatch Demo / Training</t>
  </si>
  <si>
    <t>Jon Butler,Jason Yan,Greg Lee,Neto,Ali Moosavi</t>
  </si>
  <si>
    <t>00000000A6C727E4353C314FBD93409EF639422707000D702909B30966478A168622D1D80E2400000000010D00000D702909B30966478A168622D1D80E240002653340450000</t>
  </si>
  <si>
    <t>Jon/Markus - SIX</t>
  </si>
  <si>
    <t>Jon Butler,Markus Boehme</t>
  </si>
  <si>
    <t>00000000A6C727E4353C314FBD93409EF639422707000D702909B30966478A168622D1D80E2400000000010D00000D702909B30966478A168622D1D80E240002653340440000</t>
  </si>
  <si>
    <t>00000000A6C727E4353C314FBD93409EF639422707000D702909B30966478A168622D1D80E2400000000010D00000D702909B30966478A168622D1D80E240002653340430000</t>
  </si>
  <si>
    <t>capsuke</t>
  </si>
  <si>
    <t>00000000A6C727E4353C314FBD93409EF639422707000D702909B30966478A168622D1D80E2400000000010D00000D702909B30966478A168622D1D80E240002534C92EE0000</t>
  </si>
  <si>
    <t>00000000A6C727E4353C314FBD93409EF639422707000D702909B30966478A168622D1D80E2400000000010D00000D702909B30966478A168622D1D80E240002534C92EF0000</t>
  </si>
  <si>
    <t>00000000A6C727E4353C314FBD93409EF639422707000D702909B30966478A168622D1D80E2400000000010D00000D702909B30966478A168622D1D80E240002534C92F00000</t>
  </si>
  <si>
    <t>00000000A6C727E4353C314FBD93409EF639422707000D702909B30966478A168622D1D80E2400000000010D00000D702909B30966478A168622D1D80E240002534C92F10000</t>
  </si>
  <si>
    <t>caposule</t>
  </si>
  <si>
    <t>00000000A6C727E4353C314FBD93409EF639422707000D702909B30966478A168622D1D80E2400000000010D00000D702909B30966478A168622D1D80E2400026533404B0000</t>
  </si>
  <si>
    <t>00000000A6C727E4353C314FBD93409EF639422707000D702909B30966478A168622D1D80E2400000000010D00000D702909B30966478A168622D1D80E2400026533404C0000</t>
  </si>
  <si>
    <t>00000000A6C727E4353C314FBD93409EF639422707000D702909B30966478A168622D1D80E2400000000010D00000D702909B30966478A168622D1D80E240002534C92F20000</t>
  </si>
  <si>
    <t>00000000A6C727E4353C314FBD93409EF639422707000D702909B30966478A168622D1D80E2400000000010D00000D702909B30966478A168622D1D80E240002534C92F30000</t>
  </si>
  <si>
    <t>00000000A6C727E4353C314FBD93409EF639422707000D702909B30966478A168622D1D80E2400000000010D00000D702909B30966478A168622D1D80E240002534C92F40000</t>
  </si>
  <si>
    <t>00000000A6C727E4353C314FBD93409EF639422707000D702909B30966478A168622D1D80E2400000000010D00000D702909B30966478A168622D1D80E240002534C92F50000</t>
  </si>
  <si>
    <t>00000000A6C727E4353C314FBD93409EF639422707000D702909B30966478A168622D1D80E2400000000010D00000D702909B30966478A168622D1D80E240002534C92F60000</t>
  </si>
  <si>
    <t>propecting</t>
  </si>
  <si>
    <t>00000000A6C727E4353C314FBD93409EF639422707000D702909B30966478A168622D1D80E2400000000010D00000D702909B30966478A168622D1D80E240002534C92F70000</t>
  </si>
  <si>
    <t>00000000A6C727E4353C314FBD93409EF639422707000D702909B30966478A168622D1D80E2400000000010D00000D702909B30966478A168622D1D80E240002653340500000</t>
  </si>
  <si>
    <t>Catch up on case study</t>
  </si>
  <si>
    <t>00000000A6C727E4353C314FBD93409EF639422707000D702909B30966478A168622D1D80E2400000000010D00000D702909B30966478A168622D1D80E2400026533404F0000</t>
  </si>
  <si>
    <t>alison copm stuff</t>
  </si>
  <si>
    <t>00000000A6C727E4353C314FBD93409EF639422707000D702909B30966478A168622D1D80E2400000000010D00000D702909B30966478A168622D1D80E2400026533404E0000</t>
  </si>
  <si>
    <t>00000000A6C727E4353C314FBD93409EF639422707000D702909B30966478A168622D1D80E2400000000010D00000D702909B30966478A168622D1D80E2400026533404D0000</t>
  </si>
  <si>
    <t>capsule finding netwrok</t>
  </si>
  <si>
    <t>00000000A6C727E4353C314FBD93409EF639422707000D702909B30966478A168622D1D80E2400000000010D00000D702909B30966478A168622D1D80E240002534C92F80000</t>
  </si>
  <si>
    <t>00000000A6C727E4353C314FBD93409EF639422707000D702909B30966478A168622D1D80E2400000000010D00000D702909B30966478A168622D1D80E240002534C92F90000</t>
  </si>
  <si>
    <t>00000000A6C727E4353C314FBD93409EF639422707000D702909B30966478A168622D1D80E2400000000010D00000D702909B30966478A168622D1D80E240002534C92FA0000</t>
  </si>
  <si>
    <t>00000000A6C727E4353C314FBD93409EF639422707000D702909B30966478A168622D1D80E2400000000010D00000D702909B30966478A168622D1D80E240002534C92FB0000</t>
  </si>
  <si>
    <t>00000000A6C727E4353C314FBD93409EF639422707000D702909B30966478A168622D1D80E2400000000010D00000D702909B30966478A168622D1D80E240002534C92FC0000</t>
  </si>
  <si>
    <t>SIX markus prep</t>
  </si>
  <si>
    <t>00000000A6C727E4353C314FBD93409EF639422707000D702909B30966478A168622D1D80E2400000000010D00000D702909B30966478A168622D1D80E240002653340560000</t>
  </si>
  <si>
    <t>00000000A6C727E4353C314FBD93409EF639422707000D702909B30966478A168622D1D80E2400000000010D00000D702909B30966478A168622D1D80E240002653340540000</t>
  </si>
  <si>
    <t>00000000A6C727E4353C314FBD93409EF639422707000D702909B30966478A168622D1D80E2400000000010D00000D702909B30966478A168622D1D80E240002653340530000</t>
  </si>
  <si>
    <t>00000000A6C727E4353C314FBD93409EF639422707000D702909B30966478A168622D1D80E2400000000010D00000D702909B30966478A168622D1D80E240002653340520000</t>
  </si>
  <si>
    <t>Lee Harding - The North Starr,Alison Hood,Jon Butler</t>
  </si>
  <si>
    <t>00000000A6C727E4353C314FBD93409EF639422707000D702909B30966478A168622D1D80E2400000000010D00000D702909B30966478A168622D1D80E240002653340550000</t>
  </si>
  <si>
    <t>prospecting capsule data</t>
  </si>
  <si>
    <t>00000000A6C727E4353C314FBD93409EF639422707000D702909B30966478A168622D1D80E2400000000010D00000D702909B30966478A168622D1D80E240002653340510000</t>
  </si>
  <si>
    <t>00000000A6C727E4353C314FBD93409EF639422707000D702909B30966478A168622D1D80E2400000000010D00000D702909B30966478A168622D1D80E240002534C92FD0000</t>
  </si>
  <si>
    <t>00000000A6C727E4353C314FBD93409EF639422707000D702909B30966478A168622D1D80E2400000000010D00000D702909B30966478A168622D1D80E240002534C92FE0000</t>
  </si>
  <si>
    <t>Pipeline review</t>
  </si>
  <si>
    <t>Jon Zoom</t>
  </si>
  <si>
    <t>00000000A6C727E4353C314FBD93409EF639422707000D702909B30966478A168622D1D80E2400000000010D00000D702909B30966478A168622D1D80E240002534C92FF0000</t>
  </si>
  <si>
    <t>Velox Tech Deep-dive</t>
  </si>
  <si>
    <t>Jon Butler,Arteaga, Marvin,Jason Yan,Neill, Rolf,St. John, Aaron,Jain, Nilesh,Raghavan, Sridev</t>
  </si>
  <si>
    <t>00000000A6C727E4353C314FBD93409EF639422707000D702909B30966478A168622D1D80E2400000000010D00000D702909B30966478A168622D1D80E240002534C93000000</t>
  </si>
  <si>
    <t>00000000A6C727E4353C314FBD93409EF639422707000D702909B30966478A168622D1D80E2400000000010D00000D702909B30966478A168622D1D80E240002534C93010000</t>
  </si>
  <si>
    <t>00000000A6C727E4353C314FBD93409EF639422707000D702909B30966478A168622D1D80E2400000000010D00000D702909B30966478A168622D1D80E240002534C93020000</t>
  </si>
  <si>
    <t>Jon/Mo - Catchup</t>
  </si>
  <si>
    <t>Jon Butler,Mohamed Arkate,Alison Hood</t>
  </si>
  <si>
    <t>00000000A6C727E4353C314FBD93409EF639422707000D702909B30966478A168622D1D80E2400000000010D00000D702909B30966478A168622D1D80E240002653340580000</t>
  </si>
  <si>
    <t>Mo/Jon/Alison</t>
  </si>
  <si>
    <t>Alison Hood,Mohamed Arkate,Jon Butler</t>
  </si>
  <si>
    <t>00000000A6C727E4353C314FBD93409EF639422707000D702909B30966478A168622D1D80E2400000000010D00000D702909B30966478A168622D1D80E24000279E53D5A0000</t>
  </si>
  <si>
    <t xml:space="preserve">SEB - vFSA velox Low Code Development Framework Presentation </t>
  </si>
  <si>
    <t>Peter Holmgren,Pablo.Riddell@seb.se,fredrik.jafvert@seb.se,ibrahim.senyuz@seb.se,Jimmy.Jonsson@seb.se,daniel.schmekel@seb.se,Jon Butler,Andreas Schebesch,Luigi Marino,Christian Nessler</t>
  </si>
  <si>
    <t>00000000A6C727E4353C314FBD93409EF639422707000D702909B30966478A168622D1D80E2400000000010D00000D702909B30966478A168622D1D80E240002653340620000</t>
  </si>
  <si>
    <t xml:space="preserve">Demo Meeting with Velox </t>
  </si>
  <si>
    <t>https://morganstanley.zoom.us/j/6134077735</t>
  </si>
  <si>
    <t>Kumar.Vadaparty@morganstanley.com,Jon Butler,Ali Moosavi</t>
  </si>
  <si>
    <t>Kumar.Vadaparty@morganstanley.com</t>
  </si>
  <si>
    <t>00000000A6C727E4353C314FBD93409EF639422707000D702909B30966478A168622D1D80E2400000000010D00000D702909B30966478A168622D1D80E24000279E53D580000</t>
  </si>
  <si>
    <t>ali capsule roles</t>
  </si>
  <si>
    <t>00000000A6C727E4353C314FBD93409EF639422707000D702909B30966478A168622D1D80E2400000000010D00000D702909B30966478A168622D1D80E2400026533405F0000</t>
  </si>
  <si>
    <t>mo commission plan</t>
  </si>
  <si>
    <t>00000000A6C727E4353C314FBD93409EF639422707000D702909B30966478A168622D1D80E2400000000010D00000D702909B30966478A168622D1D80E2400026533405E0000</t>
  </si>
  <si>
    <t>00000000A6C727E4353C314FBD93409EF639422707000D702909B30966478A168622D1D80E2400000000010D00000D702909B30966478A168622D1D80E240002653340610000</t>
  </si>
  <si>
    <t>alison / mo</t>
  </si>
  <si>
    <t>00000000A6C727E4353C314FBD93409EF639422707000D702909B30966478A168622D1D80E2400000000010D00000D702909B30966478A168622D1D80E2400026533405D0000</t>
  </si>
  <si>
    <t>00000000A6C727E4353C314FBD93409EF639422707000D702909B30966478A168622D1D80E2400000000010D00000D702909B30966478A168622D1D80E2400026533405C0000</t>
  </si>
  <si>
    <t>00000000A6C727E4353C314FBD93409EF639422707000D702909B30966478A168622D1D80E2400000000010D00000D702909B30966478A168622D1D80E2400026533405B0000</t>
  </si>
  <si>
    <t>00000000A6C727E4353C314FBD93409EF639422707000D702909B30966478A168622D1D80E2400000000010D00000D702909B30966478A168622D1D80E2400026533405A0000</t>
  </si>
  <si>
    <t>Velox Catchup</t>
  </si>
  <si>
    <t>Jon Butler,Bevan, Stuart</t>
  </si>
  <si>
    <t>00000000A6C727E4353C314FBD93409EF639422707000D702909B30966478A168622D1D80E2400000000010D00000D702909B30966478A168622D1D80E240002653340590000</t>
  </si>
  <si>
    <t>mo prep</t>
  </si>
  <si>
    <t>00000000A6C727E4353C314FBD93409EF639422707000D702909B30966478A168622D1D80E2400000000010D00000D702909B30966478A168622D1D80E240002534C93030000</t>
  </si>
  <si>
    <t>00000000A6C727E4353C314FBD93409EF639422707000D702909B30966478A168622D1D80E2400000000010D00000D702909B30966478A168622D1D80E240002534C93040000</t>
  </si>
  <si>
    <t>content / commission plan</t>
  </si>
  <si>
    <t>00000000A6C727E4353C314FBD93409EF639422707000D702909B30966478A168622D1D80E2400000000010D00000D702909B30966478A168622D1D80E240002534C93050000</t>
  </si>
  <si>
    <t>Jon/Ansgar - Weekly</t>
  </si>
  <si>
    <t>00000000A6C727E4353C314FBD93409EF639422707000D702909B30966478A168622D1D80E2400000000010D00000D702909B30966478A168622D1D80E240002534C93060000</t>
  </si>
  <si>
    <t>mo commission</t>
  </si>
  <si>
    <t>00000000A6C727E4353C314FBD93409EF639422707000D702909B30966478A168622D1D80E2400000000010D00000D702909B30966478A168622D1D80E240002534C93070000</t>
  </si>
  <si>
    <t>Jon/Chris - Digital marketing next phase</t>
  </si>
  <si>
    <t>00000000A6C727E4353C314FBD93409EF639422707000D702909B30966478A168622D1D80E2400000000010D00000D702909B30966478A168622D1D80E240002653340630000</t>
  </si>
  <si>
    <t>00000000A6C727E4353C314FBD93409EF639422707000D702909B30966478A168622D1D80E2400000000010D00000D702909B30966478A168622D1D80E2400026533406A0000</t>
  </si>
  <si>
    <t>ironhide cosaic</t>
  </si>
  <si>
    <t>00000000A6C727E4353C314FBD93409EF639422707000D702909B30966478A168622D1D80E2400000000010D00000D702909B30966478A168622D1D80E240002653340690000</t>
  </si>
  <si>
    <t>00000000A6C727E4353C314FBD93409EF639422707000D702909B30966478A168622D1D80E2400000000010D00000D702909B30966478A168622D1D80E240002653340680000</t>
  </si>
  <si>
    <t>cosaic pr</t>
  </si>
  <si>
    <t>00000000A6C727E4353C314FBD93409EF639422707000D702909B30966478A168622D1D80E2400000000010D00000D702909B30966478A168622D1D80E240002653340670000</t>
  </si>
  <si>
    <t>00000000A6C727E4353C314FBD93409EF639422707000D702909B30966478A168622D1D80E2400000000010D00000D702909B30966478A168622D1D80E240002653340660000</t>
  </si>
  <si>
    <t>00000000A6C727E4353C314FBD93409EF639422707000D702909B30966478A168622D1D80E2400000000010D00000D702909B30966478A168622D1D80E240002653340650000</t>
  </si>
  <si>
    <t>00000000A6C727E4353C314FBD93409EF639422707000D702909B30966478A168622D1D80E2400000000010D00000D702909B30966478A168622D1D80E240002653340640000</t>
  </si>
  <si>
    <t>MLP prep</t>
  </si>
  <si>
    <t>00000000A6C727E4353C314FBD93409EF639422707000D702909B30966478A168622D1D80E2400000000010D00000D702909B30966478A168622D1D80E2400026533406B0000</t>
  </si>
  <si>
    <t>00000000A6C727E4353C314FBD93409EF639422707000D702909B30966478A168622D1D80E2400000000010D00000D702909B30966478A168622D1D80E240002534C93080000</t>
  </si>
  <si>
    <t>00000000A6C727E4353C314FBD93409EF639422707000D702909B30966478A168622D1D80E2400000000010D00000D702909B30966478A168622D1D80E240002534C93090000</t>
  </si>
  <si>
    <t>00000000A6C727E4353C314FBD93409EF639422707000D702909B30966478A168622D1D80E2400000000010D00000D702909B30966478A168622D1D80E240002534C930A0000</t>
  </si>
  <si>
    <t>00000000A6C727E4353C314FBD93409EF639422707000D702909B30966478A168622D1D80E2400000000010D00000D702909B30966478A168622D1D80E240002534C930B0000</t>
  </si>
  <si>
    <t>00000000A6C727E4353C314FBD93409EF639422707000D702909B30966478A168622D1D80E2400000000010D00000D702909B30966478A168622D1D80E240002534C930C0000</t>
  </si>
  <si>
    <t>00000000A6C727E4353C314FBD93409EF639422707000D702909B30966478A168622D1D80E2400000000010D00000D702909B30966478A168622D1D80E2400026533406D0000</t>
  </si>
  <si>
    <t>00000000A6C727E4353C314FBD93409EF639422707000D702909B30966478A168622D1D80E2400000000010D00000D702909B30966478A168622D1D80E240002653340730000</t>
  </si>
  <si>
    <t>Justin</t>
  </si>
  <si>
    <t>00000000A6C727E4353C314FBD93409EF639422707000D702909B30966478A168622D1D80E2400000000010D00000D702909B30966478A168622D1D80E240002653340720000</t>
  </si>
  <si>
    <t>00000000A6C727E4353C314FBD93409EF639422707000D702909B30966478A168622D1D80E2400000000010D00000D702909B30966478A168622D1D80E240002653340710000</t>
  </si>
  <si>
    <t>00000000A6C727E4353C314FBD93409EF639422707000D702909B30966478A168622D1D80E2400000000010D00000D702909B30966478A168622D1D80E240002653340700000</t>
  </si>
  <si>
    <t>00000000A6C727E4353C314FBD93409EF639422707000D702909B30966478A168622D1D80E2400000000010D00000D702909B30966478A168622D1D80E2400026533406F0000</t>
  </si>
  <si>
    <t>Jon/Pete</t>
  </si>
  <si>
    <t>jons zoom</t>
  </si>
  <si>
    <t>Jon Butler,Peter Holmgren</t>
  </si>
  <si>
    <t>00000000A6C727E4353C314FBD93409EF639422707000D702909B30966478A168622D1D80E2400000000010D00000D702909B30966478A168622D1D80E2400026533406E0000</t>
  </si>
  <si>
    <t xml:space="preserve">SEB - Demo Prep - Requirements  </t>
  </si>
  <si>
    <t>Peter Holmgren,Jon Butler,Andreas Schebesch,Luigi Marino,Jason Yan</t>
  </si>
  <si>
    <t>00000000A6C727E4353C314FBD93409EF639422707000D702909B30966478A168622D1D80E2400000000010D00000D702909B30966478A168622D1D80E24000279E53D5C0000</t>
  </si>
  <si>
    <t>Weekly catch-up Jon / Andy</t>
  </si>
  <si>
    <t>00000000A6C727E4353C314FBD93409EF639422707000D702909B30966478A168622D1D80E2400000000010D00000D702909B30966478A168622D1D80E24000279E53D5D0000</t>
  </si>
  <si>
    <t>00000000A6C727E4353C314FBD93409EF639422707000D702909B30966478A168622D1D80E2400000000010D00000D702909B30966478A168622D1D80E24000279E53D5E0000</t>
  </si>
  <si>
    <t>ETF Market Making Use Case</t>
  </si>
  <si>
    <t>00000000A6C727E4353C314FBD93409EF639422707000D702909B30966478A168622D1D80E2400000000010D00000D702909B30966478A168622D1D80E24000279E53D5F0000</t>
  </si>
  <si>
    <t>ETF MM</t>
  </si>
  <si>
    <t>00000000A6C727E4353C314FBD93409EF639422707000D702909B30966478A168622D1D80E2400000000010D00000D702909B30966478A168622D1D80E240002653340740000</t>
  </si>
  <si>
    <t>Jon/Ali - Commission plans</t>
  </si>
  <si>
    <t>00000000A6C727E4353C314FBD93409EF639422707000D702909B30966478A168622D1D80E2400000000010D00000D702909B30966478A168622D1D80E240002534C930D0000</t>
  </si>
  <si>
    <t>commission</t>
  </si>
  <si>
    <t>00000000A6C727E4353C314FBD93409EF639422707000D702909B30966478A168622D1D80E2400000000010D00000D702909B30966478A168622D1D80E240002653340750000</t>
  </si>
  <si>
    <t>00000000A6C727E4353C314FBD93409EF639422707000D702909B30966478A168622D1D80E2400000000010D00000D702909B30966478A168622D1D80E240002534C930E0000</t>
  </si>
  <si>
    <t>00000000A6C727E4353C314FBD93409EF639422707000D702909B30966478A168622D1D80E2400000000010D00000D702909B30966478A168622D1D80E240002653340800000</t>
  </si>
  <si>
    <t>kumar</t>
  </si>
  <si>
    <t>00000000A6C727E4353C314FBD93409EF639422707000D702909B30966478A168622D1D80E2400000000010D00000D702909B30966478A168622D1D80E2400026533407F0000</t>
  </si>
  <si>
    <t>00000000A6C727E4353C314FBD93409EF639422707000D702909B30966478A168622D1D80E2400000000010D00000D702909B30966478A168622D1D80E240002812BF8C10000</t>
  </si>
  <si>
    <t>00000000A6C727E4353C314FBD93409EF639422707000D702909B30966478A168622D1D80E2400000000010D00000D702909B30966478A168622D1D80E2400026533407E0000</t>
  </si>
  <si>
    <t>00000000A6C727E4353C314FBD93409EF639422707000D702909B30966478A168622D1D80E2400000000010D00000D702909B30966478A168622D1D80E2400026533407C0000</t>
  </si>
  <si>
    <t>N&amp;S/Velox introductory meeting</t>
  </si>
  <si>
    <t>https://veloxfintech.zoom.us/j/87299948442?pwd=QVFpNUJJbmVNR0N0aFZrbUE4VlJoQT09&amp;from=addon</t>
  </si>
  <si>
    <t>Ali Moosavi,Sebastien Ben M'Barek,Jon Butler,Neto</t>
  </si>
  <si>
    <t>00000000A6C727E4353C314FBD93409EF639422707000D702909B30966478A168622D1D80E2400000000010D00000D702909B30966478A168622D1D80E2400026533407B0000</t>
  </si>
  <si>
    <t xml:space="preserve">SEB - valantic - Tuesday Prep Meeting </t>
  </si>
  <si>
    <t>Peter Holmgren,fredrik.jafvert@seb.se,Jon Butler,Luigi Marino,Jason Yan,Andreas Schebesch</t>
  </si>
  <si>
    <t>00000000A6C727E4353C314FBD93409EF639422707000D702909B30966478A168622D1D80E2400000000010D00000D702909B30966478A168622D1D80E2400026533407D0000</t>
  </si>
  <si>
    <t>client meeting notes</t>
  </si>
  <si>
    <t>00000000A6C727E4353C314FBD93409EF639422707000D702909B30966478A168622D1D80E2400000000010D00000D702909B30966478A168622D1D80E2400026533407A0000</t>
  </si>
  <si>
    <t>00000000A6C727E4353C314FBD93409EF639422707000D702909B30966478A168622D1D80E2400000000010D00000D702909B30966478A168622D1D80E240002653340790000</t>
  </si>
  <si>
    <t>00000000A6C727E4353C314FBD93409EF639422707000D702909B30966478A168622D1D80E2400000000010D00000D702909B30966478A168622D1D80E240002653340780000</t>
  </si>
  <si>
    <t>00000000A6C727E4353C314FBD93409EF639422707000D702909B30966478A168622D1D80E2400000000010D00000D702909B30966478A168622D1D80E240002534C930F0000</t>
  </si>
  <si>
    <t>prospecring</t>
  </si>
  <si>
    <t>00000000A6C727E4353C314FBD93409EF639422707000D702909B30966478A168622D1D80E2400000000010D00000D702909B30966478A168622D1D80E240002534C93100000</t>
  </si>
  <si>
    <t>00000000A6C727E4353C314FBD93409EF639422707000D702909B30966478A168622D1D80E2400000000010D00000D702909B30966478A168622D1D80E240002534C93110000</t>
  </si>
  <si>
    <t>capsule prospects</t>
  </si>
  <si>
    <t>00000000A6C727E4353C314FBD93409EF639422707000D702909B30966478A168622D1D80E2400000000010D00000D702909B30966478A168622D1D80E240002653340810000</t>
  </si>
  <si>
    <t>capsule projects</t>
  </si>
  <si>
    <t>00000000A6C727E4353C314FBD93409EF639422707000D702909B30966478A168622D1D80E2400000000010D00000D702909B30966478A168622D1D80E240002653340820000</t>
  </si>
  <si>
    <t>00000000A6C727E4353C314FBD93409EF639422707000D702909B30966478A168622D1D80E2400000000010D00000D702909B30966478A168622D1D80E240002534C93120000</t>
  </si>
  <si>
    <t>00000000A6C727E4353C314FBD93409EF639422707000D702909B30966478A168622D1D80E2400000000010D00000D702909B30966478A168622D1D80E240002534C93130000</t>
  </si>
  <si>
    <t>email tempate</t>
  </si>
  <si>
    <t>00000000A6C727E4353C314FBD93409EF639422707000D702909B30966478A168622D1D80E2400000000010D00000D702909B30966478A168622D1D80E240002534C93140000</t>
  </si>
  <si>
    <t>email template</t>
  </si>
  <si>
    <t>00000000A6C727E4353C314FBD93409EF639422707000D702909B30966478A168622D1D80E2400000000010D00000D702909B30966478A168622D1D80E240002534C93150000</t>
  </si>
  <si>
    <t>00000000A6C727E4353C314FBD93409EF639422707000D702909B30966478A168622D1D80E2400000000010D00000D702909B30966478A168622D1D80E240002653340830000</t>
  </si>
  <si>
    <t>00000000A6C727E4353C314FBD93409EF639422707000D702909B30966478A168622D1D80E2400000000010D00000D702909B30966478A168622D1D80E240002653340860000</t>
  </si>
  <si>
    <t>00000000A6C727E4353C314FBD93409EF639422707000D702909B30966478A168622D1D80E2400000000010D00000D702909B30966478A168622D1D80E240002653340850000</t>
  </si>
  <si>
    <t>00000000A6C727E4353C314FBD93409EF639422707000D702909B30966478A168622D1D80E2400000000010D00000D702909B30966478A168622D1D80E240002653340840000</t>
  </si>
  <si>
    <t>00000000A6C727E4353C314FBD93409EF639422707000D702909B30966478A168622D1D80E2400000000010D00000D702909B30966478A168622D1D80E240002653340870000</t>
  </si>
  <si>
    <t>00000000A6C727E4353C314FBD93409EF639422707000D702909B30966478A168622D1D80E2400000000010D00000D702909B30966478A168622D1D80E240002653340880000</t>
  </si>
  <si>
    <t>00000000A6C727E4353C314FBD93409EF639422707000D702909B30966478A168622D1D80E2400000000010D00000D702909B30966478A168622D1D80E240002534C93160000</t>
  </si>
  <si>
    <t>00000000A6C727E4353C314FBD93409EF639422707000D702909B30966478A168622D1D80E2400000000010D00000D702909B30966478A168622D1D80E240002534C93170000</t>
  </si>
  <si>
    <t>00000000A6C727E4353C314FBD93409EF639422707000D702909B30966478A168622D1D80E2400000000010D00000D702909B30966478A168622D1D80E240002534C93180000</t>
  </si>
  <si>
    <t>00000000A6C727E4353C314FBD93409EF639422707000D702909B30966478A168622D1D80E2400000000010D00000D702909B30966478A168622D1D80E240002653340910000</t>
  </si>
  <si>
    <t>content for tomorrow</t>
  </si>
  <si>
    <t>00000000A6C727E4353C314FBD93409EF639422707000D702909B30966478A168622D1D80E2400000000010D00000D702909B30966478A168622D1D80E240002653340900000</t>
  </si>
  <si>
    <t>00000000A6C727E4353C314FBD93409EF639422707000D702909B30966478A168622D1D80E2400000000010D00000D702909B30966478A168622D1D80E2400026533408F0000</t>
  </si>
  <si>
    <t>00000000A6C727E4353C314FBD93409EF639422707000D702909B30966478A168622D1D80E2400000000010D00000D702909B30966478A168622D1D80E2400026533408E0000</t>
  </si>
  <si>
    <t>outlook template</t>
  </si>
  <si>
    <t>00000000A6C727E4353C314FBD93409EF639422707000D702909B30966478A168622D1D80E2400000000010D00000D702909B30966478A168622D1D80E2400026533408D0000</t>
  </si>
  <si>
    <t>00000000A6C727E4353C314FBD93409EF639422707000D702909B30966478A168622D1D80E2400000000010D00000D702909B30966478A168622D1D80E2400026533408C0000</t>
  </si>
  <si>
    <t>00000000A6C727E4353C314FBD93409EF639422707000D702909B30966478A168622D1D80E2400000000010D00000D702909B30966478A168622D1D80E2400026533408B0000</t>
  </si>
  <si>
    <t>email templates</t>
  </si>
  <si>
    <t>00000000A6C727E4353C314FBD93409EF639422707000D702909B30966478A168622D1D80E2400000000010D00000D702909B30966478A168622D1D80E2400026533408A0000</t>
  </si>
  <si>
    <t>00000000A6C727E4353C314FBD93409EF639422707000D702909B30966478A168622D1D80E2400000000010D00000D702909B30966478A168622D1D80E240002653340890000</t>
  </si>
  <si>
    <t>00000000A6C727E4353C314FBD93409EF639422707000D702909B30966478A168622D1D80E2400000000010D00000D702909B30966478A168622D1D80E240002534C93190000</t>
  </si>
  <si>
    <t>00000000A6C727E4353C314FBD93409EF639422707000D702909B30966478A168622D1D80E2400000000010D00000D702909B30966478A168622D1D80E240002534C931A0000</t>
  </si>
  <si>
    <t>00000000A6C727E4353C314FBD93409EF639422707000D702909B30966478A168622D1D80E2400000000010D00000D702909B30966478A168622D1D80E240002534C931B0000</t>
  </si>
  <si>
    <t>00000000A6C727E4353C314FBD93409EF639422707000D702909B30966478A168622D1D80E2400000000010D00000D702909B30966478A168622D1D80E240002534C931C0000</t>
  </si>
  <si>
    <t>00000000A6C727E4353C314FBD93409EF639422707000D702909B30966478A168622D1D80E2400000000010D00000D702909B30966478A168622D1D80E240002534C931D0000</t>
  </si>
  <si>
    <t>SEB prep</t>
  </si>
  <si>
    <t>00000000A6C727E4353C314FBD93409EF639422707000D702909B30966478A168622D1D80E2400000000010D00000D702909B30966478A168622D1D80E240002653340970000</t>
  </si>
  <si>
    <t>00000000A6C727E4353C314FBD93409EF639422707000D702909B30966478A168622D1D80E2400000000010D00000D702909B30966478A168622D1D80E240002653340960000</t>
  </si>
  <si>
    <t>00000000A6C727E4353C314FBD93409EF639422707000D702909B30966478A168622D1D80E2400000000010D00000D702909B30966478A168622D1D80E240002653340950000</t>
  </si>
  <si>
    <t>article</t>
  </si>
  <si>
    <t>00000000A6C727E4353C314FBD93409EF639422707000D702909B30966478A168622D1D80E2400000000010D00000D702909B30966478A168622D1D80E240002653340940000</t>
  </si>
  <si>
    <t>templates</t>
  </si>
  <si>
    <t>00000000A6C727E4353C314FBD93409EF639422707000D702909B30966478A168622D1D80E2400000000010D00000D702909B30966478A168622D1D80E240002653340930000</t>
  </si>
  <si>
    <t>00000000A6C727E4353C314FBD93409EF639422707000D702909B30966478A168622D1D80E2400000000010D00000D702909B30966478A168622D1D80E240002653340920000</t>
  </si>
  <si>
    <t>Irina &amp; Jon Meet &amp; Greet - Marketing Role</t>
  </si>
  <si>
    <t>Neto,Jon Butler,dzhalilova.irene@gmail.com</t>
  </si>
  <si>
    <t>00000000A6C727E4353C314FBD93409EF639422707000D702909B30966478A168622D1D80E2400000000010D00000D702909B30966478A168622D1D80E240002653340980000</t>
  </si>
  <si>
    <t>client notes</t>
  </si>
  <si>
    <t>00000000A6C727E4353C314FBD93409EF639422707000D702909B30966478A168622D1D80E2400000000010D00000D702909B30966478A168622D1D80E240002534C931E0000</t>
  </si>
  <si>
    <t>00000000A6C727E4353C314FBD93409EF639422707000D702909B30966478A168622D1D80E2400000000010D00000D702909B30966478A168622D1D80E240002534C931F0000</t>
  </si>
  <si>
    <t>00000000A6C727E4353C314FBD93409EF639422707000D702909B30966478A168622D1D80E2400000000010D00000D702909B30966478A168622D1D80E240002534C93200000</t>
  </si>
  <si>
    <t>00000000A6C727E4353C314FBD93409EF639422707000D702909B30966478A168622D1D80E2400000000010D00000D702909B30966478A168622D1D80E240002534C93210000</t>
  </si>
  <si>
    <t>00000000A6C727E4353C314FBD93409EF639422707000D702909B30966478A168622D1D80E2400000000010D00000D702909B30966478A168622D1D80E240002534C93220000</t>
  </si>
  <si>
    <t>00000000A6C727E4353C314FBD93409EF639422707000D702909B30966478A168622D1D80E2400000000010D00000D702909B30966478A168622D1D80E240002534C93230000</t>
  </si>
  <si>
    <t>iTrader</t>
  </si>
  <si>
    <t>slack</t>
  </si>
  <si>
    <t>Jon Butler,govind.jajoo,Jason Yan</t>
  </si>
  <si>
    <t>00000000A6C727E4353C314FBD93409EF639422707000D702909B30966478A168622D1D80E2400000000010D00000D702909B30966478A168622D1D80E240002653340990000</t>
  </si>
  <si>
    <t>00000000A6C727E4353C314FBD93409EF639422707000D702909B30966478A168622D1D80E2400000000010D00000D702909B30966478A168622D1D80E2400026533409A0000</t>
  </si>
  <si>
    <t>Jon/Jim (proposed)</t>
  </si>
  <si>
    <t>00000000A6C727E4353C314FBD93409EF639422707000D702909B30966478A168622D1D80E2400000000010D00000D702909B30966478A168622D1D80E2400026533409D0000</t>
  </si>
  <si>
    <t>00000000A6C727E4353C314FBD93409EF639422707000D702909B30966478A168622D1D80E2400000000010D00000D702909B30966478A168622D1D80E2400026533409C0000</t>
  </si>
  <si>
    <t>00000000A6C727E4353C314FBD93409EF639422707000D702909B30966478A168622D1D80E2400000000010D00000D702909B30966478A168622D1D80E2400026533409B0000</t>
  </si>
  <si>
    <t>valantic tech talking points</t>
  </si>
  <si>
    <t>00000000A6C727E4353C314FBD93409EF639422707000D702909B30966478A168622D1D80E2400000000010D00000D702909B30966478A168622D1D80E240002534C93240000</t>
  </si>
  <si>
    <t>00000000A6C727E4353C314FBD93409EF639422707000D702909B30966478A168622D1D80E2400000000010D00000D702909B30966478A168622D1D80E240002534C93250000</t>
  </si>
  <si>
    <t>itrader</t>
  </si>
  <si>
    <t>00000000A6C727E4353C314FBD93409EF639422707000D702909B30966478A168622D1D80E2400000000010D00000D702909B30966478A168622D1D80E240002534C93260000</t>
  </si>
  <si>
    <t>[OSL] Intro to Velox</t>
  </si>
  <si>
    <t>Neto,Guilherme.rebane@osl.com,Fernando.martinez@osl.com,Jon Butler,caue.teixeira@griffo.com</t>
  </si>
  <si>
    <t>00000000A6C727E4353C314FBD93409EF639422707000D702909B30966478A168622D1D80E2400000000010D00000D702909B30966478A168622D1D80E2400026533409E0000</t>
  </si>
  <si>
    <t>markets media article</t>
  </si>
  <si>
    <t>00000000A6C727E4353C314FBD93409EF639422707000D702909B30966478A168622D1D80E2400000000010D00000D702909B30966478A168622D1D80E2400026533409F0000</t>
  </si>
  <si>
    <t>cosmos update</t>
  </si>
  <si>
    <t>Jon Butler,Jason Yan,Giles Sarton</t>
  </si>
  <si>
    <t>00000000A6C727E4353C314FBD93409EF639422707000D702909B30966478A168622D1D80E2400000000010D00000D702909B30966478A168622D1D80E240002653340A00000</t>
  </si>
  <si>
    <t>00000000A6C727E4353C314FBD93409EF639422707000D702909B30966478A168622D1D80E2400000000010D00000D702909B30966478A168622D1D80E240002653340A10000</t>
  </si>
  <si>
    <t>valantic solutions space vs velox demo</t>
  </si>
  <si>
    <t>p.andrea@gmail.com,andy.browning@fsa.valantic.com,Jon Butler</t>
  </si>
  <si>
    <t>p.andrea@gmail.com</t>
  </si>
  <si>
    <t>00000000A6C727E4353C314FBD93409EF639422707000D702909B30966478A168622D1D80E2400000000010D00000D702909B30966478A168622D1D80E240002653340A80000</t>
  </si>
  <si>
    <t>00000000A6C727E4353C314FBD93409EF639422707000D702909B30966478A168622D1D80E2400000000010D00000D702909B30966478A168622D1D80E240002653340A70000</t>
  </si>
  <si>
    <t>00000000A6C727E4353C314FBD93409EF639422707000D702909B30966478A168622D1D80E2400000000010D00000D702909B30966478A168622D1D80E240002653340A60000</t>
  </si>
  <si>
    <t>00000000A6C727E4353C314FBD93409EF639422707000D702909B30966478A168622D1D80E2400000000010D00000D702909B30966478A168622D1D80E240002653340A40000</t>
  </si>
  <si>
    <t>content press release</t>
  </si>
  <si>
    <t>00000000A6C727E4353C314FBD93409EF639422707000D702909B30966478A168622D1D80E2400000000010D00000D702909B30966478A168622D1D80E240002653340A30000</t>
  </si>
  <si>
    <t>Marvin/Jon - Velox POC questions</t>
  </si>
  <si>
    <t>Jon Butler,Arteaga, Marvin</t>
  </si>
  <si>
    <t>00000000A6C727E4353C314FBD93409EF639422707000D702909B30966478A168622D1D80E2400000000010D00000D702909B30966478A168622D1D80E240002653340A20000</t>
  </si>
  <si>
    <t>00000000A6C727E4353C314FBD93409EF639422707000D702909B30966478A168622D1D80E2400000000010D00000D702909B30966478A168622D1D80E240002653340AB0000</t>
  </si>
  <si>
    <t>00000000A6C727E4353C314FBD93409EF639422707000D702909B30966478A168622D1D80E2400000000010D00000D702909B30966478A168622D1D80E240002653340AA0000</t>
  </si>
  <si>
    <t>00000000A6C727E4353C314FBD93409EF639422707000D702909B30966478A168622D1D80E2400000000010D00000D702909B30966478A168622D1D80E240002653340A90000</t>
  </si>
  <si>
    <t>00000000A6C727E4353C314FBD93409EF639422707000D702909B30966478A168622D1D80E2400000000010D00000D702909B30966478A168622D1D80E240002653340AD0000</t>
  </si>
  <si>
    <t>00000000A6C727E4353C314FBD93409EF639422707000D702909B30966478A168622D1D80E2400000000010D00000D702909B30966478A168622D1D80E240002653340AC0000</t>
  </si>
  <si>
    <t>00000000A6C727E4353C314FBD93409EF639422707000D702909B30966478A168622D1D80E2400000000010D00000D702909B30966478A168622D1D80E240002653340B70000</t>
  </si>
  <si>
    <t>andrea</t>
  </si>
  <si>
    <t>00000000A6C727E4353C314FBD93409EF639422707000D702909B30966478A168622D1D80E2400000000010D00000D702909B30966478A168622D1D80E240002653340B60000</t>
  </si>
  <si>
    <t>00000000A6C727E4353C314FBD93409EF639422707000D702909B30966478A168622D1D80E2400000000010D00000D702909B30966478A168622D1D80E240002653340B50000</t>
  </si>
  <si>
    <t>Microsoft Teams Meeting; 600 5th Avenue, 2nd Floor, New York, NY 10020</t>
  </si>
  <si>
    <t>Elena Unugur,Jon Butler,Graham Tuckwell,Martyn James,Mark Weeks,Ian Lansdell,Theresa Loney,Chloe Barlass,Boardroom,Alison Hood,Jason Yan</t>
  </si>
  <si>
    <t>00000000A6C727E4353C314FBD93409EF639422707000D702909B30966478A168622D1D80E2400000000010D00000D702909B30966478A168622D1D80E240002653340B40000</t>
  </si>
  <si>
    <t>00000000A6C727E4353C314FBD93409EF639422707000D702909B30966478A168622D1D80E2400000000010D00000D702909B30966478A168622D1D80E240002653340B20000</t>
  </si>
  <si>
    <t>Velox / 3B</t>
  </si>
  <si>
    <t>Jon Butler,Alex Bremer,Jack Bremer,Christian Schueler</t>
  </si>
  <si>
    <t>00000000A6C727E4353C314FBD93409EF639422707000D702909B30966478A168622D1D80E2400000000010D00000D702909B30966478A168622D1D80E240002653340B10000</t>
  </si>
  <si>
    <t>jb zoom</t>
  </si>
  <si>
    <t>00000000A6C727E4353C314FBD93409EF639422707000D702909B30966478A168622D1D80E2400000000010D00000D702909B30966478A168622D1D80E240002653340B00000</t>
  </si>
  <si>
    <t>andrea prep</t>
  </si>
  <si>
    <t>00000000A6C727E4353C314FBD93409EF639422707000D702909B30966478A168622D1D80E2400000000010D00000D702909B30966478A168622D1D80E240002653340AF0000</t>
  </si>
  <si>
    <t>00000000A6C727E4353C314FBD93409EF639422707000D702909B30966478A168622D1D80E2400000000010D00000D702909B30966478A168622D1D80E240002653340AE0000</t>
  </si>
  <si>
    <t>00000000A6C727E4353C314FBD93409EF639422707000D702909B30966478A168622D1D80E2400000000010D00000D702909B30966478A168622D1D80E240002534C93270000</t>
  </si>
  <si>
    <t>Quarterly update</t>
  </si>
  <si>
    <t>Alison Hood,Mark Weeks,Jon Butler</t>
  </si>
  <si>
    <t>00000000A6C727E4353C314FBD93409EF639422707000D702909B30966478A168622D1D80E2400000000010D00000D702909B30966478A168622D1D80E240002534C93280000</t>
  </si>
  <si>
    <t>Virtu - ULTUMUS - What's wanted in the COSMOS API ? (Agenda Included)</t>
  </si>
  <si>
    <t>Giles Sarton,Jason Yan,Bernie Thurston,James Carberry,Jon Butler</t>
  </si>
  <si>
    <t>00000000A6C727E4353C314FBD93409EF639422707000D702909B30966478A168622D1D80E2400000000010D00000D702909B30966478A168622D1D80E240002534C93290000</t>
  </si>
  <si>
    <t>00000000A6C727E4353C314FBD93409EF639422707000D702909B30966478A168622D1D80E2400000000010D00000D702909B30966478A168622D1D80E240002534C932A0000</t>
  </si>
  <si>
    <t>00000000A6C727E4353C314FBD93409EF639422707000D702909B30966478A168622D1D80E2400000000010D00000D702909B30966478A168622D1D80E240002534C932B0000</t>
  </si>
  <si>
    <t>posting</t>
  </si>
  <si>
    <t>00000000A6C727E4353C314FBD93409EF639422707000D702909B30966478A168622D1D80E2400000000010D00000D702909B30966478A168622D1D80E240002534C932C0000</t>
  </si>
  <si>
    <t>00000000A6C727E4353C314FBD93409EF639422707000D702909B30966478A168622D1D80E2400000000010D00000D702909B30966478A168622D1D80E240002534C932D0000</t>
  </si>
  <si>
    <t>00000000A6C727E4353C314FBD93409EF639422707000D702909B30966478A168622D1D80E2400000000010D00000D702909B30966478A168622D1D80E240002653340B80000</t>
  </si>
  <si>
    <t>00000000A6C727E4353C314FBD93409EF639422707000D702909B30966478A168622D1D80E2400000000010D00000D702909B30966478A168622D1D80E240002653340B90000</t>
  </si>
  <si>
    <t>100 devs</t>
  </si>
  <si>
    <t>00000000A6C727E4353C314FBD93409EF639422707000D702909B30966478A168622D1D80E2400000000010D00000D702909B30966478A168622D1D80E240002653340BA0000</t>
  </si>
  <si>
    <t>00000000A6C727E4353C314FBD93409EF639422707000D702909B30966478A168622D1D80E2400000000010D00000D702909B30966478A168622D1D80E240002534C932E0000</t>
  </si>
  <si>
    <t>00000000A6C727E4353C314FBD93409EF639422707000D702909B30966478A168622D1D80E2400000000010D00000D702909B30966478A168622D1D80E240002534C932F0000</t>
  </si>
  <si>
    <t>00000000A6C727E4353C314FBD93409EF639422707000D702909B30966478A168622D1D80E2400000000010D00000D702909B30966478A168622D1D80E240002534C93300000</t>
  </si>
  <si>
    <t>fxall prep</t>
  </si>
  <si>
    <t>00000000A6C727E4353C314FBD93409EF639422707000D702909B30966478A168622D1D80E2400000000010D00000D702909B30966478A168622D1D80E240002534C93310000</t>
  </si>
  <si>
    <t>100 ndevs</t>
  </si>
  <si>
    <t>00000000A6C727E4353C314FBD93409EF639422707000D702909B30966478A168622D1D80E2400000000010D00000D702909B30966478A168622D1D80E240002653340BC0000</t>
  </si>
  <si>
    <t>100 developers</t>
  </si>
  <si>
    <t>00000000A6C727E4353C314FBD93409EF639422707000D702909B30966478A168622D1D80E2400000000010D00000D702909B30966478A168622D1D80E240002653340BB0000</t>
  </si>
  <si>
    <t>prospecting email signature content imaging</t>
  </si>
  <si>
    <t>00000000A6C727E4353C314FBD93409EF639422707000D702909B30966478A168622D1D80E2400000000010D00000D702909B30966478A168622D1D80E240002653340BD0000</t>
  </si>
  <si>
    <t>00000000A6C727E4353C314FBD93409EF639422707000D702909B30966478A168622D1D80E2400000000010D00000D702909B30966478A168622D1D80E240002653340BE0000</t>
  </si>
  <si>
    <t>00000000A6C727E4353C314FBD93409EF639422707000D702909B30966478A168622D1D80E2400000000010D00000D702909B30966478A168622D1D80E240002653340BF0000</t>
  </si>
  <si>
    <t>prep for fxall</t>
  </si>
  <si>
    <t>00000000A6C727E4353C314FBD93409EF639422707000D702909B30966478A168622D1D80E2400000000010D00000D702909B30966478A168622D1D80E240002653340C00000</t>
  </si>
  <si>
    <t>00000000A6C727E4353C314FBD93409EF639422707000D702909B30966478A168622D1D80E2400000000010D00000D702909B30966478A168622D1D80E240002653340CF0000</t>
  </si>
  <si>
    <t>Jon/Markus - Finsemble</t>
  </si>
  <si>
    <t>00000000A6C727E4353C314FBD93409EF639422707000D702909B30966478A168622D1D80E2400000000010D00000D702909B30966478A168622D1D80E240002653340CE0000</t>
  </si>
  <si>
    <t>230 appointment  Dental Arts</t>
  </si>
  <si>
    <t>00000000A6C727E4353C314FBD93409EF639422707000D702909B30966478A168622D1D80E2400000000010D00000D702909B30966478A168622D1D80E240002653340CB0000</t>
  </si>
  <si>
    <t>00000000A6C727E4353C314FBD93409EF639422707000D702909B30966478A168622D1D80E2400000000010D00000D702909B30966478A168622D1D80E240002653340CA0000</t>
  </si>
  <si>
    <t>00000000A6C727E4353C314FBD93409EF639422707000D702909B30966478A168622D1D80E2400000000010D00000D702909B30966478A168622D1D80E240002653340C90000</t>
  </si>
  <si>
    <t>Velox demo - Norman and Sons</t>
  </si>
  <si>
    <t>https://veloxfintech.zoom.us/j/81234247502?pwd=R01TN2p0cDA1TTJCQ0ttQlZmWUNtQT09&amp;from=addon</t>
  </si>
  <si>
    <t>Ali Moosavi,Sebastien Ben M'Barek,Jon Butler</t>
  </si>
  <si>
    <t>00000000A6C727E4353C314FBD93409EF639422707000D702909B30966478A168622D1D80E2400000000010D00000D702909B30966478A168622D1D80E240002653340C80000</t>
  </si>
  <si>
    <t>00000000A6C727E4353C314FBD93409EF639422707000D702909B30966478A168622D1D80E2400000000010D00000D702909B30966478A168622D1D80E240002653340C70000</t>
  </si>
  <si>
    <t>00000000A6C727E4353C314FBD93409EF639422707000D702909B30966478A168622D1D80E2400000000010D00000D702909B30966478A168622D1D80E240002653340C60000</t>
  </si>
  <si>
    <t>00000000A6C727E4353C314FBD93409EF639422707000D702909B30966478A168622D1D80E2400000000010D00000D702909B30966478A168622D1D80E240002653340C50000</t>
  </si>
  <si>
    <t>00000000A6C727E4353C314FBD93409EF639422707000D702909B30966478A168622D1D80E2400000000010D00000D702909B30966478A168622D1D80E240002653340C40000</t>
  </si>
  <si>
    <t>templates / fxall prep</t>
  </si>
  <si>
    <t>00000000A6C727E4353C314FBD93409EF639422707000D702909B30966478A168622D1D80E2400000000010D00000D702909B30966478A168622D1D80E240002653340C30000</t>
  </si>
  <si>
    <t>00000000A6C727E4353C314FBD93409EF639422707000D702909B30966478A168622D1D80E2400000000010D00000D702909B30966478A168622D1D80E240002653340C20000</t>
  </si>
  <si>
    <t>00000000A6C727E4353C314FBD93409EF639422707000D702909B30966478A168622D1D80E2400000000010D00000D702909B30966478A168622D1D80E240002653340C10000</t>
  </si>
  <si>
    <t>Velox/Ultumus  Paperwork to be formalised (Action Points Included)</t>
  </si>
  <si>
    <t>Giles Sarton,Alison Hood,Janet Richardson,Jon Butler</t>
  </si>
  <si>
    <t>00000000A6C727E4353C314FBD93409EF639422707000D702909B30966478A168622D1D80E2400000000010D00000D702909B30966478A168622D1D80E240002653340CD0000</t>
  </si>
  <si>
    <t>00000000A6C727E4353C314FBD93409EF639422707000D702909B30966478A168622D1D80E2400000000010D00000D702909B30966478A168622D1D80E240002534C93320000</t>
  </si>
  <si>
    <t>00000000A6C727E4353C314FBD93409EF639422707000D702909B30966478A168622D1D80E2400000000010D00000D702909B30966478A168622D1D80E240002534C93330000</t>
  </si>
  <si>
    <t>00000000A6C727E4353C314FBD93409EF639422707000D702909B30966478A168622D1D80E2400000000010D00000D702909B30966478A168622D1D80E240002534C93340000</t>
  </si>
  <si>
    <t>00000000A6C727E4353C314FBD93409EF639422707000D702909B30966478A168622D1D80E2400000000010D00000D702909B30966478A168622D1D80E240002534C93350000</t>
  </si>
  <si>
    <t>00000000A6C727E4353C314FBD93409EF639422707000D702909B30966478A168622D1D80E2400000000010D00000D702909B30966478A168622D1D80E240002534C93360000</t>
  </si>
  <si>
    <t>mike/admin</t>
  </si>
  <si>
    <t>00000000A6C727E4353C314FBD93409EF639422707000D702909B30966478A168622D1D80E2400000000010D00000D702909B30966478A168622D1D80E240002653340D60000</t>
  </si>
  <si>
    <t>Pipeline Overview</t>
  </si>
  <si>
    <t>00000000A6C727E4353C314FBD93409EF639422707000D702909B30966478A168622D1D80E2400000000010D00000D702909B30966478A168622D1D80E24000287B7FBB00000</t>
  </si>
  <si>
    <t>Jason/Alison</t>
  </si>
  <si>
    <t>00000000A6C727E4353C314FBD93409EF639422707000D702909B30966478A168622D1D80E2400000000010D00000D702909B30966478A168622D1D80E240002653340D50000</t>
  </si>
  <si>
    <t>00000000A6C727E4353C314FBD93409EF639422707000D702909B30966478A168622D1D80E2400000000010D00000D702909B30966478A168622D1D80E240002653340D40000</t>
  </si>
  <si>
    <t>00000000A6C727E4353C314FBD93409EF639422707000D702909B30966478A168622D1D80E2400000000010D00000D702909B30966478A168622D1D80E240002653340D30000</t>
  </si>
  <si>
    <t>00000000A6C727E4353C314FBD93409EF639422707000D702909B30966478A168622D1D80E2400000000010D00000D702909B30966478A168622D1D80E240002653340D20000</t>
  </si>
  <si>
    <t>content / post</t>
  </si>
  <si>
    <t>00000000A6C727E4353C314FBD93409EF639422707000D702909B30966478A168622D1D80E2400000000010D00000D702909B30966478A168622D1D80E240002653340D10000</t>
  </si>
  <si>
    <t>00000000A6C727E4353C314FBD93409EF639422707000D702909B30966478A168622D1D80E2400000000010D00000D702909B30966478A168622D1D80E240002534C93370000</t>
  </si>
  <si>
    <t>Velox / Symphony - CR demo</t>
  </si>
  <si>
    <t>mijung.kim@symphony.com,idriss.farhat@symphony.com,dimiter.georgiev@symphony.com,Jon Butler</t>
  </si>
  <si>
    <t>00000000A6C727E4353C314FBD93409EF639422707000D702909B30966478A168622D1D80E2400000000010D00000D702909B30966478A168622D1D80E240002534C93380000</t>
  </si>
  <si>
    <t>prospecting / blackstone</t>
  </si>
  <si>
    <t>00000000A6C727E4353C314FBD93409EF639422707000D702909B30966478A168622D1D80E2400000000010D00000D702909B30966478A168622D1D80E240002534C93390000</t>
  </si>
  <si>
    <t>pipeline spreadsheet</t>
  </si>
  <si>
    <t>00000000A6C727E4353C314FBD93409EF639422707000D702909B30966478A168622D1D80E2400000000010D00000D702909B30966478A168622D1D80E240002534C933A0000</t>
  </si>
  <si>
    <t>00000000A6C727E4353C314FBD93409EF639422707000D702909B30966478A168622D1D80E2400000000010D00000D702909B30966478A168622D1D80E240002534C933B0000</t>
  </si>
  <si>
    <t>Velox/V57 Synch Up</t>
  </si>
  <si>
    <t>https://us02web.zoom.us/j/89144261227?pwd=VTNiQjluaHp6L1RjVFpqRzZ4S0JEQT09&amp;from=addon</t>
  </si>
  <si>
    <t>00000000A6C727E4353C314FBD93409EF639422707000D702909B30966478A168622D1D80E2400000000010D00000D702909B30966478A168622D1D80E240002534C933C0000</t>
  </si>
  <si>
    <t>Velox Overview</t>
  </si>
  <si>
    <t>Jim Bunting,eric.smith@cosaic.io,sarah.stone@cosaic.io,chris@cosaic.io,pcunn@cosaic.io,Jon Butler,jessica@cosaic.io,andy@cosaic.io,sara@cosaic.io</t>
  </si>
  <si>
    <t>00000000A6C727E4353C314FBD93409EF639422707000D702909B30966478A168622D1D80E2400000000010D00000D702909B30966478A168622D1D80E240002653340DC0000</t>
  </si>
  <si>
    <t>capsule / sales data</t>
  </si>
  <si>
    <t>00000000A6C727E4353C314FBD93409EF639422707000D702909B30966478A168622D1D80E2400000000010D00000D702909B30966478A168622D1D80E240002653340DB0000</t>
  </si>
  <si>
    <t>marketsmedia</t>
  </si>
  <si>
    <t>00000000A6C727E4353C314FBD93409EF639422707000D702909B30966478A168622D1D80E2400000000010D00000D702909B30966478A168622D1D80E240002653340DA0000</t>
  </si>
  <si>
    <t>00000000A6C727E4353C314FBD93409EF639422707000D702909B30966478A168622D1D80E2400000000010D00000D702909B30966478A168622D1D80E240002653340D80000</t>
  </si>
  <si>
    <t>quinton ultra sound</t>
  </si>
  <si>
    <t>00000000A6C727E4353C314FBD93409EF639422707000D702909B30966478A168622D1D80E2400000000010D00000D702909B30966478A168622D1D80E240002653340D70000</t>
  </si>
  <si>
    <t>Invitation: (No Subject) @ Wed Oct 26, 2022 8:30am - 9am (EDT) (jon.butler@veloxfintech.com)</t>
  </si>
  <si>
    <t>Access to Velox test env</t>
  </si>
  <si>
    <t>p.andrea@gmail.com,Jon Butler,Jason Yan</t>
  </si>
  <si>
    <t>00000000A6C727E4353C314FBD93409EF639422707000D702909B30966478A168622D1D80E2400000000010D00000D702909B30966478A168622D1D80E24000287B7FBB30000</t>
  </si>
  <si>
    <t>00000000A6C727E4353C314FBD93409EF639422707000D702909B30966478A168622D1D80E2400000000010D00000D702909B30966478A168622D1D80E24000287B7FBB50000</t>
  </si>
  <si>
    <t>client write ups</t>
  </si>
  <si>
    <t>00000000A6C727E4353C314FBD93409EF639422707000D702909B30966478A168622D1D80E2400000000010D00000D702909B30966478A168622D1D80E240002534C933D0000</t>
  </si>
  <si>
    <t>post / content / ali questions</t>
  </si>
  <si>
    <t>00000000A6C727E4353C314FBD93409EF639422707000D702909B30966478A168622D1D80E2400000000010D00000D702909B30966478A168622D1D80E240002534C933E0000</t>
  </si>
  <si>
    <t>symphony prep</t>
  </si>
  <si>
    <t>00000000A6C727E4353C314FBD93409EF639422707000D702909B30966478A168622D1D80E2400000000010D00000D702909B30966478A168622D1D80E240002653340DD0000</t>
  </si>
  <si>
    <t xml:space="preserve">Finsemble/Velox </t>
  </si>
  <si>
    <t>https://statestreet.zoom.us/j/93719024472?pwd=TUZWbFA5b2ZxMGIyb01KUDJXNkliQT09&amp;from=addon</t>
  </si>
  <si>
    <t>Leung, Yvonne Y,Jon Butler,Jim Bunting,O'Malley, Michael,Treves, Blake</t>
  </si>
  <si>
    <t>Leung, Yvonne Y</t>
  </si>
  <si>
    <t>00000000A6C727E4353C314FBD93409EF639422707000D702909B30966478A168622D1D80E2400000000010D00000D702909B30966478A168622D1D80E24000287B7FBB60000</t>
  </si>
  <si>
    <t>client notes | prospecting</t>
  </si>
  <si>
    <t>00000000A6C727E4353C314FBD93409EF639422707000D702909B30966478A168622D1D80E2400000000010D00000D702909B30966478A168622D1D80E240002534C933F0000</t>
  </si>
  <si>
    <t>Giles John - Symphony catch up</t>
  </si>
  <si>
    <t>Giles Sarton,Bernie Thurston,Jon Butler</t>
  </si>
  <si>
    <t>00000000A6C727E4353C314FBD93409EF639422707000D702909B30966478A168622D1D80E2400000000010D00000D702909B30966478A168622D1D80E240002534C93400000</t>
  </si>
  <si>
    <t>00000000A6C727E4353C314FBD93409EF639422707000D702909B30966478A168622D1D80E2400000000010D00000D702909B30966478A168622D1D80E240002534C93420000</t>
  </si>
  <si>
    <t>00000000A6C727E4353C314FBD93409EF639422707000D702909B30966478A168622D1D80E2400000000010D00000D702909B30966478A168622D1D80E240002534C93430000</t>
  </si>
  <si>
    <t>00000000A6C727E4353C314FBD93409EF639422707000D702909B30966478A168622D1D80E2400000000010D00000D702909B30966478A168622D1D80E240002534C93440000</t>
  </si>
  <si>
    <t>00000000A6C727E4353C314FBD93409EF639422707000D702909B30966478A168622D1D80E2400000000010D00000D702909B30966478A168622D1D80E240002653340DE0000</t>
  </si>
  <si>
    <t>fixing the website to bu9ildfaster</t>
  </si>
  <si>
    <t>00000000A6C727E4353C314FBD93409EF639422707000D702909B30966478A168622D1D80E2400000000010D00000D702909B30966478A168622D1D80E240002653340E70000</t>
  </si>
  <si>
    <t>00000000A6C727E4353C314FBD93409EF639422707000D702909B30966478A168622D1D80E2400000000010D00000D702909B30966478A168622D1D80E240002653340E50000</t>
  </si>
  <si>
    <t>Easier Contracting Meeting</t>
  </si>
  <si>
    <t>00000000A6C727E4353C314FBD93409EF639422707000D702909B30966478A168622D1D80E2400000000010D00000D702909B30966478A168622D1D80E240002653340E40000</t>
  </si>
  <si>
    <t>Velox Reconnect w/Tim@Lime Financial</t>
  </si>
  <si>
    <t>Jon Butler,tlarason@gmail.com,Jason Yan,Neto</t>
  </si>
  <si>
    <t>00000000A6C727E4353C314FBD93409EF639422707000D702909B30966478A168622D1D80E2400000000010D00000D702909B30966478A168622D1D80E240002653340E30000</t>
  </si>
  <si>
    <t>00000000A6C727E4353C314FBD93409EF639422707000D702909B30966478A168622D1D80E2400000000010D00000D702909B30966478A168622D1D80E240002653340E20000</t>
  </si>
  <si>
    <t>00000000A6C727E4353C314FBD93409EF639422707000D702909B30966478A168622D1D80E2400000000010D00000D702909B30966478A168622D1D80E240002653340E10000</t>
  </si>
  <si>
    <t>prospects</t>
  </si>
  <si>
    <t>00000000A6C727E4353C314FBD93409EF639422707000D702909B30966478A168622D1D80E2400000000010D00000D702909B30966478A168622D1D80E240002653340E00000</t>
  </si>
  <si>
    <t>linked in posting</t>
  </si>
  <si>
    <t>00000000A6C727E4353C314FBD93409EF639422707000D702909B30966478A168622D1D80E2400000000010D00000D702909B30966478A168622D1D80E240002653340DF0000</t>
  </si>
  <si>
    <t>Jon / Mohit (Cognizant) catch-up</t>
  </si>
  <si>
    <t>Mohit.Aiyar@cognizant.com,Jon Butler,Aditya.Sadhotra@cognizant.com</t>
  </si>
  <si>
    <t>Mohit.Aiyar@cognizant.com</t>
  </si>
  <si>
    <t>00000000A6C727E4353C314FBD93409EF639422707000D702909B30966478A168622D1D80E2400000000010D00000D702909B30966478A168622D1D80E240002653340E60000</t>
  </si>
  <si>
    <t>Velox - KPMG introduction</t>
  </si>
  <si>
    <t>De Burca, Feargal,Bansal, Romit,Vannitsem, Raf,Jon Butler,Alison Hood</t>
  </si>
  <si>
    <t>De Burca, Feargal</t>
  </si>
  <si>
    <t>00000000A6C727E4353C314FBD93409EF639422707000D702909B30966478A168622D1D80E2400000000010D00000D702909B30966478A168622D1D80E240002534C93450000</t>
  </si>
  <si>
    <t>00000000A6C727E4353C314FBD93409EF639422707000D702909B30966478A168622D1D80E2400000000010D00000D702909B30966478A168622D1D80E240002534C93460000</t>
  </si>
  <si>
    <t>00000000A6C727E4353C314FBD93409EF639422707000D702909B30966478A168622D1D80E2400000000010D00000D702909B30966478A168622D1D80E240002653340E80000</t>
  </si>
  <si>
    <t>00000000A6C727E4353C314FBD93409EF639422707000D702909B30966478A168622D1D80E2400000000010D00000D702909B30966478A168622D1D80E240002653340E90000</t>
  </si>
  <si>
    <t>00000000A6C727E4353C314FBD93409EF639422707000D702909B30966478A168622D1D80E2400000000010D00000D702909B30966478A168622D1D80E240002534C93470000</t>
  </si>
  <si>
    <t>[OSL/Griffo] Velox Tech Deep Dive</t>
  </si>
  <si>
    <t>Neto,caue.teixeira@griffo.com,govind.jajoo,Jon Butler,Jason Yan,guilherme.rebane@osl.com</t>
  </si>
  <si>
    <t>00000000A6C727E4353C314FBD93409EF639422707000D702909B30966478A168622D1D80E2400000000010D00000D702909B30966478A168622D1D80E240002534C93480000</t>
  </si>
  <si>
    <t>00000000A6C727E4353C314FBD93409EF639422707000D702909B30966478A168622D1D80E2400000000010D00000D702909B30966478A168622D1D80E240002534C93490000</t>
  </si>
  <si>
    <t>greg deck</t>
  </si>
  <si>
    <t>00000000A6C727E4353C314FBD93409EF639422707000D702909B30966478A168622D1D80E2400000000010D00000D702909B30966478A168622D1D80E240002653340EA0000</t>
  </si>
  <si>
    <t>00000000A6C727E4353C314FBD93409EF639422707000D702909B30966478A168622D1D80E2400000000010D00000D702909B30966478A168622D1D80E240002653340F40000</t>
  </si>
  <si>
    <t>00000000A6C727E4353C314FBD93409EF639422707000D702909B30966478A168622D1D80E2400000000010D00000D702909B30966478A168622D1D80E240002653340F20000</t>
  </si>
  <si>
    <t>John from Velox and Ramaz from Barclays</t>
  </si>
  <si>
    <t>ramaz.ashurov@barclays.com,Jon Butler</t>
  </si>
  <si>
    <t>ramaz.ashurov@barclays.com</t>
  </si>
  <si>
    <t>00000000A6C727E4353C314FBD93409EF639422707000D702909B30966478A168622D1D80E2400000000010D00000D702909B30966478A168622D1D80E240002653340F10000</t>
  </si>
  <si>
    <t>doc for greg</t>
  </si>
  <si>
    <t>00000000A6C727E4353C314FBD93409EF639422707000D702909B30966478A168622D1D80E2400000000010D00000D702909B30966478A168622D1D80E240002653340EF0000</t>
  </si>
  <si>
    <t>00000000A6C727E4353C314FBD93409EF639422707000D702909B30966478A168622D1D80E2400000000010D00000D702909B30966478A168622D1D80E240002653340EE0000</t>
  </si>
  <si>
    <t>the opp added</t>
  </si>
  <si>
    <t>00000000A6C727E4353C314FBD93409EF639422707000D702909B30966478A168622D1D80E2400000000010D00000D702909B30966478A168622D1D80E240002653340ED0000</t>
  </si>
  <si>
    <t>Jon/Reena</t>
  </si>
  <si>
    <t>Jon Butler,Reena Raichura</t>
  </si>
  <si>
    <t>00000000A6C727E4353C314FBD93409EF639422707000D702909B30966478A168622D1D80E2400000000010D00000D702909B30966478A168622D1D80E240002653340EC0000</t>
  </si>
  <si>
    <t>set up klenty</t>
  </si>
  <si>
    <t>00000000A6C727E4353C314FBD93409EF639422707000D702909B30966478A168622D1D80E2400000000010D00000D702909B30966478A168622D1D80E240002653340EB0000</t>
  </si>
  <si>
    <t>Cognizant/Velox - Platform Landscape + T+1 Use Case</t>
  </si>
  <si>
    <t>Neto,manan.gauba@cognizant.com,jerome.dumaine@cognizant.com,aditya.sadhotra@cognizant.com,Jon Butler</t>
  </si>
  <si>
    <t>00000000A6C727E4353C314FBD93409EF639422707000D702909B30966478A168622D1D80E2400000000010D00000D702909B30966478A168622D1D80E240002653340F30000</t>
  </si>
  <si>
    <t>greg word doc</t>
  </si>
  <si>
    <t>00000000A6C727E4353C314FBD93409EF639422707000D702909B30966478A168622D1D80E2400000000010D00000D702909B30966478A168622D1D80E240002653340F90000</t>
  </si>
  <si>
    <t>opp uploader</t>
  </si>
  <si>
    <t>00000000A6C727E4353C314FBD93409EF639422707000D702909B30966478A168622D1D80E2400000000010D00000D702909B30966478A168622D1D80E240002653340F80000</t>
  </si>
  <si>
    <t>00000000A6C727E4353C314FBD93409EF639422707000D702909B30966478A168622D1D80E2400000000010D00000D702909B30966478A168622D1D80E240002653340F70000</t>
  </si>
  <si>
    <t>prep for tim</t>
  </si>
  <si>
    <t>00000000A6C727E4353C314FBD93409EF639422707000D702909B30966478A168622D1D80E2400000000010D00000D702909B30966478A168622D1D80E240002653340F60000</t>
  </si>
  <si>
    <t>00000000A6C727E4353C314FBD93409EF639422707000D702909B30966478A168622D1D80E2400000000010D00000D702909B30966478A168622D1D80E240002653340F50000</t>
  </si>
  <si>
    <t>propsecting</t>
  </si>
  <si>
    <t>00000000A6C727E4353C314FBD93409EF639422707000D702909B30966478A168622D1D80E2400000000010D00000D702909B30966478A168622D1D80E240002534C934A0000</t>
  </si>
  <si>
    <t>opportunity loader</t>
  </si>
  <si>
    <t>00000000A6C727E4353C314FBD93409EF639422707000D702909B30966478A168622D1D80E2400000000010D00000D702909B30966478A168622D1D80E240002653340FA0000</t>
  </si>
  <si>
    <t>00000000A6C727E4353C314FBD93409EF639422707000D702909B30966478A168622D1D80E2400000000010D00000D702909B30966478A168622D1D80E240002534C934B0000</t>
  </si>
  <si>
    <t>slide on build process</t>
  </si>
  <si>
    <t>00000000A6C727E4353C314FBD93409EF639422707000D702909B30966478A168622D1D80E2400000000010D00000D702909B30966478A168622D1D80E240002534C934C0000</t>
  </si>
  <si>
    <t>slides on the build process</t>
  </si>
  <si>
    <t>00000000A6C727E4353C314FBD93409EF639422707000D702909B30966478A168622D1D80E2400000000010D00000D702909B30966478A168622D1D80E240002653340FB0000</t>
  </si>
  <si>
    <t>00000000A6C727E4353C314FBD93409EF639422707000D702909B30966478A168622D1D80E2400000000010D00000D702909B30966478A168622D1D80E240002653340FE0000</t>
  </si>
  <si>
    <t>00000000A6C727E4353C314FBD93409EF639422707000D702909B30966478A168622D1D80E2400000000010D00000D702909B30966478A168622D1D80E240002653340FD0000</t>
  </si>
  <si>
    <t>00000000A6C727E4353C314FBD93409EF639422707000D702909B30966478A168622D1D80E2400000000010D00000D702909B30966478A168622D1D80E240002653340FC0000</t>
  </si>
  <si>
    <t>00000000A6C727E4353C314FBD93409EF639422707000D702909B30966478A168622D1D80E2400000000010D00000D702909B30966478A168622D1D80E240002534C934D0000</t>
  </si>
  <si>
    <t>00000000A6C727E4353C314FBD93409EF639422707000D702909B30966478A168622D1D80E2400000000010D00000D702909B30966478A168622D1D80E240002534C934E0000</t>
  </si>
  <si>
    <t>Velox Technical Deep-dive</t>
  </si>
  <si>
    <t>Jon Butler,Timothy Larason,Jason Yan,Timothy Larason,Cherlton Millette,Micah Grant,Ravel Griffith</t>
  </si>
  <si>
    <t>00000000A6C727E4353C314FBD93409EF639422707000D702909B30966478A168622D1D80E2400000000010D00000D702909B30966478A168622D1D80E240002653341090000</t>
  </si>
  <si>
    <t>00000000A6C727E4353C314FBD93409EF639422707000D702909B30966478A168622D1D80E2400000000010D00000D702909B30966478A168622D1D80E240002653341080000</t>
  </si>
  <si>
    <t>00000000A6C727E4353C314FBD93409EF639422707000D702909B30966478A168622D1D80E2400000000010D00000D702909B30966478A168622D1D80E240002653341070000</t>
  </si>
  <si>
    <t>AM/AH/JB weekly</t>
  </si>
  <si>
    <t>https://veloxfintech.zoom.us/j/7778602716?pwd=eGVGUHlNOUVoT0U5NUtZdTFuZlMyZz09</t>
  </si>
  <si>
    <t>Ali Moosavi,Jon Butler,Alison Hood,Christian Schueler</t>
  </si>
  <si>
    <t>00000000A6C727E4353C314FBD93409EF639422707000D702909B30966478A168622D1D80E2400000000010D00000D702909B30966478A168622D1D80E2400028C6CF9660000</t>
  </si>
  <si>
    <t>00000000A6C727E4353C314FBD93409EF639422707000D702909B30966478A168622D1D80E2400000000010D00000D702909B30966478A168622D1D80E240002653341060000</t>
  </si>
  <si>
    <t>00000000A6C727E4353C314FBD93409EF639422707000D702909B30966478A168622D1D80E2400000000010D00000D702909B30966478A168622D1D80E240002653341050000</t>
  </si>
  <si>
    <t>00000000A6C727E4353C314FBD93409EF639422707000D702909B30966478A168622D1D80E2400000000010D00000D702909B30966478A168622D1D80E240002653341040000</t>
  </si>
  <si>
    <t>00000000A6C727E4353C314FBD93409EF639422707000D702909B30966478A168622D1D80E2400000000010D00000D702909B30966478A168622D1D80E240002653341030000</t>
  </si>
  <si>
    <t>00000000A6C727E4353C314FBD93409EF639422707000D702909B30966478A168622D1D80E2400000000010D00000D702909B30966478A168622D1D80E240002653341020000</t>
  </si>
  <si>
    <t>00000000A6C727E4353C314FBD93409EF639422707000D702909B30966478A168622D1D80E2400000000010D00000D702909B30966478A168622D1D80E240002653341010000</t>
  </si>
  <si>
    <t>greG</t>
  </si>
  <si>
    <t>00000000A6C727E4353C314FBD93409EF639422707000D702909B30966478A168622D1D80E2400000000010D00000D702909B30966478A168622D1D80E240002653341000000</t>
  </si>
  <si>
    <t>gyreg</t>
  </si>
  <si>
    <t>00000000A6C727E4353C314FBD93409EF639422707000D702909B30966478A168622D1D80E2400000000010D00000D702909B30966478A168622D1D80E240002653340FF0000</t>
  </si>
  <si>
    <t>00000000A6C727E4353C314FBD93409EF639422707000D702909B30966478A168622D1D80E2400000000010D00000D702909B30966478A168622D1D80E240002534C934F0000</t>
  </si>
  <si>
    <t>00000000A6C727E4353C314FBD93409EF639422707000D702909B30966478A168622D1D80E2400000000010D00000D702909B30966478A168622D1D80E2400026533410F0000</t>
  </si>
  <si>
    <t>00000000A6C727E4353C314FBD93409EF639422707000D702909B30966478A168622D1D80E2400000000010D00000D702909B30966478A168622D1D80E2400026533410D0000</t>
  </si>
  <si>
    <t>trick or treating</t>
  </si>
  <si>
    <t>00000000A6C727E4353C314FBD93409EF639422707000D702909B30966478A168622D1D80E2400000000010D00000D702909B30966478A168622D1D80E2400026533410C0000</t>
  </si>
  <si>
    <t>John DGR/Jon Butler</t>
  </si>
  <si>
    <t>00000000A6C727E4353C314FBD93409EF639422707000D702909B30966478A168622D1D80E2400000000010D00000D702909B30966478A168622D1D80E2400026533410E0000</t>
  </si>
  <si>
    <t>00000000A6C727E4353C314FBD93409EF639422707000D702909B30966478A168622D1D80E2400000000010D00000D702909B30966478A168622D1D80E2400026533410B0000</t>
  </si>
  <si>
    <t>Velox  / Iress  Intro</t>
  </si>
  <si>
    <t>jon.eckfeld@iress.com,Ali Moosavi,Jon Butler,jaclyn.smith@iress.com,sean.macfarlane@iress.com</t>
  </si>
  <si>
    <t>jon.eckfeld@iress.com</t>
  </si>
  <si>
    <t>00000000A6C727E4353C314FBD93409EF639422707000D702909B30966478A168622D1D80E2400000000010D00000D702909B30966478A168622D1D80E2400026533410A0000</t>
  </si>
  <si>
    <t>Jon/Reb Catch-up</t>
  </si>
  <si>
    <t>Rebecca Natale,Jon Butler</t>
  </si>
  <si>
    <t>Rebecca Natale</t>
  </si>
  <si>
    <t>00000000A6C727E4353C314FBD93409EF639422707000D702909B30966478A168622D1D80E2400000000010D00000D702909B30966478A168622D1D80E240002653341150000</t>
  </si>
  <si>
    <t>00000000A6C727E4353C314FBD93409EF639422707000D702909B30966478A168622D1D80E2400000000010D00000D702909B30966478A168622D1D80E240002653341140000</t>
  </si>
  <si>
    <t>00000000A6C727E4353C314FBD93409EF639422707000D702909B30966478A168622D1D80E2400000000010D00000D702909B30966478A168622D1D80E240002653341130000</t>
  </si>
  <si>
    <t>00000000A6C727E4353C314FBD93409EF639422707000D702909B30966478A168622D1D80E2400000000010D00000D702909B30966478A168622D1D80E240002653341120000</t>
  </si>
  <si>
    <t>00000000A6C727E4353C314FBD93409EF639422707000D702909B30966478A168622D1D80E2400000000010D00000D702909B30966478A168622D1D80E240002653341110000</t>
  </si>
  <si>
    <t>00000000A6C727E4353C314FBD93409EF639422707000D702909B30966478A168622D1D80E2400000000010D00000D702909B30966478A168622D1D80E240002653341180000</t>
  </si>
  <si>
    <t>cosaic prep</t>
  </si>
  <si>
    <t>00000000A6C727E4353C314FBD93409EF639422707000D702909B30966478A168622D1D80E2400000000010D00000D702909B30966478A168622D1D80E240002653341170000</t>
  </si>
  <si>
    <t>00000000A6C727E4353C314FBD93409EF639422707000D702909B30966478A168622D1D80E2400000000010D00000D702909B30966478A168622D1D80E240002653341160000</t>
  </si>
  <si>
    <t>ITRS</t>
  </si>
  <si>
    <t>00000000A6C727E4353C314FBD93409EF639422707000D702909B30966478A168622D1D80E2400000000010D00000D702909B30966478A168622D1D80E240002653341190000</t>
  </si>
  <si>
    <t>00000000A6C727E4353C314FBD93409EF639422707000D702909B30966478A168622D1D80E2400000000010D00000D702909B30966478A168622D1D80E2400026533411B0000</t>
  </si>
  <si>
    <t>00000000A6C727E4353C314FBD93409EF639422707000D702909B30966478A168622D1D80E2400000000010D00000D702909B30966478A168622D1D80E2400026533411A0000</t>
  </si>
  <si>
    <t>ITYRS</t>
  </si>
  <si>
    <t>00000000A6C727E4353C314FBD93409EF639422707000D702909B30966478A168622D1D80E2400000000010D00000D702909B30966478A168622D1D80E240002653341260000</t>
  </si>
  <si>
    <t>00000000A6C727E4353C314FBD93409EF639422707000D702909B30966478A168622D1D80E2400000000010D00000D702909B30966478A168622D1D80E240002653341250000</t>
  </si>
  <si>
    <t>Velox configuration</t>
  </si>
  <si>
    <t>Raghavan, Sridev,Gladilin, Vitalii,Jason Yan,Jon Butler,Jain, Nilesh</t>
  </si>
  <si>
    <t>Raghavan, Sridev</t>
  </si>
  <si>
    <t>00000000A6C727E4353C314FBD93409EF639422707000D702909B30966478A168622D1D80E2400000000010D00000D702909B30966478A168622D1D80E240002653341240000</t>
  </si>
  <si>
    <t>00000000A6C727E4353C314FBD93409EF639422707000D702909B30966478A168622D1D80E2400000000010D00000D702909B30966478A168622D1D80E240002653341230000</t>
  </si>
  <si>
    <t>00000000A6C727E4353C314FBD93409EF639422707000D702909B30966478A168622D1D80E2400000000010D00000D702909B30966478A168622D1D80E240002653341220000</t>
  </si>
  <si>
    <t>00000000A6C727E4353C314FBD93409EF639422707000D702909B30966478A168622D1D80E2400000000010D00000D702909B30966478A168622D1D80E240002653341210000</t>
  </si>
  <si>
    <t>00000000A6C727E4353C314FBD93409EF639422707000D702909B30966478A168622D1D80E2400000000010D00000D702909B30966478A168622D1D80E2400026533411E0000</t>
  </si>
  <si>
    <t>00000000A6C727E4353C314FBD93409EF639422707000D702909B30966478A168622D1D80E2400000000010D00000D702909B30966478A168622D1D80E2400026533411D0000</t>
  </si>
  <si>
    <t>markets media</t>
  </si>
  <si>
    <t>00000000A6C727E4353C314FBD93409EF639422707000D702909B30966478A168622D1D80E2400000000010D00000D702909B30966478A168622D1D80E2400026533411C0000</t>
  </si>
  <si>
    <t>Desktop session interop and velox cosaic partnership (and symphony)</t>
  </si>
  <si>
    <t>Joachim Lauterbach,Andy Browning,Jon Butler</t>
  </si>
  <si>
    <t>00000000A6C727E4353C314FBD93409EF639422707000D702909B30966478A168622D1D80E2400000000010D00000D702909B30966478A168622D1D80E2400026533411F0000</t>
  </si>
  <si>
    <t>Svenska Handelsbanken Equities workflows</t>
  </si>
  <si>
    <t>00000000A6C727E4353C314FBD93409EF639422707000D702909B30966478A168622D1D80E2400000000010D00000D702909B30966478A168622D1D80E240002653341200000</t>
  </si>
  <si>
    <t>00000000A6C727E4353C314FBD93409EF639422707000D702909B30966478A168622D1D80E2400000000010D00000D702909B30966478A168622D1D80E240002534C93500000</t>
  </si>
  <si>
    <t>ultumus symphony</t>
  </si>
  <si>
    <t>00000000A6C727E4353C314FBD93409EF639422707000D702909B30966478A168622D1D80E2400000000010D00000D702909B30966478A168622D1D80E2400026533672E0000</t>
  </si>
  <si>
    <t>ultumus symphonty</t>
  </si>
  <si>
    <t>00000000A6C727E4353C314FBD93409EF639422707000D702909B30966478A168622D1D80E2400000000010D00000D702909B30966478A168622D1D80E2400026533672D0000</t>
  </si>
  <si>
    <t>00000000A6C727E4353C314FBD93409EF639422707000D702909B30966478A168622D1D80E2400000000010D00000D702909B30966478A168622D1D80E2400026533672C0000</t>
  </si>
  <si>
    <t>Peter Holmgren,Andy Browning,Jon Butler,Steve Grob</t>
  </si>
  <si>
    <t>00000000A6C727E4353C314FBD93409EF639422707000D702909B30966478A168622D1D80E2400000000010D00000D702909B30966478A168622D1D80E2400026533672B0000</t>
  </si>
  <si>
    <t>Weekly Velox Sales Strategy Meeting</t>
  </si>
  <si>
    <t>Jon Butler,Mohamed Arkate,Ali Moosavi,Neto,Alison Hood,Christian Schueler,Mike Wilkins</t>
  </si>
  <si>
    <t>00000000A6C727E4353C314FBD93409EF639422707000D702909B30966478A168622D1D80E2400000000010D00000D702909B30966478A168622D1D80E2400026533672A0000</t>
  </si>
  <si>
    <t>iress followups</t>
  </si>
  <si>
    <t>00000000A6C727E4353C314FBD93409EF639422707000D702909B30966478A168622D1D80E2400000000010D00000D702909B30966478A168622D1D80E240002653341290000</t>
  </si>
  <si>
    <t>prep for IRESS</t>
  </si>
  <si>
    <t>00000000A6C727E4353C314FBD93409EF639422707000D702909B30966478A168622D1D80E2400000000010D00000D702909B30966478A168622D1D80E240002653341280000</t>
  </si>
  <si>
    <t>00000000A6C727E4353C314FBD93409EF639422707000D702909B30966478A168622D1D80E2400000000010D00000D702909B30966478A168622D1D80E240002653341270000</t>
  </si>
  <si>
    <t>00000000A6C727E4353C314FBD93409EF639422707000D702909B30966478A168622D1D80E2400000000010D00000D702909B30966478A168622D1D80E240002653367310000</t>
  </si>
  <si>
    <t>andy overrun</t>
  </si>
  <si>
    <t>00000000A6C727E4353C314FBD93409EF639422707000D702909B30966478A168622D1D80E2400000000010D00000D702909B30966478A168622D1D80E240002653367300000</t>
  </si>
  <si>
    <t>cr</t>
  </si>
  <si>
    <t>00000000A6C727E4353C314FBD93409EF639422707000D702909B30966478A168622D1D80E2400000000010D00000D702909B30966478A168622D1D80E2400026533672F0000</t>
  </si>
  <si>
    <t>cr ultumus</t>
  </si>
  <si>
    <t>00000000A6C727E4353C314FBD93409EF639422707000D702909B30966478A168622D1D80E2400000000010D00000D702909B30966478A168622D1D80E240002534C93510000</t>
  </si>
  <si>
    <t xml:space="preserve">BLK | Velox </t>
  </si>
  <si>
    <t xml:space="preserve">Webex Details below. </t>
  </si>
  <si>
    <t>Kamen, Matthew,Campbell, Nicholas,Jon Butler,Jason Yan</t>
  </si>
  <si>
    <t>Kamen, Matthew</t>
  </si>
  <si>
    <t>00000000A6C727E4353C314FBD93409EF639422707000D702909B30966478A168622D1D80E2400000000010D00000D702909B30966478A168622D1D80E2400028CF3A8FE0000</t>
  </si>
  <si>
    <t>00000000A6C727E4353C314FBD93409EF639422707000D702909B30966478A168622D1D80E2400000000010D00000D702909B30966478A168622D1D80E240002653367330000</t>
  </si>
  <si>
    <t>00000000A6C727E4353C314FBD93409EF639422707000D702909B30966478A168622D1D80E2400000000010D00000D702909B30966478A168622D1D80E240002653367320000</t>
  </si>
  <si>
    <t>00000000A6C727E4353C314FBD93409EF639422707000D702909B30966478A168622D1D80E2400000000010D00000D702909B30966478A168622D1D80E240002534C93520000</t>
  </si>
  <si>
    <t>00000000A6C727E4353C314FBD93409EF639422707000D702909B30966478A168622D1D80E2400000000010D00000D702909B30966478A168622D1D80E240002534C93530000</t>
  </si>
  <si>
    <t>linkedin product page</t>
  </si>
  <si>
    <t>00000000A6C727E4353C314FBD93409EF639422707000D702909B30966478A168622D1D80E2400000000010D00000D702909B30966478A168622D1D80E2400026533673A0000</t>
  </si>
  <si>
    <t>JY/JB/AH Catch up</t>
  </si>
  <si>
    <t>00000000A6C727E4353C314FBD93409EF639422707000D702909B30966478A168622D1D80E2400000000010D00000D702909B30966478A168622D1D80E2400028CF3A8FF0000</t>
  </si>
  <si>
    <t>leads cleanup</t>
  </si>
  <si>
    <t>00000000A6C727E4353C314FBD93409EF639422707000D702909B30966478A168622D1D80E2400000000010D00000D702909B30966478A168622D1D80E240002653367390000</t>
  </si>
  <si>
    <t>Dan @ Velox Sales Meeting</t>
  </si>
  <si>
    <t>Jon Butler,Dan Schleifer</t>
  </si>
  <si>
    <t>00000000A6C727E4353C314FBD93409EF639422707000D702909B30966478A168622D1D80E2400000000010D00000D702909B30966478A168622D1D80E240002653367380000</t>
  </si>
  <si>
    <t>admin / client write ups</t>
  </si>
  <si>
    <t>00000000A6C727E4353C314FBD93409EF639422707000D702909B30966478A168622D1D80E2400000000010D00000D702909B30966478A168622D1D80E240002653367370000</t>
  </si>
  <si>
    <t xml:space="preserve"> nb</t>
  </si>
  <si>
    <t>00000000A6C727E4353C314FBD93409EF639422707000D702909B30966478A168622D1D80E2400000000010D00000D702909B30966478A168622D1D80E240002653367360000</t>
  </si>
  <si>
    <t>00000000A6C727E4353C314FBD93409EF639422707000D702909B30966478A168622D1D80E2400000000010D00000D702909B30966478A168622D1D80E240002653367350000</t>
  </si>
  <si>
    <t>Jon Butler,jon.eckfeld@iress.com,Ali Moosavi,jaclyn.smith@iress.com,sean.macfarlane@iress.com,Alison Hood,Jason Yan,jim.zhang@iress.com,glynn.mccabe@iress.com,Ramy.Saad@iress.com,ted.marozzi@iress.com</t>
  </si>
  <si>
    <t>00000000A6C727E4353C314FBD93409EF639422707000D702909B30966478A168622D1D80E2400000000010D00000D702909B30966478A168622D1D80E240002653367340000</t>
  </si>
  <si>
    <t>Jon Butler,Ali Moosavi,Ayman Elyahmidi,Hamza El Khalloufi,Saad Bouhoud</t>
  </si>
  <si>
    <t>00000000A6C727E4353C314FBD93409EF639422707000D702909B30966478A168622D1D80E2400000000010D00000D702909B30966478A168622D1D80E240002534C93540000</t>
  </si>
  <si>
    <t>admin / catchup</t>
  </si>
  <si>
    <t>00000000A6C727E4353C314FBD93409EF639422707000D702909B30966478A168622D1D80E2400000000010D00000D702909B30966478A168622D1D80E240002534C93550000</t>
  </si>
  <si>
    <t>add new opps to excel</t>
  </si>
  <si>
    <t>00000000A6C727E4353C314FBD93409EF639422707000D702909B30966478A168622D1D80E2400000000010D00000D702909B30966478A168622D1D80E240002653367410000</t>
  </si>
  <si>
    <t>excel dropdowns</t>
  </si>
  <si>
    <t>00000000A6C727E4353C314FBD93409EF639422707000D702909B30966478A168622D1D80E2400000000010D00000D702909B30966478A168622D1D80E240002653367400000</t>
  </si>
  <si>
    <t>linked in banner</t>
  </si>
  <si>
    <t>00000000A6C727E4353C314FBD93409EF639422707000D702909B30966478A168622D1D80E2400000000010D00000D702909B30966478A168622D1D80E2400026533673F0000</t>
  </si>
  <si>
    <t>new logo</t>
  </si>
  <si>
    <t>00000000A6C727E4353C314FBD93409EF639422707000D702909B30966478A168622D1D80E2400000000010D00000D702909B30966478A168622D1D80E2400026533673E0000</t>
  </si>
  <si>
    <t>opp add</t>
  </si>
  <si>
    <t>00000000A6C727E4353C314FBD93409EF639422707000D702909B30966478A168622D1D80E2400000000010D00000D702909B30966478A168622D1D80E2400026533673D0000</t>
  </si>
  <si>
    <t>00000000A6C727E4353C314FBD93409EF639422707000D702909B30966478A168622D1D80E2400000000010D00000D702909B30966478A168622D1D80E2400026533673C0000</t>
  </si>
  <si>
    <t>00000000A6C727E4353C314FBD93409EF639422707000D702909B30966478A168622D1D80E2400000000010D00000D702909B30966478A168622D1D80E2400026533673B0000</t>
  </si>
  <si>
    <t>00000000A6C727E4353C314FBD93409EF639422707000D702909B30966478A168622D1D80E2400000000010D00000D702909B30966478A168622D1D80E240002653367420000</t>
  </si>
  <si>
    <t>00000000A6C727E4353C314FBD93409EF639422707000D702909B30966478A168622D1D80E2400000000010D00000D702909B30966478A168622D1D80E240002653367430000</t>
  </si>
  <si>
    <t>prep for prospetcing</t>
  </si>
  <si>
    <t>00000000A6C727E4353C314FBD93409EF639422707000D702909B30966478A168622D1D80E2400000000010D00000D702909B30966478A168622D1D80E240002653367440000</t>
  </si>
  <si>
    <t>prospect prep</t>
  </si>
  <si>
    <t>00000000A6C727E4353C314FBD93409EF639422707000D702909B30966478A168622D1D80E2400000000010D00000D702909B30966478A168622D1D80E240002534C93560000</t>
  </si>
  <si>
    <t>00000000A6C727E4353C314FBD93409EF639422707000D702909B30966478A168622D1D80E2400000000010D00000D702909B30966478A168622D1D80E240002534C93570000</t>
  </si>
  <si>
    <t>00000000A6C727E4353C314FBD93409EF639422707000D702909B30966478A168622D1D80E2400000000010D00000D702909B30966478A168622D1D80E2400026533674B0000</t>
  </si>
  <si>
    <t>prospectting</t>
  </si>
  <si>
    <t>00000000A6C727E4353C314FBD93409EF639422707000D702909B30966478A168622D1D80E2400000000010D00000D702909B30966478A168622D1D80E2400026533674A0000</t>
  </si>
  <si>
    <t>00000000A6C727E4353C314FBD93409EF639422707000D702909B30966478A168622D1D80E2400000000010D00000D702909B30966478A168622D1D80E240002653367490000</t>
  </si>
  <si>
    <t>prospected</t>
  </si>
  <si>
    <t>00000000A6C727E4353C314FBD93409EF639422707000D702909B30966478A168622D1D80E2400000000010D00000D702909B30966478A168622D1D80E240002653367480000</t>
  </si>
  <si>
    <t>00000000A6C727E4353C314FBD93409EF639422707000D702909B30966478A168622D1D80E2400000000010D00000D702909B30966478A168622D1D80E240002653367470000</t>
  </si>
  <si>
    <t>propsecing</t>
  </si>
  <si>
    <t>00000000A6C727E4353C314FBD93409EF639422707000D702909B30966478A168622D1D80E2400000000010D00000D702909B30966478A168622D1D80E240002653367460000</t>
  </si>
  <si>
    <t>00000000A6C727E4353C314FBD93409EF639422707000D702909B30966478A168622D1D80E2400000000010D00000D702909B30966478A168622D1D80E240002653367450000</t>
  </si>
  <si>
    <t>00000000A6C727E4353C314FBD93409EF639422707000D702909B30966478A168622D1D80E2400000000010D00000D702909B30966478A168622D1D80E240002534C93580000</t>
  </si>
  <si>
    <t>00000000A6C727E4353C314FBD93409EF639422707000D702909B30966478A168622D1D80E2400000000010D00000D702909B30966478A168622D1D80E2400026533674C0000</t>
  </si>
  <si>
    <t>Jon Butler,Ayman Elyahmidi,Hamza El Khalloufi,Saad Bouhoud,Jason Yan,Ali Moosavi</t>
  </si>
  <si>
    <t>00000000A6C727E4353C314FBD93409EF639422707000D702909B30966478A168622D1D80E2400000000010D00000D702909B30966478A168622D1D80E240002534C93590000</t>
  </si>
  <si>
    <t>cleint meeting qrite up</t>
  </si>
  <si>
    <t>00000000A6C727E4353C314FBD93409EF639422707000D702909B30966478A168622D1D80E2400000000010D00000D702909B30966478A168622D1D80E240002534C935A0000</t>
  </si>
  <si>
    <t>00000000A6C727E4353C314FBD93409EF639422707000D702909B30966478A168622D1D80E2400000000010D00000D702909B30966478A168622D1D80E240002534C935B0000</t>
  </si>
  <si>
    <t>00000000A6C727E4353C314FBD93409EF639422707000D702909B30966478A168622D1D80E2400000000010D00000D702909B30966478A168622D1D80E2400026533674D0000</t>
  </si>
  <si>
    <t>00000000A6C727E4353C314FBD93409EF639422707000D702909B30966478A168622D1D80E2400000000010D00000D702909B30966478A168622D1D80E240002534C935C0000</t>
  </si>
  <si>
    <t>00000000A6C727E4353C314FBD93409EF639422707000D702909B30966478A168622D1D80E2400000000010D00000D702909B30966478A168622D1D80E2400026533674E0000</t>
  </si>
  <si>
    <t>website upodates</t>
  </si>
  <si>
    <t>00000000A6C727E4353C314FBD93409EF639422707000D702909B30966478A168622D1D80E2400000000010D00000D702909B30966478A168622D1D80E240002653367570000</t>
  </si>
  <si>
    <t>00000000A6C727E4353C314FBD93409EF639422707000D702909B30966478A168622D1D80E2400000000010D00000D702909B30966478A168622D1D80E240002653367560000</t>
  </si>
  <si>
    <t>00000000A6C727E4353C314FBD93409EF639422707000D702909B30966478A168622D1D80E2400000000010D00000D702909B30966478A168622D1D80E240002653367550000</t>
  </si>
  <si>
    <t>Jon Butler,Timothy Larason,Timothy Larason</t>
  </si>
  <si>
    <t>00000000A6C727E4353C314FBD93409EF639422707000D702909B30966478A168622D1D80E2400000000010D00000D702909B30966478A168622D1D80E240002653367540000</t>
  </si>
  <si>
    <t>prospectiong</t>
  </si>
  <si>
    <t>00000000A6C727E4353C314FBD93409EF639422707000D702909B30966478A168622D1D80E2400000000010D00000D702909B30966478A168622D1D80E240002653367530000</t>
  </si>
  <si>
    <t>00000000A6C727E4353C314FBD93409EF639422707000D702909B30966478A168622D1D80E2400000000010D00000D702909B30966478A168622D1D80E240002653367510000</t>
  </si>
  <si>
    <t>00000000A6C727E4353C314FBD93409EF639422707000D702909B30966478A168622D1D80E2400000000010D00000D702909B30966478A168622D1D80E240002653367500000</t>
  </si>
  <si>
    <t>linked in poost</t>
  </si>
  <si>
    <t>00000000A6C727E4353C314FBD93409EF639422707000D702909B30966478A168622D1D80E2400000000010D00000D702909B30966478A168622D1D80E2400026533674F0000</t>
  </si>
  <si>
    <t xml:space="preserve">OpenFin | Velox - Partnership Intro / Reconnect </t>
  </si>
  <si>
    <t>https://us02web.zoom.us/j/7064502151</t>
  </si>
  <si>
    <t>richard.ushirolumb@openfin.co,Jon Butler,Ali Moosavi,vicky.sanders@openfin.co</t>
  </si>
  <si>
    <t>richard.ushirolumb@openfin.co</t>
  </si>
  <si>
    <t>00000000A6C727E4353C314FBD93409EF639422707000D702909B30966478A168622D1D80E2400000000010D00000D702909B30966478A168622D1D80E240002653367520000</t>
  </si>
  <si>
    <t>00000000A6C727E4353C314FBD93409EF639422707000D702909B30966478A168622D1D80E2400000000010D00000D702909B30966478A168622D1D80E240002534C935D0000</t>
  </si>
  <si>
    <t>00000000A6C727E4353C314FBD93409EF639422707000D702909B30966478A168622D1D80E2400000000010D00000D702909B30966478A168622D1D80E240002653367650000</t>
  </si>
  <si>
    <t>00000000A6C727E4353C314FBD93409EF639422707000D702909B30966478A168622D1D80E2400000000010D00000D702909B30966478A168622D1D80E240002653367640000</t>
  </si>
  <si>
    <t>00000000A6C727E4353C314FBD93409EF639422707000D702909B30966478A168622D1D80E2400000000010D00000D702909B30966478A168622D1D80E240002653367630000</t>
  </si>
  <si>
    <t>Lloyds</t>
  </si>
  <si>
    <t>00000000A6C727E4353C314FBD93409EF639422707000D702909B30966478A168622D1D80E2400000000010D00000D702909B30966478A168622D1D80E240002653367620000</t>
  </si>
  <si>
    <t>00000000A6C727E4353C314FBD93409EF639422707000D702909B30966478A168622D1D80E2400000000010D00000D702909B30966478A168622D1D80E240002653367610000</t>
  </si>
  <si>
    <t>00000000A6C727E4353C314FBD93409EF639422707000D702909B30966478A168622D1D80E2400000000010D00000D702909B30966478A168622D1D80E240002653367600000</t>
  </si>
  <si>
    <t>https://us02web.zoom.us/j/82133769327?pwd=Nnhud0ttcTZRaHN2MEhIbVpNSWV2Zz09&amp;from=addon</t>
  </si>
  <si>
    <t>00000000A6C727E4353C314FBD93409EF639422707000D702909B30966478A168622D1D80E2400000000010D00000D702909B30966478A168622D1D80E2400026533675F0000</t>
  </si>
  <si>
    <t>Lloyds RFP internal call</t>
  </si>
  <si>
    <t>https://veloxfintech.zoom.us/j/82837229943?pwd=Q1c5a0xDNDE4amV4VXRoU0x2bUx3Zz09&amp;from=addon</t>
  </si>
  <si>
    <t>00000000A6C727E4353C314FBD93409EF639422707000D702909B30966478A168622D1D80E2400000000010D00000D702909B30966478A168622D1D80E24000291071C600000</t>
  </si>
  <si>
    <t>00000000A6C727E4353C314FBD93409EF639422707000D702909B30966478A168622D1D80E2400000000010D00000D702909B30966478A168622D1D80E2400026533675E0000</t>
  </si>
  <si>
    <t>00000000A6C727E4353C314FBD93409EF639422707000D702909B30966478A168622D1D80E2400000000010D00000D702909B30966478A168622D1D80E2400026533675D0000</t>
  </si>
  <si>
    <t>fixing website</t>
  </si>
  <si>
    <t>00000000A6C727E4353C314FBD93409EF639422707000D702909B30966478A168622D1D80E2400000000010D00000D702909B30966478A168622D1D80E2400026533675C0000</t>
  </si>
  <si>
    <t>00000000A6C727E4353C314FBD93409EF639422707000D702909B30966478A168622D1D80E2400000000010D00000D702909B30966478A168622D1D80E2400026533675B0000</t>
  </si>
  <si>
    <t>00000000A6C727E4353C314FBD93409EF639422707000D702909B30966478A168622D1D80E2400000000010D00000D702909B30966478A168622D1D80E2400026533675A0000</t>
  </si>
  <si>
    <t>00000000A6C727E4353C314FBD93409EF639422707000D702909B30966478A168622D1D80E2400000000010D00000D702909B30966478A168622D1D80E240002653367590000</t>
  </si>
  <si>
    <t>00000000A6C727E4353C314FBD93409EF639422707000D702909B30966478A168622D1D80E2400000000010D00000D702909B30966478A168622D1D80E240002653367580000</t>
  </si>
  <si>
    <t>Rates RFP</t>
  </si>
  <si>
    <t>00000000A6C727E4353C314FBD93409EF639422707000D702909B30966478A168622D1D80E2400000000010D00000D702909B30966478A168622D1D80E240002534C935E0000</t>
  </si>
  <si>
    <t>Janna 2pm appointment</t>
  </si>
  <si>
    <t>00000000A6C727E4353C314FBD93409EF639422707000D702909B30966478A168622D1D80E2400000000010D00000D702909B30966478A168622D1D80E240002653367670000</t>
  </si>
  <si>
    <t>00000000A6C727E4353C314FBD93409EF639422707000D702909B30966478A168622D1D80E2400000000010D00000D702909B30966478A168622D1D80E240002653367660000</t>
  </si>
  <si>
    <t>00000000A6C727E4353C314FBD93409EF639422707000D702909B30966478A168622D1D80E2400000000010D00000D702909B30966478A168622D1D80E240002534C935F0000</t>
  </si>
  <si>
    <t>00000000A6C727E4353C314FBD93409EF639422707000D702909B30966478A168622D1D80E2400000000010D00000D702909B30966478A168622D1D80E240002653367690000</t>
  </si>
  <si>
    <t>00000000A6C727E4353C314FBD93409EF639422707000D702909B30966478A168622D1D80E2400000000010D00000D702909B30966478A168622D1D80E240002653367680000</t>
  </si>
  <si>
    <t>00000000A6C727E4353C314FBD93409EF639422707000D702909B30966478A168622D1D80E2400000000010D00000D702909B30966478A168622D1D80E240002653367750000</t>
  </si>
  <si>
    <t>00000000A6C727E4353C314FBD93409EF639422707000D702909B30966478A168622D1D80E2400000000010D00000D702909B30966478A168622D1D80E240002653367740000</t>
  </si>
  <si>
    <t xml:space="preserve">Jon | Ali - Velox </t>
  </si>
  <si>
    <t>Client^ Contracts</t>
  </si>
  <si>
    <t xml:space="preserve">Zoom / Meeting ID  7968072229  </t>
  </si>
  <si>
    <t>Baldwin, Alistair (Commercial &amp; Institutional CDIO),Jon Butler</t>
  </si>
  <si>
    <t>Baldwin, Alistair (Commercial &amp; Institutional CDIO)</t>
  </si>
  <si>
    <t>00000000A6C727E4353C314FBD93409EF639422707000D702909B30966478A168622D1D80E2400000000010D00000D702909B30966478A168622D1D80E240002653367730000</t>
  </si>
  <si>
    <t>prep for tech deep dive</t>
  </si>
  <si>
    <t>00000000A6C727E4353C314FBD93409EF639422707000D702909B30966478A168622D1D80E2400000000010D00000D702909B30966478A168622D1D80E240002653367720000</t>
  </si>
  <si>
    <t>00000000A6C727E4353C314FBD93409EF639422707000D702909B30966478A168622D1D80E2400000000010D00000D702909B30966478A168622D1D80E240002653367710000</t>
  </si>
  <si>
    <t>Mrs. Levine</t>
  </si>
  <si>
    <t>Nancy Butler,Jon Butler</t>
  </si>
  <si>
    <t>00000000A6C727E4353C314FBD93409EF639422707000D702909B30966478A168622D1D80E2400000000010D00000D702909B30966478A168622D1D80E24000291071C640000</t>
  </si>
  <si>
    <t>Reconnecting Jon/Velox</t>
  </si>
  <si>
    <t>https://nomura.webex.com/meet/gordon.middleton</t>
  </si>
  <si>
    <t>Gordon.Middleton@nomura.com,Jon Butler</t>
  </si>
  <si>
    <t>Gordon.Middleton@nomura.com</t>
  </si>
  <si>
    <t>00000000A6C727E4353C314FBD93409EF639422707000D702909B30966478A168622D1D80E2400000000010D00000D702909B30966478A168622D1D80E240002653367700000</t>
  </si>
  <si>
    <t>00000000A6C727E4353C314FBD93409EF639422707000D702909B30966478A168622D1D80E2400000000010D00000D702909B30966478A168622D1D80E2400026533676F0000</t>
  </si>
  <si>
    <t>00000000A6C727E4353C314FBD93409EF639422707000D702909B30966478A168622D1D80E2400000000010D00000D702909B30966478A168622D1D80E2400026533676E0000</t>
  </si>
  <si>
    <t>00000000A6C727E4353C314FBD93409EF639422707000D702909B30966478A168622D1D80E2400000000010D00000D702909B30966478A168622D1D80E2400026533676D0000</t>
  </si>
  <si>
    <t>00000000A6C727E4353C314FBD93409EF639422707000D702909B30966478A168622D1D80E2400000000010D00000D702909B30966478A168622D1D80E2400026533676C0000</t>
  </si>
  <si>
    <t>De Burca, Feargal,Jon Butler,Bansal, Romit,Vannitsem, Raf,Alison Hood</t>
  </si>
  <si>
    <t>00000000A6C727E4353C314FBD93409EF639422707000D702909B30966478A168622D1D80E2400000000010D00000D702909B30966478A168622D1D80E2400026533676B0000</t>
  </si>
  <si>
    <t>Jon Butler,Timothy Larason</t>
  </si>
  <si>
    <t>00000000A6C727E4353C314FBD93409EF639422707000D702909B30966478A168622D1D80E2400000000010D00000D702909B30966478A168622D1D80E240002653367760000</t>
  </si>
  <si>
    <t>00000000A6C727E4353C314FBD93409EF639422707000D702909B30966478A168622D1D80E2400000000010D00000D702909B30966478A168622D1D80E2400026533677E0000</t>
  </si>
  <si>
    <t>delta block</t>
  </si>
  <si>
    <t>00000000A6C727E4353C314FBD93409EF639422707000D702909B30966478A168622D1D80E2400000000010D00000D702909B30966478A168622D1D80E2400026533677D0000</t>
  </si>
  <si>
    <t>prep for delta block</t>
  </si>
  <si>
    <t>00000000A6C727E4353C314FBD93409EF639422707000D702909B30966478A168622D1D80E2400000000010D00000D702909B30966478A168622D1D80E2400026533677C0000</t>
  </si>
  <si>
    <t>00000000A6C727E4353C314FBD93409EF639422707000D702909B30966478A168622D1D80E2400000000010D00000D702909B30966478A168622D1D80E2400026533677B0000</t>
  </si>
  <si>
    <t>00000000A6C727E4353C314FBD93409EF639422707000D702909B30966478A168622D1D80E2400000000010D00000D702909B30966478A168622D1D80E2400026533677A0000</t>
  </si>
  <si>
    <t>00000000A6C727E4353C314FBD93409EF639422707000D702909B30966478A168622D1D80E2400000000010D00000D702909B30966478A168622D1D80E240002653367790000</t>
  </si>
  <si>
    <t>00000000A6C727E4353C314FBD93409EF639422707000D702909B30966478A168622D1D80E2400000000010D00000D702909B30966478A168622D1D80E240002653367780000</t>
  </si>
  <si>
    <t>00000000A6C727E4353C314FBD93409EF639422707000D702909B30966478A168622D1D80E2400000000010D00000D702909B30966478A168622D1D80E240002653367770000</t>
  </si>
  <si>
    <t>capsule / prospecing</t>
  </si>
  <si>
    <t>00000000A6C727E4353C314FBD93409EF639422707000D702909B30966478A168622D1D80E2400000000010D00000D702909B30966478A168622D1D80E240002653367870000</t>
  </si>
  <si>
    <t>00000000A6C727E4353C314FBD93409EF639422707000D702909B30966478A168622D1D80E2400000000010D00000D702909B30966478A168622D1D80E240002653367860000</t>
  </si>
  <si>
    <t>Rates Strategic Architecture RFP Debrief Session - Velox</t>
  </si>
  <si>
    <t>MS Teams</t>
  </si>
  <si>
    <t>McCarthy, Jacinta,Jon Butler,Ali Moosavi,Alison Hood,Romit.Bansal@KPMG.co.uk,Bland, Scott (Group Sourcing &amp; Supplier Management),Bengani, Divyakant (Commercial Banking),Dimri, Abhishek (Commercial Banking),Saggers, Nicholas (Commercial Banking)</t>
  </si>
  <si>
    <t>McCarthy, Jacinta</t>
  </si>
  <si>
    <t>00000000A6C727E4353C314FBD93409EF639422707000D702909B30966478A168622D1D80E2400000000010D00000D702909B30966478A168622D1D80E24000291071C660000</t>
  </si>
  <si>
    <t>00000000A6C727E4353C314FBD93409EF639422707000D702909B30966478A168622D1D80E2400000000010D00000D702909B30966478A168622D1D80E240002653367850000</t>
  </si>
  <si>
    <t>capsule / etfsc capital</t>
  </si>
  <si>
    <t>00000000A6C727E4353C314FBD93409EF639422707000D702909B30966478A168622D1D80E2400000000010D00000D702909B30966478A168622D1D80E240002653367840000</t>
  </si>
  <si>
    <t>00000000A6C727E4353C314FBD93409EF639422707000D702909B30966478A168622D1D80E2400000000010D00000D702909B30966478A168622D1D80E240002653367830000</t>
  </si>
  <si>
    <t>00000000A6C727E4353C314FBD93409EF639422707000D702909B30966478A168622D1D80E2400000000010D00000D702909B30966478A168622D1D80E240002653367820000</t>
  </si>
  <si>
    <t>00000000A6C727E4353C314FBD93409EF639422707000D702909B30966478A168622D1D80E2400000000010D00000D702909B30966478A168622D1D80E240002653367810000</t>
  </si>
  <si>
    <t>00000000A6C727E4353C314FBD93409EF639422707000D702909B30966478A168622D1D80E2400000000010D00000D702909B30966478A168622D1D80E240002653367800000</t>
  </si>
  <si>
    <t>00000000A6C727E4353C314FBD93409EF639422707000D702909B30966478A168622D1D80E2400000000010D00000D702909B30966478A168622D1D80E2400026533677F0000</t>
  </si>
  <si>
    <t>capsule prospecting</t>
  </si>
  <si>
    <t>00000000A6C727E4353C314FBD93409EF639422707000D702909B30966478A168622D1D80E2400000000010D00000D702909B30966478A168622D1D80E240002534C93600000</t>
  </si>
  <si>
    <t>capsule prospecing</t>
  </si>
  <si>
    <t>00000000A6C727E4353C314FBD93409EF639422707000D702909B30966478A168622D1D80E2400000000010D00000D702909B30966478A168622D1D80E240002534C93610000</t>
  </si>
  <si>
    <t>capsule reporting</t>
  </si>
  <si>
    <t>00000000A6C727E4353C314FBD93409EF639422707000D702909B30966478A168622D1D80E2400000000010D00000D702909B30966478A168622D1D80E240002534C93620000</t>
  </si>
  <si>
    <t>00000000A6C727E4353C314FBD93409EF639422707000D702909B30966478A168622D1D80E2400000000010D00000D702909B30966478A168622D1D80E2400026533678A0000</t>
  </si>
  <si>
    <t>Catch-up on Lloyds</t>
  </si>
  <si>
    <t>00000000A6C727E4353C314FBD93409EF639422707000D702909B30966478A168622D1D80E2400000000010D00000D702909B30966478A168622D1D80E240002653367890000</t>
  </si>
  <si>
    <t>CME/Velox intro</t>
  </si>
  <si>
    <t>https://us02web.zoom.us/j/82954864370?pwd=ZUY0Q1R5MVhQNi91YTRINmRqeXFiQT09&amp;from=addon</t>
  </si>
  <si>
    <t>Steve Grob,Chan, Lauren,Jon Butler</t>
  </si>
  <si>
    <t>00000000A6C727E4353C314FBD93409EF639422707000D702909B30966478A168622D1D80E2400000000010D00000D702909B30966478A168622D1D80E240002653367880000</t>
  </si>
  <si>
    <t>capsuel report ETFSC</t>
  </si>
  <si>
    <t>00000000A6C727E4353C314FBD93409EF639422707000D702909B30966478A168622D1D80E2400000000010D00000D702909B30966478A168622D1D80E2400026533678F0000</t>
  </si>
  <si>
    <t>00000000A6C727E4353C314FBD93409EF639422707000D702909B30966478A168622D1D80E2400000000010D00000D702909B30966478A168622D1D80E2400026533678E0000</t>
  </si>
  <si>
    <t>website update</t>
  </si>
  <si>
    <t>00000000A6C727E4353C314FBD93409EF639422707000D702909B30966478A168622D1D80E2400000000010D00000D702909B30966478A168622D1D80E2400026533678D0000</t>
  </si>
  <si>
    <t>00000000A6C727E4353C314FBD93409EF639422707000D702909B30966478A168622D1D80E2400000000010D00000D702909B30966478A168622D1D80E2400026533678C0000</t>
  </si>
  <si>
    <t>prospecting capsule rport</t>
  </si>
  <si>
    <t>00000000A6C727E4353C314FBD93409EF639422707000D702909B30966478A168622D1D80E2400000000010D00000D702909B30966478A168622D1D80E2400026533678B0000</t>
  </si>
  <si>
    <t>Jon Butler Catchup / Velox Intro</t>
  </si>
  <si>
    <t>Jon Butler,Cary Goldstein</t>
  </si>
  <si>
    <t>00000000A6C727E4353C314FBD93409EF639422707000D702909B30966478A168622D1D80E2400000000010D00000D702909B30966478A168622D1D80E240002534C93630000</t>
  </si>
  <si>
    <t>Jon Butler / Velox demo</t>
  </si>
  <si>
    <t>Jon Butler,Mike November</t>
  </si>
  <si>
    <t>00000000A6C727E4353C314FBD93409EF639422707000D702909B30966478A168622D1D80E2400000000010D00000D702909B30966478A168622D1D80E240002534C93640000</t>
  </si>
  <si>
    <t>00000000A6C727E4353C314FBD93409EF639422707000D702909B30966478A168622D1D80E2400000000010D00000D702909B30966478A168622D1D80E240002534C93660000</t>
  </si>
  <si>
    <t>00000000A6C727E4353C314FBD93409EF639422707000D702909B30966478A168622D1D80E2400000000010D00000D702909B30966478A168622D1D80E240002653367900000</t>
  </si>
  <si>
    <t>00000000A6C727E4353C314FBD93409EF639422707000D702909B30966478A168622D1D80E2400000000010D00000D702909B30966478A168622D1D80E240002653367910000</t>
  </si>
  <si>
    <t>00000000A6C727E4353C314FBD93409EF639422707000D702909B30966478A168622D1D80E2400000000010D00000D702909B30966478A168622D1D80E240002653367920000</t>
  </si>
  <si>
    <t>00000000A6C727E4353C314FBD93409EF639422707000D702909B30966478A168622D1D80E2400000000010D00000D702909B30966478A168622D1D80E240002653367930000</t>
  </si>
  <si>
    <t xml:space="preserve">Rialto/Velox intro call </t>
  </si>
  <si>
    <t>https://veloxfintech.zoom.us/j/81416767788?pwd=M3U0MWhGK1VOa1F5Si95djJ2aGErZz09&amp;from=addon</t>
  </si>
  <si>
    <t>Ali Moosavi,Lee Saba,Jon Butler</t>
  </si>
  <si>
    <t>00000000A6C727E4353C314FBD93409EF639422707000D702909B30966478A168622D1D80E2400000000010D00000D702909B30966478A168622D1D80E240002952B198F0000</t>
  </si>
  <si>
    <t>Prep for Sales Meeting</t>
  </si>
  <si>
    <t>00000000A6C727E4353C314FBD93409EF639422707000D702909B30966478A168622D1D80E2400000000010D00000D702909B30966478A168622D1D80E240002653367950000</t>
  </si>
  <si>
    <t>Prep for valantic Presentation on Interop</t>
  </si>
  <si>
    <t>00000000A6C727E4353C314FBD93409EF639422707000D702909B30966478A168622D1D80E2400000000010D00000D702909B30966478A168622D1D80E240002653367940000</t>
  </si>
  <si>
    <t>Prep for Empyreum presenation</t>
  </si>
  <si>
    <t>00000000A6C727E4353C314FBD93409EF639422707000D702909B30966478A168622D1D80E2400000000010D00000D702909B30966478A168622D1D80E240002653367960000</t>
  </si>
  <si>
    <t>Get documents ready for Basant/Ameriprise etc</t>
  </si>
  <si>
    <t>00000000A6C727E4353C314FBD93409EF639422707000D702909B30966478A168622D1D80E2400000000010D00000D702909B30966478A168622D1D80E240002653367970000</t>
  </si>
  <si>
    <t>00000000A6C727E4353C314FBD93409EF639422707000D702909B30966478A168622D1D80E2400000000010D00000D702909B30966478A168622D1D80E240002653367980000</t>
  </si>
  <si>
    <t>Create Redeem demo</t>
  </si>
  <si>
    <t>Jon Butler,Neto,Greg Cooper,Luigi Marino</t>
  </si>
  <si>
    <t>00000000A6C727E4353C314FBD93409EF639422707000D702909B30966478A168622D1D80E2400000000010D00000D702909B30966478A168622D1D80E240002653367990000</t>
  </si>
  <si>
    <t>00000000A6C727E4353C314FBD93409EF639422707000D702909B30966478A168622D1D80E2400000000010D00000D702909B30966478A168622D1D80E2400026533679A0000</t>
  </si>
  <si>
    <t>empyreum</t>
  </si>
  <si>
    <t>00000000A6C727E4353C314FBD93409EF639422707000D702909B30966478A168622D1D80E2400000000010D00000D702909B30966478A168622D1D80E2400026533679B0000</t>
  </si>
  <si>
    <t>00000000A6C727E4353C314FBD93409EF639422707000D702909B30966478A168622D1D80E2400000000010D00000D702909B30966478A168622D1D80E240002653367A10000</t>
  </si>
  <si>
    <t>Complete Velox contract renewal</t>
  </si>
  <si>
    <t>Jon Butler,Dan Izzo,Alison Hood,Stefan Kaba-Ferreiro</t>
  </si>
  <si>
    <t>00000000A6C727E4353C314FBD93409EF639422707000D702909B30966478A168622D1D80E2400000000010D00000D702909B30966478A168622D1D80E240002653367A00000</t>
  </si>
  <si>
    <t>00000000A6C727E4353C314FBD93409EF639422707000D702909B30966478A168622D1D80E2400000000010D00000D702909B30966478A168622D1D80E2400026533679F0000</t>
  </si>
  <si>
    <t>00000000A6C727E4353C314FBD93409EF639422707000D702909B30966478A168622D1D80E2400000000010D00000D702909B30966478A168622D1D80E2400026533679E0000</t>
  </si>
  <si>
    <t>00000000A6C727E4353C314FBD93409EF639422707000D702909B30966478A168622D1D80E2400000000010D00000D702909B30966478A168622D1D80E2400026533679D0000</t>
  </si>
  <si>
    <t>00000000A6C727E4353C314FBD93409EF639422707000D702909B30966478A168622D1D80E2400000000010D00000D702909B30966478A168622D1D80E2400026533679C0000</t>
  </si>
  <si>
    <t>etfsc deck</t>
  </si>
  <si>
    <t>00000000A6C727E4353C314FBD93409EF639422707000D702909B30966478A168622D1D80E2400000000010D00000D702909B30966478A168622D1D80E240002534C93670000</t>
  </si>
  <si>
    <t>00000000A6C727E4353C314FBD93409EF639422707000D702909B30966478A168622D1D80E2400000000010D00000D702909B30966478A168622D1D80E240002653367AE0000</t>
  </si>
  <si>
    <t>marketing / vendor compare</t>
  </si>
  <si>
    <t>00000000A6C727E4353C314FBD93409EF639422707000D702909B30966478A168622D1D80E2400000000010D00000D702909B30966478A168622D1D80E240002653367AD0000</t>
  </si>
  <si>
    <t>00000000A6C727E4353C314FBD93409EF639422707000D702909B30966478A168622D1D80E2400000000010D00000D702909B30966478A168622D1D80E240002653367AC0000</t>
  </si>
  <si>
    <t>Velox/Finsemble</t>
  </si>
  <si>
    <t>pcunn@cosaic.io,Jon Butler,Jim Bunting</t>
  </si>
  <si>
    <t>pcunn@cosaic.io</t>
  </si>
  <si>
    <t>00000000A6C727E4353C314FBD93409EF639422707000D702909B30966478A168622D1D80E2400000000010D00000D702909B30966478A168622D1D80E240002653367AB0000</t>
  </si>
  <si>
    <t>00000000A6C727E4353C314FBD93409EF639422707000D702909B30966478A168622D1D80E2400000000010D00000D702909B30966478A168622D1D80E240002653367AA0000</t>
  </si>
  <si>
    <t>00000000A6C727E4353C314FBD93409EF639422707000D702909B30966478A168622D1D80E2400000000010D00000D702909B30966478A168622D1D80E240002653367A90000</t>
  </si>
  <si>
    <t>00000000A6C727E4353C314FBD93409EF639422707000D702909B30966478A168622D1D80E2400000000010D00000D702909B30966478A168622D1D80E240002653367A80000</t>
  </si>
  <si>
    <t>Alex / Jon catch up</t>
  </si>
  <si>
    <t>Alexander.Duggan@cognizant.com,Jon Butler</t>
  </si>
  <si>
    <t>Alexander.Duggan@cognizant.com</t>
  </si>
  <si>
    <t>00000000A6C727E4353C314FBD93409EF639422707000D702909B30966478A168622D1D80E2400000000010D00000D702909B30966478A168622D1D80E240002653367A70000</t>
  </si>
  <si>
    <t>00000000A6C727E4353C314FBD93409EF639422707000D702909B30966478A168622D1D80E2400000000010D00000D702909B30966478A168622D1D80E240002653367A60000</t>
  </si>
  <si>
    <t>00000000A6C727E4353C314FBD93409EF639422707000D702909B30966478A168622D1D80E2400000000010D00000D702909B30966478A168622D1D80E240002653367A50000</t>
  </si>
  <si>
    <t xml:space="preserve">ETFSC </t>
  </si>
  <si>
    <t>00000000A6C727E4353C314FBD93409EF639422707000D702909B30966478A168622D1D80E2400000000010D00000D702909B30966478A168622D1D80E240002653367A40000</t>
  </si>
  <si>
    <t>etfsc decl</t>
  </si>
  <si>
    <t>00000000A6C727E4353C314FBD93409EF639422707000D702909B30966478A168622D1D80E2400000000010D00000D702909B30966478A168622D1D80E240002653367A30000</t>
  </si>
  <si>
    <t>00000000A6C727E4353C314FBD93409EF639422707000D702909B30966478A168622D1D80E2400000000010D00000D702909B30966478A168622D1D80E240002653367A20000</t>
  </si>
  <si>
    <t>cme group</t>
  </si>
  <si>
    <t>00000000A6C727E4353C314FBD93409EF639422707000D702909B30966478A168622D1D80E2400000000010D00000D702909B30966478A168622D1D80E240002653367C30000</t>
  </si>
  <si>
    <t>admin/email</t>
  </si>
  <si>
    <t>00000000A6C727E4353C314FBD93409EF639422707000D702909B30966478A168622D1D80E2400000000010D00000D702909B30966478A168622D1D80E240002653367C20000</t>
  </si>
  <si>
    <t>Jon/Bryan</t>
  </si>
  <si>
    <t>Jon Butler,Labelle, Bryan,Ali Moosavi,Maloney, Mike</t>
  </si>
  <si>
    <t>00000000A6C727E4353C314FBD93409EF639422707000D702909B30966478A168622D1D80E2400000000010D00000D702909B30966478A168622D1D80E240002653367C10000</t>
  </si>
  <si>
    <t xml:space="preserve">HL/Velox - Intro </t>
  </si>
  <si>
    <t>mohamed.arkate@gmail.com,Jon Butler,joseph.tripp@hl.co.uk</t>
  </si>
  <si>
    <t>mohamed.arkate@gmail.com</t>
  </si>
  <si>
    <t>00000000A6C727E4353C314FBD93409EF639422707000D702909B30966478A168622D1D80E2400000000010D00000D702909B30966478A168622D1D80E240002653367BE0000</t>
  </si>
  <si>
    <t>nomura folloupws</t>
  </si>
  <si>
    <t>00000000A6C727E4353C314FBD93409EF639422707000D702909B30966478A168622D1D80E2400000000010D00000D702909B30966478A168622D1D80E240002653367BD0000</t>
  </si>
  <si>
    <t>00000000A6C727E4353C314FBD93409EF639422707000D702909B30966478A168622D1D80E2400000000010D00000D702909B30966478A168622D1D80E240002653367BB0000</t>
  </si>
  <si>
    <t>lloyds followups</t>
  </si>
  <si>
    <t>00000000A6C727E4353C314FBD93409EF639422707000D702909B30966478A168622D1D80E2400000000010D00000D702909B30966478A168622D1D80E240002653367B90000</t>
  </si>
  <si>
    <t>Deck/intro doc chat</t>
  </si>
  <si>
    <t>https://veloxfintech.zoom.us/j/84908732157?pwd=d3dGUTlja2RnY2VYcjlPVE50Uk54dz09&amp;from=addon</t>
  </si>
  <si>
    <t>Ali Moosavi,Jon Butler,Neto</t>
  </si>
  <si>
    <t>00000000A6C727E4353C314FBD93409EF639422707000D702909B30966478A168622D1D80E2400000000010D00000D702909B30966478A168622D1D80E240002653367B80000</t>
  </si>
  <si>
    <t>quick end of week update</t>
  </si>
  <si>
    <t>00000000A6C727E4353C314FBD93409EF639422707000D702909B30966478A168622D1D80E2400000000010D00000D702909B30966478A168622D1D80E240002653367BC0000</t>
  </si>
  <si>
    <t>lloyds</t>
  </si>
  <si>
    <t>00000000A6C727E4353C314FBD93409EF639422707000D702909B30966478A168622D1D80E2400000000010D00000D702909B30966478A168622D1D80E240002653367B60000</t>
  </si>
  <si>
    <t>00000000A6C727E4353C314FBD93409EF639422707000D702909B30966478A168622D1D80E2400000000010D00000D702909B30966478A168622D1D80E240002653367B50000</t>
  </si>
  <si>
    <t>00000000A6C727E4353C314FBD93409EF639422707000D702909B30966478A168622D1D80E2400000000010D00000D702909B30966478A168622D1D80E240002653367B40000</t>
  </si>
  <si>
    <t>lloyds rfp</t>
  </si>
  <si>
    <t>00000000A6C727E4353C314FBD93409EF639422707000D702909B30966478A168622D1D80E2400000000010D00000D702909B30966478A168622D1D80E240002653367B30000</t>
  </si>
  <si>
    <t>00000000A6C727E4353C314FBD93409EF639422707000D702909B30966478A168622D1D80E2400000000010D00000D702909B30966478A168622D1D80E240002653367B20000</t>
  </si>
  <si>
    <t>00000000A6C727E4353C314FBD93409EF639422707000D702909B30966478A168622D1D80E2400000000010D00000D702909B30966478A168622D1D80E240002653367B10000</t>
  </si>
  <si>
    <t>00000000A6C727E4353C314FBD93409EF639422707000D702909B30966478A168622D1D80E2400000000010D00000D702909B30966478A168622D1D80E240002653367B00000</t>
  </si>
  <si>
    <t>00000000A6C727E4353C314FBD93409EF639422707000D702909B30966478A168622D1D80E2400000000010D00000D702909B30966478A168622D1D80E240002653367AF0000</t>
  </si>
  <si>
    <t>Rialto/Velox follow up - Velox demo</t>
  </si>
  <si>
    <t>https://veloxfintech.zoom.us/j/85864992925?pwd=VlhDMzY3V2lrN3VObWJJVnViam9OQT09&amp;from=addon</t>
  </si>
  <si>
    <t>Ali Moosavi,Jon Butler,Lee Saba,Ryan Simmons</t>
  </si>
  <si>
    <t>00000000A6C727E4353C314FBD93409EF639422707000D702909B30966478A168622D1D80E2400000000010D00000D702909B30966478A168622D1D80E240002653367C00000</t>
  </si>
  <si>
    <t>00000000A6C727E4353C314FBD93409EF639422707000D702909B30966478A168622D1D80E2400000000010D00000D702909B30966478A168622D1D80E240002653367C40000</t>
  </si>
  <si>
    <t>00000000A6C727E4353C314FBD93409EF639422707000D702909B30966478A168622D1D80E2400000000010D00000D702909B30966478A168622D1D80E240002653367E20000</t>
  </si>
  <si>
    <t>00000000A6C727E4353C314FBD93409EF639422707000D702909B30966478A168622D1D80E2400000000010D00000D702909B30966478A168622D1D80E240002653367E10000</t>
  </si>
  <si>
    <t>video content</t>
  </si>
  <si>
    <t>00000000A6C727E4353C314FBD93409EF639422707000D702909B30966478A168622D1D80E2400000000010D00000D702909B30966478A168622D1D80E240002653367E00000</t>
  </si>
  <si>
    <t>00000000A6C727E4353C314FBD93409EF639422707000D702909B30966478A168622D1D80E2400000000010D00000D702909B30966478A168622D1D80E240002653367DF0000</t>
  </si>
  <si>
    <t>cme deck</t>
  </si>
  <si>
    <t>00000000A6C727E4353C314FBD93409EF639422707000D702909B30966478A168622D1D80E2400000000010D00000D702909B30966478A168622D1D80E240002653367DE0000</t>
  </si>
  <si>
    <t>Jon/Pete - Lloyds</t>
  </si>
  <si>
    <t>00000000A6C727E4353C314FBD93409EF639422707000D702909B30966478A168622D1D80E2400000000010D00000D702909B30966478A168622D1D80E240002653367DD0000</t>
  </si>
  <si>
    <t>phil</t>
  </si>
  <si>
    <t>00000000A6C727E4353C314FBD93409EF639422707000D702909B30966478A168622D1D80E2400000000010D00000D702909B30966478A168622D1D80E240002653367DC0000</t>
  </si>
  <si>
    <t>00000000A6C727E4353C314FBD93409EF639422707000D702909B30966478A168622D1D80E2400000000010D00000D702909B30966478A168622D1D80E240002653367DB0000</t>
  </si>
  <si>
    <t>00000000A6C727E4353C314FBD93409EF639422707000D702909B30966478A168622D1D80E2400000000010D00000D702909B30966478A168622D1D80E240002653367DA0000</t>
  </si>
  <si>
    <t>00000000A6C727E4353C314FBD93409EF639422707000D702909B30966478A168622D1D80E2400000000010D00000D702909B30966478A168622D1D80E240002653367D90000</t>
  </si>
  <si>
    <t>admin / emails</t>
  </si>
  <si>
    <t>00000000A6C727E4353C314FBD93409EF639422707000D702909B30966478A168622D1D80E2400000000010D00000D702909B30966478A168622D1D80E240002653367D80000</t>
  </si>
  <si>
    <t>Velox projects and support model</t>
  </si>
  <si>
    <t>p.andrea@gmail.com,andy.browning@fsa.valantic.com,Jon Butler,Jason Yan</t>
  </si>
  <si>
    <t>00000000A6C727E4353C314FBD93409EF639422707000D702909B30966478A168622D1D80E2400000000010D00000D702909B30966478A168622D1D80E240002653367D70000</t>
  </si>
  <si>
    <t>00000000A6C727E4353C314FBD93409EF639422707000D702909B30966478A168622D1D80E2400000000010D00000D702909B30966478A168622D1D80E240002653367D60000</t>
  </si>
  <si>
    <t>00000000A6C727E4353C314FBD93409EF639422707000D702909B30966478A168622D1D80E2400000000010D00000D702909B30966478A168622D1D80E240002653367D50000</t>
  </si>
  <si>
    <t>ALison</t>
  </si>
  <si>
    <t>00000000A6C727E4353C314FBD93409EF639422707000D702909B30966478A168622D1D80E2400000000010D00000D702909B30966478A168622D1D80E240002653367D40000</t>
  </si>
  <si>
    <t>00000000A6C727E4353C314FBD93409EF639422707000D702909B30966478A168622D1D80E2400000000010D00000D702909B30966478A168622D1D80E240002653367D30000</t>
  </si>
  <si>
    <t>alex</t>
  </si>
  <si>
    <t>00000000A6C727E4353C314FBD93409EF639422707000D702909B30966478A168622D1D80E2400000000010D00000D702909B30966478A168622D1D80E240002653367D20000</t>
  </si>
  <si>
    <t>lloyds prep</t>
  </si>
  <si>
    <t>00000000A6C727E4353C314FBD93409EF639422707000D702909B30966478A168622D1D80E2400000000010D00000D702909B30966478A168622D1D80E240002653367D10000</t>
  </si>
  <si>
    <t>00000000A6C727E4353C314FBD93409EF639422707000D702909B30966478A168622D1D80E2400000000010D00000D702909B30966478A168622D1D80E240002653367D00000</t>
  </si>
  <si>
    <t>00000000A6C727E4353C314FBD93409EF639422707000D702909B30966478A168622D1D80E2400000000010D00000D702909B30966478A168622D1D80E240002653367CF0000</t>
  </si>
  <si>
    <t>00000000A6C727E4353C314FBD93409EF639422707000D702909B30966478A168622D1D80E2400000000010D00000D702909B30966478A168622D1D80E240002653367CE0000</t>
  </si>
  <si>
    <t>00000000A6C727E4353C314FBD93409EF639422707000D702909B30966478A168622D1D80E2400000000010D00000D702909B30966478A168622D1D80E240002653367CD0000</t>
  </si>
  <si>
    <t>content demo</t>
  </si>
  <si>
    <t>00000000A6C727E4353C314FBD93409EF639422707000D702909B30966478A168622D1D80E2400000000010D00000D702909B30966478A168622D1D80E240002653367CC0000</t>
  </si>
  <si>
    <t>content for tuesdat</t>
  </si>
  <si>
    <t>00000000A6C727E4353C314FBD93409EF639422707000D702909B30966478A168622D1D80E2400000000010D00000D702909B30966478A168622D1D80E240002653367CB0000</t>
  </si>
  <si>
    <t>cme</t>
  </si>
  <si>
    <t>00000000A6C727E4353C314FBD93409EF639422707000D702909B30966478A168622D1D80E2400000000010D00000D702909B30966478A168622D1D80E240002653367CA0000</t>
  </si>
  <si>
    <t>ppt viewer</t>
  </si>
  <si>
    <t>00000000A6C727E4353C314FBD93409EF639422707000D702909B30966478A168622D1D80E2400000000010D00000D702909B30966478A168622D1D80E240002653367C90000</t>
  </si>
  <si>
    <t>tue content</t>
  </si>
  <si>
    <t>00000000A6C727E4353C314FBD93409EF639422707000D702909B30966478A168622D1D80E2400000000010D00000D702909B30966478A168622D1D80E240002653367C80000</t>
  </si>
  <si>
    <t>00000000A6C727E4353C314FBD93409EF639422707000D702909B30966478A168622D1D80E2400000000010D00000D702909B30966478A168622D1D80E240002653367C70000</t>
  </si>
  <si>
    <t>00000000A6C727E4353C314FBD93409EF639422707000D702909B30966478A168622D1D80E2400000000010D00000D702909B30966478A168622D1D80E240002653367C60000</t>
  </si>
  <si>
    <t>00000000A6C727E4353C314FBD93409EF639422707000D702909B30966478A168622D1D80E2400000000010D00000D702909B30966478A168622D1D80E240002653367C50000</t>
  </si>
  <si>
    <t>00000000A6C727E4353C314FBD93409EF639422707000D702909B30966478A168622D1D80E2400000000010D00000D702909B30966478A168622D1D80E240002534C93680000</t>
  </si>
  <si>
    <t>00000000A6C727E4353C314FBD93409EF639422707000D702909B30966478A168622D1D80E2400000000010D00000D702909B30966478A168622D1D80E240002534C93690000</t>
  </si>
  <si>
    <t>00000000A6C727E4353C314FBD93409EF639422707000D702909B30966478A168622D1D80E2400000000010D00000D702909B30966478A168622D1D80E240002653367EF0000</t>
  </si>
  <si>
    <t>00000000A6C727E4353C314FBD93409EF639422707000D702909B30966478A168622D1D80E2400000000010D00000D702909B30966478A168622D1D80E240002653367EB0000</t>
  </si>
  <si>
    <t>00000000A6C727E4353C314FBD93409EF639422707000D702909B30966478A168622D1D80E2400000000010D00000D702909B30966478A168622D1D80E240002653367EA0000</t>
  </si>
  <si>
    <t>00000000A6C727E4353C314FBD93409EF639422707000D702909B30966478A168622D1D80E2400000000010D00000D702909B30966478A168622D1D80E240002653367E90000</t>
  </si>
  <si>
    <t xml:space="preserve">cme </t>
  </si>
  <si>
    <t>00000000A6C727E4353C314FBD93409EF639422707000D702909B30966478A168622D1D80E2400000000010D00000D702909B30966478A168622D1D80E240002653367E80000</t>
  </si>
  <si>
    <t xml:space="preserve">Lloyds RFP submission </t>
  </si>
  <si>
    <t>Peter Holmgren,Jon Butler,Alison Hood</t>
  </si>
  <si>
    <t>00000000A6C727E4353C314FBD93409EF639422707000D702909B30966478A168622D1D80E2400000000010D00000D702909B30966478A168622D1D80E240002653367ED0000</t>
  </si>
  <si>
    <t>Velox - sales discussion</t>
  </si>
  <si>
    <t>Mark Weeks,Graham Tuckwell,Martyn James,Jon Butler,Jason Yan</t>
  </si>
  <si>
    <t>Mark Weeks</t>
  </si>
  <si>
    <t>00000000A6C727E4353C314FBD93409EF639422707000D702909B30966478A168622D1D80E2400000000010D00000D702909B30966478A168622D1D80E240002653367EE0000</t>
  </si>
  <si>
    <t>email client followupos</t>
  </si>
  <si>
    <t>00000000A6C727E4353C314FBD93409EF639422707000D702909B30966478A168622D1D80E2400000000010D00000D702909B30966478A168622D1D80E240002653367E70000</t>
  </si>
  <si>
    <t>00000000A6C727E4353C314FBD93409EF639422707000D702909B30966478A168622D1D80E2400000000010D00000D702909B30966478A168622D1D80E240002653367E60000</t>
  </si>
  <si>
    <t>=</t>
  </si>
  <si>
    <t>00000000A6C727E4353C314FBD93409EF639422707000D702909B30966478A168622D1D80E2400000000010D00000D702909B30966478A168622D1D80E240002653367E50000</t>
  </si>
  <si>
    <t>00000000A6C727E4353C314FBD93409EF639422707000D702909B30966478A168622D1D80E2400000000010D00000D702909B30966478A168622D1D80E240002653367E40000</t>
  </si>
  <si>
    <t>Velox / Gartner - Free Trial</t>
  </si>
  <si>
    <t>Kumko,Chris,Jon Butler,Alison Hood</t>
  </si>
  <si>
    <t>00000000A6C727E4353C314FBD93409EF639422707000D702909B30966478A168622D1D80E2400000000010D00000D702909B30966478A168622D1D80E240002653367E30000</t>
  </si>
  <si>
    <t>00000000A6C727E4353C314FBD93409EF639422707000D702909B30966478A168622D1D80E2400000000010D00000D702909B30966478A168622D1D80E240002534C936A0000</t>
  </si>
  <si>
    <t>00000000A6C727E4353C314FBD93409EF639422707000D702909B30966478A168622D1D80E2400000000010D00000D702909B30966478A168622D1D80E240002534C936B0000</t>
  </si>
  <si>
    <t>llloyds RFP</t>
  </si>
  <si>
    <t>Jon Butler,Peter Holmgren,Alison Hood</t>
  </si>
  <si>
    <t>00000000A6C727E4353C314FBD93409EF639422707000D702909B30966478A168622D1D80E2400000000010D00000D702909B30966478A168622D1D80E240002653367F00000</t>
  </si>
  <si>
    <t>00000000A6C727E4353C314FBD93409EF639422707000D702909B30966478A168622D1D80E2400000000010D00000D702909B30966478A168622D1D80E240002653367F60000</t>
  </si>
  <si>
    <t>00000000A6C727E4353C314FBD93409EF639422707000D702909B30966478A168622D1D80E2400000000010D00000D702909B30966478A168622D1D80E240002653367F50000</t>
  </si>
  <si>
    <t>00000000A6C727E4353C314FBD93409EF639422707000D702909B30966478A168622D1D80E2400000000010D00000D702909B30966478A168622D1D80E240002653367F40000</t>
  </si>
  <si>
    <t>sales process for grtaham</t>
  </si>
  <si>
    <t>00000000A6C727E4353C314FBD93409EF639422707000D702909B30966478A168622D1D80E2400000000010D00000D702909B30966478A168622D1D80E240002653367F30000</t>
  </si>
  <si>
    <t>00000000A6C727E4353C314FBD93409EF639422707000D702909B30966478A168622D1D80E2400000000010D00000D702909B30966478A168622D1D80E240002653367F20000</t>
  </si>
  <si>
    <t>00000000A6C727E4353C314FBD93409EF639422707000D702909B30966478A168622D1D80E2400000000010D00000D702909B30966478A168622D1D80E240002653367F10000</t>
  </si>
  <si>
    <t>00000000A6C727E4353C314FBD93409EF639422707000D702909B30966478A168622D1D80E2400000000010D00000D702909B30966478A168622D1D80E240002534C936C0000</t>
  </si>
  <si>
    <t>00000000A6C727E4353C314FBD93409EF639422707000D702909B30966478A168622D1D80E2400000000010D00000D702909B30966478A168622D1D80E240002653367FD0000</t>
  </si>
  <si>
    <t>00000000A6C727E4353C314FBD93409EF639422707000D702909B30966478A168622D1D80E2400000000010D00000D702909B30966478A168622D1D80E240002653367FC0000</t>
  </si>
  <si>
    <t>00000000A6C727E4353C314FBD93409EF639422707000D702909B30966478A168622D1D80E2400000000010D00000D702909B30966478A168622D1D80E240002653367FB0000</t>
  </si>
  <si>
    <t>00000000A6C727E4353C314FBD93409EF639422707000D702909B30966478A168622D1D80E2400000000010D00000D702909B30966478A168622D1D80E240002653367FA0000</t>
  </si>
  <si>
    <t>Velox &lt;&gt; OPCO Discussion</t>
  </si>
  <si>
    <t>Erika Gumban,Rishi Nangalia,Jon Butler</t>
  </si>
  <si>
    <t>Erika Gumban</t>
  </si>
  <si>
    <t>00000000A6C727E4353C314FBD93409EF639422707000D702909B30966478A168622D1D80E2400000000010D00000D702909B30966478A168622D1D80E240002653367F90000</t>
  </si>
  <si>
    <t>sales</t>
  </si>
  <si>
    <t>00000000A6C727E4353C314FBD93409EF639422707000D702909B30966478A168622D1D80E2400000000010D00000D702909B30966478A168622D1D80E240002653367F80000</t>
  </si>
  <si>
    <t>sales prep for graham</t>
  </si>
  <si>
    <t>00000000A6C727E4353C314FBD93409EF639422707000D702909B30966478A168622D1D80E2400000000010D00000D702909B30966478A168622D1D80E240002653367F70000</t>
  </si>
  <si>
    <t>00000000A6C727E4353C314FBD93409EF639422707000D702909B30966478A168622D1D80E2400000000010D00000D702909B30966478A168622D1D80E240002653368020000</t>
  </si>
  <si>
    <t>00000000A6C727E4353C314FBD93409EF639422707000D702909B30966478A168622D1D80E2400000000010D00000D702909B30966478A168622D1D80E240002653368010000</t>
  </si>
  <si>
    <t>00000000A6C727E4353C314FBD93409EF639422707000D702909B30966478A168622D1D80E2400000000010D00000D702909B30966478A168622D1D80E240002653368000000</t>
  </si>
  <si>
    <t>00000000A6C727E4353C314FBD93409EF639422707000D702909B30966478A168622D1D80E2400000000010D00000D702909B30966478A168622D1D80E240002653367FF0000</t>
  </si>
  <si>
    <t>lloyds RFP</t>
  </si>
  <si>
    <t>00000000A6C727E4353C314FBD93409EF639422707000D702909B30966478A168622D1D80E2400000000010D00000D702909B30966478A168622D1D80E240002653367FE0000</t>
  </si>
  <si>
    <t>00000000A6C727E4353C314FBD93409EF639422707000D702909B30966478A168622D1D80E2400000000010D00000D702909B30966478A168622D1D80E2400026533680B0000</t>
  </si>
  <si>
    <t>00000000A6C727E4353C314FBD93409EF639422707000D702909B30966478A168622D1D80E2400000000010D00000D702909B30966478A168622D1D80E2400026533680A0000</t>
  </si>
  <si>
    <t>lloyds REFP</t>
  </si>
  <si>
    <t>00000000A6C727E4353C314FBD93409EF639422707000D702909B30966478A168622D1D80E2400000000010D00000D702909B30966478A168622D1D80E240002653368090000</t>
  </si>
  <si>
    <t>00000000A6C727E4353C314FBD93409EF639422707000D702909B30966478A168622D1D80E2400000000010D00000D702909B30966478A168622D1D80E240002653368080000</t>
  </si>
  <si>
    <t>00000000A6C727E4353C314FBD93409EF639422707000D702909B30966478A168622D1D80E2400000000010D00000D702909B30966478A168622D1D80E240002653368070000</t>
  </si>
  <si>
    <t>00000000A6C727E4353C314FBD93409EF639422707000D702909B30966478A168622D1D80E2400000000010D00000D702909B30966478A168622D1D80E240002653368060000</t>
  </si>
  <si>
    <t>00000000A6C727E4353C314FBD93409EF639422707000D702909B30966478A168622D1D80E2400000000010D00000D702909B30966478A168622D1D80E240002653368050000</t>
  </si>
  <si>
    <t>00000000A6C727E4353C314FBD93409EF639422707000D702909B30966478A168622D1D80E2400000000010D00000D702909B30966478A168622D1D80E240002653368040000</t>
  </si>
  <si>
    <t>00000000A6C727E4353C314FBD93409EF639422707000D702909B30966478A168622D1D80E2400000000010D00000D702909B30966478A168622D1D80E240002653368030000</t>
  </si>
  <si>
    <t>Repo demo</t>
  </si>
  <si>
    <t>Andy Browning,Jon Butler,Luigi Marino</t>
  </si>
  <si>
    <t>00000000A6C727E4353C314FBD93409EF639422707000D702909B30966478A168622D1D80E2400000000010D00000D702909B30966478A168622D1D80E2400029ED154F30000</t>
  </si>
  <si>
    <t>Post RFP Catchup - Some further questions from RFP review</t>
  </si>
  <si>
    <t>Gulati, Abhishek (Commercial Banking),Alison Hood,Ali Moosavi,McCarthy, Jacinta,Saggers, Nicholas (Commercial Banking),Bengani, Divyakant (Commercial Banking),Parker, Luke (Commercial Banking),Dimri, Abhishek (Commercial Banking),Bansal, Romit,Bland, Scott (Group Sourcing &amp; Supplier Management),Jon Butler</t>
  </si>
  <si>
    <t>Gulati, Abhishek (Commercial Banking)</t>
  </si>
  <si>
    <t>00000000A6C727E4353C314FBD93409EF639422707000D702909B30966478A168622D1D80E2400000000010D00000D702909B30966478A168622D1D80E2400029ED154F20000</t>
  </si>
  <si>
    <t xml:space="preserve">Creative Mines/Velox call </t>
  </si>
  <si>
    <t>https://veloxfintech.zoom.us/j/82082486010?pwd=dCtVZkFVVVFVQktPcEFUT1owc0dCZz09&amp;from=addon</t>
  </si>
  <si>
    <t>00000000A6C727E4353C314FBD93409EF639422707000D702909B30966478A168622D1D80E2400000000010D00000D702909B30966478A168622D1D80E2400026533683A0000</t>
  </si>
  <si>
    <t>00000000A6C727E4353C314FBD93409EF639422707000D702909B30966478A168622D1D80E2400000000010D00000D702909B30966478A168622D1D80E240002653368390000</t>
  </si>
  <si>
    <t>andy prep</t>
  </si>
  <si>
    <t>00000000A6C727E4353C314FBD93409EF639422707000D702909B30966478A168622D1D80E2400000000010D00000D702909B30966478A168622D1D80E240002653368380000</t>
  </si>
  <si>
    <t>00000000A6C727E4353C314FBD93409EF639422707000D702909B30966478A168622D1D80E2400000000010D00000D702909B30966478A168622D1D80E240002653368370000</t>
  </si>
  <si>
    <t>00000000A6C727E4353C314FBD93409EF639422707000D702909B30966478A168622D1D80E2400000000010D00000D702909B30966478A168622D1D80E2400026533683B0000</t>
  </si>
  <si>
    <t>opco</t>
  </si>
  <si>
    <t>00000000A6C727E4353C314FBD93409EF639422707000D702909B30966478A168622D1D80E2400000000010D00000D702909B30966478A168622D1D80E240002653368350000</t>
  </si>
  <si>
    <t>00000000A6C727E4353C314FBD93409EF639422707000D702909B30966478A168622D1D80E2400000000010D00000D702909B30966478A168622D1D80E240002653368340000</t>
  </si>
  <si>
    <t>Go to Market Analyst 1 on 1 - Ref# 15342347 (Free Trial)</t>
  </si>
  <si>
    <t>Webex</t>
  </si>
  <si>
    <t>00000000A6C727E4353C314FBD93409EF639422707000D702909B30966478A168622D1D80E2400000000010D00000D702909B30966478A168622D1D80E240002653368360000</t>
  </si>
  <si>
    <t>Velox &lt;&gt; Summit Partners</t>
  </si>
  <si>
    <t>https://summitpartners.zoom.us/j/99149881006?pwd=ajYwWUo1aGJDRVA0ZlQ2VnRmNHZQZz09&amp;from=addon</t>
  </si>
  <si>
    <t>O'Hagan, Olivia B.,Jon Butler</t>
  </si>
  <si>
    <t>O'Hagan, Olivia B.</t>
  </si>
  <si>
    <t>00000000A6C727E4353C314FBD93409EF639422707000D702909B30966478A168622D1D80E2400000000010D00000D702909B30966478A168622D1D80E240002653368330000</t>
  </si>
  <si>
    <t>opco deck</t>
  </si>
  <si>
    <t>00000000A6C727E4353C314FBD93409EF639422707000D702909B30966478A168622D1D80E2400000000010D00000D702909B30966478A168622D1D80E240002653368320000</t>
  </si>
  <si>
    <t>FW: HOLD for PureStream/Velox</t>
  </si>
  <si>
    <t>webex</t>
  </si>
  <si>
    <t>Arteaga, Marvin,Jon Butler</t>
  </si>
  <si>
    <t>Arteaga, Marvin</t>
  </si>
  <si>
    <t>00000000A6C727E4353C314FBD93409EF639422707000D702909B30966478A168622D1D80E2400000000010D00000D702909B30966478A168622D1D80E2400029ED154ED0000</t>
  </si>
  <si>
    <t>00000000A6C727E4353C314FBD93409EF639422707000D702909B30966478A168622D1D80E2400000000010D00000D702909B30966478A168622D1D80E240002653368310000</t>
  </si>
  <si>
    <t>00000000A6C727E4353C314FBD93409EF639422707000D702909B30966478A168622D1D80E2400000000010D00000D702909B30966478A168622D1D80E240002653368300000</t>
  </si>
  <si>
    <t>javascript</t>
  </si>
  <si>
    <t>00000000A6C727E4353C314FBD93409EF639422707000D702909B30966478A168622D1D80E2400000000010D00000D702909B30966478A168622D1D80E2400026533682C0000</t>
  </si>
  <si>
    <t xml:space="preserve">Neto &amp; Jon 1 on 1 </t>
  </si>
  <si>
    <t>00000000A6C727E4353C314FBD93409EF639422707000D702909B30966478A168622D1D80E2400000000010D00000D702909B30966478A168622D1D80E2400026533682D0000</t>
  </si>
  <si>
    <t>00000000A6C727E4353C314FBD93409EF639422707000D702909B30966478A168622D1D80E2400000000010D00000D702909B30966478A168622D1D80E2400026533682B0000</t>
  </si>
  <si>
    <t>excel / content</t>
  </si>
  <si>
    <t>00000000A6C727E4353C314FBD93409EF639422707000D702909B30966478A168622D1D80E2400000000010D00000D702909B30966478A168622D1D80E2400026533682A0000</t>
  </si>
  <si>
    <t>purestream</t>
  </si>
  <si>
    <t>00000000A6C727E4353C314FBD93409EF639422707000D702909B30966478A168622D1D80E2400000000010D00000D702909B30966478A168622D1D80E240002653368290000</t>
  </si>
  <si>
    <t>00000000A6C727E4353C314FBD93409EF639422707000D702909B30966478A168622D1D80E2400000000010D00000D702909B30966478A168622D1D80E240002653368280000</t>
  </si>
  <si>
    <t>00000000A6C727E4353C314FBD93409EF639422707000D702909B30966478A168622D1D80E2400000000010D00000D702909B30966478A168622D1D80E240002653368270000</t>
  </si>
  <si>
    <t>00000000A6C727E4353C314FBD93409EF639422707000D702909B30966478A168622D1D80E2400000000010D00000D702909B30966478A168622D1D80E240002653368260000</t>
  </si>
  <si>
    <t xml:space="preserve">Bloomberg/Velox call </t>
  </si>
  <si>
    <t>https://veloxfintech.zoom.us/j/81539412777?pwd=RTVMTWp4Y2RKUU5ObDVSdzc3T205dz09&amp;from=addon</t>
  </si>
  <si>
    <t>Ali Moosavi,Rehan Masood,Jon Butler,Christopher Santucci (BLOOMBERG/ 731 LEX)</t>
  </si>
  <si>
    <t>00000000A6C727E4353C314FBD93409EF639422707000D702909B30966478A168622D1D80E2400000000010D00000D702909B30966478A168622D1D80E2400026533682F0000</t>
  </si>
  <si>
    <t>00000000A6C727E4353C314FBD93409EF639422707000D702909B30966478A168622D1D80E2400000000010D00000D702909B30966478A168622D1D80E240002653368250000</t>
  </si>
  <si>
    <t>00000000A6C727E4353C314FBD93409EF639422707000D702909B30966478A168622D1D80E2400000000010D00000D702909B30966478A168622D1D80E240002653368240000</t>
  </si>
  <si>
    <t>00000000A6C727E4353C314FBD93409EF639422707000D702909B30966478A168622D1D80E2400000000010D00000D702909B30966478A168622D1D80E240002653368230000</t>
  </si>
  <si>
    <t>Velox Discussion : Purestream / MLP</t>
  </si>
  <si>
    <t>WebEX details added below</t>
  </si>
  <si>
    <t>Jon Butler,Yogesh Wagle,Arteaga, Marvin,Neill, Rolf,Raghavan, Sridev</t>
  </si>
  <si>
    <t>00000000A6C727E4353C314FBD93409EF639422707000D702909B30966478A168622D1D80E2400000000010D00000D702909B30966478A168622D1D80E240002653368220000</t>
  </si>
  <si>
    <t>00000000A6C727E4353C314FBD93409EF639422707000D702909B30966478A168622D1D80E2400000000010D00000D702909B30966478A168622D1D80E240002653368210000</t>
  </si>
  <si>
    <t>Repo review</t>
  </si>
  <si>
    <t>00000000A6C727E4353C314FBD93409EF639422707000D702909B30966478A168622D1D80E2400000000010D00000D702909B30966478A168622D1D80E240002653368200000</t>
  </si>
  <si>
    <t>Jon Butler,Christian Schueler,Alison Hood</t>
  </si>
  <si>
    <t>00000000A6C727E4353C314FBD93409EF639422707000D702909B30966478A168622D1D80E2400000000010D00000D702909B30966478A168622D1D80E2400026533681F0000</t>
  </si>
  <si>
    <t>00000000A6C727E4353C314FBD93409EF639422707000D702909B30966478A168622D1D80E2400000000010D00000D702909B30966478A168622D1D80E2400026533681E0000</t>
  </si>
  <si>
    <t>00000000A6C727E4353C314FBD93409EF639422707000D702909B30966478A168622D1D80E2400000000010D00000D702909B30966478A168622D1D80E2400026533681D0000</t>
  </si>
  <si>
    <t>00000000A6C727E4353C314FBD93409EF639422707000D702909B30966478A168622D1D80E2400000000010D00000D702909B30966478A168622D1D80E2400026533681C0000</t>
  </si>
  <si>
    <t>00000000A6C727E4353C314FBD93409EF639422707000D702909B30966478A168622D1D80E2400000000010D00000D702909B30966478A168622D1D80E2400026533681B0000</t>
  </si>
  <si>
    <t>Garnet</t>
  </si>
  <si>
    <t>00000000A6C727E4353C314FBD93409EF639422707000D702909B30966478A168622D1D80E2400000000010D00000D702909B30966478A168622D1D80E2400026533681A0000</t>
  </si>
  <si>
    <t>00000000A6C727E4353C314FBD93409EF639422707000D702909B30966478A168622D1D80E2400000000010D00000D702909B30966478A168622D1D80E240002653368190000</t>
  </si>
  <si>
    <t>Velox - Update/Overview and Demo (Integration capabilities)</t>
  </si>
  <si>
    <t>simonellis@bmlltech.com,masamijohnstone@bmlltech.com,williamlheveder@bmlltech.com,Elliot Banks,Jon Butler,David Robinson,neilmackenzie@bmlltech.com,Alison Hood</t>
  </si>
  <si>
    <t>00000000A6C727E4353C314FBD93409EF639422707000D702909B30966478A168622D1D80E2400000000010D00000D702909B30966478A168622D1D80E2400029ED154E80000</t>
  </si>
  <si>
    <t>jon/yogesh</t>
  </si>
  <si>
    <t>00000000A6C727E4353C314FBD93409EF639422707000D702909B30966478A168622D1D80E2400000000010D00000D702909B30966478A168622D1D80E240002653368180000</t>
  </si>
  <si>
    <t>00000000A6C727E4353C314FBD93409EF639422707000D702909B30966478A168622D1D80E2400000000010D00000D702909B30966478A168622D1D80E240002653368160000</t>
  </si>
  <si>
    <t>00000000A6C727E4353C314FBD93409EF639422707000D702909B30966478A168622D1D80E2400000000010D00000D702909B30966478A168622D1D80E240002653368150000</t>
  </si>
  <si>
    <t>CACIB eFX RFP Debrief - Velox</t>
  </si>
  <si>
    <t>SATCHEL, Thomas (CA-CIB),RAVEN, Erwan (CA-CIB),MCCALL, Ian (CA-CIB),Alison Hood,Jon Butler,ABDUL, Rashad (CA-CIB)</t>
  </si>
  <si>
    <t>00000000A6C727E4353C314FBD93409EF639422707000D702909B30966478A168622D1D80E2400000000010D00000D702909B30966478A168622D1D80E240002653368140000</t>
  </si>
  <si>
    <t>video / lloyds</t>
  </si>
  <si>
    <t>00000000A6C727E4353C314FBD93409EF639422707000D702909B30966478A168622D1D80E2400000000010D00000D702909B30966478A168622D1D80E240002653368130000</t>
  </si>
  <si>
    <t>Credit Agricole - Velox - FX RFP process update</t>
  </si>
  <si>
    <t>SATCHEL, Thomas (CA-CIB),Alison Hood,Jon Butler</t>
  </si>
  <si>
    <t>00000000A6C727E4353C314FBD93409EF639422707000D702909B30966478A168622D1D80E2400000000010D00000D702909B30966478A168622D1D80E240002653368170000</t>
  </si>
  <si>
    <t>blackrock</t>
  </si>
  <si>
    <t>00000000A6C727E4353C314FBD93409EF639422707000D702909B30966478A168622D1D80E2400000000010D00000D702909B30966478A168622D1D80E240002653368110000</t>
  </si>
  <si>
    <t>00000000A6C727E4353C314FBD93409EF639422707000D702909B30966478A168622D1D80E2400000000010D00000D702909B30966478A168622D1D80E240002653368100000</t>
  </si>
  <si>
    <t>blackrock prep</t>
  </si>
  <si>
    <t>00000000A6C727E4353C314FBD93409EF639422707000D702909B30966478A168622D1D80E2400000000010D00000D702909B30966478A168622D1D80E2400026533680E0000</t>
  </si>
  <si>
    <t>00000000A6C727E4353C314FBD93409EF639422707000D702909B30966478A168622D1D80E2400000000010D00000D702909B30966478A168622D1D80E2400026533680D0000</t>
  </si>
  <si>
    <t>CalcGuard Catch-up</t>
  </si>
  <si>
    <t>Timothy Sargent,Ali Moosavi,Jon Butler,Alex Sargent,Ali Moosavi</t>
  </si>
  <si>
    <t>Timothy Sargent</t>
  </si>
  <si>
    <t>00000000A6C727E4353C314FBD93409EF639422707000D702909B30966478A168622D1D80E2400000000010D00000D702909B30966478A168622D1D80E2400026533680F0000</t>
  </si>
  <si>
    <t>00000000A6C727E4353C314FBD93409EF639422707000D702909B30966478A168622D1D80E2400000000010D00000D702909B30966478A168622D1D80E240002534C936E0000</t>
  </si>
  <si>
    <t>00000000A6C727E4353C314FBD93409EF639422707000D702909B30966478A168622D1D80E2400000000010D00000D702909B30966478A168622D1D80E2400026533683F0000</t>
  </si>
  <si>
    <t>00000000A6C727E4353C314FBD93409EF639422707000D702909B30966478A168622D1D80E2400000000010D00000D702909B30966478A168622D1D80E2400026533683E0000</t>
  </si>
  <si>
    <t>00000000A6C727E4353C314FBD93409EF639422707000D702909B30966478A168622D1D80E2400000000010D00000D702909B30966478A168622D1D80E2400026533683D0000</t>
  </si>
  <si>
    <t xml:space="preserve">SSGM/Velox call </t>
  </si>
  <si>
    <t>https://veloxfintech.zoom.us/j/82935987280?pwd=cE1rQWdvT1lIVDhLZGZKNU4wMms3Zz09&amp;from=addon</t>
  </si>
  <si>
    <t>Ali Moosavi,Scannell, Jeffrey,Rodiger, William K,Jon Butler</t>
  </si>
  <si>
    <t>00000000A6C727E4353C314FBD93409EF639422707000D702909B30966478A168622D1D80E2400000000010D00000D702909B30966478A168622D1D80E2400026533683C0000</t>
  </si>
  <si>
    <t>00000000A6C727E4353C314FBD93409EF639422707000D702909B30966478A168622D1D80E2400000000010D00000D702909B30966478A168622D1D80E240002653368470000</t>
  </si>
  <si>
    <t>sales strategu</t>
  </si>
  <si>
    <t>00000000A6C727E4353C314FBD93409EF639422707000D702909B30966478A168622D1D80E2400000000010D00000D702909B30966478A168622D1D80E240002653368460000</t>
  </si>
  <si>
    <t>00000000A6C727E4353C314FBD93409EF639422707000D702909B30966478A168622D1D80E2400000000010D00000D702909B30966478A168622D1D80E240002653368450000</t>
  </si>
  <si>
    <t>sales stratgeu</t>
  </si>
  <si>
    <t>00000000A6C727E4353C314FBD93409EF639422707000D702909B30966478A168622D1D80E2400000000010D00000D702909B30966478A168622D1D80E240002653368440000</t>
  </si>
  <si>
    <t>rishi deck</t>
  </si>
  <si>
    <t>00000000A6C727E4353C314FBD93409EF639422707000D702909B30966478A168622D1D80E2400000000010D00000D702909B30966478A168622D1D80E240002653368430000</t>
  </si>
  <si>
    <t>00000000A6C727E4353C314FBD93409EF639422707000D702909B30966478A168622D1D80E2400000000010D00000D702909B30966478A168622D1D80E240002653368420000</t>
  </si>
  <si>
    <t>00000000A6C727E4353C314FBD93409EF639422707000D702909B30966478A168622D1D80E2400000000010D00000D702909B30966478A168622D1D80E240002653368410000</t>
  </si>
  <si>
    <t>valantic dev productivity</t>
  </si>
  <si>
    <t>00000000A6C727E4353C314FBD93409EF639422707000D702909B30966478A168622D1D80E2400000000010D00000D702909B30966478A168622D1D80E240002653368400000</t>
  </si>
  <si>
    <t>00000000A6C727E4353C314FBD93409EF639422707000D702909B30966478A168622D1D80E2400000000010D00000D702909B30966478A168622D1D80E2400026533685E0000</t>
  </si>
  <si>
    <t>neto / pipeline review</t>
  </si>
  <si>
    <t>00000000A6C727E4353C314FBD93409EF639422707000D702909B30966478A168622D1D80E2400000000010D00000D702909B30966478A168622D1D80E2400026533685D0000</t>
  </si>
  <si>
    <t>pipeline review</t>
  </si>
  <si>
    <t>00000000A6C727E4353C314FBD93409EF639422707000D702909B30966478A168622D1D80E2400000000010D00000D702909B30966478A168622D1D80E2400026533685C0000</t>
  </si>
  <si>
    <t>alison / lloyds</t>
  </si>
  <si>
    <t>00000000A6C727E4353C314FBD93409EF639422707000D702909B30966478A168622D1D80E2400000000010D00000D702909B30966478A168622D1D80E2400026533685B0000</t>
  </si>
  <si>
    <t>00000000A6C727E4353C314FBD93409EF639422707000D702909B30966478A168622D1D80E2400000000010D00000D702909B30966478A168622D1D80E2400026533685A0000</t>
  </si>
  <si>
    <t>00000000A6C727E4353C314FBD93409EF639422707000D702909B30966478A168622D1D80E2400000000010D00000D702909B30966478A168622D1D80E240002653368590000</t>
  </si>
  <si>
    <t>00000000A6C727E4353C314FBD93409EF639422707000D702909B30966478A168622D1D80E2400000000010D00000D702909B30966478A168622D1D80E240002653368580000</t>
  </si>
  <si>
    <t>salkes report / video content</t>
  </si>
  <si>
    <t>00000000A6C727E4353C314FBD93409EF639422707000D702909B30966478A168622D1D80E2400000000010D00000D702909B30966478A168622D1D80E240002653368570000</t>
  </si>
  <si>
    <t>00000000A6C727E4353C314FBD93409EF639422707000D702909B30966478A168622D1D80E2400000000010D00000D702909B30966478A168622D1D80E240002653368560000</t>
  </si>
  <si>
    <t>00000000A6C727E4353C314FBD93409EF639422707000D702909B30966478A168622D1D80E2400000000010D00000D702909B30966478A168622D1D80E240002653368550000</t>
  </si>
  <si>
    <t>00000000A6C727E4353C314FBD93409EF639422707000D702909B30966478A168622D1D80E2400000000010D00000D702909B30966478A168622D1D80E240002653368540000</t>
  </si>
  <si>
    <t>00000000A6C727E4353C314FBD93409EF639422707000D702909B30966478A168622D1D80E2400000000010D00000D702909B30966478A168622D1D80E240002653368530000</t>
  </si>
  <si>
    <t>LBG questions about answers</t>
  </si>
  <si>
    <t>00000000A6C727E4353C314FBD93409EF639422707000D702909B30966478A168622D1D80E2400000000010D00000D702909B30966478A168622D1D80E240002653368520000</t>
  </si>
  <si>
    <t>00000000A6C727E4353C314FBD93409EF639422707000D702909B30966478A168622D1D80E2400000000010D00000D702909B30966478A168622D1D80E240002653368510000</t>
  </si>
  <si>
    <t xml:space="preserve">rishi </t>
  </si>
  <si>
    <t>00000000A6C727E4353C314FBD93409EF639422707000D702909B30966478A168622D1D80E2400000000010D00000D702909B30966478A168622D1D80E240002653368500000</t>
  </si>
  <si>
    <t>repo</t>
  </si>
  <si>
    <t>00000000A6C727E4353C314FBD93409EF639422707000D702909B30966478A168622D1D80E2400000000010D00000D702909B30966478A168622D1D80E2400026533684F0000</t>
  </si>
  <si>
    <t>00000000A6C727E4353C314FBD93409EF639422707000D702909B30966478A168622D1D80E2400000000010D00000D702909B30966478A168622D1D80E2400026533684E0000</t>
  </si>
  <si>
    <t>00000000A6C727E4353C314FBD93409EF639422707000D702909B30966478A168622D1D80E2400000000010D00000D702909B30966478A168622D1D80E2400026533684D0000</t>
  </si>
  <si>
    <t>ii/Velox Sync Call - confirmed</t>
  </si>
  <si>
    <t>Stuart Bilton,Leah Parker,Myles Garbett,David Melia,John Dobson,Adam Smith,Alison Hood,Jon Butler</t>
  </si>
  <si>
    <t>Stuart Bilton</t>
  </si>
  <si>
    <t>00000000A6C727E4353C314FBD93409EF639422707000D702909B30966478A168622D1D80E2400000000010D00000D702909B30966478A168622D1D80E240002A25BBF550000</t>
  </si>
  <si>
    <t>Jon Butler,Peter Holmgren,Andy Browning,Andreas Schebesch</t>
  </si>
  <si>
    <t>00000000A6C727E4353C314FBD93409EF639422707000D702909B30966478A168622D1D80E2400000000010D00000D702909B30966478A168622D1D80E2400026533684C0000</t>
  </si>
  <si>
    <t>deck / lloyds</t>
  </si>
  <si>
    <t>00000000A6C727E4353C314FBD93409EF639422707000D702909B30966478A168622D1D80E2400000000010D00000D702909B30966478A168622D1D80E2400026533684B0000</t>
  </si>
  <si>
    <t>capsule / content</t>
  </si>
  <si>
    <t>00000000A6C727E4353C314FBD93409EF639422707000D702909B30966478A168622D1D80E2400000000010D00000D702909B30966478A168622D1D80E2400026533684A0000</t>
  </si>
  <si>
    <t>00000000A6C727E4353C314FBD93409EF639422707000D702909B30966478A168622D1D80E2400000000010D00000D702909B30966478A168622D1D80E240002653368490000</t>
  </si>
  <si>
    <t>sales strate</t>
  </si>
  <si>
    <t>00000000A6C727E4353C314FBD93409EF639422707000D702909B30966478A168622D1D80E2400000000010D00000D702909B30966478A168622D1D80E240002653368480000</t>
  </si>
  <si>
    <t>00000000A6C727E4353C314FBD93409EF639422707000D702909B30966478A168622D1D80E2400000000010D00000D702909B30966478A168622D1D80E240002653368A60000</t>
  </si>
  <si>
    <t>doco</t>
  </si>
  <si>
    <t>00000000A6C727E4353C314FBD93409EF639422707000D702909B30966478A168622D1D80E2400000000010D00000D702909B30966478A168622D1D80E240002653368A50000</t>
  </si>
  <si>
    <t>website conmtent</t>
  </si>
  <si>
    <t>00000000A6C727E4353C314FBD93409EF639422707000D702909B30966478A168622D1D80E2400000000010D00000D702909B30966478A168622D1D80E240002653368A40000</t>
  </si>
  <si>
    <t>00000000A6C727E4353C314FBD93409EF639422707000D702909B30966478A168622D1D80E2400000000010D00000D702909B30966478A168622D1D80E240002653368A30000</t>
  </si>
  <si>
    <t>00000000A6C727E4353C314FBD93409EF639422707000D702909B30966478A168622D1D80E2400000000010D00000D702909B30966478A168622D1D80E240002653368A20000</t>
  </si>
  <si>
    <t>00000000A6C727E4353C314FBD93409EF639422707000D702909B30966478A168622D1D80E2400000000010D00000D702909B30966478A168622D1D80E240002653368A10000</t>
  </si>
  <si>
    <t>sales pipeline reviuew</t>
  </si>
  <si>
    <t>00000000A6C727E4353C314FBD93409EF639422707000D702909B30966478A168622D1D80E2400000000010D00000D702909B30966478A168622D1D80E240002653368A00000</t>
  </si>
  <si>
    <t>00000000A6C727E4353C314FBD93409EF639422707000D702909B30966478A168622D1D80E2400000000010D00000D702909B30966478A168622D1D80E2400026533689F0000</t>
  </si>
  <si>
    <t>00000000A6C727E4353C314FBD93409EF639422707000D702909B30966478A168622D1D80E2400000000010D00000D702909B30966478A168622D1D80E2400026533689E0000</t>
  </si>
  <si>
    <t>Jon/Mo - Weekly</t>
  </si>
  <si>
    <t>Jon Butler,mohamed.arkate@gmail.com</t>
  </si>
  <si>
    <t>00000000A6C727E4353C314FBD93409EF639422707000D702909B30966478A168622D1D80E2400000000010D00000D702909B30966478A168622D1D80E2400026533689D0000</t>
  </si>
  <si>
    <t>00000000A6C727E4353C314FBD93409EF639422707000D702909B30966478A168622D1D80E2400000000010D00000D702909B30966478A168622D1D80E2400026533689C0000</t>
  </si>
  <si>
    <t>00000000A6C727E4353C314FBD93409EF639422707000D702909B30966478A168622D1D80E2400000000010D00000D702909B30966478A168622D1D80E2400026533689B0000</t>
  </si>
  <si>
    <t>00000000A6C727E4353C314FBD93409EF639422707000D702909B30966478A168622D1D80E2400000000010D00000D702909B30966478A168622D1D80E2400026533689A0000</t>
  </si>
  <si>
    <t>rishi deckj</t>
  </si>
  <si>
    <t>00000000A6C727E4353C314FBD93409EF639422707000D702909B30966478A168622D1D80E2400000000010D00000D702909B30966478A168622D1D80E240002653368990000</t>
  </si>
  <si>
    <t>cojntent</t>
  </si>
  <si>
    <t>00000000A6C727E4353C314FBD93409EF639422707000D702909B30966478A168622D1D80E2400000000010D00000D702909B30966478A168622D1D80E240002653368980000</t>
  </si>
  <si>
    <t>00000000A6C727E4353C314FBD93409EF639422707000D702909B30966478A168622D1D80E2400000000010D00000D702909B30966478A168622D1D80E240002653368970000</t>
  </si>
  <si>
    <t>00000000A6C727E4353C314FBD93409EF639422707000D702909B30966478A168622D1D80E2400000000010D00000D702909B30966478A168622D1D80E240002653368960000</t>
  </si>
  <si>
    <t>00000000A6C727E4353C314FBD93409EF639422707000D702909B30966478A168622D1D80E2400000000010D00000D702909B30966478A168622D1D80E240002653368950000</t>
  </si>
  <si>
    <t>2023 Preparatory Meeting</t>
  </si>
  <si>
    <t>00000000A6C727E4353C314FBD93409EF639422707000D702909B30966478A168622D1D80E2400000000010D00000D702909B30966478A168622D1D80E240002A6C313020000</t>
  </si>
  <si>
    <t>00000000A6C727E4353C314FBD93409EF639422707000D702909B30966478A168622D1D80E2400000000010D00000D702909B30966478A168622D1D80E240002653368940000</t>
  </si>
  <si>
    <t>00000000A6C727E4353C314FBD93409EF639422707000D702909B30966478A168622D1D80E2400000000010D00000D702909B30966478A168622D1D80E240002653368930000</t>
  </si>
  <si>
    <t>00000000A6C727E4353C314FBD93409EF639422707000D702909B30966478A168622D1D80E2400000000010D00000D702909B30966478A168622D1D80E240002653368920000</t>
  </si>
  <si>
    <t>rishi disagrans</t>
  </si>
  <si>
    <t>00000000A6C727E4353C314FBD93409EF639422707000D702909B30966478A168622D1D80E2400000000010D00000D702909B30966478A168622D1D80E240002653368910000</t>
  </si>
  <si>
    <t>00000000A6C727E4353C314FBD93409EF639422707000D702909B30966478A168622D1D80E2400000000010D00000D702909B30966478A168622D1D80E240002653368900000</t>
  </si>
  <si>
    <t>rishi</t>
  </si>
  <si>
    <t>00000000A6C727E4353C314FBD93409EF639422707000D702909B30966478A168622D1D80E2400000000010D00000D702909B30966478A168622D1D80E2400026533688F0000</t>
  </si>
  <si>
    <t>00000000A6C727E4353C314FBD93409EF639422707000D702909B30966478A168622D1D80E2400000000010D00000D702909B30966478A168622D1D80E2400026533688E0000</t>
  </si>
  <si>
    <t>00000000A6C727E4353C314FBD93409EF639422707000D702909B30966478A168622D1D80E2400000000010D00000D702909B30966478A168622D1D80E2400026533688D0000</t>
  </si>
  <si>
    <t>00000000A6C727E4353C314FBD93409EF639422707000D702909B30966478A168622D1D80E2400000000010D00000D702909B30966478A168622D1D80E2400026533688C0000</t>
  </si>
  <si>
    <t>00000000A6C727E4353C314FBD93409EF639422707000D702909B30966478A168622D1D80E2400000000010D00000D702909B30966478A168622D1D80E2400026533688B0000</t>
  </si>
  <si>
    <t>00000000A6C727E4353C314FBD93409EF639422707000D702909B30966478A168622D1D80E2400000000010D00000D702909B30966478A168622D1D80E2400026533688A0000</t>
  </si>
  <si>
    <t>00000000A6C727E4353C314FBD93409EF639422707000D702909B30966478A168622D1D80E2400000000010D00000D702909B30966478A168622D1D80E240002653368890000</t>
  </si>
  <si>
    <t>00000000A6C727E4353C314FBD93409EF639422707000D702909B30966478A168622D1D80E2400000000010D00000D702909B30966478A168622D1D80E240002653368880000</t>
  </si>
  <si>
    <t>00000000A6C727E4353C314FBD93409EF639422707000D702909B30966478A168622D1D80E2400000000010D00000D702909B30966478A168622D1D80E240002653368870000</t>
  </si>
  <si>
    <t>00000000A6C727E4353C314FBD93409EF639422707000D702909B30966478A168622D1D80E2400000000010D00000D702909B30966478A168622D1D80E240002653368860000</t>
  </si>
  <si>
    <t>00000000A6C727E4353C314FBD93409EF639422707000D702909B30966478A168622D1D80E2400000000010D00000D702909B30966478A168622D1D80E240002653368850000</t>
  </si>
  <si>
    <t>00000000A6C727E4353C314FBD93409EF639422707000D702909B30966478A168622D1D80E2400000000010D00000D702909B30966478A168622D1D80E240002653368840000</t>
  </si>
  <si>
    <t>00000000A6C727E4353C314FBD93409EF639422707000D702909B30966478A168622D1D80E2400000000010D00000D702909B30966478A168622D1D80E240002653368830000</t>
  </si>
  <si>
    <t>00000000A6C727E4353C314FBD93409EF639422707000D702909B30966478A168622D1D80E2400000000010D00000D702909B30966478A168622D1D80E240002653368820000</t>
  </si>
  <si>
    <t>00000000A6C727E4353C314FBD93409EF639422707000D702909B30966478A168622D1D80E2400000000010D00000D702909B30966478A168622D1D80E240002653368810000</t>
  </si>
  <si>
    <t>00000000A6C727E4353C314FBD93409EF639422707000D702909B30966478A168622D1D80E2400000000010D00000D702909B30966478A168622D1D80E240002653368800000</t>
  </si>
  <si>
    <t>rishi / valantic slides</t>
  </si>
  <si>
    <t>00000000A6C727E4353C314FBD93409EF639422707000D702909B30966478A168622D1D80E2400000000010D00000D702909B30966478A168622D1D80E2400026533687E0000</t>
  </si>
  <si>
    <t>00000000A6C727E4353C314FBD93409EF639422707000D702909B30966478A168622D1D80E2400000000010D00000D702909B30966478A168622D1D80E2400026533687D0000</t>
  </si>
  <si>
    <t>deck</t>
  </si>
  <si>
    <t>00000000A6C727E4353C314FBD93409EF639422707000D702909B30966478A168622D1D80E2400000000010D00000D702909B30966478A168622D1D80E2400026533687C0000</t>
  </si>
  <si>
    <t>00000000A6C727E4353C314FBD93409EF639422707000D702909B30966478A168622D1D80E2400000000010D00000D702909B30966478A168622D1D80E2400026533687B0000</t>
  </si>
  <si>
    <t>00000000A6C727E4353C314FBD93409EF639422707000D702909B30966478A168622D1D80E2400000000010D00000D702909B30966478A168622D1D80E2400026533687A0000</t>
  </si>
  <si>
    <t>00000000A6C727E4353C314FBD93409EF639422707000D702909B30966478A168622D1D80E2400000000010D00000D702909B30966478A168622D1D80E240002653368790000</t>
  </si>
  <si>
    <t>00000000A6C727E4353C314FBD93409EF639422707000D702909B30966478A168622D1D80E2400000000010D00000D702909B30966478A168622D1D80E240002653368780000</t>
  </si>
  <si>
    <t>get php vis stud running</t>
  </si>
  <si>
    <t>00000000A6C727E4353C314FBD93409EF639422707000D702909B30966478A168622D1D80E2400000000010D00000D702909B30966478A168622D1D80E240002653368770000</t>
  </si>
  <si>
    <t>00000000A6C727E4353C314FBD93409EF639422707000D702909B30966478A168622D1D80E2400000000010D00000D702909B30966478A168622D1D80E240002653368760000</t>
  </si>
  <si>
    <t>00000000A6C727E4353C314FBD93409EF639422707000D702909B30966478A168622D1D80E2400000000010D00000D702909B30966478A168622D1D80E240002653368750000</t>
  </si>
  <si>
    <t>00000000A6C727E4353C314FBD93409EF639422707000D702909B30966478A168622D1D80E2400000000010D00000D702909B30966478A168622D1D80E240002653368740000</t>
  </si>
  <si>
    <t>00000000A6C727E4353C314FBD93409EF639422707000D702909B30966478A168622D1D80E2400000000010D00000D702909B30966478A168622D1D80E240002653368730000</t>
  </si>
  <si>
    <t>00000000A6C727E4353C314FBD93409EF639422707000D702909B30966478A168622D1D80E2400000000010D00000D702909B30966478A168622D1D80E240002653368720000</t>
  </si>
  <si>
    <t>00000000A6C727E4353C314FBD93409EF639422707000D702909B30966478A168622D1D80E2400000000010D00000D702909B30966478A168622D1D80E240002653368700000</t>
  </si>
  <si>
    <t>Velox/Glue42 Catchup</t>
  </si>
  <si>
    <t>Jon Butler,Reena Raichura,Viktoriya Shopova,Ali Moosavi</t>
  </si>
  <si>
    <t>00000000A6C727E4353C314FBD93409EF639422707000D702909B30966478A168622D1D80E2400000000010D00000D702909B30966478A168622D1D80E2400026533686F0000</t>
  </si>
  <si>
    <t>00000000A6C727E4353C314FBD93409EF639422707000D702909B30966478A168622D1D80E2400000000010D00000D702909B30966478A168622D1D80E2400026533686E0000</t>
  </si>
  <si>
    <t>00000000A6C727E4353C314FBD93409EF639422707000D702909B30966478A168622D1D80E2400000000010D00000D702909B30966478A168622D1D80E2400026533686D0000</t>
  </si>
  <si>
    <t>00000000A6C727E4353C314FBD93409EF639422707000D702909B30966478A168622D1D80E2400000000010D00000D702909B30966478A168622D1D80E2400026533686C0000</t>
  </si>
  <si>
    <t>00000000A6C727E4353C314FBD93409EF639422707000D702909B30966478A168622D1D80E2400000000010D00000D702909B30966478A168622D1D80E2400026533686B0000</t>
  </si>
  <si>
    <t>00000000A6C727E4353C314FBD93409EF639422707000D702909B30966478A168622D1D80E2400000000010D00000D702909B30966478A168622D1D80E2400026533686A0000</t>
  </si>
  <si>
    <t>00000000A6C727E4353C314FBD93409EF639422707000D702909B30966478A168622D1D80E2400000000010D00000D702909B30966478A168622D1D80E240002653368690000</t>
  </si>
  <si>
    <t>00000000A6C727E4353C314FBD93409EF639422707000D702909B30966478A168622D1D80E2400000000010D00000D702909B30966478A168622D1D80E240002653368680000</t>
  </si>
  <si>
    <t>Cosaic / valanticFSA introductions (via Velox)</t>
  </si>
  <si>
    <t>Jon Butler,Andy Browning,Phil Cunn,Jim Bunting,Ali Moosavi</t>
  </si>
  <si>
    <t>00000000A6C727E4353C314FBD93409EF639422707000D702909B30966478A168622D1D80E2400000000010D00000D702909B30966478A168622D1D80E240002653368670000</t>
  </si>
  <si>
    <t>00000000A6C727E4353C314FBD93409EF639422707000D702909B30966478A168622D1D80E2400000000010D00000D702909B30966478A168622D1D80E240002653368660000</t>
  </si>
  <si>
    <t>00000000A6C727E4353C314FBD93409EF639422707000D702909B30966478A168622D1D80E2400000000010D00000D702909B30966478A168622D1D80E240002653368650000</t>
  </si>
  <si>
    <t>00000000A6C727E4353C314FBD93409EF639422707000D702909B30966478A168622D1D80E2400000000010D00000D702909B30966478A168622D1D80E240002653368640000</t>
  </si>
  <si>
    <t>00000000A6C727E4353C314FBD93409EF639422707000D702909B30966478A168622D1D80E2400000000010D00000D702909B30966478A168622D1D80E240002653368630000</t>
  </si>
  <si>
    <t>Cosaic / ULTUMUS (via Velox)</t>
  </si>
  <si>
    <t>Jon Butler,Phil Cunn,Jim Bunting,Bernie Thurston,Giles Sarton,Ali Moosavi,Giles Sarton</t>
  </si>
  <si>
    <t>00000000A6C727E4353C314FBD93409EF639422707000D702909B30966478A168622D1D80E2400000000010D00000D702909B30966478A168622D1D80E240002653368620000</t>
  </si>
  <si>
    <t>00000000A6C727E4353C314FBD93409EF639422707000D702909B30966478A168622D1D80E2400000000010D00000D702909B30966478A168622D1D80E240002653368610000</t>
  </si>
  <si>
    <t>00000000A6C727E4353C314FBD93409EF639422707000D702909B30966478A168622D1D80E2400000000010D00000D702909B30966478A168622D1D80E240002653368600000</t>
  </si>
  <si>
    <t>LLoyds prep</t>
  </si>
  <si>
    <t>00000000A6C727E4353C314FBD93409EF639422707000D702909B30966478A168622D1D80E2400000000010D00000D702909B30966478A168622D1D80E2400026533685F0000</t>
  </si>
  <si>
    <t>00000000A6C727E4353C314FBD93409EF639422707000D702909B30966478A168622D1D80E2400000000010D00000D702909B30966478A168622D1D80E240002653368AC0000</t>
  </si>
  <si>
    <t>cosaic ULT prep</t>
  </si>
  <si>
    <t>00000000A6C727E4353C314FBD93409EF639422707000D702909B30966478A168622D1D80E2400000000010D00000D702909B30966478A168622D1D80E240002653368AB0000</t>
  </si>
  <si>
    <t>00000000A6C727E4353C314FBD93409EF639422707000D702909B30966478A168622D1D80E2400000000010D00000D702909B30966478A168622D1D80E240002653368AA0000</t>
  </si>
  <si>
    <t>00000000A6C727E4353C314FBD93409EF639422707000D702909B30966478A168622D1D80E2400000000010D00000D702909B30966478A168622D1D80E240002653368A90000</t>
  </si>
  <si>
    <t>neto folloowup</t>
  </si>
  <si>
    <t>00000000A6C727E4353C314FBD93409EF639422707000D702909B30966478A168622D1D80E2400000000010D00000D702909B30966478A168622D1D80E240002653368A80000</t>
  </si>
  <si>
    <t>content / doco</t>
  </si>
  <si>
    <t>00000000A6C727E4353C314FBD93409EF639422707000D702909B30966478A168622D1D80E2400000000010D00000D702909B30966478A168622D1D80E240002653368A70000</t>
  </si>
  <si>
    <t>bernie /client write up</t>
  </si>
  <si>
    <t>00000000A6C727E4353C314FBD93409EF639422707000D702909B30966478A168622D1D80E2400000000010D00000D702909B30966478A168622D1D80E240002534C936F0000</t>
  </si>
  <si>
    <t>00000000A6C727E4353C314FBD93409EF639422707000D702909B30966478A168622D1D80E2400000000010D00000D702909B30966478A168622D1D80E240002653368CF0000</t>
  </si>
  <si>
    <t>rishio</t>
  </si>
  <si>
    <t>00000000A6C727E4353C314FBD93409EF639422707000D702909B30966478A168622D1D80E2400000000010D00000D702909B30966478A168622D1D80E240002653368CE0000</t>
  </si>
  <si>
    <t>00000000A6C727E4353C314FBD93409EF639422707000D702909B30966478A168622D1D80E2400000000010D00000D702909B30966478A168622D1D80E240002653368CD0000</t>
  </si>
  <si>
    <t>00000000A6C727E4353C314FBD93409EF639422707000D702909B30966478A168622D1D80E2400000000010D00000D702909B30966478A168622D1D80E240002653368CC0000</t>
  </si>
  <si>
    <t>00000000A6C727E4353C314FBD93409EF639422707000D702909B30966478A168622D1D80E2400000000010D00000D702909B30966478A168622D1D80E240002653368CB0000</t>
  </si>
  <si>
    <t>reishi</t>
  </si>
  <si>
    <t>00000000A6C727E4353C314FBD93409EF639422707000D702909B30966478A168622D1D80E2400000000010D00000D702909B30966478A168622D1D80E240002653368CA0000</t>
  </si>
  <si>
    <t>00000000A6C727E4353C314FBD93409EF639422707000D702909B30966478A168622D1D80E2400000000010D00000D702909B30966478A168622D1D80E240002653368C90000</t>
  </si>
  <si>
    <t>00000000A6C727E4353C314FBD93409EF639422707000D702909B30966478A168622D1D80E2400000000010D00000D702909B30966478A168622D1D80E240002653368C80000</t>
  </si>
  <si>
    <t>00000000A6C727E4353C314FBD93409EF639422707000D702909B30966478A168622D1D80E2400000000010D00000D702909B30966478A168622D1D80E240002653368C70000</t>
  </si>
  <si>
    <t>00000000A6C727E4353C314FBD93409EF639422707000D702909B30966478A168622D1D80E2400000000010D00000D702909B30966478A168622D1D80E240002653368C60000</t>
  </si>
  <si>
    <t>00000000A6C727E4353C314FBD93409EF639422707000D702909B30966478A168622D1D80E2400000000010D00000D702909B30966478A168622D1D80E240002653368C50000</t>
  </si>
  <si>
    <t>00000000A6C727E4353C314FBD93409EF639422707000D702909B30966478A168622D1D80E2400000000010D00000D702909B30966478A168622D1D80E240002653368C40000</t>
  </si>
  <si>
    <t>00000000A6C727E4353C314FBD93409EF639422707000D702909B30966478A168622D1D80E2400000000010D00000D702909B30966478A168622D1D80E240002653368C30000</t>
  </si>
  <si>
    <t>00000000A6C727E4353C314FBD93409EF639422707000D702909B30966478A168622D1D80E2400000000010D00000D702909B30966478A168622D1D80E240002653368C20000</t>
  </si>
  <si>
    <t>00000000A6C727E4353C314FBD93409EF639422707000D702909B30966478A168622D1D80E2400000000010D00000D702909B30966478A168622D1D80E240002653368C10000</t>
  </si>
  <si>
    <t>Mat K Ultumus Intro</t>
  </si>
  <si>
    <t>Mat Knapman,Jon Butler</t>
  </si>
  <si>
    <t>Mat Knapman</t>
  </si>
  <si>
    <t>00000000A6C727E4353C314FBD93409EF639422707000D702909B30966478A168622D1D80E2400000000010D00000D702909B30966478A168622D1D80E240002653368C00000</t>
  </si>
  <si>
    <t>00000000A6C727E4353C314FBD93409EF639422707000D702909B30966478A168622D1D80E2400000000010D00000D702909B30966478A168622D1D80E240002653368BF0000</t>
  </si>
  <si>
    <t>ruishio</t>
  </si>
  <si>
    <t>00000000A6C727E4353C314FBD93409EF639422707000D702909B30966478A168622D1D80E2400000000010D00000D702909B30966478A168622D1D80E240002653368BE0000</t>
  </si>
  <si>
    <t>rishi doc</t>
  </si>
  <si>
    <t>00000000A6C727E4353C314FBD93409EF639422707000D702909B30966478A168622D1D80E2400000000010D00000D702909B30966478A168622D1D80E240002653368BD0000</t>
  </si>
  <si>
    <t>00000000A6C727E4353C314FBD93409EF639422707000D702909B30966478A168622D1D80E2400000000010D00000D702909B30966478A168622D1D80E240002653368BC0000</t>
  </si>
  <si>
    <t>00000000A6C727E4353C314FBD93409EF639422707000D702909B30966478A168622D1D80E2400000000010D00000D702909B30966478A168622D1D80E240002653368BB0000</t>
  </si>
  <si>
    <t>Velox/CG Huddle</t>
  </si>
  <si>
    <t>Alex Sargent,Jon Butler,jim@fintechstandards.net,Jim Northey,Timothy Sargent,Mike Hahn,Jason Yan</t>
  </si>
  <si>
    <t>Alex Sargent</t>
  </si>
  <si>
    <t>00000000A6C727E4353C314FBD93409EF639422707000D702909B30966478A168622D1D80E2400000000010D00000D702909B30966478A168622D1D80E240002653368BA0000</t>
  </si>
  <si>
    <t>rishi docs</t>
  </si>
  <si>
    <t>00000000A6C727E4353C314FBD93409EF639422707000D702909B30966478A168622D1D80E2400000000010D00000D702909B30966478A168622D1D80E240002653368B90000</t>
  </si>
  <si>
    <t>chris / alison</t>
  </si>
  <si>
    <t>00000000A6C727E4353C314FBD93409EF639422707000D702909B30966478A168622D1D80E2400000000010D00000D702909B30966478A168622D1D80E240002653368B60000</t>
  </si>
  <si>
    <t>00000000A6C727E4353C314FBD93409EF639422707000D702909B30966478A168622D1D80E2400000000010D00000D702909B30966478A168622D1D80E240002653368B50000</t>
  </si>
  <si>
    <t>00000000A6C727E4353C314FBD93409EF639422707000D702909B30966478A168622D1D80E2400000000010D00000D702909B30966478A168622D1D80E240002653368B40000</t>
  </si>
  <si>
    <t>00000000A6C727E4353C314FBD93409EF639422707000D702909B30966478A168622D1D80E2400000000010D00000D702909B30966478A168622D1D80E240002653368B30000</t>
  </si>
  <si>
    <t>00000000A6C727E4353C314FBD93409EF639422707000D702909B30966478A168622D1D80E2400000000010D00000D702909B30966478A168622D1D80E240002653368B20000</t>
  </si>
  <si>
    <t>docs / rishi</t>
  </si>
  <si>
    <t>00000000A6C727E4353C314FBD93409EF639422707000D702909B30966478A168622D1D80E2400000000010D00000D702909B30966478A168622D1D80E240002653368B10000</t>
  </si>
  <si>
    <t>00000000A6C727E4353C314FBD93409EF639422707000D702909B30966478A168622D1D80E2400000000010D00000D702909B30966478A168622D1D80E240002653368B00000</t>
  </si>
  <si>
    <t>00000000A6C727E4353C314FBD93409EF639422707000D702909B30966478A168622D1D80E2400000000010D00000D702909B30966478A168622D1D80E240002653368AF0000</t>
  </si>
  <si>
    <t>00000000A6C727E4353C314FBD93409EF639422707000D702909B30966478A168622D1D80E2400000000010D00000D702909B30966478A168622D1D80E240002653368AE0000</t>
  </si>
  <si>
    <t>TabbFORUM Velox call re: content distribution and member engagement</t>
  </si>
  <si>
    <t>https://us02web.zoom.us/j/87336925463?pwd=QUJrdkxjZ3hpRGtsS3FNUXgxTVFSZz09</t>
  </si>
  <si>
    <t>Bruce Morris,Jon Butler,Alison Hood,Christian Schueler</t>
  </si>
  <si>
    <t>Bruce Morris</t>
  </si>
  <si>
    <t>00000000A6C727E4353C314FBD93409EF639422707000D702909B30966478A168622D1D80E2400000000010D00000D702909B30966478A168622D1D80E240002653368AD0000</t>
  </si>
  <si>
    <t>00000000A6C727E4353C314FBD93409EF639422707000D702909B30966478A168622D1D80E2400000000010D00000D702909B30966478A168622D1D80E240002653368D80000</t>
  </si>
  <si>
    <t>00000000A6C727E4353C314FBD93409EF639422707000D702909B30966478A168622D1D80E2400000000010D00000D702909B30966478A168622D1D80E240002653368D60000</t>
  </si>
  <si>
    <t>00000000A6C727E4353C314FBD93409EF639422707000D702909B30966478A168622D1D80E2400000000010D00000D702909B30966478A168622D1D80E240002653368D50000</t>
  </si>
  <si>
    <t>mat</t>
  </si>
  <si>
    <t>00000000A6C727E4353C314FBD93409EF639422707000D702909B30966478A168622D1D80E2400000000010D00000D702909B30966478A168622D1D80E240002653368D40000</t>
  </si>
  <si>
    <t>00000000A6C727E4353C314FBD93409EF639422707000D702909B30966478A168622D1D80E2400000000010D00000D702909B30966478A168622D1D80E240002653368D30000</t>
  </si>
  <si>
    <t>00000000A6C727E4353C314FBD93409EF639422707000D702909B30966478A168622D1D80E2400000000010D00000D702909B30966478A168622D1D80E240002653368D20000</t>
  </si>
  <si>
    <t>00000000A6C727E4353C314FBD93409EF639422707000D702909B30966478A168622D1D80E2400000000010D00000D702909B30966478A168622D1D80E240002653368D10000</t>
  </si>
  <si>
    <t>00000000A6C727E4353C314FBD93409EF639422707000D702909B30966478A168622D1D80E2400000000010D00000D702909B30966478A168622D1D80E240002653368D00000</t>
  </si>
  <si>
    <t>Velox demo - Angelo Gordon</t>
  </si>
  <si>
    <t>https://veloxfintech.zoom.us/j/83419732680?pwd=TFFucUR5dW5lVUtGckEvNXB5RXFWUT09&amp;from=addon</t>
  </si>
  <si>
    <t>Ali Moosavi,Paul Federico,Ilya Pogorelsky,Jon Butler,Mohamed Arkate,Hunter Trautz</t>
  </si>
  <si>
    <t>00000000A6C727E4353C314FBD93409EF639422707000D702909B30966478A168622D1D80E2400000000010D00000D702909B30966478A168622D1D80E240002653368D70000</t>
  </si>
  <si>
    <t>00000000A6C727E4353C314FBD93409EF639422707000D702909B30966478A168622D1D80E2400000000010D00000D702909B30966478A168622D1D80E240002534C93700000</t>
  </si>
  <si>
    <t>Tim/Jon CG/Velox Catchup</t>
  </si>
  <si>
    <t>Jon Butler,Timothy Sargent</t>
  </si>
  <si>
    <t>00000000A6C727E4353C314FBD93409EF639422707000D702909B30966478A168622D1D80E2400000000010D00000D702909B30966478A168622D1D80E240002653368DE0000</t>
  </si>
  <si>
    <t>00000000A6C727E4353C314FBD93409EF639422707000D702909B30966478A168622D1D80E2400000000010D00000D702909B30966478A168622D1D80E240002653368DD0000</t>
  </si>
  <si>
    <t>docs</t>
  </si>
  <si>
    <t>00000000A6C727E4353C314FBD93409EF639422707000D702909B30966478A168622D1D80E2400000000010D00000D702909B30966478A168622D1D80E240002653368DC0000</t>
  </si>
  <si>
    <t>00000000A6C727E4353C314FBD93409EF639422707000D702909B30966478A168622D1D80E2400000000010D00000D702909B30966478A168622D1D80E240002653368DB0000</t>
  </si>
  <si>
    <t>jason/tim</t>
  </si>
  <si>
    <t>00000000A6C727E4353C314FBD93409EF639422707000D702909B30966478A168622D1D80E2400000000010D00000D702909B30966478A168622D1D80E240002653368DA0000</t>
  </si>
  <si>
    <t>00000000A6C727E4353C314FBD93409EF639422707000D702909B30966478A168622D1D80E2400000000010D00000D702909B30966478A168622D1D80E240002653368D90000</t>
  </si>
  <si>
    <t>00000000A6C727E4353C314FBD93409EF639422707000D702909B30966478A168622D1D80E2400000000010D00000D702909B30966478A168622D1D80E240002653368F00000</t>
  </si>
  <si>
    <t>Velox/V57 synch</t>
  </si>
  <si>
    <t>https://us02web.zoom.us/j/84155238130?pwd=RGZwNVQ3bWptWkpoUi9jZFlFdVR2Zz09&amp;from=addon</t>
  </si>
  <si>
    <t>00000000A6C727E4353C314FBD93409EF639422707000D702909B30966478A168622D1D80E2400000000010D00000D702909B30966478A168622D1D80E240002653368EF0000</t>
  </si>
  <si>
    <t>tim prep</t>
  </si>
  <si>
    <t>00000000A6C727E4353C314FBD93409EF639422707000D702909B30966478A168622D1D80E2400000000010D00000D702909B30966478A168622D1D80E240002653368EE0000</t>
  </si>
  <si>
    <t>00000000A6C727E4353C314FBD93409EF639422707000D702909B30966478A168622D1D80E2400000000010D00000D702909B30966478A168622D1D80E240002653368ED0000</t>
  </si>
  <si>
    <t>Jon/Mike Catchup</t>
  </si>
  <si>
    <t>00000000A6C727E4353C314FBD93409EF639422707000D702909B30966478A168622D1D80E2400000000010D00000D702909B30966478A168622D1D80E240002653368EC0000</t>
  </si>
  <si>
    <t>00000000A6C727E4353C314FBD93409EF639422707000D702909B30966478A168622D1D80E2400000000010D00000D702909B30966478A168622D1D80E240002653368EB0000</t>
  </si>
  <si>
    <t>00000000A6C727E4353C314FBD93409EF639422707000D702909B30966478A168622D1D80E2400000000010D00000D702909B30966478A168622D1D80E240002653368EA0000</t>
  </si>
  <si>
    <t>00000000A6C727E4353C314FBD93409EF639422707000D702909B30966478A168622D1D80E2400000000010D00000D702909B30966478A168622D1D80E240002653368E90000</t>
  </si>
  <si>
    <t>00000000A6C727E4353C314FBD93409EF639422707000D702909B30966478A168622D1D80E2400000000010D00000D702909B30966478A168622D1D80E240002653368E80000</t>
  </si>
  <si>
    <t>bike pickup</t>
  </si>
  <si>
    <t>00000000A6C727E4353C314FBD93409EF639422707000D702909B30966478A168622D1D80E2400000000010D00000D702909B30966478A168622D1D80E240002653368E70000</t>
  </si>
  <si>
    <t>00000000A6C727E4353C314FBD93409EF639422707000D702909B30966478A168622D1D80E2400000000010D00000D702909B30966478A168622D1D80E240002653368E60000</t>
  </si>
  <si>
    <t>00000000A6C727E4353C314FBD93409EF639422707000D702909B30966478A168622D1D80E2400000000010D00000D702909B30966478A168622D1D80E240002653368E50000</t>
  </si>
  <si>
    <t>00000000A6C727E4353C314FBD93409EF639422707000D702909B30966478A168622D1D80E2400000000010D00000D702909B30966478A168622D1D80E240002653368E10000</t>
  </si>
  <si>
    <t>Velox / FTV Capital Intro</t>
  </si>
  <si>
    <t>https://ftvcapital.zoom.us/j/83881513067?pwd=dlU2TFFMSTQzemtYNkgwUjR5ZllvQT09</t>
  </si>
  <si>
    <t>Alexa Flamino,Jon Butler,Giovanni Bacarella</t>
  </si>
  <si>
    <t>Alexa Flamino</t>
  </si>
  <si>
    <t>00000000A6C727E4353C314FBD93409EF639422707000D702909B30966478A168622D1D80E2400000000010D00000D702909B30966478A168622D1D80E240002ABA0AF1E0000</t>
  </si>
  <si>
    <t>00000000A6C727E4353C314FBD93409EF639422707000D702909B30966478A168622D1D80E2400000000010D00000D702909B30966478A168622D1D80E240002653368E00000</t>
  </si>
  <si>
    <t>00000000A6C727E4353C314FBD93409EF639422707000D702909B30966478A168622D1D80E2400000000010D00000D702909B30966478A168622D1D80E240002653368DF0000</t>
  </si>
  <si>
    <t>Sales process</t>
  </si>
  <si>
    <t>00000000A6C727E4353C314FBD93409EF639422707000D702909B30966478A168622D1D80E2400000000010D00000D702909B30966478A168622D1D80E240002653368E40000</t>
  </si>
  <si>
    <t>VELOX Infrastrucutre</t>
  </si>
  <si>
    <t>Mat Knapman,Jon Butler,Giles Sarton</t>
  </si>
  <si>
    <t>00000000A6C727E4353C314FBD93409EF639422707000D702909B30966478A168622D1D80E2400000000010D00000D702909B30966478A168622D1D80E240002653368E20000</t>
  </si>
  <si>
    <t>Social media/ marketing</t>
  </si>
  <si>
    <t>00000000A6C727E4353C314FBD93409EF639422707000D702909B30966478A168622D1D80E2400000000010D00000D702909B30966478A168622D1D80E240002653368E30000</t>
  </si>
  <si>
    <t>00000000A6C727E4353C314FBD93409EF639422707000D702909B30966478A168622D1D80E2400000000010D00000D702909B30966478A168622D1D80E240002653369120000</t>
  </si>
  <si>
    <t>00000000A6C727E4353C314FBD93409EF639422707000D702909B30966478A168622D1D80E2400000000010D00000D702909B30966478A168622D1D80E240002653369110000</t>
  </si>
  <si>
    <t>newslteer</t>
  </si>
  <si>
    <t>00000000A6C727E4353C314FBD93409EF639422707000D702909B30966478A168622D1D80E2400000000010D00000D702909B30966478A168622D1D80E240002653369100000</t>
  </si>
  <si>
    <t>00000000A6C727E4353C314FBD93409EF639422707000D702909B30966478A168622D1D80E2400000000010D00000D702909B30966478A168622D1D80E2400026533690F0000</t>
  </si>
  <si>
    <t>00000000A6C727E4353C314FBD93409EF639422707000D702909B30966478A168622D1D80E2400000000010D00000D702909B30966478A168622D1D80E2400026533690E0000</t>
  </si>
  <si>
    <t>newskletter</t>
  </si>
  <si>
    <t>00000000A6C727E4353C314FBD93409EF639422707000D702909B30966478A168622D1D80E2400000000010D00000D702909B30966478A168622D1D80E2400026533690D0000</t>
  </si>
  <si>
    <t>00000000A6C727E4353C314FBD93409EF639422707000D702909B30966478A168622D1D80E2400000000010D00000D702909B30966478A168622D1D80E2400026533690C0000</t>
  </si>
  <si>
    <t>00000000A6C727E4353C314FBD93409EF639422707000D702909B30966478A168622D1D80E2400000000010D00000D702909B30966478A168622D1D80E2400026533690B0000</t>
  </si>
  <si>
    <t>00000000A6C727E4353C314FBD93409EF639422707000D702909B30966478A168622D1D80E2400000000010D00000D702909B30966478A168622D1D80E2400026533690A0000</t>
  </si>
  <si>
    <t>00000000A6C727E4353C314FBD93409EF639422707000D702909B30966478A168622D1D80E2400000000010D00000D702909B30966478A168622D1D80E240002653369090000</t>
  </si>
  <si>
    <t>docs / admin / time tracking</t>
  </si>
  <si>
    <t>00000000A6C727E4353C314FBD93409EF639422707000D702909B30966478A168622D1D80E2400000000010D00000D702909B30966478A168622D1D80E240002653369080000</t>
  </si>
  <si>
    <t>00000000A6C727E4353C314FBD93409EF639422707000D702909B30966478A168622D1D80E2400000000010D00000D702909B30966478A168622D1D80E240002653369060000</t>
  </si>
  <si>
    <t>00000000A6C727E4353C314FBD93409EF639422707000D702909B30966478A168622D1D80E2400000000010D00000D702909B30966478A168622D1D80E240002653369050000</t>
  </si>
  <si>
    <t>00000000A6C727E4353C314FBD93409EF639422707000D702909B30966478A168622D1D80E2400000000010D00000D702909B30966478A168622D1D80E240002653369040000</t>
  </si>
  <si>
    <t>bernie / docs</t>
  </si>
  <si>
    <t>00000000A6C727E4353C314FBD93409EF639422707000D702909B30966478A168622D1D80E2400000000010D00000D702909B30966478A168622D1D80E240002653369030000</t>
  </si>
  <si>
    <t>00000000A6C727E4353C314FBD93409EF639422707000D702909B30966478A168622D1D80E2400000000010D00000D702909B30966478A168622D1D80E240002653369020000</t>
  </si>
  <si>
    <t>00000000A6C727E4353C314FBD93409EF639422707000D702909B30966478A168622D1D80E2400000000010D00000D702909B30966478A168622D1D80E240002653369010000</t>
  </si>
  <si>
    <t>00000000A6C727E4353C314FBD93409EF639422707000D702909B30966478A168622D1D80E2400000000010D00000D702909B30966478A168622D1D80E240002653369000000</t>
  </si>
  <si>
    <t>00000000A6C727E4353C314FBD93409EF639422707000D702909B30966478A168622D1D80E2400000000010D00000D702909B30966478A168622D1D80E240002653368FF0000</t>
  </si>
  <si>
    <t>00000000A6C727E4353C314FBD93409EF639422707000D702909B30966478A168622D1D80E2400000000010D00000D702909B30966478A168622D1D80E240002653368FE0000</t>
  </si>
  <si>
    <t>00000000A6C727E4353C314FBD93409EF639422707000D702909B30966478A168622D1D80E2400000000010D00000D702909B30966478A168622D1D80E240002653368FD0000</t>
  </si>
  <si>
    <t>00000000A6C727E4353C314FBD93409EF639422707000D702909B30966478A168622D1D80E2400000000010D00000D702909B30966478A168622D1D80E240002653368FC0000</t>
  </si>
  <si>
    <t>00000000A6C727E4353C314FBD93409EF639422707000D702909B30966478A168622D1D80E2400000000010D00000D702909B30966478A168622D1D80E240002653368FB0000</t>
  </si>
  <si>
    <t>00000000A6C727E4353C314FBD93409EF639422707000D702909B30966478A168622D1D80E2400000000010D00000D702909B30966478A168622D1D80E240002653368FA0000</t>
  </si>
  <si>
    <t>00000000A6C727E4353C314FBD93409EF639422707000D702909B30966478A168622D1D80E2400000000010D00000D702909B30966478A168622D1D80E240002653368F90000</t>
  </si>
  <si>
    <t>Velox intro : Jon/Sergio</t>
  </si>
  <si>
    <t>Jon Butler,capanna, sergio</t>
  </si>
  <si>
    <t>00000000A6C727E4353C314FBD93409EF639422707000D702909B30966478A168622D1D80E2400000000010D00000D702909B30966478A168622D1D80E240002653368F80000</t>
  </si>
  <si>
    <t>Jon &amp; Neto - Part 2</t>
  </si>
  <si>
    <t>00000000A6C727E4353C314FBD93409EF639422707000D702909B30966478A168622D1D80E2400000000010D00000D702909B30966478A168622D1D80E240002653368F70000</t>
  </si>
  <si>
    <t>00000000A6C727E4353C314FBD93409EF639422707000D702909B30966478A168622D1D80E2400000000010D00000D702909B30966478A168622D1D80E240002653368F60000</t>
  </si>
  <si>
    <t>docs formatting</t>
  </si>
  <si>
    <t>00000000A6C727E4353C314FBD93409EF639422707000D702909B30966478A168622D1D80E2400000000010D00000D702909B30966478A168622D1D80E240002653368F50000</t>
  </si>
  <si>
    <t>effie/leon</t>
  </si>
  <si>
    <t>00000000A6C727E4353C314FBD93409EF639422707000D702909B30966478A168622D1D80E2400000000010D00000D702909B30966478A168622D1D80E240002653368F40000</t>
  </si>
  <si>
    <t>00000000A6C727E4353C314FBD93409EF639422707000D702909B30966478A168622D1D80E2400000000010D00000D702909B30966478A168622D1D80E240002653368F30000</t>
  </si>
  <si>
    <t>00000000A6C727E4353C314FBD93409EF639422707000D702909B30966478A168622D1D80E2400000000010D00000D702909B30966478A168622D1D80E240002653368F20000</t>
  </si>
  <si>
    <t>demo for itrs</t>
  </si>
  <si>
    <t>00000000A6C727E4353C314FBD93409EF639422707000D702909B30966478A168622D1D80E2400000000010D00000D702909B30966478A168622D1D80E240002653368F10000</t>
  </si>
  <si>
    <t>00000000A6C727E4353C314FBD93409EF639422707000D702909B30966478A168622D1D80E2400000000010D00000D702909B30966478A168622D1D80E240002653369130000</t>
  </si>
  <si>
    <t>00000000A6C727E4353C314FBD93409EF639422707000D702909B30966478A168622D1D80E2400000000010D00000D702909B30966478A168622D1D80E2400026533691B0000</t>
  </si>
  <si>
    <t>00000000A6C727E4353C314FBD93409EF639422707000D702909B30966478A168622D1D80E2400000000010D00000D702909B30966478A168622D1D80E2400026533691A0000</t>
  </si>
  <si>
    <t>00000000A6C727E4353C314FBD93409EF639422707000D702909B30966478A168622D1D80E2400000000010D00000D702909B30966478A168622D1D80E240002653369190000</t>
  </si>
  <si>
    <t>00000000A6C727E4353C314FBD93409EF639422707000D702909B30966478A168622D1D80E2400000000010D00000D702909B30966478A168622D1D80E240002653369180000</t>
  </si>
  <si>
    <t>00000000A6C727E4353C314FBD93409EF639422707000D702909B30966478A168622D1D80E2400000000010D00000D702909B30966478A168622D1D80E240002653369170000</t>
  </si>
  <si>
    <t>00000000A6C727E4353C314FBD93409EF639422707000D702909B30966478A168622D1D80E2400000000010D00000D702909B30966478A168622D1D80E240002653369160000</t>
  </si>
  <si>
    <t>newsleteter</t>
  </si>
  <si>
    <t>00000000A6C727E4353C314FBD93409EF639422707000D702909B30966478A168622D1D80E2400000000010D00000D702909B30966478A168622D1D80E240002653369150000</t>
  </si>
  <si>
    <t>newsltteerr</t>
  </si>
  <si>
    <t>00000000A6C727E4353C314FBD93409EF639422707000D702909B30966478A168622D1D80E2400000000010D00000D702909B30966478A168622D1D80E240002653369140000</t>
  </si>
  <si>
    <t>00000000A6C727E4353C314FBD93409EF639422707000D702909B30966478A168622D1D80E2400000000010D00000D702909B30966478A168622D1D80E2400026533691C0000</t>
  </si>
  <si>
    <t>mo training</t>
  </si>
  <si>
    <t>00000000A6C727E4353C314FBD93409EF639422707000D702909B30966478A168622D1D80E2400000000010D00000D702909B30966478A168622D1D80E2400026533691F0000</t>
  </si>
  <si>
    <t>00000000A6C727E4353C314FBD93409EF639422707000D702909B30966478A168622D1D80E2400000000010D00000D702909B30966478A168622D1D80E2400026533691E0000</t>
  </si>
  <si>
    <t>00000000A6C727E4353C314FBD93409EF639422707000D702909B30966478A168622D1D80E2400000000010D00000D702909B30966478A168622D1D80E2400026533691D0000</t>
  </si>
  <si>
    <t>Velox demos overview</t>
  </si>
  <si>
    <t>https://veloxfintech.zoom.us/j/82289422167?pwd=TlhpNzduSzRSbUpmYVVaSStLWTNkQT09</t>
  </si>
  <si>
    <t>00000000A6C727E4353C314FBD93409EF639422707000D702909B30966478A168622D1D80E2400000000010D00000D702909B30966478A168622D1D80E240002B2ABEA0D0000</t>
  </si>
  <si>
    <t>00000000A6C727E4353C314FBD93409EF639422707000D702909B30966478A168622D1D80E2400000000010D00000D702909B30966478A168622D1D80E240002653369220000</t>
  </si>
  <si>
    <t>00000000A6C727E4353C314FBD93409EF639422707000D702909B30966478A168622D1D80E2400000000010D00000D702909B30966478A168622D1D80E240002653369210000</t>
  </si>
  <si>
    <t>00000000A6C727E4353C314FBD93409EF639422707000D702909B30966478A168622D1D80E2400000000010D00000D702909B30966478A168622D1D80E240002653369200000</t>
  </si>
  <si>
    <t>00000000A6C727E4353C314FBD93409EF639422707000D702909B30966478A168622D1D80E2400000000010D00000D702909B30966478A168622D1D80E240002653369230000</t>
  </si>
  <si>
    <t>app / doc launcher</t>
  </si>
  <si>
    <t>00000000A6C727E4353C314FBD93409EF639422707000D702909B30966478A168622D1D80E2400000000010D00000D702909B30966478A168622D1D80E240002653369280000</t>
  </si>
  <si>
    <t>00000000A6C727E4353C314FBD93409EF639422707000D702909B30966478A168622D1D80E2400000000010D00000D702909B30966478A168622D1D80E240002653369270000</t>
  </si>
  <si>
    <t>00000000A6C727E4353C314FBD93409EF639422707000D702909B30966478A168622D1D80E2400000000010D00000D702909B30966478A168622D1D80E240002653369260000</t>
  </si>
  <si>
    <t>00000000A6C727E4353C314FBD93409EF639422707000D702909B30966478A168622D1D80E2400000000010D00000D702909B30966478A168622D1D80E240002653369250000</t>
  </si>
  <si>
    <t>admin stuff</t>
  </si>
  <si>
    <t>00000000A6C727E4353C314FBD93409EF639422707000D702909B30966478A168622D1D80E2400000000010D00000D702909B30966478A168622D1D80E240002653369240000</t>
  </si>
  <si>
    <t>00000000A6C727E4353C314FBD93409EF639422707000D702909B30966478A168622D1D80E2400000000010D00000D702909B30966478A168622D1D80E240002653369290000</t>
  </si>
  <si>
    <t>00000000A6C727E4353C314FBD93409EF639422707000D702909B30966478A168622D1D80E2400000000010D00000D702909B30966478A168622D1D80E24000265337B2A0000</t>
  </si>
  <si>
    <t>sa stock for demo</t>
  </si>
  <si>
    <t>00000000A6C727E4353C314FBD93409EF639422707000D702909B30966478A168622D1D80E2400000000010D00000D702909B30966478A168622D1D80E24000265337B2C0000</t>
  </si>
  <si>
    <t>00000000A6C727E4353C314FBD93409EF639422707000D702909B30966478A168622D1D80E2400000000010D00000D702909B30966478A168622D1D80E24000265337B2B0000</t>
  </si>
  <si>
    <t>writing up meeting notes / excel spec</t>
  </si>
  <si>
    <t>00000000A6C727E4353C314FBD93409EF639422707000D702909B30966478A168622D1D80E2400000000010D00000D702909B30966478A168622D1D80E24000265337B380000</t>
  </si>
  <si>
    <t>favicon</t>
  </si>
  <si>
    <t>00000000A6C727E4353C314FBD93409EF639422707000D702909B30966478A168622D1D80E2400000000010D00000D702909B30966478A168622D1D80E24000265337B370000</t>
  </si>
  <si>
    <t>00000000A6C727E4353C314FBD93409EF639422707000D702909B30966478A168622D1D80E2400000000010D00000D702909B30966478A168622D1D80E24000265337B360000</t>
  </si>
  <si>
    <t>00000000A6C727E4353C314FBD93409EF639422707000D702909B30966478A168622D1D80E2400000000010D00000D702909B30966478A168622D1D80E24000265337B350000</t>
  </si>
  <si>
    <t>00000000A6C727E4353C314FBD93409EF639422707000D702909B30966478A168622D1D80E2400000000010D00000D702909B30966478A168622D1D80E24000265337B330000</t>
  </si>
  <si>
    <t>00000000A6C727E4353C314FBD93409EF639422707000D702909B30966478A168622D1D80E2400000000010D00000D702909B30966478A168622D1D80E24000265337B320000</t>
  </si>
  <si>
    <t>chris/monday</t>
  </si>
  <si>
    <t>00000000A6C727E4353C314FBD93409EF639422707000D702909B30966478A168622D1D80E2400000000010D00000D702909B30966478A168622D1D80E24000265337B310000</t>
  </si>
  <si>
    <t>excel admi tool stuff</t>
  </si>
  <si>
    <t>00000000A6C727E4353C314FBD93409EF639422707000D702909B30966478A168622D1D80E2400000000010D00000D702909B30966478A168622D1D80E24000265337B300000</t>
  </si>
  <si>
    <t>newsletter for chris</t>
  </si>
  <si>
    <t>00000000A6C727E4353C314FBD93409EF639422707000D702909B30966478A168622D1D80E2400000000010D00000D702909B30966478A168622D1D80E24000265337B2F0000</t>
  </si>
  <si>
    <t>00000000A6C727E4353C314FBD93409EF639422707000D702909B30966478A168622D1D80E2400000000010D00000D702909B30966478A168622D1D80E24000265337B2E0000</t>
  </si>
  <si>
    <t>00000000A6C727E4353C314FBD93409EF639422707000D702909B30966478A168622D1D80E2400000000010D00000D702909B30966478A168622D1D80E24000265337B2D0000</t>
  </si>
  <si>
    <t>Velox Technical session</t>
  </si>
  <si>
    <t>https://veloxfintech.zoom.us/j/87310786916</t>
  </si>
  <si>
    <t>00000000A6C727E4353C314FBD93409EF639422707000D702909B30966478A168622D1D80E2400000000010D00000D702909B30966478A168622D1D80E240002B62A7FA70000</t>
  </si>
  <si>
    <t>excel spec</t>
  </si>
  <si>
    <t>00000000A6C727E4353C314FBD93409EF639422707000D702909B30966478A168622D1D80E2400000000010D00000D702909B30966478A168622D1D80E24000265337B390000</t>
  </si>
  <si>
    <t>00000000A6C727E4353C314FBD93409EF639422707000D702909B30966478A168622D1D80E2400000000010D00000D702909B30966478A168622D1D80E24000265337B790000</t>
  </si>
  <si>
    <t>00000000A6C727E4353C314FBD93409EF639422707000D702909B30966478A168622D1D80E2400000000010D00000D702909B30966478A168622D1D80E24000265337B780000</t>
  </si>
  <si>
    <t>00000000A6C727E4353C314FBD93409EF639422707000D702909B30966478A168622D1D80E2400000000010D00000D702909B30966478A168622D1D80E24000265337B770000</t>
  </si>
  <si>
    <t>Jon &amp; Richard Meeting</t>
  </si>
  <si>
    <t>https://us05web.zoom.us/j/9462091926?pwd=OUpaMWxUOXcvT0VrVHMwOXh5ZVE3UT09</t>
  </si>
  <si>
    <t>00000000A6C727E4353C314FBD93409EF639422707000D702909B30966478A168622D1D80E2400000000010D00000D702909B30966478A168622D1D80E24000265337B760000</t>
  </si>
  <si>
    <t>Aljazira Capital/Velox - Retail OMS prototype demo</t>
  </si>
  <si>
    <t>https://veloxfintech.zoom.us/j/84682046979?pwd=VVZTTkQ5Szkyd2hpbm9BL2U0Q3ZVZz09</t>
  </si>
  <si>
    <t>Mohamed Arkate,Jon Butler,Alaa Abutabaq,Mohammed Ahmed Ali Elian,Hikmat Matta,Maher Saab</t>
  </si>
  <si>
    <t>00000000A6C727E4353C314FBD93409EF639422707000D702909B30966478A168622D1D80E2400000000010D00000D702909B30966478A168622D1D80E240002B9B5D28E0000</t>
  </si>
  <si>
    <t>Monday tools</t>
  </si>
  <si>
    <t>00000000A6C727E4353C314FBD93409EF639422707000D702909B30966478A168622D1D80E2400000000010D00000D702909B30966478A168622D1D80E24000265337B750000</t>
  </si>
  <si>
    <t>00000000A6C727E4353C314FBD93409EF639422707000D702909B30966478A168622D1D80E2400000000010D00000D702909B30966478A168622D1D80E24000265337B740000</t>
  </si>
  <si>
    <t>00000000A6C727E4353C314FBD93409EF639422707000D702909B30966478A168622D1D80E2400000000010D00000D702909B30966478A168622D1D80E24000265337B730000</t>
  </si>
  <si>
    <t>00000000A6C727E4353C314FBD93409EF639422707000D702909B30966478A168622D1D80E2400000000010D00000D702909B30966478A168622D1D80E24000265337B720000</t>
  </si>
  <si>
    <t>00000000A6C727E4353C314FBD93409EF639422707000D702909B30966478A168622D1D80E2400000000010D00000D702909B30966478A168622D1D80E24000265337B710000</t>
  </si>
  <si>
    <t>00000000A6C727E4353C314FBD93409EF639422707000D702909B30966478A168622D1D80E2400000000010D00000D702909B30966478A168622D1D80E24000265337B700000</t>
  </si>
  <si>
    <t>response to MLP</t>
  </si>
  <si>
    <t>00000000A6C727E4353C314FBD93409EF639422707000D702909B30966478A168622D1D80E2400000000010D00000D702909B30966478A168622D1D80E24000265337B6F0000</t>
  </si>
  <si>
    <t>00000000A6C727E4353C314FBD93409EF639422707000D702909B30966478A168622D1D80E2400000000010D00000D702909B30966478A168622D1D80E24000265337B6E0000</t>
  </si>
  <si>
    <t>00000000A6C727E4353C314FBD93409EF639422707000D702909B30966478A168622D1D80E2400000000010D00000D702909B30966478A168622D1D80E24000265337B6D0000</t>
  </si>
  <si>
    <t>turkey op</t>
  </si>
  <si>
    <t>00000000A6C727E4353C314FBD93409EF639422707000D702909B30966478A168622D1D80E2400000000010D00000D702909B30966478A168622D1D80E24000265337B6C0000</t>
  </si>
  <si>
    <t>snb demo</t>
  </si>
  <si>
    <t>00000000A6C727E4353C314FBD93409EF639422707000D702909B30966478A168622D1D80E2400000000010D00000D702909B30966478A168622D1D80E24000265337B6B0000</t>
  </si>
  <si>
    <t>SNB demo</t>
  </si>
  <si>
    <t>00000000A6C727E4353C314FBD93409EF639422707000D702909B30966478A168622D1D80E2400000000010D00000D702909B30966478A168622D1D80E24000265337B6A0000</t>
  </si>
  <si>
    <t>response to Andrea</t>
  </si>
  <si>
    <t>00000000A6C727E4353C314FBD93409EF639422707000D702909B30966478A168622D1D80E2400000000010D00000D702909B30966478A168622D1D80E24000265337B690000</t>
  </si>
  <si>
    <t>prep  for valantic and finsemble</t>
  </si>
  <si>
    <t>00000000A6C727E4353C314FBD93409EF639422707000D702909B30966478A168622D1D80E2400000000010D00000D702909B30966478A168622D1D80E24000265337B680000</t>
  </si>
  <si>
    <t>performance review definitions</t>
  </si>
  <si>
    <t>00000000A6C727E4353C314FBD93409EF639422707000D702909B30966478A168622D1D80E2400000000010D00000D702909B30966478A168622D1D80E24000265337B670000</t>
  </si>
  <si>
    <t>mo conversation about product vs solution</t>
  </si>
  <si>
    <t>00000000A6C727E4353C314FBD93409EF639422707000D702909B30966478A168622D1D80E2400000000010D00000D702909B30966478A168622D1D80E24000265337B660000</t>
  </si>
  <si>
    <t>monday ref update solved</t>
  </si>
  <si>
    <t>00000000A6C727E4353C314FBD93409EF639422707000D702909B30966478A168622D1D80E2400000000010D00000D702909B30966478A168622D1D80E24000265337B650000</t>
  </si>
  <si>
    <t>00000000A6C727E4353C314FBD93409EF639422707000D702909B30966478A168622D1D80E2400000000010D00000D702909B30966478A168622D1D80E24000265337B640000</t>
  </si>
  <si>
    <t>mlp POC response; cleaning up add item monday tool</t>
  </si>
  <si>
    <t>00000000A6C727E4353C314FBD93409EF639422707000D702909B30966478A168622D1D80E2400000000010D00000D702909B30966478A168622D1D80E24000265337B630000</t>
  </si>
  <si>
    <t>00000000A6C727E4353C314FBD93409EF639422707000D702909B30966478A168622D1D80E2400000000010D00000D702909B30966478A168622D1D80E24000265337B620000</t>
  </si>
  <si>
    <t>00000000A6C727E4353C314FBD93409EF639422707000D702909B30966478A168622D1D80E2400000000010D00000D702909B30966478A168622D1D80E24000265337B610000</t>
  </si>
  <si>
    <t>monday tools - assigning a subitem</t>
  </si>
  <si>
    <t>00000000A6C727E4353C314FBD93409EF639422707000D702909B30966478A168622D1D80E2400000000010D00000D702909B30966478A168622D1D80E24000265337B600000</t>
  </si>
  <si>
    <t>00000000A6C727E4353C314FBD93409EF639422707000D702909B30966478A168622D1D80E2400000000010D00000D702909B30966478A168622D1D80E24000265337B5F0000</t>
  </si>
  <si>
    <t>00000000A6C727E4353C314FBD93409EF639422707000D702909B30966478A168622D1D80E2400000000010D00000D702909B30966478A168622D1D80E24000265337B5E0000</t>
  </si>
  <si>
    <t>00000000A6C727E4353C314FBD93409EF639422707000D702909B30966478A168622D1D80E2400000000010D00000D702909B30966478A168622D1D80E24000265337B5D0000</t>
  </si>
  <si>
    <t>00000000A6C727E4353C314FBD93409EF639422707000D702909B30966478A168622D1D80E2400000000010D00000D702909B30966478A168622D1D80E24000265337B5C0000</t>
  </si>
  <si>
    <t>Alison Hood 2022 Performance Review</t>
  </si>
  <si>
    <t>00000000A6C727E4353C314FBD93409EF639422707000D702909B30966478A168622D1D80E2400000000010D00000D702909B30966478A168622D1D80E24000265337B5B0000</t>
  </si>
  <si>
    <t>Chris Schueler - 2022 Performance Review</t>
  </si>
  <si>
    <t>00000000A6C727E4353C314FBD93409EF639422707000D702909B30966478A168622D1D80E2400000000010D00000D702909B30966478A168622D1D80E24000265337B5A0000</t>
  </si>
  <si>
    <t>00000000A6C727E4353C314FBD93409EF639422707000D702909B30966478A168622D1D80E2400000000010D00000D702909B30966478A168622D1D80E24000265337B580000</t>
  </si>
  <si>
    <t>00000000A6C727E4353C314FBD93409EF639422707000D702909B30966478A168622D1D80E2400000000010D00000D702909B30966478A168622D1D80E24000265337B570000</t>
  </si>
  <si>
    <t>00000000A6C727E4353C314FBD93409EF639422707000D702909B30966478A168622D1D80E2400000000010D00000D702909B30966478A168622D1D80E24000265337B560000</t>
  </si>
  <si>
    <t>00000000A6C727E4353C314FBD93409EF639422707000D702909B30966478A168622D1D80E2400000000010D00000D702909B30966478A168622D1D80E24000265337B550000</t>
  </si>
  <si>
    <t>PLACEHOLDER - FIX EMEA Trading Conference</t>
  </si>
  <si>
    <t>OLD BILLINGSGATE 1 OLD BILLINGSGATE WALK, LONDON</t>
  </si>
  <si>
    <t>Ali Moosavi,Jon Butler,Neto,Alison Hood,Christian Schueler,Mohamed Arkate</t>
  </si>
  <si>
    <t>00000000A6C727E4353C314FBD93409EF639422707000D702909B30966478A168622D1D80E2400000000010D00000D702909B30966478A168622D1D80E240002B7C5318E0000</t>
  </si>
  <si>
    <t>FTV prep</t>
  </si>
  <si>
    <t>00000000A6C727E4353C314FBD93409EF639422707000D702909B30966478A168622D1D80E2400000000010D00000D702909B30966478A168622D1D80E24000265337B540000</t>
  </si>
  <si>
    <t>00000000A6C727E4353C314FBD93409EF639422707000D702909B30966478A168622D1D80E2400000000010D00000D702909B30966478A168622D1D80E24000265337B530000</t>
  </si>
  <si>
    <t xml:space="preserve">3829239171 - Sales Strategy daily </t>
  </si>
  <si>
    <t>00000000A6C727E4353C314FBD93409EF639422707000D702909B30966478A168622D1D80E2400000000010D00000D702909B30966478A168622D1D80E24000265337B510000</t>
  </si>
  <si>
    <t>3829239171 - sales strategy daily</t>
  </si>
  <si>
    <t>https://us02web.zoom.us/j/8708608670  id=3829239171</t>
  </si>
  <si>
    <t>00000000A6C727E4353C314FBD93409EF639422707000D702909B30966478A168622D1D80E2400000000010D00000D702909B30966478A168622D1D80E24000265337B520000</t>
  </si>
  <si>
    <t>Jon/Mo</t>
  </si>
  <si>
    <t>00000000A6C727E4353C314FBD93409EF639422707000D702909B30966478A168622D1D80E2400000000010D00000D702909B30966478A168622D1D80E24000265337B500000</t>
  </si>
  <si>
    <t>00000000A6C727E4353C314FBD93409EF639422707000D702909B30966478A168622D1D80E2400000000010D00000D702909B30966478A168622D1D80E24000265337B4F0000</t>
  </si>
  <si>
    <t>admin / meeting notes / monday tools</t>
  </si>
  <si>
    <t>00000000A6C727E4353C314FBD93409EF639422707000D702909B30966478A168622D1D80E2400000000010D00000D702909B30966478A168622D1D80E24000265337B4E0000</t>
  </si>
  <si>
    <t>Catch-up - Jon &amp; Dan</t>
  </si>
  <si>
    <t>Sabine Gospodinoff,Dan Izzo,Jon Butler</t>
  </si>
  <si>
    <t>Sabine Gospodinoff</t>
  </si>
  <si>
    <t>00000000A6C727E4353C314FBD93409EF639422707000D702909B30966478A168622D1D80E2400000000010D00000D702909B30966478A168622D1D80E24000265337B4D0000</t>
  </si>
  <si>
    <t>00000000A6C727E4353C314FBD93409EF639422707000D702909B30966478A168622D1D80E2400000000010D00000D702909B30966478A168622D1D80E24000265337B4C0000</t>
  </si>
  <si>
    <t>00000000A6C727E4353C314FBD93409EF639422707000D702909B30966478A168622D1D80E2400000000010D00000D702909B30966478A168622D1D80E24000265337B4B0000</t>
  </si>
  <si>
    <t>00000000A6C727E4353C314FBD93409EF639422707000D702909B30966478A168622D1D80E2400000000010D00000D702909B30966478A168622D1D80E24000265337B4A0000</t>
  </si>
  <si>
    <t>excel interop</t>
  </si>
  <si>
    <t>00000000A6C727E4353C314FBD93409EF639422707000D702909B30966478A168622D1D80E2400000000010D00000D702909B30966478A168622D1D80E24000265337B490000</t>
  </si>
  <si>
    <t>00000000A6C727E4353C314FBD93409EF639422707000D702909B30966478A168622D1D80E2400000000010D00000D702909B30966478A168622D1D80E24000265337B480000</t>
  </si>
  <si>
    <t>00000000A6C727E4353C314FBD93409EF639422707000D702909B30966478A168622D1D80E2400000000010D00000D702909B30966478A168622D1D80E24000265337B460000</t>
  </si>
  <si>
    <t>admin / meeting tools</t>
  </si>
  <si>
    <t>00000000A6C727E4353C314FBD93409EF639422707000D702909B30966478A168622D1D80E2400000000010D00000D702909B30966478A168622D1D80E24000265337B430000</t>
  </si>
  <si>
    <t>00000000A6C727E4353C314FBD93409EF639422707000D702909B30966478A168622D1D80E2400000000010D00000D702909B30966478A168622D1D80E24000265337B590000</t>
  </si>
  <si>
    <t>Velox | Flylance - Meet Jon Butler, CEO with Neto</t>
  </si>
  <si>
    <t>https://us06web.zoom.us/j/89952933502</t>
  </si>
  <si>
    <t>tim@flylance.com,anthony@flylance.com,Jon Butler,Neto</t>
  </si>
  <si>
    <t>tim@flylance.com</t>
  </si>
  <si>
    <t>00000000A6C727E4353C314FBD93409EF639422707000D702909B30966478A168622D1D80E2400000000010D00000D702909B30966478A168622D1D80E24000265337B440000</t>
  </si>
  <si>
    <t>00000000A6C727E4353C314FBD93409EF639422707000D702909B30966478A168622D1D80E2400000000010D00000D702909B30966478A168622D1D80E24000265337B420000</t>
  </si>
  <si>
    <t>Jon/Neto Extension</t>
  </si>
  <si>
    <t>00000000A6C727E4353C314FBD93409EF639422707000D702909B30966478A168622D1D80E2400000000010D00000D702909B30966478A168622D1D80E24000265337B450000</t>
  </si>
  <si>
    <t>sales process</t>
  </si>
  <si>
    <t>00000000A6C727E4353C314FBD93409EF639422707000D702909B30966478A168622D1D80E2400000000010D00000D702909B30966478A168622D1D80E24000265337B410000</t>
  </si>
  <si>
    <t>chris newsletter</t>
  </si>
  <si>
    <t>00000000A6C727E4353C314FBD93409EF639422707000D702909B30966478A168622D1D80E2400000000010D00000D702909B30966478A168622D1D80E24000265337B400000</t>
  </si>
  <si>
    <t>00000000A6C727E4353C314FBD93409EF639422707000D702909B30966478A168622D1D80E2400000000010D00000D702909B30966478A168622D1D80E24000265337B3F0000</t>
  </si>
  <si>
    <t>00000000A6C727E4353C314FBD93409EF639422707000D702909B30966478A168622D1D80E2400000000010D00000D702909B30966478A168622D1D80E24000265337B3E0000</t>
  </si>
  <si>
    <t>Jon/Neto extended</t>
  </si>
  <si>
    <t>00000000A6C727E4353C314FBD93409EF639422707000D702909B30966478A168622D1D80E2400000000010D00000D702909B30966478A168622D1D80E24000265337B3D0000</t>
  </si>
  <si>
    <t>mo aljazira demo</t>
  </si>
  <si>
    <t>00000000A6C727E4353C314FBD93409EF639422707000D702909B30966478A168622D1D80E2400000000010D00000D702909B30966478A168622D1D80E24000265337B3C0000</t>
  </si>
  <si>
    <t>00000000A6C727E4353C314FBD93409EF639422707000D702909B30966478A168622D1D80E2400000000010D00000D702909B30966478A168622D1D80E24000265337B3B0000</t>
  </si>
  <si>
    <t>00000000A6C727E4353C314FBD93409EF639422707000D702909B30966478A168622D1D80E2400000000010D00000D702909B30966478A168622D1D80E24000265337B3A0000</t>
  </si>
  <si>
    <t>sa demo</t>
  </si>
  <si>
    <t>00000000A6C727E4353C314FBD93409EF639422707000D702909B30966478A168622D1D80E2400000000010D00000D702909B30966478A168622D1D80E24000265337B880000</t>
  </si>
  <si>
    <t>00000000A6C727E4353C314FBD93409EF639422707000D702909B30966478A168622D1D80E2400000000010D00000D702909B30966478A168622D1D80E24000265337B870000</t>
  </si>
  <si>
    <t>00000000A6C727E4353C314FBD93409EF639422707000D702909B30966478A168622D1D80E2400000000010D00000D702909B30966478A168622D1D80E24000265337B860000</t>
  </si>
  <si>
    <t>00000000A6C727E4353C314FBD93409EF639422707000D702909B30966478A168622D1D80E2400000000010D00000D702909B30966478A168622D1D80E24000265337B850000</t>
  </si>
  <si>
    <t>00000000A6C727E4353C314FBD93409EF639422707000D702909B30966478A168622D1D80E2400000000010D00000D702909B30966478A168622D1D80E24000265337B840000</t>
  </si>
  <si>
    <t>00000000A6C727E4353C314FBD93409EF639422707000D702909B30966478A168622D1D80E2400000000010D00000D702909B30966478A168622D1D80E24000265337B820000</t>
  </si>
  <si>
    <t>mo overun</t>
  </si>
  <si>
    <t>00000000A6C727E4353C314FBD93409EF639422707000D702909B30966478A168622D1D80E2400000000010D00000D702909B30966478A168622D1D80E24000265337B810000</t>
  </si>
  <si>
    <t>Aljazira demo prep.</t>
  </si>
  <si>
    <t>Jon Butler,Jason Yan,Mohamed Arkate,Yuchen Song</t>
  </si>
  <si>
    <t>00000000A6C727E4353C314FBD93409EF639422707000D702909B30966478A168622D1D80E2400000000010D00000D702909B30966478A168622D1D80E24000265337B800000</t>
  </si>
  <si>
    <t>content for post ChatGPT</t>
  </si>
  <si>
    <t>00000000A6C727E4353C314FBD93409EF639422707000D702909B30966478A168622D1D80E2400000000010D00000D702909B30966478A168622D1D80E24000265337B7F0000</t>
  </si>
  <si>
    <t>Neto 2022 Q4 Performance Review</t>
  </si>
  <si>
    <t>https://veloxfintech.zoom.us/my/buildfaster id=3806719217</t>
  </si>
  <si>
    <t>00000000A6C727E4353C314FBD93409EF639422707000D702909B30966478A168622D1D80E2400000000010D00000D702909B30966478A168622D1D80E24000265337B7E0000</t>
  </si>
  <si>
    <t>Mo/Jon - AK Invest/SNB/Al Nassr tickets ;-)</t>
  </si>
  <si>
    <t>00000000A6C727E4353C314FBD93409EF639422707000D702909B30966478A168622D1D80E2400000000010D00000D702909B30966478A168622D1D80E24000265337B7D0000</t>
  </si>
  <si>
    <t>00000000A6C727E4353C314FBD93409EF639422707000D702909B30966478A168622D1D80E2400000000010D00000D702909B30966478A168622D1D80E24000265337B7C0000</t>
  </si>
  <si>
    <t>Jon/Mo - Aljariza prep</t>
  </si>
  <si>
    <t>00000000A6C727E4353C314FBD93409EF639422707000D702909B30966478A168622D1D80E2400000000010D00000D702909B30966478A168622D1D80E24000265337B7B0000</t>
  </si>
  <si>
    <t>00000000A6C727E4353C314FBD93409EF639422707000D702909B30966478A168622D1D80E2400000000010D00000D702909B30966478A168622D1D80E24000265337B7A0000</t>
  </si>
  <si>
    <t>sales pipeline targets</t>
  </si>
  <si>
    <t>00000000A6C727E4353C314FBD93409EF639422707000D702909B30966478A168622D1D80E2400000000010D00000D702909B30966478A168622D1D80E24000265337B950000</t>
  </si>
  <si>
    <t>Ali 2022 Q4 Performance Review</t>
  </si>
  <si>
    <t>Jon Butler,Ali Moosavi,Ali Moosavi</t>
  </si>
  <si>
    <t>00000000A6C727E4353C314FBD93409EF639422707000D702909B30966478A168622D1D80E2400000000010D00000D702909B30966478A168622D1D80E24000265337B940000</t>
  </si>
  <si>
    <t>00000000A6C727E4353C314FBD93409EF639422707000D702909B30966478A168622D1D80E2400000000010D00000D702909B30966478A168622D1D80E24000265337B930000</t>
  </si>
  <si>
    <t>Chris Schueler - Continued, 2022 Performance Review</t>
  </si>
  <si>
    <t>00000000A6C727E4353C314FBD93409EF639422707000D702909B30966478A168622D1D80E2400000000010D00000D702909B30966478A168622D1D80E24000265337B920000</t>
  </si>
  <si>
    <t>Alison spreadsheet</t>
  </si>
  <si>
    <t>00000000A6C727E4353C314FBD93409EF639422707000D702909B30966478A168622D1D80E2400000000010D00000D702909B30966478A168622D1D80E24000265337B910000</t>
  </si>
  <si>
    <t>00000000A6C727E4353C314FBD93409EF639422707000D702909B30966478A168622D1D80E2400000000010D00000D702909B30966478A168622D1D80E24000265337B900000</t>
  </si>
  <si>
    <t>Jon's Zoom</t>
  </si>
  <si>
    <t>00000000A6C727E4353C314FBD93409EF639422707000D702909B30966478A168622D1D80E2400000000010D00000D702909B30966478A168622D1D80E24000265337B8F0000</t>
  </si>
  <si>
    <t>00000000A6C727E4353C314FBD93409EF639422707000D702909B30966478A168622D1D80E2400000000010D00000D702909B30966478A168622D1D80E24000265337B8E0000</t>
  </si>
  <si>
    <t>00000000A6C727E4353C314FBD93409EF639422707000D702909B30966478A168622D1D80E2400000000010D00000D702909B30966478A168622D1D80E24000265337B8D0000</t>
  </si>
  <si>
    <t>aljazira prep</t>
  </si>
  <si>
    <t>00000000A6C727E4353C314FBD93409EF639422707000D702909B30966478A168622D1D80E2400000000010D00000D702909B30966478A168622D1D80E24000265337B8C0000</t>
  </si>
  <si>
    <t>chris review prep</t>
  </si>
  <si>
    <t>00000000A6C727E4353C314FBD93409EF639422707000D702909B30966478A168622D1D80E2400000000010D00000D702909B30966478A168622D1D80E24000265337B8B0000</t>
  </si>
  <si>
    <t>Intro Zoom: Jon Butler &lt;&gt; Matt Alfieri/Chris Chen</t>
  </si>
  <si>
    <t>https://us02web.zoom.us/j/87680646400?pwd=ZU5EcWJLVEFMY2dIZWZtdExMZnlTZz09</t>
  </si>
  <si>
    <t>Matthew Alfieri,Christopher Chen,Jon Butler</t>
  </si>
  <si>
    <t>Matthew Alfieri</t>
  </si>
  <si>
    <t>00000000A6C727E4353C314FBD93409EF639422707000D702909B30966478A168622D1D80E2400000000010D00000D702909B30966478A168622D1D80E24000265337B8A0000</t>
  </si>
  <si>
    <t>Alison - Monday tool - Millenium response</t>
  </si>
  <si>
    <t>00000000A6C727E4353C314FBD93409EF639422707000D702909B30966478A168622D1D80E2400000000010D00000D702909B30966478A168622D1D80E24000265337B890000</t>
  </si>
  <si>
    <t>MLP quesdtions</t>
  </si>
  <si>
    <t>00000000A6C727E4353C314FBD93409EF639422707000D702909B30966478A168622D1D80E2400000000010D00000D702909B30966478A168622D1D80E24000265337BB00000</t>
  </si>
  <si>
    <t>newsletter emails / teams phone / finsemble</t>
  </si>
  <si>
    <t>00000000A6C727E4353C314FBD93409EF639422707000D702909B30966478A168622D1D80E2400000000010D00000D702909B30966478A168622D1D80E24000265337BAF0000</t>
  </si>
  <si>
    <t>email newsletter</t>
  </si>
  <si>
    <t>id=3812302580</t>
  </si>
  <si>
    <t>00000000A6C727E4353C314FBD93409EF639422707000D702909B30966478A168622D1D80E2400000000010D00000D702909B30966478A168622D1D80E24000265337BAE0000</t>
  </si>
  <si>
    <t>neto review</t>
  </si>
  <si>
    <t>00000000A6C727E4353C314FBD93409EF639422707000D702909B30966478A168622D1D80E2400000000010D00000D702909B30966478A168622D1D80E24000265337BAD0000</t>
  </si>
  <si>
    <t>00000000A6C727E4353C314FBD93409EF639422707000D702909B30966478A168622D1D80E2400000000010D00000D702909B30966478A168622D1D80E24000265337BAC0000</t>
  </si>
  <si>
    <t>00000000A6C727E4353C314FBD93409EF639422707000D702909B30966478A168622D1D80E2400000000010D00000D702909B30966478A168622D1D80E24000265337BAB0000</t>
  </si>
  <si>
    <t>00000000A6C727E4353C314FBD93409EF639422707000D702909B30966478A168622D1D80E2400000000010D00000D702909B30966478A168622D1D80E24000265337BAA0000</t>
  </si>
  <si>
    <t>agree on MLP pricing</t>
  </si>
  <si>
    <t>00000000A6C727E4353C314FBD93409EF639422707000D702909B30966478A168622D1D80E2400000000010D00000D702909B30966478A168622D1D80E24000265337BA90000</t>
  </si>
  <si>
    <t>email distribution</t>
  </si>
  <si>
    <t>00000000A6C727E4353C314FBD93409EF639422707000D702909B30966478A168622D1D80E2400000000010D00000D702909B30966478A168622D1D80E24000265337BA80000</t>
  </si>
  <si>
    <t>00000000A6C727E4353C314FBD93409EF639422707000D702909B30966478A168622D1D80E2400000000010D00000D702909B30966478A168622D1D80E24000265337BA70000</t>
  </si>
  <si>
    <t>00000000A6C727E4353C314FBD93409EF639422707000D702909B30966478A168622D1D80E2400000000010D00000D702909B30966478A168622D1D80E24000265337BA60000</t>
  </si>
  <si>
    <t>mail list for newsltyeer</t>
  </si>
  <si>
    <t>00000000A6C727E4353C314FBD93409EF639422707000D702909B30966478A168622D1D80E2400000000010D00000D702909B30966478A168622D1D80E24000265337BA50000</t>
  </si>
  <si>
    <t>00000000A6C727E4353C314FBD93409EF639422707000D702909B30966478A168622D1D80E2400000000010D00000D702909B30966478A168622D1D80E24000265337BA40000</t>
  </si>
  <si>
    <t>00000000A6C727E4353C314FBD93409EF639422707000D702909B30966478A168622D1D80E2400000000010D00000D702909B30966478A168622D1D80E24000265337BA30000</t>
  </si>
  <si>
    <t>00000000A6C727E4353C314FBD93409EF639422707000D702909B30966478A168622D1D80E2400000000010D00000D702909B30966478A168622D1D80E24000265337BA20000</t>
  </si>
  <si>
    <t xml:space="preserve">finsemble integration / next mo demos </t>
  </si>
  <si>
    <t>00000000A6C727E4353C314FBD93409EF639422707000D702909B30966478A168622D1D80E2400000000010D00000D702909B30966478A168622D1D80E24000265337BA10000</t>
  </si>
  <si>
    <t>EXCEL &lt;-&gt; Finsemble &lt;-&gt; Velox requirements</t>
  </si>
  <si>
    <t>Jon Butler,Jason Yan</t>
  </si>
  <si>
    <t>00000000A6C727E4353C314FBD93409EF639422707000D702909B30966478A168622D1D80E2400000000010D00000D702909B30966478A168622D1D80E24000265337BA00000</t>
  </si>
  <si>
    <t>Review next demo requirements (AK Invest/SNB)</t>
  </si>
  <si>
    <t>Jon Butler,Jason Yan,mohamed.arkate@gmail.com</t>
  </si>
  <si>
    <t>00000000A6C727E4353C314FBD93409EF639422707000D702909B30966478A168622D1D80E2400000000010D00000D702909B30966478A168622D1D80E24000265337B9F0000</t>
  </si>
  <si>
    <t>00000000A6C727E4353C314FBD93409EF639422707000D702909B30966478A168622D1D80E2400000000010D00000D702909B30966478A168622D1D80E24000265337B9E0000</t>
  </si>
  <si>
    <t>00000000A6C727E4353C314FBD93409EF639422707000D702909B30966478A168622D1D80E2400000000010D00000D702909B30966478A168622D1D80E24000265337B9D0000</t>
  </si>
  <si>
    <t>tools</t>
  </si>
  <si>
    <t>00000000A6C727E4353C314FBD93409EF639422707000D702909B30966478A168622D1D80E2400000000010D00000D702909B30966478A168622D1D80E24000265337B9C0000</t>
  </si>
  <si>
    <t>00000000A6C727E4353C314FBD93409EF639422707000D702909B30966478A168622D1D80E2400000000010D00000D702909B30966478A168622D1D80E24000265337B9B0000</t>
  </si>
  <si>
    <t>00000000A6C727E4353C314FBD93409EF639422707000D702909B30966478A168622D1D80E2400000000010D00000D702909B30966478A168622D1D80E24000265337B9A0000</t>
  </si>
  <si>
    <t>sales team</t>
  </si>
  <si>
    <t>00000000A6C727E4353C314FBD93409EF639422707000D702909B30966478A168622D1D80E2400000000010D00000D702909B30966478A168622D1D80E24000265337B990000</t>
  </si>
  <si>
    <t>00000000A6C727E4353C314FBD93409EF639422707000D702909B30966478A168622D1D80E2400000000010D00000D702909B30966478A168622D1D80E24000265337B980000</t>
  </si>
  <si>
    <t>00000000A6C727E4353C314FBD93409EF639422707000D702909B30966478A168622D1D80E2400000000010D00000D702909B30966478A168622D1D80E24000265337B960000</t>
  </si>
  <si>
    <t>RE: Catch-up</t>
  </si>
  <si>
    <t>Andrea Pirino,Jon Butler</t>
  </si>
  <si>
    <t>Andrea Pirino</t>
  </si>
  <si>
    <t>00000000A6C727E4353C314FBD93409EF639422707000D702909B30966478A168622D1D80E2400000000010D00000D702909B30966478A168622D1D80E24000265337B970000</t>
  </si>
  <si>
    <t>email dist</t>
  </si>
  <si>
    <t>00000000A6C727E4353C314FBD93409EF639422707000D702909B30966478A168622D1D80E2400000000010D00000D702909B30966478A168622D1D80E24000265337BB10000</t>
  </si>
  <si>
    <t>newsletter emails</t>
  </si>
  <si>
    <t>00000000A6C727E4353C314FBD93409EF639422707000D702909B30966478A168622D1D80E2400000000010D00000D702909B30966478A168622D1D80E24000265337BB20000</t>
  </si>
  <si>
    <t>id=3789214274</t>
  </si>
  <si>
    <t>00000000A6C727E4353C314FBD93409EF639422707000D702909B30966478A168622D1D80E2400000000010D00000D702909B30966478A168622D1D80E24000265337BBC0000</t>
  </si>
  <si>
    <t>rocket reach api</t>
  </si>
  <si>
    <t>id=3815176348</t>
  </si>
  <si>
    <t>00000000A6C727E4353C314FBD93409EF639422707000D702909B30966478A168622D1D80E2400000000010D00000D702909B30966478A168622D1D80E24000265337BBB0000</t>
  </si>
  <si>
    <t>aliso9n</t>
  </si>
  <si>
    <t>00000000A6C727E4353C314FBD93409EF639422707000D702909B30966478A168622D1D80E2400000000010D00000D702909B30966478A168622D1D80E24000265337BBA0000</t>
  </si>
  <si>
    <t>rockreach api</t>
  </si>
  <si>
    <t>00000000A6C727E4353C314FBD93409EF639422707000D702909B30966478A168622D1D80E2400000000010D00000D702909B30966478A168622D1D80E24000265337BB90000</t>
  </si>
  <si>
    <t>00000000A6C727E4353C314FBD93409EF639422707000D702909B30966478A168622D1D80E2400000000010D00000D702909B30966478A168622D1D80E24000265337BB80000</t>
  </si>
  <si>
    <t>00000000A6C727E4353C314FBD93409EF639422707000D702909B30966478A168622D1D80E2400000000010D00000D702909B30966478A168622D1D80E24000265337BB70000</t>
  </si>
  <si>
    <t>00000000A6C727E4353C314FBD93409EF639422707000D702909B30966478A168622D1D80E2400000000010D00000D702909B30966478A168622D1D80E24000265337BB60000</t>
  </si>
  <si>
    <t xml:space="preserve">emails processing </t>
  </si>
  <si>
    <t>00000000A6C727E4353C314FBD93409EF639422707000D702909B30966478A168622D1D80E2400000000010D00000D702909B30966478A168622D1D80E24000265337BB50000</t>
  </si>
  <si>
    <t>emails processing</t>
  </si>
  <si>
    <t>00000000A6C727E4353C314FBD93409EF639422707000D702909B30966478A168622D1D80E2400000000010D00000D702909B30966478A168622D1D80E24000265337BB40000</t>
  </si>
  <si>
    <t>newsletter dist</t>
  </si>
  <si>
    <t>00000000A6C727E4353C314FBD93409EF639422707000D702909B30966478A168622D1D80E2400000000010D00000D702909B30966478A168622D1D80E24000265337BB30000</t>
  </si>
  <si>
    <t>id=3806719217</t>
  </si>
  <si>
    <t>00000000A6C727E4353C314FBD93409EF639422707000D702909B30966478A168622D1D80E2400000000010D00000D702909B30966478A168622D1D80E240002534C93710000</t>
  </si>
  <si>
    <t>content chatgpt post</t>
  </si>
  <si>
    <t>id=3774639142</t>
  </si>
  <si>
    <t>00000000A6C727E4353C314FBD93409EF639422707000D702909B30966478A168622D1D80E2400000000010D00000D702909B30966478A168622D1D80E240002534C93720000</t>
  </si>
  <si>
    <t>pipeline calc</t>
  </si>
  <si>
    <t>00000000A6C727E4353C314FBD93409EF639422707000D702909B30966478A168622D1D80E2400000000010D00000D702909B30966478A168622D1D80E24000265337BF60000</t>
  </si>
  <si>
    <t>pipeline value</t>
  </si>
  <si>
    <t>00000000A6C727E4353C314FBD93409EF639422707000D702909B30966478A168622D1D80E2400000000010D00000D702909B30966478A168622D1D80E24000265337BF50000</t>
  </si>
  <si>
    <t>00000000A6C727E4353C314FBD93409EF639422707000D702909B30966478A168622D1D80E2400000000010D00000D702909B30966478A168622D1D80E24000265337BF40000</t>
  </si>
  <si>
    <t>00000000A6C727E4353C314FBD93409EF639422707000D702909B30966478A168622D1D80E2400000000010D00000D702909B30966478A168622D1D80E24000265337BF30000</t>
  </si>
  <si>
    <t>Velox | Flylance - Partnership Discussion</t>
  </si>
  <si>
    <t>https://us06web.zoom.us/j/84179856430</t>
  </si>
  <si>
    <t>tim@flylance.com,Jackson Blankenship,Jon Butler,Jason Yan,anthony@flylance.com,Neto</t>
  </si>
  <si>
    <t>00000000A6C727E4353C314FBD93409EF639422707000D702909B30966478A168622D1D80E2400000000010D00000D702909B30966478A168622D1D80E240002C2509D830000</t>
  </si>
  <si>
    <t>rbc docs</t>
  </si>
  <si>
    <t>00000000A6C727E4353C314FBD93409EF639422707000D702909B30966478A168622D1D80E2400000000010D00000D702909B30966478A168622D1D80E24000265337BF20000</t>
  </si>
  <si>
    <t>00000000A6C727E4353C314FBD93409EF639422707000D702909B30966478A168622D1D80E2400000000010D00000D702909B30966478A168622D1D80E24000265337BF10000</t>
  </si>
  <si>
    <t>00000000A6C727E4353C314FBD93409EF639422707000D702909B30966478A168622D1D80E2400000000010D00000D702909B30966478A168622D1D80E24000265337BF00000</t>
  </si>
  <si>
    <t>MLP pricing discussions</t>
  </si>
  <si>
    <t>00000000A6C727E4353C314FBD93409EF639422707000D702909B30966478A168622D1D80E2400000000010D00000D702909B30966478A168622D1D80E24000265337BEF0000</t>
  </si>
  <si>
    <t>00000000A6C727E4353C314FBD93409EF639422707000D702909B30966478A168622D1D80E2400000000010D00000D702909B30966478A168622D1D80E24000265337BEE0000</t>
  </si>
  <si>
    <t>00000000A6C727E4353C314FBD93409EF639422707000D702909B30966478A168622D1D80E2400000000010D00000D702909B30966478A168622D1D80E24000265337BED0000</t>
  </si>
  <si>
    <t>00000000A6C727E4353C314FBD93409EF639422707000D702909B30966478A168622D1D80E2400000000010D00000D702909B30966478A168622D1D80E24000265337BEC0000</t>
  </si>
  <si>
    <t>Jon/Andy - Sync ahead of combined Solutions meeting</t>
  </si>
  <si>
    <t>00000000A6C727E4353C314FBD93409EF639422707000D702909B30966478A168622D1D80E2400000000010D00000D702909B30966478A168622D1D80E24000265337BEB0000</t>
  </si>
  <si>
    <t>Discussion Velox solutions opportunities</t>
  </si>
  <si>
    <t>Jon Butler,Greg Cooper,Mohamed Arkate,Neto,Andy Browning,Andrea Pirino</t>
  </si>
  <si>
    <t>00000000A6C727E4353C314FBD93409EF639422707000D702909B30966478A168622D1D80E2400000000010D00000D702909B30966478A168622D1D80E24000265337BEA0000</t>
  </si>
  <si>
    <t>jon/ansgar</t>
  </si>
  <si>
    <t>00000000A6C727E4353C314FBD93409EF639422707000D702909B30966478A168622D1D80E2400000000010D00000D702909B30966478A168622D1D80E24000265337BE80000</t>
  </si>
  <si>
    <t>piopeline value</t>
  </si>
  <si>
    <t>00000000A6C727E4353C314FBD93409EF639422707000D702909B30966478A168622D1D80E2400000000010D00000D702909B30966478A168622D1D80E24000265337BE70000</t>
  </si>
  <si>
    <t>00000000A6C727E4353C314FBD93409EF639422707000D702909B30966478A168622D1D80E2400000000010D00000D702909B30966478A168622D1D80E24000265337BE60000</t>
  </si>
  <si>
    <t>00000000A6C727E4353C314FBD93409EF639422707000D702909B30966478A168622D1D80E2400000000010D00000D702909B30966478A168622D1D80E24000265337BE50000</t>
  </si>
  <si>
    <t>00000000A6C727E4353C314FBD93409EF639422707000D702909B30966478A168622D1D80E2400000000010D00000D702909B30966478A168622D1D80E24000265337BE40000</t>
  </si>
  <si>
    <t>00000000A6C727E4353C314FBD93409EF639422707000D702909B30966478A168622D1D80E2400000000010D00000D702909B30966478A168622D1D80E24000265337BE30000</t>
  </si>
  <si>
    <t>alison / ghco and meeting summaries</t>
  </si>
  <si>
    <t>00000000A6C727E4353C314FBD93409EF639422707000D702909B30966478A168622D1D80E2400000000010D00000D702909B30966478A168622D1D80E24000265337BE20000</t>
  </si>
  <si>
    <t>pipeline val</t>
  </si>
  <si>
    <t>00000000A6C727E4353C314FBD93409EF639422707000D702909B30966478A168622D1D80E2400000000010D00000D702909B30966478A168622D1D80E24000265337BE10000</t>
  </si>
  <si>
    <t>RBC</t>
  </si>
  <si>
    <t>00000000A6C727E4353C314FBD93409EF639422707000D702909B30966478A168622D1D80E2400000000010D00000D702909B30966478A168622D1D80E24000265337BE00000</t>
  </si>
  <si>
    <t>00000000A6C727E4353C314FBD93409EF639422707000D702909B30966478A168622D1D80E2400000000010D00000D702909B30966478A168622D1D80E24000265337BDF0000</t>
  </si>
  <si>
    <t>alison / pipeline valuer</t>
  </si>
  <si>
    <t>Sales Proc Support^ Sales opp support</t>
  </si>
  <si>
    <t>00000000A6C727E4353C314FBD93409EF639422707000D702909B30966478A168622D1D80E2400000000010D00000D702909B30966478A168622D1D80E24000265337BDE0000</t>
  </si>
  <si>
    <t>pieplien value</t>
  </si>
  <si>
    <t>00000000A6C727E4353C314FBD93409EF639422707000D702909B30966478A168622D1D80E2400000000010D00000D702909B30966478A168622D1D80E24000265337BDC0000</t>
  </si>
  <si>
    <t>aljazera prep</t>
  </si>
  <si>
    <t>00000000A6C727E4353C314FBD93409EF639422707000D702909B30966478A168622D1D80E2400000000010D00000D702909B30966478A168622D1D80E24000265337BDB0000</t>
  </si>
  <si>
    <t>al jazira prep</t>
  </si>
  <si>
    <t>00000000A6C727E4353C314FBD93409EF639422707000D702909B30966478A168622D1D80E2400000000010D00000D702909B30966478A168622D1D80E24000265337BDA0000</t>
  </si>
  <si>
    <t>00000000A6C727E4353C314FBD93409EF639422707000D702909B30966478A168622D1D80E2400000000010D00000D702909B30966478A168622D1D80E24000265337BD90000</t>
  </si>
  <si>
    <t>piepline value</t>
  </si>
  <si>
    <t>00000000A6C727E4353C314FBD93409EF639422707000D702909B30966478A168622D1D80E2400000000010D00000D702909B30966478A168622D1D80E24000265337BD80000</t>
  </si>
  <si>
    <t>00000000A6C727E4353C314FBD93409EF639422707000D702909B30966478A168622D1D80E2400000000010D00000D702909B30966478A168622D1D80E24000265337BD70000</t>
  </si>
  <si>
    <t>Aljazira Capital - Velox technology deep dive</t>
  </si>
  <si>
    <t>https://veloxfintech.zoom.us/j/83729109179?pwd=UUI3QTEvZU9TNWJ5SWxQUE5WYWh3UT09</t>
  </si>
  <si>
    <t>Mohamed Arkate,Mohammed Ahmed Ali Elian,Alaa Abutabaq,Jon Butler</t>
  </si>
  <si>
    <t>00000000A6C727E4353C314FBD93409EF639422707000D702909B30966478A168622D1D80E2400000000010D00000D702909B30966478A168622D1D80E24000265337BDD0000</t>
  </si>
  <si>
    <t>00000000A6C727E4353C314FBD93409EF639422707000D702909B30966478A168622D1D80E2400000000010D00000D702909B30966478A168622D1D80E24000265337BD60000</t>
  </si>
  <si>
    <t>mum+medical</t>
  </si>
  <si>
    <t>00000000A6C727E4353C314FBD93409EF639422707000D702909B30966478A168622D1D80E2400000000010D00000D702909B30966478A168622D1D80E24000265337BD50000</t>
  </si>
  <si>
    <t>00000000A6C727E4353C314FBD93409EF639422707000D702909B30966478A168622D1D80E2400000000010D00000D702909B30966478A168622D1D80E24000265337BD40000</t>
  </si>
  <si>
    <t>JB ANNUAL MRI</t>
  </si>
  <si>
    <t>Beekman St. 730am arrival time 845 finish</t>
  </si>
  <si>
    <t>Jon Butler,Nancy Butler</t>
  </si>
  <si>
    <t>00000000A6C727E4353C314FBD93409EF639422707000D702909B30966478A168622D1D80E2400000000010D00000D702909B30966478A168622D1D80E24000265337BD30000</t>
  </si>
  <si>
    <t xml:space="preserve">pipeline val </t>
  </si>
  <si>
    <t>00000000A6C727E4353C314FBD93409EF639422707000D702909B30966478A168622D1D80E2400000000010D00000D702909B30966478A168622D1D80E24000265337BD20000</t>
  </si>
  <si>
    <t>pipeline valuat</t>
  </si>
  <si>
    <t>00000000A6C727E4353C314FBD93409EF639422707000D702909B30966478A168622D1D80E2400000000010D00000D702909B30966478A168622D1D80E24000265337BD10000</t>
  </si>
  <si>
    <t>pipeline valuation</t>
  </si>
  <si>
    <t>00000000A6C727E4353C314FBD93409EF639422707000D702909B30966478A168622D1D80E2400000000010D00000D702909B30966478A168622D1D80E24000265337BD00000</t>
  </si>
  <si>
    <t>pipeine</t>
  </si>
  <si>
    <t>00000000A6C727E4353C314FBD93409EF639422707000D702909B30966478A168622D1D80E2400000000010D00000D702909B30966478A168622D1D80E24000265337BCF0000</t>
  </si>
  <si>
    <t>00000000A6C727E4353C314FBD93409EF639422707000D702909B30966478A168622D1D80E2400000000010D00000D702909B30966478A168622D1D80E24000265337BCE0000</t>
  </si>
  <si>
    <t>00000000A6C727E4353C314FBD93409EF639422707000D702909B30966478A168622D1D80E2400000000010D00000D702909B30966478A168622D1D80E24000265337BCD0000</t>
  </si>
  <si>
    <t>00000000A6C727E4353C314FBD93409EF639422707000D702909B30966478A168622D1D80E2400000000010D00000D702909B30966478A168622D1D80E24000265337BCC0000</t>
  </si>
  <si>
    <t>Ali monday / capsule integration</t>
  </si>
  <si>
    <t>00000000A6C727E4353C314FBD93409EF639422707000D702909B30966478A168622D1D80E2400000000010D00000D702909B30966478A168622D1D80E24000265337BCB0000</t>
  </si>
  <si>
    <t>00000000A6C727E4353C314FBD93409EF639422707000D702909B30966478A168622D1D80E2400000000010D00000D702909B30966478A168622D1D80E24000265337BCA0000</t>
  </si>
  <si>
    <t>Meeting notes</t>
  </si>
  <si>
    <t>00000000A6C727E4353C314FBD93409EF639422707000D702909B30966478A168622D1D80E2400000000010D00000D702909B30966478A168622D1D80E24000265337BC90000</t>
  </si>
  <si>
    <t>chris setup website changes</t>
  </si>
  <si>
    <t>00000000A6C727E4353C314FBD93409EF639422707000D702909B30966478A168622D1D80E2400000000010D00000D702909B30966478A168622D1D80E24000265337BC80000</t>
  </si>
  <si>
    <t>ETF demo's</t>
  </si>
  <si>
    <t>00000000A6C727E4353C314FBD93409EF639422707000D702909B30966478A168622D1D80E2400000000010D00000D702909B30966478A168622D1D80E24000265337BC70000</t>
  </si>
  <si>
    <t>website training</t>
  </si>
  <si>
    <t>00000000A6C727E4353C314FBD93409EF639422707000D702909B30966478A168622D1D80E2400000000010D00000D702909B30966478A168622D1D80E24000265337BC60000</t>
  </si>
  <si>
    <t>chris review</t>
  </si>
  <si>
    <t>00000000A6C727E4353C314FBD93409EF639422707000D702909B30966478A168622D1D80E2400000000010D00000D702909B30966478A168622D1D80E24000265337BC50000</t>
  </si>
  <si>
    <t>id=3784867171</t>
  </si>
  <si>
    <t>00000000A6C727E4353C314FBD93409EF639422707000D702909B30966478A168622D1D80E2400000000010D00000D702909B30966478A168622D1D80E24000265337BC40000</t>
  </si>
  <si>
    <t>general admin; monday tools; post chaser; emails</t>
  </si>
  <si>
    <t>00000000A6C727E4353C314FBD93409EF639422707000D702909B30966478A168622D1D80E2400000000010D00000D702909B30966478A168622D1D80E24000265337BC30000</t>
  </si>
  <si>
    <t>00000000A6C727E4353C314FBD93409EF639422707000D702909B30966478A168622D1D80E2400000000010D00000D702909B30966478A168622D1D80E24000265337BC20000</t>
  </si>
  <si>
    <t>00000000A6C727E4353C314FBD93409EF639422707000D702909B30966478A168622D1D80E2400000000010D00000D702909B30966478A168622D1D80E24000265337BC10000</t>
  </si>
  <si>
    <t>Velox/Finsemble - Technical discussion about EXCEL integration</t>
  </si>
  <si>
    <t>Jon Butler,Jason Yan,Jim Bunting</t>
  </si>
  <si>
    <t>00000000A6C727E4353C314FBD93409EF639422707000D702909B30966478A168622D1D80E2400000000010D00000D702909B30966478A168622D1D80E24000265337BC00000</t>
  </si>
  <si>
    <t>Intro to Velox for Chris Raybould/RBCCM</t>
  </si>
  <si>
    <t>Jon Butler,Chris.raybould@rbccm.com,Mohamed Arkate</t>
  </si>
  <si>
    <t>00000000A6C727E4353C314FBD93409EF639422707000D702909B30966478A168622D1D80E2400000000010D00000D702909B30966478A168622D1D80E24000265337BBF0000</t>
  </si>
  <si>
    <t>00000000A6C727E4353C314FBD93409EF639422707000D702909B30966478A168622D1D80E2400000000010D00000D702909B30966478A168622D1D80E24000265337BBE0000</t>
  </si>
  <si>
    <t>00000000A6C727E4353C314FBD93409EF639422707000D702909B30966478A168622D1D80E2400000000010D00000D702909B30966478A168622D1D80E24000265337BBD0000</t>
  </si>
  <si>
    <t>piepline calc</t>
  </si>
  <si>
    <t>id=3835515147</t>
  </si>
  <si>
    <t>00000000A6C727E4353C314FBD93409EF639422707000D702909B30966478A168622D1D80E2400000000010D00000D702909B30966478A168622D1D80E24000265337BFB0000</t>
  </si>
  <si>
    <t>00000000A6C727E4353C314FBD93409EF639422707000D702909B30966478A168622D1D80E2400000000010D00000D702909B30966478A168622D1D80E24000265337BFA0000</t>
  </si>
  <si>
    <t>00000000A6C727E4353C314FBD93409EF639422707000D702909B30966478A168622D1D80E2400000000010D00000D702909B30966478A168622D1D80E24000265337BF90000</t>
  </si>
  <si>
    <t>00000000A6C727E4353C314FBD93409EF639422707000D702909B30966478A168622D1D80E2400000000010D00000D702909B30966478A168622D1D80E24000265337BF80000</t>
  </si>
  <si>
    <t>pipe value</t>
  </si>
  <si>
    <t>00000000A6C727E4353C314FBD93409EF639422707000D702909B30966478A168622D1D80E2400000000010D00000D702909B30966478A168622D1D80E24000265337BF70000</t>
  </si>
  <si>
    <t>veloxfintech.com/docs update</t>
  </si>
  <si>
    <t>00000000A6C727E4353C314FBD93409EF639422707000D702909B30966478A168622D1D80E2400000000010D00000D702909B30966478A168622D1D80E24000265337BFC0000</t>
  </si>
  <si>
    <t>docs update</t>
  </si>
  <si>
    <t>00000000A6C727E4353C314FBD93409EF639422707000D702909B30966478A168622D1D80E2400000000010D00000D702909B30966478A168622D1D80E24000265337BFD0000</t>
  </si>
  <si>
    <t>00000000A6C727E4353C314FBD93409EF639422707000D702909B30966478A168622D1D80E2400000000010D00000D702909B30966478A168622D1D80E24000265337BFE0000</t>
  </si>
  <si>
    <t>content for newsletter</t>
  </si>
  <si>
    <t>00000000A6C727E4353C314FBD93409EF639422707000D702909B30966478A168622D1D80E2400000000010D00000D702909B30966478A168622D1D80E24000265337C1B0000</t>
  </si>
  <si>
    <t>chris/alison</t>
  </si>
  <si>
    <t>00000000A6C727E4353C314FBD93409EF639422707000D702909B30966478A168622D1D80E2400000000010D00000D702909B30966478A168622D1D80E24000265337C1A0000</t>
  </si>
  <si>
    <t>team meeting prep</t>
  </si>
  <si>
    <t>00000000A6C727E4353C314FBD93409EF639422707000D702909B30966478A168622D1D80E2400000000010D00000D702909B30966478A168622D1D80E24000265337C180000</t>
  </si>
  <si>
    <t>Velox Tech Deep-dive for RBC EQ</t>
  </si>
  <si>
    <t>Jon Butler,Chris.raybould@rbccm.com,Mohamed Arkate,Jason Yan</t>
  </si>
  <si>
    <t>00000000A6C727E4353C314FBD93409EF639422707000D702909B30966478A168622D1D80E2400000000010D00000D702909B30966478A168622D1D80E24000265337C170000</t>
  </si>
  <si>
    <t>00000000A6C727E4353C314FBD93409EF639422707000D702909B30966478A168622D1D80E2400000000010D00000D702909B30966478A168622D1D80E24000265337C160000</t>
  </si>
  <si>
    <t>00000000A6C727E4353C314FBD93409EF639422707000D702909B30966478A168622D1D80E2400000000010D00000D702909B30966478A168622D1D80E24000265337C150000</t>
  </si>
  <si>
    <t>posting / newsletter</t>
  </si>
  <si>
    <t>00000000A6C727E4353C314FBD93409EF639422707000D702909B30966478A168622D1D80E2400000000010D00000D702909B30966478A168622D1D80E24000265337C140000</t>
  </si>
  <si>
    <t>Corporate Action discussion</t>
  </si>
  <si>
    <t>Bernie Thurston,Douglas Varney,Jon Butler,Jason Yan</t>
  </si>
  <si>
    <t>Bernie Thurston</t>
  </si>
  <si>
    <t>00000000A6C727E4353C314FBD93409EF639422707000D702909B30966478A168622D1D80E2400000000010D00000D702909B30966478A168622D1D80E240002C39B85170000</t>
  </si>
  <si>
    <t>posrt</t>
  </si>
  <si>
    <t>00000000A6C727E4353C314FBD93409EF639422707000D702909B30966478A168622D1D80E2400000000010D00000D702909B30966478A168622D1D80E24000265337C130000</t>
  </si>
  <si>
    <t>00000000A6C727E4353C314FBD93409EF639422707000D702909B30966478A168622D1D80E2400000000010D00000D702909B30966478A168622D1D80E24000265337C120000</t>
  </si>
  <si>
    <t>00000000A6C727E4353C314FBD93409EF639422707000D702909B30966478A168622D1D80E2400000000010D00000D702909B30966478A168622D1D80E24000265337C110000</t>
  </si>
  <si>
    <t>Jason / joachim email</t>
  </si>
  <si>
    <t>00000000A6C727E4353C314FBD93409EF639422707000D702909B30966478A168622D1D80E2400000000010D00000D702909B30966478A168622D1D80E24000265337C100000</t>
  </si>
  <si>
    <t>emails chathcup</t>
  </si>
  <si>
    <t>00000000A6C727E4353C314FBD93409EF639422707000D702909B30966478A168622D1D80E2400000000010D00000D702909B30966478A168622D1D80E24000265337C0F0000</t>
  </si>
  <si>
    <t>solutions</t>
  </si>
  <si>
    <t>00000000A6C727E4353C314FBD93409EF639422707000D702909B30966478A168622D1D80E2400000000010D00000D702909B30966478A168622D1D80E24000265337C0D0000</t>
  </si>
  <si>
    <t>ali post</t>
  </si>
  <si>
    <t>00000000A6C727E4353C314FBD93409EF639422707000D702909B30966478A168622D1D80E2400000000010D00000D702909B30966478A168622D1D80E24000265337C0C0000</t>
  </si>
  <si>
    <t>00000000A6C727E4353C314FBD93409EF639422707000D702909B30966478A168622D1D80E2400000000010D00000D702909B30966478A168622D1D80E24000265337C0A0000</t>
  </si>
  <si>
    <t>jon / neto</t>
  </si>
  <si>
    <t>00000000A6C727E4353C314FBD93409EF639422707000D702909B30966478A168622D1D80E2400000000010D00000D702909B30966478A168622D1D80E24000265337C090000</t>
  </si>
  <si>
    <t>00000000A6C727E4353C314FBD93409EF639422707000D702909B30966478A168622D1D80E2400000000010D00000D702909B30966478A168622D1D80E24000265337C080000</t>
  </si>
  <si>
    <t>mo prep for SNB</t>
  </si>
  <si>
    <t>00000000A6C727E4353C314FBD93409EF639422707000D702909B30966478A168622D1D80E2400000000010D00000D702909B30966478A168622D1D80E24000265337C070000</t>
  </si>
  <si>
    <t>rocket reach email address validity and company names</t>
  </si>
  <si>
    <t>00000000A6C727E4353C314FBD93409EF639422707000D702909B30966478A168622D1D80E2400000000010D00000D702909B30966478A168622D1D80E24000265337C060000</t>
  </si>
  <si>
    <t>respond to chris at RBC</t>
  </si>
  <si>
    <t>00000000A6C727E4353C314FBD93409EF639422707000D702909B30966478A168622D1D80E2400000000010D00000D702909B30966478A168622D1D80E24000265337C050000</t>
  </si>
  <si>
    <t>00000000A6C727E4353C314FBD93409EF639422707000D702909B30966478A168622D1D80E2400000000010D00000D702909B30966478A168622D1D80E24000265337C040000</t>
  </si>
  <si>
    <t>pieplien calc</t>
  </si>
  <si>
    <t>00000000A6C727E4353C314FBD93409EF639422707000D702909B30966478A168622D1D80E2400000000010D00000D702909B30966478A168622D1D80E24000265337C030000</t>
  </si>
  <si>
    <t>00000000A6C727E4353C314FBD93409EF639422707000D702909B30966478A168622D1D80E2400000000010D00000D702909B30966478A168622D1D80E24000265337C020000</t>
  </si>
  <si>
    <t>pipeline calc adding in number of emails</t>
  </si>
  <si>
    <t>00000000A6C727E4353C314FBD93409EF639422707000D702909B30966478A168622D1D80E2400000000010D00000D702909B30966478A168622D1D80E24000265337C010000</t>
  </si>
  <si>
    <t>00000000A6C727E4353C314FBD93409EF639422707000D702909B30966478A168622D1D80E2400000000010D00000D702909B30966478A168622D1D80E24000265337C000000</t>
  </si>
  <si>
    <t>00000000A6C727E4353C314FBD93409EF639422707000D702909B30966478A168622D1D80E2400000000010D00000D702909B30966478A168622D1D80E24000265337BFF0000</t>
  </si>
  <si>
    <t>Velox / Low Code Analyst 1 on 1 (Ref# 15427580)</t>
  </si>
  <si>
    <t>00000000A6C727E4353C314FBD93409EF639422707000D702909B30966478A168622D1D80E2400000000010D00000D702909B30966478A168622D1D80E24000265337C190000</t>
  </si>
  <si>
    <t>prep for RBC</t>
  </si>
  <si>
    <t>00000000A6C727E4353C314FBD93409EF639422707000D702909B30966478A168622D1D80E2400000000010D00000D702909B30966478A168622D1D80E24000265337C240000</t>
  </si>
  <si>
    <t>dev focus content</t>
  </si>
  <si>
    <t>00000000A6C727E4353C314FBD93409EF639422707000D702909B30966478A168622D1D80E2400000000010D00000D702909B30966478A168622D1D80E24000265337C230000</t>
  </si>
  <si>
    <t>00000000A6C727E4353C314FBD93409EF639422707000D702909B30966478A168622D1D80E2400000000010D00000D702909B30966478A168622D1D80E24000265337C220000</t>
  </si>
  <si>
    <t>00000000A6C727E4353C314FBD93409EF639422707000D702909B30966478A168622D1D80E2400000000010D00000D702909B30966478A168622D1D80E24000265337C210000</t>
  </si>
  <si>
    <t>GHCO contract</t>
  </si>
  <si>
    <t>00000000A6C727E4353C314FBD93409EF639422707000D702909B30966478A168622D1D80E2400000000010D00000D702909B30966478A168622D1D80E24000265337C200000</t>
  </si>
  <si>
    <t>ali content</t>
  </si>
  <si>
    <t>00000000A6C727E4353C314FBD93409EF639422707000D702909B30966478A168622D1D80E2400000000010D00000D702909B30966478A168622D1D80E24000265337C1F0000</t>
  </si>
  <si>
    <t>00000000A6C727E4353C314FBD93409EF639422707000D702909B30966478A168622D1D80E2400000000010D00000D702909B30966478A168622D1D80E24000265337C1D0000</t>
  </si>
  <si>
    <t>ali and newslteer</t>
  </si>
  <si>
    <t>00000000A6C727E4353C314FBD93409EF639422707000D702909B30966478A168622D1D80E2400000000010D00000D702909B30966478A168622D1D80E24000265337C1C0000</t>
  </si>
  <si>
    <t>Velox Follow up - UI Demo and Telemetry</t>
  </si>
  <si>
    <t>1NYP Conf Room 11-J | https://morganstanley.zoom.us/j/5734220379</t>
  </si>
  <si>
    <t>Ankush.R.Jain@morganstanley.com,Venkatachalam, Thiru,Ali Moosavi,Jon Butler</t>
  </si>
  <si>
    <t>Jain, Ankush</t>
  </si>
  <si>
    <t>00000000A6C727E4353C314FBD93409EF639422707000D702909B30966478A168622D1D80E2400000000010D00000D702909B30966478A168622D1D80E24000265337C260000</t>
  </si>
  <si>
    <t>meeting notes \ web monitoring</t>
  </si>
  <si>
    <t>00000000A6C727E4353C314FBD93409EF639422707000D702909B30966478A168622D1D80E2400000000010D00000D702909B30966478A168622D1D80E24000265337C2D0000</t>
  </si>
  <si>
    <t>ghco / web monitoring / rbc notes</t>
  </si>
  <si>
    <t>00000000A6C727E4353C314FBD93409EF639422707000D702909B30966478A168622D1D80E2400000000010D00000D702909B30966478A168622D1D80E24000265337C2C0000</t>
  </si>
  <si>
    <t>00000000A6C727E4353C314FBD93409EF639422707000D702909B30966478A168622D1D80E2400000000010D00000D702909B30966478A168622D1D80E24000265337C2B0000</t>
  </si>
  <si>
    <t>00000000A6C727E4353C314FBD93409EF639422707000D702909B30966478A168622D1D80E2400000000010D00000D702909B30966478A168622D1D80E24000265337C2A0000</t>
  </si>
  <si>
    <t>00000000A6C727E4353C314FBD93409EF639422707000D702909B30966478A168622D1D80E2400000000010D00000D702909B30966478A168622D1D80E24000265337C290000</t>
  </si>
  <si>
    <t>Jon/Drew</t>
  </si>
  <si>
    <t>Jon's zoom</t>
  </si>
  <si>
    <t>Jason Yan,Jon Butler</t>
  </si>
  <si>
    <t>Jason Yan</t>
  </si>
  <si>
    <t>00000000A6C727E4353C314FBD93409EF639422707000D702909B30966478A168622D1D80E2400000000010D00000D702909B30966478A168622D1D80E240002C564C6270000</t>
  </si>
  <si>
    <t>00000000A6C727E4353C314FBD93409EF639422707000D702909B30966478A168622D1D80E2400000000010D00000D702909B30966478A168622D1D80E24000265337C280000</t>
  </si>
  <si>
    <t>apache log reading</t>
  </si>
  <si>
    <t>00000000A6C727E4353C314FBD93409EF639422707000D702909B30966478A168622D1D80E2400000000010D00000D702909B30966478A168622D1D80E24000265337C270000</t>
  </si>
  <si>
    <t>00000000A6C727E4353C314FBD93409EF639422707000D702909B30966478A168622D1D80E2400000000010D00000D702909B30966478A168622D1D80E240002534C93730000</t>
  </si>
  <si>
    <t>00000000A6C727E4353C314FBD93409EF639422707000D702909B30966478A168622D1D80E2400000000010D00000D702909B30966478A168622D1D80E240002534C93740000</t>
  </si>
  <si>
    <t>00000000A6C727E4353C314FBD93409EF639422707000D702909B30966478A168622D1D80E2400000000010D00000D702909B30966478A168622D1D80E240002534C93750000</t>
  </si>
  <si>
    <t>JPMC/Velox follow up - Jon update</t>
  </si>
  <si>
    <t>https://veloxfintech.zoom.us/j/88406335068?pwd=ejRCbTVFMEFjVkdUWXNxbUpEMXdlZz09&amp;from=addon</t>
  </si>
  <si>
    <t>Ali Moosavi,De Lotto, Arthur,Jon Butler</t>
  </si>
  <si>
    <t>00000000A6C727E4353C314FBD93409EF639422707000D702909B30966478A168622D1D80E2400000000010D00000D702909B30966478A168622D1D80E240002C5E0E7C00000</t>
  </si>
  <si>
    <t>Neto / Jason</t>
  </si>
  <si>
    <t>00000000A6C727E4353C314FBD93409EF639422707000D702909B30966478A168622D1D80E2400000000010D00000D702909B30966478A168622D1D80E24000265337C450000</t>
  </si>
  <si>
    <t>00000000A6C727E4353C314FBD93409EF639422707000D702909B30966478A168622D1D80E2400000000010D00000D702909B30966478A168622D1D80E24000265337C440000</t>
  </si>
  <si>
    <t>00000000A6C727E4353C314FBD93409EF639422707000D702909B30966478A168622D1D80E2400000000010D00000D702909B30966478A168622D1D80E24000265337C420000</t>
  </si>
  <si>
    <t>sergio</t>
  </si>
  <si>
    <t>00000000A6C727E4353C314FBD93409EF639422707000D702909B30966478A168622D1D80E2400000000010D00000D702909B30966478A168622D1D80E24000265337C410000</t>
  </si>
  <si>
    <t>00000000A6C727E4353C314FBD93409EF639422707000D702909B30966478A168622D1D80E2400000000010D00000D702909B30966478A168622D1D80E24000265337C400000</t>
  </si>
  <si>
    <t>sales over run</t>
  </si>
  <si>
    <t>00000000A6C727E4353C314FBD93409EF639422707000D702909B30966478A168622D1D80E2400000000010D00000D702909B30966478A168622D1D80E24000265337C3F0000</t>
  </si>
  <si>
    <t>00000000A6C727E4353C314FBD93409EF639422707000D702909B30966478A168622D1D80E2400000000010D00000D702909B30966478A168622D1D80E24000265337C3E0000</t>
  </si>
  <si>
    <t>00000000A6C727E4353C314FBD93409EF639422707000D702909B30966478A168622D1D80E2400000000010D00000D702909B30966478A168622D1D80E24000265337C3D0000</t>
  </si>
  <si>
    <t>pipeline history</t>
  </si>
  <si>
    <t>00000000A6C727E4353C314FBD93409EF639422707000D702909B30966478A168622D1D80E2400000000010D00000D702909B30966478A168622D1D80E24000265337C3C0000</t>
  </si>
  <si>
    <t>00000000A6C727E4353C314FBD93409EF639422707000D702909B30966478A168622D1D80E2400000000010D00000D702909B30966478A168622D1D80E24000265337C3B0000</t>
  </si>
  <si>
    <t>Jon/Sergio - Velox Intro</t>
  </si>
  <si>
    <t>Jon Butler,sercap@amazon.com</t>
  </si>
  <si>
    <t>00000000A6C727E4353C314FBD93409EF639422707000D702909B30966478A168622D1D80E2400000000010D00000D702909B30966478A168622D1D80E24000265337C3A0000</t>
  </si>
  <si>
    <t>piepline history</t>
  </si>
  <si>
    <t>00000000A6C727E4353C314FBD93409EF639422707000D702909B30966478A168622D1D80E2400000000010D00000D702909B30966478A168622D1D80E24000265337C390000</t>
  </si>
  <si>
    <t xml:space="preserve">Jon | Quantum </t>
  </si>
  <si>
    <t>Iain Greer,Jon Butler,Trey Harvin,Paul Arber</t>
  </si>
  <si>
    <t>Iain Greer</t>
  </si>
  <si>
    <t>00000000A6C727E4353C314FBD93409EF639422707000D702909B30966478A168622D1D80E2400000000010D00000D702909B30966478A168622D1D80E24000265337C380000</t>
  </si>
  <si>
    <t>00000000A6C727E4353C314FBD93409EF639422707000D702909B30966478A168622D1D80E2400000000010D00000D702909B30966478A168622D1D80E24000265337C370000</t>
  </si>
  <si>
    <t>00000000A6C727E4353C314FBD93409EF639422707000D702909B30966478A168622D1D80E2400000000010D00000D702909B30966478A168622D1D80E24000265337C360000</t>
  </si>
  <si>
    <t>00000000A6C727E4353C314FBD93409EF639422707000D702909B30966478A168622D1D80E2400000000010D00000D702909B30966478A168622D1D80E24000265337C350000</t>
  </si>
  <si>
    <t>00000000A6C727E4353C314FBD93409EF639422707000D702909B30966478A168622D1D80E2400000000010D00000D702909B30966478A168622D1D80E24000265337C340000</t>
  </si>
  <si>
    <t>00000000A6C727E4353C314FBD93409EF639422707000D702909B30966478A168622D1D80E2400000000010D00000D702909B30966478A168622D1D80E24000265337C330000</t>
  </si>
  <si>
    <t>alison / sales pipeline</t>
  </si>
  <si>
    <t>00000000A6C727E4353C314FBD93409EF639422707000D702909B30966478A168622D1D80E2400000000010D00000D702909B30966478A168622D1D80E24000265337C320000</t>
  </si>
  <si>
    <t>00000000A6C727E4353C314FBD93409EF639422707000D702909B30966478A168622D1D80E2400000000010D00000D702909B30966478A168622D1D80E24000265337C310000</t>
  </si>
  <si>
    <t>00000000A6C727E4353C314FBD93409EF639422707000D702909B30966478A168622D1D80E2400000000010D00000D702909B30966478A168622D1D80E24000265337C300000</t>
  </si>
  <si>
    <t>00000000A6C727E4353C314FBD93409EF639422707000D702909B30966478A168622D1D80E2400000000010D00000D702909B30966478A168622D1D80E24000265337C2E0000</t>
  </si>
  <si>
    <t>Jon &amp; Richard</t>
  </si>
  <si>
    <t>https://us06web.zoom.us/j/9462091926?pwd=OUpaMWxUOXcvT0VrVHMwOXh5ZVE3UT09</t>
  </si>
  <si>
    <t>rik.maile@gmail.com,Jon Butler</t>
  </si>
  <si>
    <t>rik.maile@gmail.com</t>
  </si>
  <si>
    <t>00000000A6C727E4353C314FBD93409EF639422707000D702909B30966478A168622D1D80E2400000000010D00000D702909B30966478A168622D1D80E24000265337C430000</t>
  </si>
  <si>
    <t>00000000A6C727E4353C314FBD93409EF639422707000D702909B30966478A168622D1D80E2400000000010D00000D702909B30966478A168622D1D80E24000265337C490000</t>
  </si>
  <si>
    <t>chinese new year</t>
  </si>
  <si>
    <t>00000000A6C727E4353C314FBD93409EF639422707000D702909B30966478A168622D1D80E2400000000010D00000D702909B30966478A168622D1D80E24000265337C480000</t>
  </si>
  <si>
    <t>00000000A6C727E4353C314FBD93409EF639422707000D702909B30966478A168622D1D80E2400000000010D00000D702909B30966478A168622D1D80E24000265337C470000</t>
  </si>
  <si>
    <t>00000000A6C727E4353C314FBD93409EF639422707000D702909B30966478A168622D1D80E2400000000010D00000D702909B30966478A168622D1D80E24000265337C460000</t>
  </si>
  <si>
    <t>piepline val</t>
  </si>
  <si>
    <t>00000000A6C727E4353C314FBD93409EF639422707000D702909B30966478A168622D1D80E2400000000010D00000D702909B30966478A168622D1D80E24000265337C500000</t>
  </si>
  <si>
    <t>meeting summaries</t>
  </si>
  <si>
    <t>id=3890152537</t>
  </si>
  <si>
    <t>00000000A6C727E4353C314FBD93409EF639422707000D702909B30966478A168622D1D80E2400000000010D00000D702909B30966478A168622D1D80E24000265337C4F0000</t>
  </si>
  <si>
    <t>00000000A6C727E4353C314FBD93409EF639422707000D702909B30966478A168622D1D80E2400000000010D00000D702909B30966478A168622D1D80E24000265337C4E0000</t>
  </si>
  <si>
    <t>00000000A6C727E4353C314FBD93409EF639422707000D702909B30966478A168622D1D80E2400000000010D00000D702909B30966478A168622D1D80E24000265337C4D0000</t>
  </si>
  <si>
    <t>ali cg support</t>
  </si>
  <si>
    <t>00000000A6C727E4353C314FBD93409EF639422707000D702909B30966478A168622D1D80E2400000000010D00000D702909B30966478A168622D1D80E24000265337C4C0000</t>
  </si>
  <si>
    <t>00000000A6C727E4353C314FBD93409EF639422707000D702909B30966478A168622D1D80E2400000000010D00000D702909B30966478A168622D1D80E24000265337C4B0000</t>
  </si>
  <si>
    <t>calc guard suppoer ittuses</t>
  </si>
  <si>
    <t>00000000A6C727E4353C314FBD93409EF639422707000D702909B30966478A168622D1D80E2400000000010D00000D702909B30966478A168622D1D80E24000265337C4A0000</t>
  </si>
  <si>
    <t>JB ORLANDO FOR SPRING BREAK</t>
  </si>
  <si>
    <t>Jon Butler,Alison Hood,Jason Yan,Mohamed Arkate,Neto,Ali Moosavi</t>
  </si>
  <si>
    <t>00000000A6C727E4353C314FBD93409EF639422707000D702909B30966478A168622D1D80E2400000000010D00000D702909B30966478A168622D1D80E240002534C93760000</t>
  </si>
  <si>
    <t>JB READING AT MUNSEY PARK SCHOOL</t>
  </si>
  <si>
    <t>00000000A6C727E4353C314FBD93409EF639422707000D702909B30966478A168622D1D80E2400000000010D00000D702909B30966478A168622D1D80E240002534C93770000</t>
  </si>
  <si>
    <t>progress meeting - frances financial</t>
  </si>
  <si>
    <t>00000000A6C727E4353C314FBD93409EF639422707000D702909B30966478A168622D1D80E2400000000010D00000D702909B30966478A168622D1D80E240002534C93780000</t>
  </si>
  <si>
    <t>00000000A6C727E4353C314FBD93409EF639422707000D702909B30966478A168622D1D80E2400000000010D00000D702909B30966478A168622D1D80E24000265337C650000</t>
  </si>
  <si>
    <t>00000000A6C727E4353C314FBD93409EF639422707000D702909B30966478A168622D1D80E2400000000010D00000D702909B30966478A168622D1D80E24000265337C640000</t>
  </si>
  <si>
    <t>Jon/Mike - Catchup</t>
  </si>
  <si>
    <t>Jon Butler,Mike Powell,Mike Powell</t>
  </si>
  <si>
    <t>00000000A6C727E4353C314FBD93409EF639422707000D702909B30966478A168622D1D80E2400000000010D00000D702909B30966478A168622D1D80E24000265337C630000</t>
  </si>
  <si>
    <t>Placeholder to review slides for Arthur/JPMC</t>
  </si>
  <si>
    <t>00000000A6C727E4353C314FBD93409EF639422707000D702909B30966478A168622D1D80E2400000000010D00000D702909B30966478A168622D1D80E24000265337C620000</t>
  </si>
  <si>
    <t>Alison Skiing</t>
  </si>
  <si>
    <t>00000000A6C727E4353C314FBD93409EF639422707000D702909B30966478A168622D1D80E2400000000010D00000D702909B30966478A168622D1D80E240002C87AA15E0000</t>
  </si>
  <si>
    <t>00000000A6C727E4353C314FBD93409EF639422707000D702909B30966478A168622D1D80E2400000000010D00000D702909B30966478A168622D1D80E24000265337C600000</t>
  </si>
  <si>
    <t>Drew Gutstein / Velox tech deep-dive</t>
  </si>
  <si>
    <t>updating with Jasons Zoom : https://us06web.zoom.us/j/6278136607</t>
  </si>
  <si>
    <t>Jon Butler,drusifer@gmail.com,Jason Yan</t>
  </si>
  <si>
    <t>00000000A6C727E4353C314FBD93409EF639422707000D702909B30966478A168622D1D80E2400000000010D00000D702909B30966478A168622D1D80E24000265337C5F0000</t>
  </si>
  <si>
    <t>00000000A6C727E4353C314FBD93409EF639422707000D702909B30966478A168622D1D80E2400000000010D00000D702909B30966478A168622D1D80E24000265337C5E0000</t>
  </si>
  <si>
    <t>Jon/Andrea - Velox No Code</t>
  </si>
  <si>
    <t>Jon Butler,Andrea Pirino</t>
  </si>
  <si>
    <t>00000000A6C727E4353C314FBD93409EF639422707000D702909B30966478A168622D1D80E2400000000010D00000D702909B30966478A168622D1D80E24000265337C5C0000</t>
  </si>
  <si>
    <t>00000000A6C727E4353C314FBD93409EF639422707000D702909B30966478A168622D1D80E2400000000010D00000D702909B30966478A168622D1D80E24000265337C5B0000</t>
  </si>
  <si>
    <t>Velox / II Project Sync-up</t>
  </si>
  <si>
    <t>Jon Butler,David Melia,Neil Gower,Jason Yan,Stuart Bilton,Alison Hood,govind.jajoo,Myles Garbett,Adam Smith</t>
  </si>
  <si>
    <t>00000000A6C727E4353C314FBD93409EF639422707000D702909B30966478A168622D1D80E2400000000010D00000D702909B30966478A168622D1D80E24000265337C590000</t>
  </si>
  <si>
    <t>Go-To-Market Daily</t>
  </si>
  <si>
    <t>https://veloxfintech.zoom.us/my/buildfaster   id=2643862849</t>
  </si>
  <si>
    <t>Jon Butler,Alison Hood,Mike Wilkins</t>
  </si>
  <si>
    <t>00000000A6C727E4353C314FBD93409EF639422707000D702909B30966478A168622D1D80E2400000000010D00000D702909B30966478A168622D1D80E24000265337C570000</t>
  </si>
  <si>
    <t>00000000A6C727E4353C314FBD93409EF639422707000D702909B30966478A168622D1D80E2400000000010D00000D702909B30966478A168622D1D80E24000265337C560000</t>
  </si>
  <si>
    <t>pipelince calc</t>
  </si>
  <si>
    <t>00000000A6C727E4353C314FBD93409EF639422707000D702909B30966478A168622D1D80E2400000000010D00000D702909B30966478A168622D1D80E24000265337C550000</t>
  </si>
  <si>
    <t>00000000A6C727E4353C314FBD93409EF639422707000D702909B30966478A168622D1D80E2400000000010D00000D702909B30966478A168622D1D80E24000265337C540000</t>
  </si>
  <si>
    <t>pipeline value tools</t>
  </si>
  <si>
    <t>00000000A6C727E4353C314FBD93409EF639422707000D702909B30966478A168622D1D80E2400000000010D00000D702909B30966478A168622D1D80E24000265337C530000</t>
  </si>
  <si>
    <t>demo of SIX CA viewer</t>
  </si>
  <si>
    <t>updating with jasons zoom : https://us06web.zoom.us/j/6278136607</t>
  </si>
  <si>
    <t>Jon Butler,Bernie Thurston,Jason Yan</t>
  </si>
  <si>
    <t>00000000A6C727E4353C314FBD93409EF639422707000D702909B30966478A168622D1D80E2400000000010D00000D702909B30966478A168622D1D80E24000265337C520000</t>
  </si>
  <si>
    <t>sync up on calcguard</t>
  </si>
  <si>
    <t>Jon Butler,Jason Yan,Ali Moosavi</t>
  </si>
  <si>
    <t>00000000A6C727E4353C314FBD93409EF639422707000D702909B30966478A168622D1D80E2400000000010D00000D702909B30966478A168622D1D80E24000265337C510000</t>
  </si>
  <si>
    <t>Velox/Ultumus: Cosmos</t>
  </si>
  <si>
    <t>Mat Knapman,Jason Yan,Jon Butler,Bernie Thurston,Giles Sarton,Jane Lemmon</t>
  </si>
  <si>
    <t>00000000A6C727E4353C314FBD93409EF639422707000D702909B30966478A168622D1D80E2400000000010D00000D702909B30966478A168622D1D80E24000265337C5A0000</t>
  </si>
  <si>
    <t>Velox / Gartner - Tailored Solution &amp; Proposal</t>
  </si>
  <si>
    <t>Kumko,Chris,Jon Butler,Gray,Madison,Alison Hood,Neto</t>
  </si>
  <si>
    <t>00000000A6C727E4353C314FBD93409EF639422707000D702909B30966478A168622D1D80E2400000000010D00000D702909B30966478A168622D1D80E240002534C937A0000</t>
  </si>
  <si>
    <t>Cognizat/Velox - re-connect</t>
  </si>
  <si>
    <t>Neto,jerome.dumaine@cognizant.com,manan.gauba@cognizant.com,aditya.sadhotra@cognizant.com,Jon Butler</t>
  </si>
  <si>
    <t>00000000A6C727E4353C314FBD93409EF639422707000D702909B30966478A168622D1D80E2400000000010D00000D702909B30966478A168622D1D80E240002534C937B0000</t>
  </si>
  <si>
    <t>Brad to call Jon - 1-347-988-9520</t>
  </si>
  <si>
    <t>bradley.cooke@firthrossmartin.com,Jon Butler</t>
  </si>
  <si>
    <t>bradley.cooke@firthrossmartin.com</t>
  </si>
  <si>
    <t>00000000A6C727E4353C314FBD93409EF639422707000D702909B30966478A168622D1D80E2400000000010D00000D702909B30966478A168622D1D80E240002534C937C0000</t>
  </si>
  <si>
    <t xml:space="preserve">CG/Velox catch up </t>
  </si>
  <si>
    <t>https://veloxfintech.zoom.us/j/85991027214?pwd=YW1LanRLeHY4ZnRhV2NHejFwa3hVdz09&amp;from=addon</t>
  </si>
  <si>
    <t>Ali Moosavi,Jim Northey,Alex Sargent,Timothy Sargent,Jason Yan,Jon Butler</t>
  </si>
  <si>
    <t>00000000A6C727E4353C314FBD93409EF639422707000D702909B30966478A168622D1D80E2400000000010D00000D702909B30966478A168622D1D80E240002534C937D0000</t>
  </si>
  <si>
    <t>00000000A6C727E4353C314FBD93409EF639422707000D702909B30966478A168622D1D80E2400000000010D00000D702909B30966478A168622D1D80E240002534C937E0000</t>
  </si>
  <si>
    <t>00000000A6C727E4353C314FBD93409EF639422707000D702909B30966478A168622D1D80E2400000000010D00000D702909B30966478A168622D1D80E240002534C937F0000</t>
  </si>
  <si>
    <t>00000000A6C727E4353C314FBD93409EF639422707000D702909B30966478A168622D1D80E2400000000010D00000D702909B30966478A168622D1D80E24000265337C700000</t>
  </si>
  <si>
    <t>00000000A6C727E4353C314FBD93409EF639422707000D702909B30966478A168622D1D80E2400000000010D00000D702909B30966478A168622D1D80E24000265337C6F0000</t>
  </si>
  <si>
    <t>jpmc</t>
  </si>
  <si>
    <t>00000000A6C727E4353C314FBD93409EF639422707000D702909B30966478A168622D1D80E2400000000010D00000D702909B30966478A168622D1D80E24000265337C6E0000</t>
  </si>
  <si>
    <t>00000000A6C727E4353C314FBD93409EF639422707000D702909B30966478A168622D1D80E2400000000010D00000D702909B30966478A168622D1D80E24000265337C6D0000</t>
  </si>
  <si>
    <t>GSP / Velox</t>
  </si>
  <si>
    <t>George Kao,Frederic Ponzo,Jon Butler,Alison Hood</t>
  </si>
  <si>
    <t>George Kao</t>
  </si>
  <si>
    <t>00000000A6C727E4353C314FBD93409EF639422707000D702909B30966478A168622D1D80E2400000000010D00000D702909B30966478A168622D1D80E24000265337C6C0000</t>
  </si>
  <si>
    <t>JPMC deck</t>
  </si>
  <si>
    <t>00000000A6C727E4353C314FBD93409EF639422707000D702909B30966478A168622D1D80E2400000000010D00000D702909B30966478A168622D1D80E24000265337C6B0000</t>
  </si>
  <si>
    <t>00000000A6C727E4353C314FBD93409EF639422707000D702909B30966478A168622D1D80E2400000000010D00000D702909B30966478A168622D1D80E24000265337C6A0000</t>
  </si>
  <si>
    <t>00000000A6C727E4353C314FBD93409EF639422707000D702909B30966478A168622D1D80E2400000000010D00000D702909B30966478A168622D1D80E24000265337C680000</t>
  </si>
  <si>
    <t>JPMC slides</t>
  </si>
  <si>
    <t>00000000A6C727E4353C314FBD93409EF639422707000D702909B30966478A168622D1D80E2400000000010D00000D702909B30966478A168622D1D80E24000265337C670000</t>
  </si>
  <si>
    <t>Weill Cornell</t>
  </si>
  <si>
    <t>00000000A6C727E4353C314FBD93409EF639422707000D702909B30966478A168622D1D80E2400000000010D00000D702909B30966478A168622D1D80E24000265337C660000</t>
  </si>
  <si>
    <t>00000000A6C727E4353C314FBD93409EF639422707000D702909B30966478A168622D1D80E2400000000010D00000D702909B30966478A168622D1D80E24000265337C7C0000</t>
  </si>
  <si>
    <t>Neto Jon - catchup - Blackstone &amp; GreySpark</t>
  </si>
  <si>
    <t>00000000A6C727E4353C314FBD93409EF639422707000D702909B30966478A168622D1D80E2400000000010D00000D702909B30966478A168622D1D80E24000265337C7B0000</t>
  </si>
  <si>
    <t>pptx loaded from filesystem not from ppt</t>
  </si>
  <si>
    <t>00000000A6C727E4353C314FBD93409EF639422707000D702909B30966478A168622D1D80E2400000000010D00000D702909B30966478A168622D1D80E24000265337C7A0000</t>
  </si>
  <si>
    <t>mutliple admin tasks</t>
  </si>
  <si>
    <t>00000000A6C727E4353C314FBD93409EF639422707000D702909B30966478A168622D1D80E2400000000010D00000D702909B30966478A168622D1D80E24000265337C790000</t>
  </si>
  <si>
    <t>multiple admin tasks</t>
  </si>
  <si>
    <t>00000000A6C727E4353C314FBD93409EF639422707000D702909B30966478A168622D1D80E2400000000010D00000D702909B30966478A168622D1D80E24000265337C760000</t>
  </si>
  <si>
    <t>II email</t>
  </si>
  <si>
    <t>00000000A6C727E4353C314FBD93409EF639422707000D702909B30966478A168622D1D80E2400000000010D00000D702909B30966478A168622D1D80E24000265337C750000</t>
  </si>
  <si>
    <t>Velox / Quantum - Demo's</t>
  </si>
  <si>
    <t>Jon Butler,Trey Harvin,Paul Arber,Jason Yan</t>
  </si>
  <si>
    <t>00000000A6C727E4353C314FBD93409EF639422707000D702909B30966478A168622D1D80E2400000000010D00000D702909B30966478A168622D1D80E24000265337C740000</t>
  </si>
  <si>
    <t>00000000A6C727E4353C314FBD93409EF639422707000D702909B30966478A168622D1D80E2400000000010D00000D702909B30966478A168622D1D80E24000265337C730000</t>
  </si>
  <si>
    <t>00000000A6C727E4353C314FBD93409EF639422707000D702909B30966478A168622D1D80E2400000000010D00000D702909B30966478A168622D1D80E24000265337C720000</t>
  </si>
  <si>
    <t>Introduction to Velox FinTech</t>
  </si>
  <si>
    <t>https://blackstone.zoom.us/j/99222142194?from=addon</t>
  </si>
  <si>
    <t>Saddekni, Kinan,Gulati, Varoun,Dunlap, Brian,Cho, Yena,Jon Butler,Neto</t>
  </si>
  <si>
    <t>Saddekni, Kinan</t>
  </si>
  <si>
    <t>00000000A6C727E4353C314FBD93409EF639422707000D702909B30966478A168622D1D80E2400000000010D00000D702909B30966478A168622D1D80E24000265337C770000</t>
  </si>
  <si>
    <t>cg/velox</t>
  </si>
  <si>
    <t>00000000A6C727E4353C314FBD93409EF639422707000D702909B30966478A168622D1D80E2400000000010D00000D702909B30966478A168622D1D80E24000265337C710000</t>
  </si>
  <si>
    <t>Rates RFO - Velox Feedback Session</t>
  </si>
  <si>
    <t>McCarthy, Jacinta (Markets Platform),Jon Butler,Andy Browning,Peter Holmgren,Alison Hood,Saggers, Nicholas (Commercial Banking),Gulati, Abhishek (Commercial Banking),Dimri, Abhishek (Commercial Banking),Bengani, Divyakant (Markets Platform),Bland, Scott (Group Sourcing &amp; Supplier Management),Shah, Jitendra (Commercial Banking),Parker, Luke (Commercial Banking)</t>
  </si>
  <si>
    <t>McCarthy, Jacinta (Markets Platform)</t>
  </si>
  <si>
    <t>00000000A6C727E4353C314FBD93409EF639422707000D702909B30966478A168622D1D80E2400000000010D00000D702909B30966478A168622D1D80E24000265337C780000</t>
  </si>
  <si>
    <t>Finsemble overview for Purestream</t>
  </si>
  <si>
    <t>this meeting is now confirmed https://veloxfintech.zoom.us/my/buildfaster</t>
  </si>
  <si>
    <t>Jon Butler,Yogesh Wagle,Jim Bunting,Phil Cunn</t>
  </si>
  <si>
    <t>00000000A6C727E4353C314FBD93409EF639422707000D702909B30966478A168622D1D80E2400000000010D00000D702909B30966478A168622D1D80E240002534C93800000</t>
  </si>
  <si>
    <t>00000000A6C727E4353C314FBD93409EF639422707000D702909B30966478A168622D1D80E2400000000010D00000D702909B30966478A168622D1D80E240002534C93810000</t>
  </si>
  <si>
    <t>00000000A6C727E4353C314FBD93409EF639422707000D702909B30966478A168622D1D80E2400000000010D00000D702909B30966478A168622D1D80E24000265337C7D0000</t>
  </si>
  <si>
    <t>0.5 level deck</t>
  </si>
  <si>
    <t>00000000A6C727E4353C314FBD93409EF639422707000D702909B30966478A168622D1D80E2400000000010D00000D702909B30966478A168622D1D80E240002534C93820000</t>
  </si>
  <si>
    <t>SSGL response</t>
  </si>
  <si>
    <t>00000000A6C727E4353C314FBD93409EF639422707000D702909B30966478A168622D1D80E2400000000010D00000D702909B30966478A168622D1D80E24000265337C890000</t>
  </si>
  <si>
    <t>MLP response</t>
  </si>
  <si>
    <t>00000000A6C727E4353C314FBD93409EF639422707000D702909B30966478A168622D1D80E2400000000010D00000D702909B30966478A168622D1D80E24000265337C880000</t>
  </si>
  <si>
    <t>00000000A6C727E4353C314FBD93409EF639422707000D702909B30966478A168622D1D80E2400000000010D00000D702909B30966478A168622D1D80E24000265337C870000</t>
  </si>
  <si>
    <t>00000000A6C727E4353C314FBD93409EF639422707000D702909B30966478A168622D1D80E2400000000010D00000D702909B30966478A168622D1D80E24000265337C860000</t>
  </si>
  <si>
    <t>slhuddle</t>
  </si>
  <si>
    <t>00000000A6C727E4353C314FBD93409EF639422707000D702909B30966478A168622D1D80E2400000000010D00000D702909B30966478A168622D1D80E24000265337C850000</t>
  </si>
  <si>
    <t>Ultumus/ Symphony - Symphony License</t>
  </si>
  <si>
    <t>mijung.kim@symphony.com,mark.higgins@symphony.com,idriss.farhat@symphony.com,bernie.thurston@ultumus.com,Jon Butler</t>
  </si>
  <si>
    <t>00000000A6C727E4353C314FBD93409EF639422707000D702909B30966478A168622D1D80E2400000000010D00000D702909B30966478A168622D1D80E240002C9DB41B60000</t>
  </si>
  <si>
    <t>sales prospects / meeting notes</t>
  </si>
  <si>
    <t>00000000A6C727E4353C314FBD93409EF639422707000D702909B30966478A168622D1D80E2400000000010D00000D702909B30966478A168622D1D80E24000265337C840000</t>
  </si>
  <si>
    <t>00000000A6C727E4353C314FBD93409EF639422707000D702909B30966478A168622D1D80E2400000000010D00000D702909B30966478A168622D1D80E24000265337C830000</t>
  </si>
  <si>
    <t>00000000A6C727E4353C314FBD93409EF639422707000D702909B30966478A168622D1D80E2400000000010D00000D702909B30966478A168622D1D80E24000265337C820000</t>
  </si>
  <si>
    <t>Nasdaq etc</t>
  </si>
  <si>
    <t>Jon Butler,Yogesh Wagle,Jason Yan</t>
  </si>
  <si>
    <t>00000000A6C727E4353C314FBD93409EF639422707000D702909B30966478A168622D1D80E2400000000010D00000D702909B30966478A168622D1D80E24000265337C810000</t>
  </si>
  <si>
    <t>Symphony SDK questions w/Velox</t>
  </si>
  <si>
    <t>Jon Butler,Dimiter Georgiev,Jason Yan</t>
  </si>
  <si>
    <t>00000000A6C727E4353C314FBD93409EF639422707000D702909B30966478A168622D1D80E2400000000010D00000D702909B30966478A168622D1D80E24000265337C7F0000</t>
  </si>
  <si>
    <t>Velox / Symphony - Commercial Relationship</t>
  </si>
  <si>
    <t>mijung.kim@symphony.com,umesh.patel@symphony.com,robert.friend@symphony.com,Jon Butler</t>
  </si>
  <si>
    <t>00000000A6C727E4353C314FBD93409EF639422707000D702909B30966478A168622D1D80E2400000000010D00000D702909B30966478A168622D1D80E24000265337C7E0000</t>
  </si>
  <si>
    <t>Aite-Novarica/Velox follow up - Velox Demo</t>
  </si>
  <si>
    <t>https://veloxfintech.zoom.us/j/88493318209?pwd=U0dZZTFqRW84SE51K3Avc1FuNmhJUT09&amp;from=addon</t>
  </si>
  <si>
    <t>Ali Moosavi,Vinod Jain,Jon Butler,Colby Jenkins,Sang Lee</t>
  </si>
  <si>
    <t>00000000A6C727E4353C314FBD93409EF639422707000D702909B30966478A168622D1D80E2400000000010D00000D702909B30966478A168622D1D80E240002C9DB41B80000</t>
  </si>
  <si>
    <t>00000000A6C727E4353C314FBD93409EF639422707000D702909B30966478A168622D1D80E2400000000010D00000D702909B30966478A168622D1D80E24000265337C950000</t>
  </si>
  <si>
    <t>00000000A6C727E4353C314FBD93409EF639422707000D702909B30966478A168622D1D80E2400000000010D00000D702909B30966478A168622D1D80E24000265337C940000</t>
  </si>
  <si>
    <t>00000000A6C727E4353C314FBD93409EF639422707000D702909B30966478A168622D1D80E2400000000010D00000D702909B30966478A168622D1D80E24000265337C930000</t>
  </si>
  <si>
    <t>M+D</t>
  </si>
  <si>
    <t>00000000A6C727E4353C314FBD93409EF639422707000D702909B30966478A168622D1D80E2400000000010D00000D702909B30966478A168622D1D80E24000265337C920000</t>
  </si>
  <si>
    <t>00000000A6C727E4353C314FBD93409EF639422707000D702909B30966478A168622D1D80E2400000000010D00000D702909B30966478A168622D1D80E24000265337C910000</t>
  </si>
  <si>
    <t>FC pptx loader</t>
  </si>
  <si>
    <t>00000000A6C727E4353C314FBD93409EF639422707000D702909B30966478A168622D1D80E2400000000010D00000D702909B30966478A168622D1D80E24000265337C900000</t>
  </si>
  <si>
    <t>00000000A6C727E4353C314FBD93409EF639422707000D702909B30966478A168622D1D80E2400000000010D00000D702909B30966478A168622D1D80E24000265337C8D0000</t>
  </si>
  <si>
    <t>Mizuho contract details</t>
  </si>
  <si>
    <t>https://veloxfintech.zoom.us/j/87207539177?pwd=YzhmMERmN3VCS0w5bm9JaEZXTFJ4Zz09&amp;from=addon</t>
  </si>
  <si>
    <t>Ali Moosavi,Alison Hood,Jon Butler,Giles Sarton</t>
  </si>
  <si>
    <t>00000000A6C727E4353C314FBD93409EF639422707000D702909B30966478A168622D1D80E2400000000010D00000D702909B30966478A168622D1D80E24000265337C8E0000</t>
  </si>
  <si>
    <t>Velox/CG standing update call</t>
  </si>
  <si>
    <t>https://veloxfintech.zoom.us/j/82384246286?pwd=cElKaVJ6QXZuRVhMcEI3NEs0ZzZ4QT09&amp;from=addon</t>
  </si>
  <si>
    <t>Ali Moosavi,Alex Sargent,Timothy Sargent,Jim Northey,Jason Yan,Jon Butler,Greg Lee</t>
  </si>
  <si>
    <t>00000000A6C727E4353C314FBD93409EF639422707000D702909B30966478A168622D1D80E2400000000010D00000D702909B30966478A168622D1D80E24000265337C8F0000</t>
  </si>
  <si>
    <t>Marvin</t>
  </si>
  <si>
    <t>00000000A6C727E4353C314FBD93409EF639422707000D702909B30966478A168622D1D80E2400000000010D00000D702909B30966478A168622D1D80E24000265337C8C0000</t>
  </si>
  <si>
    <t>00000000A6C727E4353C314FBD93409EF639422707000D702909B30966478A168622D1D80E2400000000010D00000D702909B30966478A168622D1D80E24000265337C8B0000</t>
  </si>
  <si>
    <t>SSGA</t>
  </si>
  <si>
    <t>00000000A6C727E4353C314FBD93409EF639422707000D702909B30966478A168622D1D80E2400000000010D00000D702909B30966478A168622D1D80E24000265337C8A0000</t>
  </si>
  <si>
    <t>00000000A6C727E4353C314FBD93409EF639422707000D702909B30966478A168622D1D80E2400000000010D00000D702909B30966478A168622D1D80E24000265337C970000</t>
  </si>
  <si>
    <t>00000000A6C727E4353C314FBD93409EF639422707000D702909B30966478A168622D1D80E2400000000010D00000D702909B30966478A168622D1D80E24000265337C960000</t>
  </si>
  <si>
    <t>file crawler</t>
  </si>
  <si>
    <t>00000000A6C727E4353C314FBD93409EF639422707000D702909B30966478A168622D1D80E2400000000010D00000D702909B30966478A168622D1D80E24000265337C9D0000</t>
  </si>
  <si>
    <t>00000000A6C727E4353C314FBD93409EF639422707000D702909B30966478A168622D1D80E2400000000010D00000D702909B30966478A168622D1D80E24000265337C9C0000</t>
  </si>
  <si>
    <t>00000000A6C727E4353C314FBD93409EF639422707000D702909B30966478A168622D1D80E2400000000010D00000D702909B30966478A168622D1D80E24000265337C9B0000</t>
  </si>
  <si>
    <t>00000000A6C727E4353C314FBD93409EF639422707000D702909B30966478A168622D1D80E2400000000010D00000D702909B30966478A168622D1D80E24000265337C9A0000</t>
  </si>
  <si>
    <t>00000000A6C727E4353C314FBD93409EF639422707000D702909B30966478A168622D1D80E2400000000010D00000D702909B30966478A168622D1D80E24000265337C990000</t>
  </si>
  <si>
    <t>00000000A6C727E4353C314FBD93409EF639422707000D702909B30966478A168622D1D80E2400000000010D00000D702909B30966478A168622D1D80E24000265337C980000</t>
  </si>
  <si>
    <t>00000000A6C727E4353C314FBD93409EF639422707000D702909B30966478A168622D1D80E2400000000010D00000D702909B30966478A168622D1D80E24000265337C9E0000</t>
  </si>
  <si>
    <t>response to FXALL</t>
  </si>
  <si>
    <t>00000000A6C727E4353C314FBD93409EF639422707000D702909B30966478A168622D1D80E2400000000010D00000D702909B30966478A168622D1D80E24000265337C9F0000</t>
  </si>
  <si>
    <t>00000000A6C727E4353C314FBD93409EF639422707000D702909B30966478A168622D1D80E2400000000010D00000D702909B30966478A168622D1D80E24000265337CA00000</t>
  </si>
  <si>
    <t>00000000A6C727E4353C314FBD93409EF639422707000D702909B30966478A168622D1D80E2400000000010D00000D702909B30966478A168622D1D80E24000265337CA50000</t>
  </si>
  <si>
    <t>bella</t>
  </si>
  <si>
    <t>00000000A6C727E4353C314FBD93409EF639422707000D702909B30966478A168622D1D80E2400000000010D00000D702909B30966478A168622D1D80E24000265337CA40000</t>
  </si>
  <si>
    <t>00000000A6C727E4353C314FBD93409EF639422707000D702909B30966478A168622D1D80E2400000000010D00000D702909B30966478A168622D1D80E24000265337CA30000</t>
  </si>
  <si>
    <t>00000000A6C727E4353C314FBD93409EF639422707000D702909B30966478A168622D1D80E2400000000010D00000D702909B30966478A168622D1D80E24000265337CA20000</t>
  </si>
  <si>
    <t>fxall</t>
  </si>
  <si>
    <t>00000000A6C727E4353C314FBD93409EF639422707000D702909B30966478A168622D1D80E2400000000010D00000D702909B30966478A168622D1D80E24000265337CA10000</t>
  </si>
  <si>
    <t>00000000A6C727E4353C314FBD93409EF639422707000D702909B30966478A168622D1D80E2400000000010D00000D702909B30966478A168622D1D80E240002534C93830000</t>
  </si>
  <si>
    <t>00000000A6C727E4353C314FBD93409EF639422707000D702909B30966478A168622D1D80E2400000000010D00000D702909B30966478A168622D1D80E24000265337CA70000</t>
  </si>
  <si>
    <t>00000000A6C727E4353C314FBD93409EF639422707000D702909B30966478A168622D1D80E2400000000010D00000D702909B30966478A168622D1D80E24000265337CA60000</t>
  </si>
  <si>
    <t>00000000A6C727E4353C314FBD93409EF639422707000D702909B30966478A168622D1D80E2400000000010D00000D702909B30966478A168622D1D80E24000265337CB90000</t>
  </si>
  <si>
    <t>00000000A6C727E4353C314FBD93409EF639422707000D702909B30966478A168622D1D80E2400000000010D00000D702909B30966478A168622D1D80E24000265337CB80000</t>
  </si>
  <si>
    <t>00000000A6C727E4353C314FBD93409EF639422707000D702909B30966478A168622D1D80E2400000000010D00000D702909B30966478A168622D1D80E24000265337CB70000</t>
  </si>
  <si>
    <t>00000000A6C727E4353C314FBD93409EF639422707000D702909B30966478A168622D1D80E2400000000010D00000D702909B30966478A168622D1D80E24000265337CB60000</t>
  </si>
  <si>
    <t>Briefing  Call - Head of Sales / CRO</t>
  </si>
  <si>
    <t>bradley.cooke@firthrossmartin.com,Jon Butler,Alison Hood</t>
  </si>
  <si>
    <t>00000000A6C727E4353C314FBD93409EF639422707000D702909B30966478A168622D1D80E2400000000010D00000D702909B30966478A168622D1D80E240002CE4FAA640000</t>
  </si>
  <si>
    <t>00000000A6C727E4353C314FBD93409EF639422707000D702909B30966478A168622D1D80E2400000000010D00000D702909B30966478A168622D1D80E24000265337CB50000</t>
  </si>
  <si>
    <t>pipeline value updates</t>
  </si>
  <si>
    <t>00000000A6C727E4353C314FBD93409EF639422707000D702909B30966478A168622D1D80E2400000000010D00000D702909B30966478A168622D1D80E24000265337CB40000</t>
  </si>
  <si>
    <t>mswealth followup</t>
  </si>
  <si>
    <t>00000000A6C727E4353C314FBD93409EF639422707000D702909B30966478A168622D1D80E2400000000010D00000D702909B30966478A168622D1D80E24000265337CB30000</t>
  </si>
  <si>
    <t>00000000A6C727E4353C314FBD93409EF639422707000D702909B30966478A168622D1D80E2400000000010D00000D702909B30966478A168622D1D80E24000265337CB20000</t>
  </si>
  <si>
    <t>00000000A6C727E4353C314FBD93409EF639422707000D702909B30966478A168622D1D80E2400000000010D00000D702909B30966478A168622D1D80E24000265337CB10000</t>
  </si>
  <si>
    <t>MSwealth prep</t>
  </si>
  <si>
    <t>00000000A6C727E4353C314FBD93409EF639422707000D702909B30966478A168622D1D80E2400000000010D00000D702909B30966478A168622D1D80E24000265337CB00000</t>
  </si>
  <si>
    <t>ULTUMUS/Symphony</t>
  </si>
  <si>
    <t>mark.higgins@symphony.com,Jon Butler</t>
  </si>
  <si>
    <t>mark.higgins@symphony.com</t>
  </si>
  <si>
    <t>00000000A6C727E4353C314FBD93409EF639422707000D702909B30966478A168622D1D80E2400000000010D00000D702909B30966478A168622D1D80E24000265337CAF0000</t>
  </si>
  <si>
    <t>00000000A6C727E4353C314FBD93409EF639422707000D702909B30966478A168622D1D80E2400000000010D00000D702909B30966478A168622D1D80E24000265337CAE0000</t>
  </si>
  <si>
    <t>piepline</t>
  </si>
  <si>
    <t>00000000A6C727E4353C314FBD93409EF639422707000D702909B30966478A168622D1D80E2400000000010D00000D702909B30966478A168622D1D80E24000265337CAD0000</t>
  </si>
  <si>
    <t>content post</t>
  </si>
  <si>
    <t>00000000A6C727E4353C314FBD93409EF639422707000D702909B30966478A168622D1D80E2400000000010D00000D702909B30966478A168622D1D80E24000265337CAB0000</t>
  </si>
  <si>
    <t>Citi Eq &amp; FIC ETFs | Velox</t>
  </si>
  <si>
    <t>Bonaguro, Michael [ICG-MKTS],Carnahan, Marc [ICG-MKTS],Viswanathan, Subramanyam [ICG-IT],Esalapuram, Suresh [ICG-IT],Jon Butler</t>
  </si>
  <si>
    <t>00000000A6C727E4353C314FBD93409EF639422707000D702909B30966478A168622D1D80E2400000000010D00000D702909B30966478A168622D1D80E24000265337CA80000</t>
  </si>
  <si>
    <t>Finsemble deep dive</t>
  </si>
  <si>
    <t>Andy Browning,Andreas Schebesch,Mathias Schmidt,Denny Dreher,Jim Bunting,Phil Cunn,Andrea Pirino,Jon Butler,Ali Moosavi,Jim Bunting,chris@cosaic.io</t>
  </si>
  <si>
    <t>00000000A6C727E4353C314FBD93409EF639422707000D702909B30966478A168622D1D80E2400000000010D00000D702909B30966478A168622D1D80E24000265337CA90000</t>
  </si>
  <si>
    <t>linked in workflows</t>
  </si>
  <si>
    <t>00000000A6C727E4353C314FBD93409EF639422707000D702909B30966478A168622D1D80E2400000000010D00000D702909B30966478A168622D1D80E240002534C93840000</t>
  </si>
  <si>
    <t>00000000A6C727E4353C314FBD93409EF639422707000D702909B30966478A168622D1D80E2400000000010D00000D702909B30966478A168622D1D80E240002534C93850000</t>
  </si>
  <si>
    <t>quinton sick</t>
  </si>
  <si>
    <t>00000000A6C727E4353C314FBD93409EF639422707000D702909B30966478A168622D1D80E2400000000010D00000D702909B30966478A168622D1D80E24000265337CBC0000</t>
  </si>
  <si>
    <t>MLP &amp; Giles</t>
  </si>
  <si>
    <t>00000000A6C727E4353C314FBD93409EF639422707000D702909B30966478A168622D1D80E2400000000010D00000D702909B30966478A168622D1D80E24000265337CBB0000</t>
  </si>
  <si>
    <t>00000000A6C727E4353C314FBD93409EF639422707000D702909B30966478A168622D1D80E2400000000010D00000D702909B30966478A168622D1D80E24000265337CBA0000</t>
  </si>
  <si>
    <t>lego for quinton</t>
  </si>
  <si>
    <t>00000000A6C727E4353C314FBD93409EF639422707000D702909B30966478A168622D1D80E2400000000010D00000D702909B30966478A168622D1D80E240002534C93860000</t>
  </si>
  <si>
    <t>00000000A6C727E4353C314FBD93409EF639422707000D702909B30966478A168622D1D80E2400000000010D00000D702909B30966478A168622D1D80E240002534C93870000</t>
  </si>
  <si>
    <t>Velox / Gartner - Next Steps</t>
  </si>
  <si>
    <t>Kumko,Chris,Jon Butler,Alison Hood,Steinmetz,Matthew</t>
  </si>
  <si>
    <t>00000000A6C727E4353C314FBD93409EF639422707000D702909B30966478A168622D1D80E2400000000010D00000D702909B30966478A168622D1D80E240002534C93880000</t>
  </si>
  <si>
    <t>00000000A6C727E4353C314FBD93409EF639422707000D702909B30966478A168622D1D80E2400000000010D00000D702909B30966478A168622D1D80E240002534C93890000</t>
  </si>
  <si>
    <t>00000000A6C727E4353C314FBD93409EF639422707000D702909B30966478A168622D1D80E2400000000010D00000D702909B30966478A168622D1D80E24000265337CCE0000</t>
  </si>
  <si>
    <t>00000000A6C727E4353C314FBD93409EF639422707000D702909B30966478A168622D1D80E2400000000010D00000D702909B30966478A168622D1D80E24000265337CCD0000</t>
  </si>
  <si>
    <t>00000000A6C727E4353C314FBD93409EF639422707000D702909B30966478A168622D1D80E2400000000010D00000D702909B30966478A168622D1D80E24000265337CCC0000</t>
  </si>
  <si>
    <t>Jon Butler / Chris Raybould - Catch up</t>
  </si>
  <si>
    <t>Raybould, Chris,Jon Butler</t>
  </si>
  <si>
    <t>Raybould, Chris</t>
  </si>
  <si>
    <t>00000000A6C727E4353C314FBD93409EF639422707000D702909B30966478A168622D1D80E2400000000010D00000D702909B30966478A168622D1D80E24000265337CCF0000</t>
  </si>
  <si>
    <t>Canceled: II / Velox Monthly check-in</t>
  </si>
  <si>
    <t>Alison Hood,Stuart Bilton,david.melia@ii.co.uk,Neil.gower@ii.co.uk,Myles Garbett,adam.smith@ii.co.uk,Jason Yan,Jon Butler,govind.jajoo</t>
  </si>
  <si>
    <t>00000000A6C727E4353C314FBD93409EF639422707000D702909B30966478A168622D1D80E2400000000010D00000D702909B30966478A168622D1D80E240002CEF5C2100000</t>
  </si>
  <si>
    <t>00000000A6C727E4353C314FBD93409EF639422707000D702909B30966478A168622D1D80E2400000000010D00000D702909B30966478A168622D1D80E24000265337CCB0000</t>
  </si>
  <si>
    <t>00000000A6C727E4353C314FBD93409EF639422707000D702909B30966478A168622D1D80E2400000000010D00000D702909B30966478A168622D1D80E24000265337CCA0000</t>
  </si>
  <si>
    <t>desk</t>
  </si>
  <si>
    <t>00000000A6C727E4353C314FBD93409EF639422707000D702909B30966478A168622D1D80E2400000000010D00000D702909B30966478A168622D1D80E24000265337CC90000</t>
  </si>
  <si>
    <t>deck organizartiob</t>
  </si>
  <si>
    <t>00000000A6C727E4353C314FBD93409EF639422707000D702909B30966478A168622D1D80E2400000000010D00000D702909B30966478A168622D1D80E24000265337CC80000</t>
  </si>
  <si>
    <t>00000000A6C727E4353C314FBD93409EF639422707000D702909B30966478A168622D1D80E2400000000010D00000D702909B30966478A168622D1D80E24000265337CC70000</t>
  </si>
  <si>
    <t>docs request access</t>
  </si>
  <si>
    <t>00000000A6C727E4353C314FBD93409EF639422707000D702909B30966478A168622D1D80E2400000000010D00000D702909B30966478A168622D1D80E24000265337CC60000</t>
  </si>
  <si>
    <t>00000000A6C727E4353C314FBD93409EF639422707000D702909B30966478A168622D1D80E2400000000010D00000D702909B30966478A168622D1D80E24000265337CC50000</t>
  </si>
  <si>
    <t>GSP breif</t>
  </si>
  <si>
    <t>00000000A6C727E4353C314FBD93409EF639422707000D702909B30966478A168622D1D80E2400000000010D00000D702909B30966478A168622D1D80E24000265337CC40000</t>
  </si>
  <si>
    <t>00000000A6C727E4353C314FBD93409EF639422707000D702909B30966478A168622D1D80E2400000000010D00000D702909B30966478A168622D1D80E24000265337CC30000</t>
  </si>
  <si>
    <t>FXAll response</t>
  </si>
  <si>
    <t>00000000A6C727E4353C314FBD93409EF639422707000D702909B30966478A168622D1D80E2400000000010D00000D702909B30966478A168622D1D80E24000265337CC20000</t>
  </si>
  <si>
    <t>Sym/Velox catch up</t>
  </si>
  <si>
    <t>dimiter.georgiev@symphony.com,Jon Butler,Jason Yan</t>
  </si>
  <si>
    <t>00000000A6C727E4353C314FBD93409EF639422707000D702909B30966478A168622D1D80E2400000000010D00000D702909B30966478A168622D1D80E24000265337CC10000</t>
  </si>
  <si>
    <t>Jon Butler,Alison Hood,Christian Schueler</t>
  </si>
  <si>
    <t>00000000A6C727E4353C314FBD93409EF639422707000D702909B30966478A168622D1D80E2400000000010D00000D702909B30966478A168622D1D80E24000265337CC00000</t>
  </si>
  <si>
    <t>post / fxall</t>
  </si>
  <si>
    <t>00000000A6C727E4353C314FBD93409EF639422707000D702909B30966478A168622D1D80E2400000000010D00000D702909B30966478A168622D1D80E24000265337CBF0000</t>
  </si>
  <si>
    <t>00000000A6C727E4353C314FBD93409EF639422707000D702909B30966478A168622D1D80E2400000000010D00000D702909B30966478A168622D1D80E24000265337CBE0000</t>
  </si>
  <si>
    <t>ali pipeline</t>
  </si>
  <si>
    <t>00000000A6C727E4353C314FBD93409EF639422707000D702909B30966478A168622D1D80E2400000000010D00000D702909B30966478A168622D1D80E24000265337CBD0000</t>
  </si>
  <si>
    <t>ali / cg followup</t>
  </si>
  <si>
    <t>00000000A6C727E4353C314FBD93409EF639422707000D702909B30966478A168622D1D80E2400000000010D00000D702909B30966478A168622D1D80E240002534C938A0000</t>
  </si>
  <si>
    <t>00000000A6C727E4353C314FBD93409EF639422707000D702909B30966478A168622D1D80E2400000000010D00000D702909B30966478A168622D1D80E240002534C938B0000</t>
  </si>
  <si>
    <t>00000000A6C727E4353C314FBD93409EF639422707000D702909B30966478A168622D1D80E2400000000010D00000D702909B30966478A168622D1D80E240002534C938C0000</t>
  </si>
  <si>
    <t>00000000A6C727E4353C314FBD93409EF639422707000D702909B30966478A168622D1D80E2400000000010D00000D702909B30966478A168622D1D80E24000265337CD10000</t>
  </si>
  <si>
    <t>monday item cleanup</t>
  </si>
  <si>
    <t>00000000A6C727E4353C314FBD93409EF639422707000D702909B30966478A168622D1D80E2400000000010D00000D702909B30966478A168622D1D80E24000265337CD00000</t>
  </si>
  <si>
    <t>00000000A6C727E4353C314FBD93409EF639422707000D702909B30966478A168622D1D80E2400000000010D00000D702909B30966478A168622D1D80E24000265337CD20000</t>
  </si>
  <si>
    <t>00000000A6C727E4353C314FBD93409EF639422707000D702909B30966478A168622D1D80E2400000000010D00000D702909B30966478A168622D1D80E24000265337CD30000</t>
  </si>
  <si>
    <t>id=3977810504</t>
  </si>
  <si>
    <t>00000000A6C727E4353C314FBD93409EF639422707000D702909B30966478A168622D1D80E2400000000010D00000D702909B30966478A168622D1D80E24000265337CD70000</t>
  </si>
  <si>
    <t>00000000A6C727E4353C314FBD93409EF639422707000D702909B30966478A168622D1D80E2400000000010D00000D702909B30966478A168622D1D80E24000265337CD60000</t>
  </si>
  <si>
    <t>00000000A6C727E4353C314FBD93409EF639422707000D702909B30966478A168622D1D80E2400000000010D00000D702909B30966478A168622D1D80E24000265337CD50000</t>
  </si>
  <si>
    <t>00000000A6C727E4353C314FBD93409EF639422707000D702909B30966478A168622D1D80E2400000000010D00000D702909B30966478A168622D1D80E24000265337CD40000</t>
  </si>
  <si>
    <t>00000000A6C727E4353C314FBD93409EF639422707000D702909B30966478A168622D1D80E2400000000010D00000D702909B30966478A168622D1D80E24000265337CD80000</t>
  </si>
  <si>
    <t>id=3977809601</t>
  </si>
  <si>
    <t>00000000A6C727E4353C314FBD93409EF639422707000D702909B30966478A168622D1D80E2400000000010D00000D702909B30966478A168622D1D80E24000265337CE00000</t>
  </si>
  <si>
    <t xml:space="preserve">Ultumus/ Velox/Symphony </t>
  </si>
  <si>
    <t>mijung.kim@symphony.com,umesh.patel@symphony.com,mark.higgins@symphony.com,brad.levy@symphony.com,dimiter.georgiev@symphony.com,bernie.thurston@ultumus.com,Jon Butler</t>
  </si>
  <si>
    <t>00000000A6C727E4353C314FBD93409EF639422707000D702909B30966478A168622D1D80E2400000000010D00000D702909B30966478A168622D1D80E24000265337CE10000</t>
  </si>
  <si>
    <t>00000000A6C727E4353C314FBD93409EF639422707000D702909B30966478A168622D1D80E2400000000010D00000D702909B30966478A168622D1D80E24000265337CDF0000</t>
  </si>
  <si>
    <t>00000000A6C727E4353C314FBD93409EF639422707000D702909B30966478A168622D1D80E2400000000010D00000D702909B30966478A168622D1D80E24000265337CDE0000</t>
  </si>
  <si>
    <t>Jon/Mo - Epixoo prep</t>
  </si>
  <si>
    <t>00000000A6C727E4353C314FBD93409EF639422707000D702909B30966478A168622D1D80E2400000000010D00000D702909B30966478A168622D1D80E24000265337CDD0000</t>
  </si>
  <si>
    <t xml:space="preserve">SNB Capital/Velox - Dinner </t>
  </si>
  <si>
    <t>TBD</t>
  </si>
  <si>
    <t>Mohamed Arkate,Manal N. Al Asbahi,Jassim Mohfoud Alhamzah,Sari Hashem Karam,Jalal Taji Faruki,Jon Butler,Roman Fahd Basulaiman,Abdullah Al Ghamedi,Sari Hashem Karam,Sari Fawzi Hasan Abutaleb</t>
  </si>
  <si>
    <t>00000000A6C727E4353C314FBD93409EF639422707000D702909B30966478A168622D1D80E2400000000010D00000D702909B30966478A168622D1D80E240002D1302D070000</t>
  </si>
  <si>
    <t>Abdullah/Velox - Dinner in Riyadh</t>
  </si>
  <si>
    <t>Jw Marriott Hotel Riyadh - 7647 طريق الملك فهد الفرعي - حي الصحافة, الرياض 13315 - 2174, السعودية</t>
  </si>
  <si>
    <t>Mohamed Arkate,Abdullah Al-Khalifah,Jon Butler,Abdullah.khalifah@gmail.com</t>
  </si>
  <si>
    <t>00000000A6C727E4353C314FBD93409EF639422707000D702909B30966478A168622D1D80E2400000000010D00000D702909B30966478A168622D1D80E240002D1302D050000</t>
  </si>
  <si>
    <t>00000000A6C727E4353C314FBD93409EF639422707000D702909B30966478A168622D1D80E2400000000010D00000D702909B30966478A168622D1D80E24000265337CDC0000</t>
  </si>
  <si>
    <t>00000000A6C727E4353C314FBD93409EF639422707000D702909B30966478A168622D1D80E2400000000010D00000D702909B30966478A168622D1D80E24000265337CDB0000</t>
  </si>
  <si>
    <t>00000000A6C727E4353C314FBD93409EF639422707000D702909B30966478A168622D1D80E2400000000010D00000D702909B30966478A168622D1D80E24000265337CDA0000</t>
  </si>
  <si>
    <t>00000000A6C727E4353C314FBD93409EF639422707000D702909B30966478A168622D1D80E2400000000010D00000D702909B30966478A168622D1D80E24000265337CD90000</t>
  </si>
  <si>
    <t>00000000A6C727E4353C314FBD93409EF639422707000D702909B30966478A168622D1D80E2400000000010D00000D702909B30966478A168622D1D80E240002534C938D0000</t>
  </si>
  <si>
    <t xml:space="preserve">Epixoo/Velox - Intro (ETF Trading use case) </t>
  </si>
  <si>
    <t>https://veloxfintech.zoom.us/j/88667126539?pwd=L3RBUzVzTGprcm9hYU1JSGdjQ1VGZz09</t>
  </si>
  <si>
    <t>Mohamed Arkate,Jon Butler,Sandor Laszlo Takacs</t>
  </si>
  <si>
    <t>00000000A6C727E4353C314FBD93409EF639422707000D702909B30966478A168622D1D80E2400000000010D00000D702909B30966478A168622D1D80E240002534C938E0000</t>
  </si>
  <si>
    <t>Chat</t>
  </si>
  <si>
    <t>00000000A6C727E4353C314FBD93409EF639422707000D702909B30966478A168622D1D80E2400000000010D00000D702909B30966478A168622D1D80E240002534C938F0000</t>
  </si>
  <si>
    <t>general admin</t>
  </si>
  <si>
    <t>00000000A6C727E4353C314FBD93409EF639422707000D702909B30966478A168622D1D80E2400000000010D00000D702909B30966478A168622D1D80E240002534C93900000</t>
  </si>
  <si>
    <t>00000000A6C727E4353C314FBD93409EF639422707000D702909B30966478A168622D1D80E2400000000010D00000D702909B30966478A168622D1D80E24000265337CE90000</t>
  </si>
  <si>
    <t>00000000A6C727E4353C314FBD93409EF639422707000D702909B30966478A168622D1D80E2400000000010D00000D702909B30966478A168622D1D80E24000265337CE80000</t>
  </si>
  <si>
    <t>Quick chat regarding FBNY request</t>
  </si>
  <si>
    <t>https://veloxfintech.zoom.us/j/85766253543?pwd=TnY1aklsd0IzSDJCOXVEUWlCYmIzZz09&amp;from=addon</t>
  </si>
  <si>
    <t>00000000A6C727E4353C314FBD93409EF639422707000D702909B30966478A168622D1D80E2400000000010D00000D702909B30966478A168622D1D80E240002D270C0580000</t>
  </si>
  <si>
    <t>JB School</t>
  </si>
  <si>
    <t>00000000A6C727E4353C314FBD93409EF639422707000D702909B30966478A168622D1D80E2400000000010D00000D702909B30966478A168622D1D80E24000265337CE70000</t>
  </si>
  <si>
    <t>00000000A6C727E4353C314FBD93409EF639422707000D702909B30966478A168622D1D80E2400000000010D00000D702909B30966478A168622D1D80E24000265337CE60000</t>
  </si>
  <si>
    <t>Jon/Mo catchup</t>
  </si>
  <si>
    <t>00000000A6C727E4353C314FBD93409EF639422707000D702909B30966478A168622D1D80E2400000000010D00000D702909B30966478A168622D1D80E24000265337CE50000</t>
  </si>
  <si>
    <t>00000000A6C727E4353C314FBD93409EF639422707000D702909B30966478A168622D1D80E2400000000010D00000D702909B30966478A168622D1D80E24000265337CE40000</t>
  </si>
  <si>
    <t>00000000A6C727E4353C314FBD93409EF639422707000D702909B30966478A168622D1D80E2400000000010D00000D702909B30966478A168622D1D80E24000265337CE30000</t>
  </si>
  <si>
    <t>00000000A6C727E4353C314FBD93409EF639422707000D702909B30966478A168622D1D80E2400000000010D00000D702909B30966478A168622D1D80E24000265337CE20000</t>
  </si>
  <si>
    <t>Blackstone</t>
  </si>
  <si>
    <t>id=3984381519</t>
  </si>
  <si>
    <t>00000000A6C727E4353C314FBD93409EF639422707000D702909B30966478A168622D1D80E2400000000010D00000D702909B30966478A168622D1D80E240002534C93910000</t>
  </si>
  <si>
    <t>00000000A6C727E4353C314FBD93409EF639422707000D702909B30966478A168622D1D80E2400000000010D00000D702909B30966478A168622D1D80E24000265337CEB0000</t>
  </si>
  <si>
    <t>GHCO use case for Giles</t>
  </si>
  <si>
    <t>00000000A6C727E4353C314FBD93409EF639422707000D702909B30966478A168622D1D80E2400000000010D00000D702909B30966478A168622D1D80E24000265348E7D0000</t>
  </si>
  <si>
    <t>calcguard/bernie/giles</t>
  </si>
  <si>
    <t>00000000A6C727E4353C314FBD93409EF639422707000D702909B30966478A168622D1D80E2400000000010D00000D702909B30966478A168622D1D80E24000265337CF10000</t>
  </si>
  <si>
    <t>Aljazira Capital/Velox - Metting in Riyadh</t>
  </si>
  <si>
    <t>Aljazira Capital Office</t>
  </si>
  <si>
    <t>Mohamed Arkate,Hikmat Matta,Alaa Abutabaq,Maher Saab,Jon Butler</t>
  </si>
  <si>
    <t>00000000A6C727E4353C314FBD93409EF639422707000D702909B30966478A168622D1D80E2400000000010D00000D702909B30966478A168622D1D80E240002D33CBAAE0000</t>
  </si>
  <si>
    <t>Canceled: Velox - KPMG introduction</t>
  </si>
  <si>
    <t>De Burca, Feargal,Vannitsem, Raf,Bansal, Romit,Alison Hood,Jon Butler</t>
  </si>
  <si>
    <t>00000000A6C727E4353C314FBD93409EF639422707000D702909B30966478A168622D1D80E2400000000010D00000D702909B30966478A168622D1D80E24000265337CF00000</t>
  </si>
  <si>
    <t>Rash</t>
  </si>
  <si>
    <t>id=3984198500</t>
  </si>
  <si>
    <t>00000000A6C727E4353C314FBD93409EF639422707000D702909B30966478A168622D1D80E2400000000010D00000D702909B30966478A168622D1D80E24000265337CEF0000</t>
  </si>
  <si>
    <t>level 0.5</t>
  </si>
  <si>
    <t>id=3857141522</t>
  </si>
  <si>
    <t>00000000A6C727E4353C314FBD93409EF639422707000D702909B30966478A168622D1D80E2400000000010D00000D702909B30966478A168622D1D80E24000265337CEE0000</t>
  </si>
  <si>
    <t>00000000A6C727E4353C314FBD93409EF639422707000D702909B30966478A168622D1D80E2400000000010D00000D702909B30966478A168622D1D80E24000265337CED0000</t>
  </si>
  <si>
    <t>FRB NY questionnaire touch-point</t>
  </si>
  <si>
    <t>https://veloxfintech.zoom.us/j/86916063955?pwd=SjdlSlNaWUxpQ0pvNkpFRUt6VFQrZz09&amp;from=addon</t>
  </si>
  <si>
    <t>00000000A6C727E4353C314FBD93409EF639422707000D702909B30966478A168622D1D80E2400000000010D00000D702909B30966478A168622D1D80E24000265337CF20000</t>
  </si>
  <si>
    <t>Velox &lt;&gt; Insight</t>
  </si>
  <si>
    <t>https://insight.zoom.us/j/99558857068</t>
  </si>
  <si>
    <t>00000000A6C727E4353C314FBD93409EF639422707000D702909B30966478A168622D1D80E2400000000010D00000D702909B30966478A168622D1D80E24000265348E7E0000</t>
  </si>
  <si>
    <t>00000000A6C727E4353C314FBD93409EF639422707000D702909B30966478A168622D1D80E2400000000010D00000D702909B30966478A168622D1D80E240002534C93920000</t>
  </si>
  <si>
    <t>tabb forum post</t>
  </si>
  <si>
    <t>00000000A6C727E4353C314FBD93409EF639422707000D702909B30966478A168622D1D80E2400000000010D00000D702909B30966478A168622D1D80E240002534C93930000</t>
  </si>
  <si>
    <t>state street follwoup</t>
  </si>
  <si>
    <t>00000000A6C727E4353C314FBD93409EF639422707000D702909B30966478A168622D1D80E2400000000010D00000D702909B30966478A168622D1D80E240002534C93940000</t>
  </si>
  <si>
    <t>bernie/jon</t>
  </si>
  <si>
    <t>00000000A6C727E4353C314FBD93409EF639422707000D702909B30966478A168622D1D80E2400000000010D00000D702909B30966478A168622D1D80E240002534C93950000</t>
  </si>
  <si>
    <t>00000000A6C727E4353C314FBD93409EF639422707000D702909B30966478A168622D1D80E2400000000010D00000D702909B30966478A168622D1D80E240002534C93960000</t>
  </si>
  <si>
    <t>rocket reach cleanup</t>
  </si>
  <si>
    <t>00000000A6C727E4353C314FBD93409EF639422707000D702909B30966478A168622D1D80E2400000000010D00000D702909B30966478A168622D1D80E24000265348E7F0000</t>
  </si>
  <si>
    <t>giles GHCO</t>
  </si>
  <si>
    <t>00000000A6C727E4353C314FBD93409EF639422707000D702909B30966478A168622D1D80E2400000000010D00000D702909B30966478A168622D1D80E24000265348E800000</t>
  </si>
  <si>
    <t>00000000A6C727E4353C314FBD93409EF639422707000D702909B30966478A168622D1D80E2400000000010D00000D702909B30966478A168622D1D80E24000265348E810000</t>
  </si>
  <si>
    <t>mapping orgs and new linkedin data</t>
  </si>
  <si>
    <t>00000000A6C727E4353C314FBD93409EF639422707000D702909B30966478A168622D1D80E2400000000010D00000D702909B30966478A168622D1D80E24000265348E820000</t>
  </si>
  <si>
    <t>Idea sharing on pipeline creation</t>
  </si>
  <si>
    <t>00000000A6C727E4353C314FBD93409EF639422707000D702909B30966478A168622D1D80E2400000000010D00000D702909B30966478A168622D1D80E240002D33CBAB00000</t>
  </si>
  <si>
    <t>00000000A6C727E4353C314FBD93409EF639422707000D702909B30966478A168622D1D80E2400000000010D00000D702909B30966478A168622D1D80E24000265337CF30000</t>
  </si>
  <si>
    <t>00000000A6C727E4353C314FBD93409EF639422707000D702909B30966478A168622D1D80E2400000000010D00000D702909B30966478A168622D1D80E240002534C93970000</t>
  </si>
  <si>
    <t>00000000A6C727E4353C314FBD93409EF639422707000D702909B30966478A168622D1D80E2400000000010D00000D702909B30966478A168622D1D80E240002534C93980000</t>
  </si>
  <si>
    <t>lead gen</t>
  </si>
  <si>
    <t>00000000A6C727E4353C314FBD93409EF639422707000D702909B30966478A168622D1D80E2400000000010D00000D702909B30966478A168622D1D80E24000265348E840000</t>
  </si>
  <si>
    <t>00000000A6C727E4353C314FBD93409EF639422707000D702909B30966478A168622D1D80E2400000000010D00000D702909B30966478A168622D1D80E24000265348E830000</t>
  </si>
  <si>
    <t>prospecting strategy</t>
  </si>
  <si>
    <t>00000000A6C727E4353C314FBD93409EF639422707000D702909B30966478A168622D1D80E2400000000010D00000D702909B30966478A168622D1D80E24000265348E850000</t>
  </si>
  <si>
    <t>Jon/Tim - Catchup</t>
  </si>
  <si>
    <t>00000000A6C727E4353C314FBD93409EF639422707000D702909B30966478A168622D1D80E2400000000010D00000D702909B30966478A168622D1D80E24000265337CF40000</t>
  </si>
  <si>
    <t>00000000A6C727E4353C314FBD93409EF639422707000D702909B30966478A168622D1D80E2400000000010D00000D702909B30966478A168622D1D80E240002534C93990000</t>
  </si>
  <si>
    <t>email/admin</t>
  </si>
  <si>
    <t>00000000A6C727E4353C314FBD93409EF639422707000D702909B30966478A168622D1D80E2400000000010D00000D702909B30966478A168622D1D80E240002534C939A0000</t>
  </si>
  <si>
    <t>John Tumilty,Jon Butler</t>
  </si>
  <si>
    <t>John Tumilty</t>
  </si>
  <si>
    <t>00000000A6C727E4353C314FBD93409EF639422707000D702909B30966478A168622D1D80E2400000000010D00000D702909B30966478A168622D1D80E240002534C939B0000</t>
  </si>
  <si>
    <t>SNB Capital/Velox - Meeting in Riyad</t>
  </si>
  <si>
    <t>SNB office</t>
  </si>
  <si>
    <t>Mohamed Arkate,Sari Fawzi Hasan Abutaleb,Roman Fahd Basulaiman,Sari Hashem Karam,Abdullah Al Ghamedi,Jalal Taji Faruki,Sari Hashem Karam,Manal N. Al Asbahi,Jassim Mohfoud Alhamzah,Jon Butler</t>
  </si>
  <si>
    <t>00000000A6C727E4353C314FBD93409EF639422707000D702909B30966478A168622D1D80E2400000000010D00000D702909B30966478A168622D1D80E240002534C939C0000</t>
  </si>
  <si>
    <t>Bernie Thurston,Jon Butler,D'Hoore, Henk</t>
  </si>
  <si>
    <t>00000000A6C727E4353C314FBD93409EF639422707000D702909B30966478A168622D1D80E2400000000010D00000D702909B30966478A168622D1D80E240002534C939D0000</t>
  </si>
  <si>
    <t>00000000A6C727E4353C314FBD93409EF639422707000D702909B30966478A168622D1D80E2400000000010D00000D702909B30966478A168622D1D80E240002534C939E0000</t>
  </si>
  <si>
    <t>Fight is at 4pm</t>
  </si>
  <si>
    <t>00000000A6C727E4353C314FBD93409EF639422707000D702909B30966478A168622D1D80E2400000000010D00000D702909B30966478A168622D1D80E240002534C939F0000</t>
  </si>
  <si>
    <t>00000000A6C727E4353C314FBD93409EF639422707000D702909B30966478A168622D1D80E2400000000010D00000D702909B30966478A168622D1D80E240002534C93A10000</t>
  </si>
  <si>
    <t xml:space="preserve">Investee meeting Velox </t>
  </si>
  <si>
    <t>Microsoft Teams Meeting; Boardroom</t>
  </si>
  <si>
    <t>Admin,Jon Butler,Jason Yan,Boardroom,Martyn James,Graham Tuckwell,Mark Weeks,Chloe Barlass,Ian Lansdell,Theresa Loney,Alison Hood,Elena Unugur</t>
  </si>
  <si>
    <t>00000000A6C727E4353C314FBD93409EF639422707000D702909B30966478A168622D1D80E2400000000010D00000D702909B30966478A168622D1D80E240002534C93A20000</t>
  </si>
  <si>
    <t>AK Invest/Velox - Fractional Trading demo</t>
  </si>
  <si>
    <t>https://veloxfintech.zoom.us/j/82296036977?pwd=eVVHMkg0UEpOS0twNTVwblFvL3lOUT09</t>
  </si>
  <si>
    <t>Mohamed Arkate,Onur Akkaynak,erdem.karaorman@akyatirim.com.tr,Tolga Özbağ,Jon Butler,Albert.Krespin@akyatirim.com.tr,Gökhan Eker (Akyatırım)</t>
  </si>
  <si>
    <t>00000000A6C727E4353C314FBD93409EF639422707000D702909B30966478A168622D1D80E2400000000010D00000D702909B30966478A168622D1D80E240002534C93A30000</t>
  </si>
  <si>
    <t xml:space="preserve">Velox - Follow Up </t>
  </si>
  <si>
    <t>https://morganstanley.zoom.us/j/5734220379</t>
  </si>
  <si>
    <t>Ankush.R.Jain@morganstanley.com,Jon Butler,Ali Moosavi,Thirunavukkarasu.Venkatachalam@morganstanley.com,Hitesh.Ghai@morganstanley.com</t>
  </si>
  <si>
    <t>Ankush.R.Jain@morganstanley.com</t>
  </si>
  <si>
    <t>00000000A6C727E4353C314FBD93409EF639422707000D702909B30966478A168622D1D80E2400000000010D00000D702909B30966478A168622D1D80E240002534C93A40000</t>
  </si>
  <si>
    <t>00000000A6C727E4353C314FBD93409EF639422707000D702909B30966478A168622D1D80E2400000000010D00000D702909B30966478A168622D1D80E240002534C93A50000</t>
  </si>
  <si>
    <t>00000000A6C727E4353C314FBD93409EF639422707000D702909B30966478A168622D1D80E2400000000010D00000D702909B30966478A168622D1D80E240002534C93A60000</t>
  </si>
  <si>
    <t>00000000A6C727E4353C314FBD93409EF639422707000D702909B30966478A168622D1D80E2400000000010D00000D702909B30966478A168622D1D80E240002534C93A70000</t>
  </si>
  <si>
    <t>Velox/Meeting with Abdullah (Riyad Capital)</t>
  </si>
  <si>
    <t>https://veloxfintech.zoom.us/j/89897688778?pwd=UnkvS3RWU2JRZFg3aGJEcnFxR2pzdz09</t>
  </si>
  <si>
    <t>Mohamed Arkate,Jon Butler,Abdullah Al-Khalifah</t>
  </si>
  <si>
    <t>00000000A6C727E4353C314FBD93409EF639422707000D702909B30966478A168622D1D80E2400000000010D00000D702909B30966478A168622D1D80E240002534C93A80000</t>
  </si>
  <si>
    <t>Excel check-in</t>
  </si>
  <si>
    <t>Jim Bunting,Jon Butler,chris@finsemble.com,Jason Yan</t>
  </si>
  <si>
    <t>00000000A6C727E4353C314FBD93409EF639422707000D702909B30966478A168622D1D80E2400000000010D00000D702909B30966478A168622D1D80E240002D709A6470000</t>
  </si>
  <si>
    <t>Palace &amp; Velox - CEO Meet &amp; Greet</t>
  </si>
  <si>
    <t>Neto,Jon Butler,ben.clark@palace.cl</t>
  </si>
  <si>
    <t>00000000A6C727E4353C314FBD93409EF639422707000D702909B30966478A168622D1D80E2400000000010D00000D702909B30966478A168622D1D80E240002534C93A90000</t>
  </si>
  <si>
    <t>Perpetua-IG/Velox - Meeting in Dubai</t>
  </si>
  <si>
    <t>Capricorn tower, 81 Sheikh Zayed Rd - Trade Centre - DIFC - Dubai</t>
  </si>
  <si>
    <t>Mohamed Arkate,Edouard Rouchy,Jon Butler,Tarik.elaoufi@perpetua-ig.com</t>
  </si>
  <si>
    <t>00000000A6C727E4353C314FBD93409EF639422707000D702909B30966478A168622D1D80E2400000000010D00000D702909B30966478A168622D1D80E240002534C93AA0000</t>
  </si>
  <si>
    <t>Ali/Jon catch up - MS Wealth Prep</t>
  </si>
  <si>
    <t>https://veloxfintech.zoom.us/j/86349790138?pwd=ZlFWK0ErMkVjYlVSb0o0NTNLMDJrUT09&amp;from=addon</t>
  </si>
  <si>
    <t>00000000A6C727E4353C314FBD93409EF639422707000D702909B30966478A168622D1D80E2400000000010D00000D702909B30966478A168622D1D80E240002D709A6490000</t>
  </si>
  <si>
    <t>ms wealth / state management in docs</t>
  </si>
  <si>
    <t>id=4044367157</t>
  </si>
  <si>
    <t>00000000A6C727E4353C314FBD93409EF639422707000D702909B30966478A168622D1D80E2400000000010D00000D702909B30966478A168622D1D80E240002534C93AB0000</t>
  </si>
  <si>
    <t>following up to mswealth</t>
  </si>
  <si>
    <t>00000000A6C727E4353C314FBD93409EF639422707000D702909B30966478A168622D1D80E2400000000010D00000D702909B30966478A168622D1D80E240002534C93AC0000</t>
  </si>
  <si>
    <t>improve jobtitle parsing</t>
  </si>
  <si>
    <t>00000000A6C727E4353C314FBD93409EF639422707000D702909B30966478A168622D1D80E2400000000010D00000D702909B30966478A168622D1D80E24000265337CF60000</t>
  </si>
  <si>
    <t>00000000A6C727E4353C314FBD93409EF639422707000D702909B30966478A168622D1D80E2400000000010D00000D702909B30966478A168622D1D80E24000265337CF50000</t>
  </si>
  <si>
    <t>greg email response</t>
  </si>
  <si>
    <t>id=3549713015</t>
  </si>
  <si>
    <t>00000000A6C727E4353C314FBD93409EF639422707000D702909B30966478A168622D1D80E2400000000010D00000D702909B30966478A168622D1D80E240002534C93AD0000</t>
  </si>
  <si>
    <t>better jobtitle match</t>
  </si>
  <si>
    <t>00000000A6C727E4353C314FBD93409EF639422707000D702909B30966478A168622D1D80E2400000000010D00000D702909B30966478A168622D1D80E240002534C93AE0000</t>
  </si>
  <si>
    <t>00000000A6C727E4353C314FBD93409EF639422707000D702909B30966478A168622D1D80E2400000000010D00000D702909B30966478A168622D1D80E24000265337CF80000</t>
  </si>
  <si>
    <t>better job title match</t>
  </si>
  <si>
    <t>00000000A6C727E4353C314FBD93409EF639422707000D702909B30966478A168622D1D80E2400000000010D00000D702909B30966478A168622D1D80E24000265337CF70000</t>
  </si>
  <si>
    <t>flight bookings</t>
  </si>
  <si>
    <t>00000000A6C727E4353C314FBD93409EF639422707000D702909B30966478A168622D1D80E2400000000010D00000D702909B30966478A168622D1D80E24000265337CFA0000</t>
  </si>
  <si>
    <t>chris/admin</t>
  </si>
  <si>
    <t>00000000A6C727E4353C314FBD93409EF639422707000D702909B30966478A168622D1D80E2400000000010D00000D702909B30966478A168622D1D80E24000265337CF90000</t>
  </si>
  <si>
    <t>00000000A6C727E4353C314FBD93409EF639422707000D702909B30966478A168622D1D80E2400000000010D00000D702909B30966478A168622D1D80E24000265337CFB0000</t>
  </si>
  <si>
    <t>uploading</t>
  </si>
  <si>
    <t>00000000A6C727E4353C314FBD93409EF639422707000D702909B30966478A168622D1D80E2400000000010D00000D702909B30966478A168622D1D80E240002534C93AF0000</t>
  </si>
  <si>
    <t>mo cognizant / ak invest</t>
  </si>
  <si>
    <t>00000000A6C727E4353C314FBD93409EF639422707000D702909B30966478A168622D1D80E2400000000010D00000D702909B30966478A168622D1D80E24000265337D050000</t>
  </si>
  <si>
    <t>AK Invest - Demo overview</t>
  </si>
  <si>
    <t>00000000A6C727E4353C314FBD93409EF639422707000D702909B30966478A168622D1D80E2400000000010D00000D702909B30966478A168622D1D80E240002D99210680000</t>
  </si>
  <si>
    <t>00000000A6C727E4353C314FBD93409EF639422707000D702909B30966478A168622D1D80E2400000000010D00000D702909B30966478A168622D1D80E24000265337D040000</t>
  </si>
  <si>
    <t>Jon/Mo - AK Invest Dry Run</t>
  </si>
  <si>
    <t>00000000A6C727E4353C314FBD93409EF639422707000D702909B30966478A168622D1D80E2400000000010D00000D702909B30966478A168622D1D80E24000265337D030000</t>
  </si>
  <si>
    <t>Jason / AK invest</t>
  </si>
  <si>
    <t>00000000A6C727E4353C314FBD93409EF639422707000D702909B30966478A168622D1D80E2400000000010D00000D702909B30966478A168622D1D80E24000265337D020000</t>
  </si>
  <si>
    <t>M&amp;G/Velox - Meeting</t>
  </si>
  <si>
    <t>10 Fenchurch Avenue EC3M 5AG London</t>
  </si>
  <si>
    <t>Mohamed Arkate,Jon Butler,Keiron Arnold</t>
  </si>
  <si>
    <t>00000000A6C727E4353C314FBD93409EF639422707000D702909B30966478A168622D1D80E2400000000010D00000D702909B30966478A168622D1D80E240002D99210670000</t>
  </si>
  <si>
    <t>tk invest prep</t>
  </si>
  <si>
    <t>00000000A6C727E4353C314FBD93409EF639422707000D702909B30966478A168622D1D80E2400000000010D00000D702909B30966478A168622D1D80E24000265337D010000</t>
  </si>
  <si>
    <t>flights</t>
  </si>
  <si>
    <t>00000000A6C727E4353C314FBD93409EF639422707000D702909B30966478A168622D1D80E2400000000010D00000D702909B30966478A168622D1D80E24000265337D000000</t>
  </si>
  <si>
    <t>tkinvest demo</t>
  </si>
  <si>
    <t>00000000A6C727E4353C314FBD93409EF639422707000D702909B30966478A168622D1D80E2400000000010D00000D702909B30966478A168622D1D80E24000265337CFF0000</t>
  </si>
  <si>
    <t>upload</t>
  </si>
  <si>
    <t>00000000A6C727E4353C314FBD93409EF639422707000D702909B30966478A168622D1D80E2400000000010D00000D702909B30966478A168622D1D80E24000265337CFE0000</t>
  </si>
  <si>
    <t>00000000A6C727E4353C314FBD93409EF639422707000D702909B30966478A168622D1D80E2400000000010D00000D702909B30966478A168622D1D80E24000265337CFD0000</t>
  </si>
  <si>
    <t>00000000A6C727E4353C314FBD93409EF639422707000D702909B30966478A168622D1D80E2400000000010D00000D702909B30966478A168622D1D80E24000265337CFC0000</t>
  </si>
  <si>
    <t>visa application</t>
  </si>
  <si>
    <t>00000000A6C727E4353C314FBD93409EF639422707000D702909B30966478A168622D1D80E2400000000010D00000D702909B30966478A168622D1D80E240002534C93B00000</t>
  </si>
  <si>
    <t>jason / tk invest</t>
  </si>
  <si>
    <t>00000000A6C727E4353C314FBD93409EF639422707000D702909B30966478A168622D1D80E2400000000010D00000D702909B30966478A168622D1D80E24000265348E870000</t>
  </si>
  <si>
    <t>visa stuff</t>
  </si>
  <si>
    <t>00000000A6C727E4353C314FBD93409EF639422707000D702909B30966478A168622D1D80E2400000000010D00000D702909B30966478A168622D1D80E24000265348E860000</t>
  </si>
  <si>
    <t>ak invest prep</t>
  </si>
  <si>
    <t>00000000A6C727E4353C314FBD93409EF639422707000D702909B30966478A168622D1D80E2400000000010D00000D702909B30966478A168622D1D80E24000265337D0B0000</t>
  </si>
  <si>
    <t>ak invest debreif</t>
  </si>
  <si>
    <t>00000000A6C727E4353C314FBD93409EF639422707000D702909B30966478A168622D1D80E2400000000010D00000D702909B30966478A168622D1D80E24000265337D0A0000</t>
  </si>
  <si>
    <t>Canceled: Alrajhi Capital - Velox Intro</t>
  </si>
  <si>
    <t>Alrajhi Tower @Riyadh</t>
  </si>
  <si>
    <t>Mohamed Arkate,Jon Butler,Sameer Wasim</t>
  </si>
  <si>
    <t>00000000A6C727E4353C314FBD93409EF639422707000D702909B30966478A168622D1D80E2400000000010D00000D702909B30966478A168622D1D80E240002DC33B0150000</t>
  </si>
  <si>
    <t>TK inbvest</t>
  </si>
  <si>
    <t>00000000A6C727E4353C314FBD93409EF639422707000D702909B30966478A168622D1D80E2400000000010D00000D702909B30966478A168622D1D80E24000265337D090000</t>
  </si>
  <si>
    <t>TK Invest</t>
  </si>
  <si>
    <t>00000000A6C727E4353C314FBD93409EF639422707000D702909B30966478A168622D1D80E2400000000010D00000D702909B30966478A168622D1D80E24000265337D080000</t>
  </si>
  <si>
    <t>00000000A6C727E4353C314FBD93409EF639422707000D702909B30966478A168622D1D80E2400000000010D00000D702909B30966478A168622D1D80E24000265337D070000</t>
  </si>
  <si>
    <t>YK invest demo prep</t>
  </si>
  <si>
    <t>00000000A6C727E4353C314FBD93409EF639422707000D702909B30966478A168622D1D80E2400000000010D00000D702909B30966478A168622D1D80E24000265337D060000</t>
  </si>
  <si>
    <t>london triop</t>
  </si>
  <si>
    <t>00000000A6C727E4353C314FBD93409EF639422707000D702909B30966478A168622D1D80E2400000000010D00000D702909B30966478A168622D1D80E24000265348E880000</t>
  </si>
  <si>
    <t>00000000A6C727E4353C314FBD93409EF639422707000D702909B30966478A168622D1D80E2400000000010D00000D702909B30966478A168622D1D80E24000265348E890000</t>
  </si>
  <si>
    <t>00000000A6C727E4353C314FBD93409EF639422707000D702909B30966478A168622D1D80E2400000000010D00000D702909B30966478A168622D1D80E24000265337D150000</t>
  </si>
  <si>
    <t>00000000A6C727E4353C314FBD93409EF639422707000D702909B30966478A168622D1D80E2400000000010D00000D702909B30966478A168622D1D80E24000265337D140000</t>
  </si>
  <si>
    <t>00000000A6C727E4353C314FBD93409EF639422707000D702909B30966478A168622D1D80E2400000000010D00000D702909B30966478A168622D1D80E24000265337D130000</t>
  </si>
  <si>
    <t>00000000A6C727E4353C314FBD93409EF639422707000D702909B30966478A168622D1D80E2400000000010D00000D702909B30966478A168622D1D80E24000265337D120000</t>
  </si>
  <si>
    <t>00000000A6C727E4353C314FBD93409EF639422707000D702909B30966478A168622D1D80E2400000000010D00000D702909B30966478A168622D1D80E24000265337D100000</t>
  </si>
  <si>
    <t>SIX prep</t>
  </si>
  <si>
    <t>00000000A6C727E4353C314FBD93409EF639422707000D702909B30966478A168622D1D80E2400000000010D00000D702909B30966478A168622D1D80E24000265337D0F0000</t>
  </si>
  <si>
    <t>Winterflood/Velox - Breakfast</t>
  </si>
  <si>
    <t>Watchhouse 70 St Mary Axe, London EC3A 8BG</t>
  </si>
  <si>
    <t>Mohamed Arkate,John Heaney,Jon Butler</t>
  </si>
  <si>
    <t>00000000A6C727E4353C314FBD93409EF639422707000D702909B30966478A168622D1D80E2400000000010D00000D702909B30966478A168622D1D80E24000265337D0E0000</t>
  </si>
  <si>
    <t>00000000A6C727E4353C314FBD93409EF639422707000D702909B30966478A168622D1D80E2400000000010D00000D702909B30966478A168622D1D80E24000265337D0D0000</t>
  </si>
  <si>
    <t>00000000A6C727E4353C314FBD93409EF639422707000D702909B30966478A168622D1D80E2400000000010D00000D702909B30966478A168622D1D80E24000265337D0C0000</t>
  </si>
  <si>
    <t>00000000A6C727E4353C314FBD93409EF639422707000D702909B30966478A168622D1D80E2400000000010D00000D702909B30966478A168622D1D80E24000265348E8A0000</t>
  </si>
  <si>
    <t>Jon Butler (Velox) / Chris Raybould (RBC)</t>
  </si>
  <si>
    <t>100 Bishopsgate</t>
  </si>
  <si>
    <t>Jon Butler,Raybould, Chris</t>
  </si>
  <si>
    <t>00000000A6C727E4353C314FBD93409EF639422707000D702909B30966478A168622D1D80E2400000000010D00000D702909B30966478A168622D1D80E240002534C93B10000</t>
  </si>
  <si>
    <t>Jon/Mike - Lunch in London</t>
  </si>
  <si>
    <t>The Ned</t>
  </si>
  <si>
    <t>00000000A6C727E4353C314FBD93409EF639422707000D702909B30966478A168622D1D80E2400000000010D00000D702909B30966478A168622D1D80E240002534C93B20000</t>
  </si>
  <si>
    <t>00000000A6C727E4353C314FBD93409EF639422707000D702909B30966478A168622D1D80E2400000000010D00000D702909B30966478A168622D1D80E240002534C93B30000</t>
  </si>
  <si>
    <t>greg screenshots</t>
  </si>
  <si>
    <t>00000000A6C727E4353C314FBD93409EF639422707000D702909B30966478A168622D1D80E2400000000010D00000D702909B30966478A168622D1D80E24000265337D190000</t>
  </si>
  <si>
    <t>Greg screenshots</t>
  </si>
  <si>
    <t>00000000A6C727E4353C314FBD93409EF639422707000D702909B30966478A168622D1D80E2400000000010D00000D702909B30966478A168622D1D80E24000265337D180000</t>
  </si>
  <si>
    <t>Ali admin</t>
  </si>
  <si>
    <t>00000000A6C727E4353C314FBD93409EF639422707000D702909B30966478A168622D1D80E2400000000010D00000D702909B30966478A168622D1D80E24000265337D170000</t>
  </si>
  <si>
    <t>MLP insurance</t>
  </si>
  <si>
    <t>00000000A6C727E4353C314FBD93409EF639422707000D702909B30966478A168622D1D80E2400000000010D00000D702909B30966478A168622D1D80E24000265337D160000</t>
  </si>
  <si>
    <t>00000000A6C727E4353C314FBD93409EF639422707000D702909B30966478A168622D1D80E2400000000010D00000D702909B30966478A168622D1D80E24000265337D220000</t>
  </si>
  <si>
    <t>new phone for travel</t>
  </si>
  <si>
    <t>00000000A6C727E4353C314FBD93409EF639422707000D702909B30966478A168622D1D80E2400000000010D00000D702909B30966478A168622D1D80E24000265337D210000</t>
  </si>
  <si>
    <t>Lunch with Velox</t>
  </si>
  <si>
    <t>Haz Bishopsgate</t>
  </si>
  <si>
    <t>Andy Browning,Peter Holmgren,Greg Cooper,Luigi Marino,Jon Butler</t>
  </si>
  <si>
    <t>00000000A6C727E4353C314FBD93409EF639422707000D702909B30966478A168622D1D80E2400000000010D00000D702909B30966478A168622D1D80E24000265337D200000</t>
  </si>
  <si>
    <t>Jon/Jim - Breakfast</t>
  </si>
  <si>
    <t>00000000A6C727E4353C314FBD93409EF639422707000D702909B30966478A168622D1D80E2400000000010D00000D702909B30966478A168622D1D80E24000265337D1E0000</t>
  </si>
  <si>
    <t>Jon Butler (Velox) / Feargal De Burca (KPMG)</t>
  </si>
  <si>
    <t>KPMG/Canary Wharf</t>
  </si>
  <si>
    <t>Jon Butler,De Burca, Feargal,Vannitsem, Raf</t>
  </si>
  <si>
    <t>00000000A6C727E4353C314FBD93409EF639422707000D702909B30966478A168622D1D80E2400000000010D00000D702909B30966478A168622D1D80E24000265337D1D0000</t>
  </si>
  <si>
    <t>travel planning</t>
  </si>
  <si>
    <t>00000000A6C727E4353C314FBD93409EF639422707000D702909B30966478A168622D1D80E2400000000010D00000D702909B30966478A168622D1D80E24000265337D1C0000</t>
  </si>
  <si>
    <t>JB TRAVEL TO LONDON</t>
  </si>
  <si>
    <t>00000000A6C727E4353C314FBD93409EF639422707000D702909B30966478A168622D1D80E2400000000010D00000D702909B30966478A168622D1D80E24000265337D1A0000</t>
  </si>
  <si>
    <t>admin and sales strategy</t>
  </si>
  <si>
    <t>00000000A6C727E4353C314FBD93409EF639422707000D702909B30966478A168622D1D80E2400000000010D00000D702909B30966478A168622D1D80E24000265337D230000</t>
  </si>
  <si>
    <t>contacts</t>
  </si>
  <si>
    <t>00000000A6C727E4353C314FBD93409EF639422707000D702909B30966478A168622D1D80E2400000000010D00000D702909B30966478A168622D1D80E24000265337D270000</t>
  </si>
  <si>
    <t>00000000A6C727E4353C314FBD93409EF639422707000D702909B30966478A168622D1D80E2400000000010D00000D702909B30966478A168622D1D80E24000265337D260000</t>
  </si>
  <si>
    <t>sypmhony</t>
  </si>
  <si>
    <t>00000000A6C727E4353C314FBD93409EF639422707000D702909B30966478A168622D1D80E2400000000010D00000D702909B30966478A168622D1D80E24000265337D250000</t>
  </si>
  <si>
    <t>travel</t>
  </si>
  <si>
    <t>00000000A6C727E4353C314FBD93409EF639422707000D702909B30966478A168622D1D80E2400000000010D00000D702909B30966478A168622D1D80E24000265337D240000</t>
  </si>
  <si>
    <t>00000000A6C727E4353C314FBD93409EF639422707000D702909B30966478A168622D1D80E2400000000010D00000D702909B30966478A168622D1D80E24000265337D280000</t>
  </si>
  <si>
    <t>jobtitles</t>
  </si>
  <si>
    <t>00000000A6C727E4353C314FBD93409EF639422707000D702909B30966478A168622D1D80E2400000000010D00000D702909B30966478A168622D1D80E2400026533CB300000</t>
  </si>
  <si>
    <t>job title</t>
  </si>
  <si>
    <t>00000000A6C727E4353C314FBD93409EF639422707000D702909B30966478A168622D1D80E2400000000010D00000D702909B30966478A168622D1D80E2400026533CB2F0000</t>
  </si>
  <si>
    <t>brad update</t>
  </si>
  <si>
    <t>00000000A6C727E4353C314FBD93409EF639422707000D702909B30966478A168622D1D80E2400000000010D00000D702909B30966478A168622D1D80E2400026533CB2E0000</t>
  </si>
  <si>
    <t>00000000A6C727E4353C314FBD93409EF639422707000D702909B30966478A168622D1D80E2400000000010D00000D702909B30966478A168622D1D80E2400026533CB2D0000</t>
  </si>
  <si>
    <t>Jon/Shridhar</t>
  </si>
  <si>
    <t>Jon Butler,Shridhar Guravannavar</t>
  </si>
  <si>
    <t>00000000A6C727E4353C314FBD93409EF639422707000D702909B30966478A168622D1D80E2400000000010D00000D702909B30966478A168622D1D80E2400026533CB2C0000</t>
  </si>
  <si>
    <t>jobtitle</t>
  </si>
  <si>
    <t>00000000A6C727E4353C314FBD93409EF639422707000D702909B30966478A168622D1D80E2400000000010D00000D702909B30966478A168622D1D80E2400026533CB2B0000</t>
  </si>
  <si>
    <t>00000000A6C727E4353C314FBD93409EF639422707000D702909B30966478A168622D1D80E2400000000010D00000D702909B30966478A168622D1D80E2400026533CB2A0000</t>
  </si>
  <si>
    <t>00000000A6C727E4353C314FBD93409EF639422707000D702909B30966478A168622D1D80E2400000000010D00000D702909B30966478A168622D1D80E24000265337D290000</t>
  </si>
  <si>
    <t>00000000A6C727E4353C314FBD93409EF639422707000D702909B30966478A168622D1D80E2400000000010D00000D702909B30966478A168622D1D80E240002534C93B50000</t>
  </si>
  <si>
    <t>00000000A6C727E4353C314FBD93409EF639422707000D702909B30966478A168622D1D80E2400000000010D00000D702909B30966478A168622D1D80E240002534C93B60000</t>
  </si>
  <si>
    <t>00000000A6C727E4353C314FBD93409EF639422707000D702909B30966478A168622D1D80E2400000000010D00000D702909B30966478A168622D1D80E2400026533CB310000</t>
  </si>
  <si>
    <t>00000000A6C727E4353C314FBD93409EF639422707000D702909B30966478A168622D1D80E2400000000010D00000D702909B30966478A168622D1D80E24000265348E8B0000</t>
  </si>
  <si>
    <t>00000000A6C727E4353C314FBD93409EF639422707000D702909B30966478A168622D1D80E2400000000010D00000D702909B30966478A168622D1D80E24000265348E8C0000</t>
  </si>
  <si>
    <t>travel stuff</t>
  </si>
  <si>
    <t>00000000A6C727E4353C314FBD93409EF639422707000D702909B30966478A168622D1D80E2400000000010D00000D702909B30966478A168622D1D80E2400026533CB3A0000</t>
  </si>
  <si>
    <t>00000000A6C727E4353C314FBD93409EF639422707000D702909B30966478A168622D1D80E2400000000010D00000D702909B30966478A168622D1D80E2400026533CB390000</t>
  </si>
  <si>
    <t>Turkish Airlines flight 763 to Istanbul (UQCCPB)</t>
  </si>
  <si>
    <t>Dubai International Airport (Dubai Dubai, United Arab Emirates)</t>
  </si>
  <si>
    <t>00000000A6C727E4353C314FBD93409EF639422707000D702909B30966478A168622D1D80E2400000000010D00000D702909B30966478A168622D1D80E240002DFE122DE0000</t>
  </si>
  <si>
    <t>prep for sales</t>
  </si>
  <si>
    <t>00000000A6C727E4353C314FBD93409EF639422707000D702909B30966478A168622D1D80E2400000000010D00000D702909B30966478A168622D1D80E2400026533CB380000</t>
  </si>
  <si>
    <t xml:space="preserve">MS Wealth next steps </t>
  </si>
  <si>
    <t>https://veloxfintech.zoom.us/j/87698564273?pwd=SEt2SjVJc2tmQzN1T0J1bVRIalYrQT09&amp;from=addon</t>
  </si>
  <si>
    <t>00000000A6C727E4353C314FBD93409EF639422707000D702909B30966478A168622D1D80E2400000000010D00000D702909B30966478A168622D1D80E240002DFE122DC0000</t>
  </si>
  <si>
    <t>00000000A6C727E4353C314FBD93409EF639422707000D702909B30966478A168622D1D80E2400000000010D00000D702909B30966478A168622D1D80E2400026533CB330000</t>
  </si>
  <si>
    <t>Daily Sales Strategy catch up</t>
  </si>
  <si>
    <t>00000000A6C727E4353C314FBD93409EF639422707000D702909B30966478A168622D1D80E2400000000010D00000D702909B30966478A168622D1D80E240002DFE122D80000</t>
  </si>
  <si>
    <t>Jon Butler / Mark Weeks (Lunch)</t>
  </si>
  <si>
    <t>1 Lombard Street</t>
  </si>
  <si>
    <t>Jon Butler,Mark Weeks</t>
  </si>
  <si>
    <t>00000000A6C727E4353C314FBD93409EF639422707000D702909B30966478A168622D1D80E2400000000010D00000D702909B30966478A168622D1D80E2400026533CB320000</t>
  </si>
  <si>
    <t xml:space="preserve">Coffee catch up </t>
  </si>
  <si>
    <t>00000000A6C727E4353C314FBD93409EF639422707000D702909B30966478A168622D1D80E2400000000010D00000D702909B30966478A168622D1D80E2400026533CB360000</t>
  </si>
  <si>
    <t>travel / visa</t>
  </si>
  <si>
    <t>00000000A6C727E4353C314FBD93409EF639422707000D702909B30966478A168622D1D80E2400000000010D00000D702909B30966478A168622D1D80E240002534C93B70000</t>
  </si>
  <si>
    <t>John DGR/Jon Butler Connect</t>
  </si>
  <si>
    <t>280 Bishopsgate, 5th Floor, Room 404</t>
  </si>
  <si>
    <t>00000000A6C727E4353C314FBD93409EF639422707000D702909B30966478A168622D1D80E2400000000010D00000D702909B30966478A168622D1D80E240002534C93B80000</t>
  </si>
  <si>
    <t>MS WM/Velox call - POC scope</t>
  </si>
  <si>
    <t>https://veloxfintech.zoom.us/j/81082963425?pwd=VGNlUnpKVkpBeG9BU2pSR25haDhkZz09&amp;from=addon</t>
  </si>
  <si>
    <t>Ali Moosavi,Jason Yan,Jon Butler,Ankush.R.Jain@morganstanley.com,Thirunavukkarasu.Venkatachalam@morganstanley.com,Hitesh.Ghai@morganstanley.com,Vasantha.Kumar@morganstanley.com,Shridhar Guravannavar,govind.jajoo</t>
  </si>
  <si>
    <t>00000000A6C727E4353C314FBD93409EF639422707000D702909B30966478A168622D1D80E2400000000010D00000D702909B30966478A168622D1D80E240002534C93B90000</t>
  </si>
  <si>
    <t>Canceled: Velox Dinner</t>
  </si>
  <si>
    <t>Mohamed Arkate,Alison Hood,Jon Butler</t>
  </si>
  <si>
    <t>00000000A6C727E4353C314FBD93409EF639422707000D702909B30966478A168622D1D80E2400000000010D00000D702909B30966478A168622D1D80E240002534C93BA0000</t>
  </si>
  <si>
    <t>Jon Butler / Ian Greer</t>
  </si>
  <si>
    <t>Shoreditch</t>
  </si>
  <si>
    <t>Jon Butler,Iain Greer</t>
  </si>
  <si>
    <t>00000000A6C727E4353C314FBD93409EF639422707000D702909B30966478A168622D1D80E2400000000010D00000D702909B30966478A168622D1D80E240002534C93BB0000</t>
  </si>
  <si>
    <t>travel schedule</t>
  </si>
  <si>
    <t>00000000A6C727E4353C314FBD93409EF639422707000D702909B30966478A168622D1D80E2400000000010D00000D702909B30966478A168622D1D80E240002534C93BC0000</t>
  </si>
  <si>
    <t>Packing</t>
  </si>
  <si>
    <t>00000000A6C727E4353C314FBD93409EF639422707000D702909B30966478A168622D1D80E2400000000010D00000D702909B30966478A168622D1D80E240002DFE122E00000</t>
  </si>
  <si>
    <t>00000000A6C727E4353C314FBD93409EF639422707000D702909B30966478A168622D1D80E2400000000010D00000D702909B30966478A168622D1D80E240002DFE122E20000</t>
  </si>
  <si>
    <t>Breakfast Catch Up</t>
  </si>
  <si>
    <t>Recruiting^ Client</t>
  </si>
  <si>
    <t>Vintry and Mercer, 19-20 Garlick Hill, London EC4V 2AU, UK</t>
  </si>
  <si>
    <t>00000000A6C727E4353C314FBD93409EF639422707000D702909B30966478A168622D1D80E2400000000010D00000D702909B30966478A168622D1D80E240002534C93BD0000</t>
  </si>
  <si>
    <t>Exegy - Velox Intro</t>
  </si>
  <si>
    <t>60 Cannon St London EC4N 6NP</t>
  </si>
  <si>
    <t>Mohamed Arkate,Gerry Turner,Jon Butler</t>
  </si>
  <si>
    <t>00000000A6C727E4353C314FBD93409EF639422707000D702909B30966478A168622D1D80E2400000000010D00000D702909B30966478A168622D1D80E240002534C93BE0000</t>
  </si>
  <si>
    <t>AK Invest/Velox - Meeting in Istanbul</t>
  </si>
  <si>
    <t xml:space="preserve">AK Invest Office </t>
  </si>
  <si>
    <t>Mohamed Arkate,Gökhan Eker (Akyatırım),Albert.Krespin@akyatirim.com.tr,Onur Akkaynak,Jon Butler,Tolga Özbağ,erdem.karaorman@akyatirim.com.tr</t>
  </si>
  <si>
    <t>00000000A6C727E4353C314FBD93409EF639422707000D702909B30966478A168622D1D80E2400000000010D00000D702909B30966478A168622D1D80E240002534C93BF0000</t>
  </si>
  <si>
    <t>Jon Butler (Velox) / Rash Phullar</t>
  </si>
  <si>
    <t>Millies Lounge, The Ned, 27 Poultry, EC2R 8AJ</t>
  </si>
  <si>
    <t>00000000A6C727E4353C314FBD93409EF639422707000D702909B30966478A168622D1D80E2400000000010D00000D702909B30966478A168622D1D80E240002534C93C00000</t>
  </si>
  <si>
    <t>Velox Dinner</t>
  </si>
  <si>
    <t>Brasserie Blanc (60 Threadneedle Street, London, Greater London, EC2R 8HP)</t>
  </si>
  <si>
    <t>Alison Hood,Jon Butler,Mohamed Arkate</t>
  </si>
  <si>
    <t>00000000A6C727E4353C314FBD93409EF639422707000D702909B30966478A168622D1D80E2400000000010D00000D702909B30966478A168622D1D80E240002DFE122E50000</t>
  </si>
  <si>
    <t>00000000A6C727E4353C314FBD93409EF639422707000D702909B30966478A168622D1D80E2400000000010D00000D702909B30966478A168622D1D80E240002534C93C10000</t>
  </si>
  <si>
    <t>sales strategy sheet</t>
  </si>
  <si>
    <t>00000000A6C727E4353C314FBD93409EF639422707000D702909B30966478A168622D1D80E2400000000010D00000D702909B30966478A168622D1D80E240002534C93C20000</t>
  </si>
  <si>
    <t>AK Invest/Velox - Dinner</t>
  </si>
  <si>
    <t>Mohamed Arkate,Tolga Özbağ,erdem.karaorman@akyatirim.com.tr,Jon Butler,nese.ozmen@akyatirim.com.tr,Onur Akkaynak,Albert.Krespin@akyatirim.com.tr,Gökhan Eker (Akyatırım)</t>
  </si>
  <si>
    <t>00000000A6C727E4353C314FBD93409EF639422707000D702909B30966478A168622D1D80E2400000000010D00000D702909B30966478A168622D1D80E240002DFE122E80000</t>
  </si>
  <si>
    <t xml:space="preserve">M&amp;G/Velox - Lunch </t>
  </si>
  <si>
    <t>Haz restaurant 6 Mincing Lane, EC3M 3BD</t>
  </si>
  <si>
    <t>00000000A6C727E4353C314FBD93409EF639422707000D702909B30966478A168622D1D80E2400000000010D00000D702909B30966478A168622D1D80E240002DFE122E70000</t>
  </si>
  <si>
    <t>Catching up</t>
  </si>
  <si>
    <t>Bishopsgate</t>
  </si>
  <si>
    <t>00000000A6C727E4353C314FBD93409EF639422707000D702909B30966478A168622D1D80E2400000000010D00000D702909B30966478A168622D1D80E240002DFE122E60000</t>
  </si>
  <si>
    <t>00000000A6C727E4353C314FBD93409EF639422707000D702909B30966478A168622D1D80E2400000000010D00000D702909B30966478A168622D1D80E240002534C93C40000</t>
  </si>
  <si>
    <t>Velox/MS WM tech deep dive pt2</t>
  </si>
  <si>
    <t>https://veloxfintech.zoom.us/j/84065782517?pwd=L0JFMTgraFhRbEVvZ21ZZTFhRitSUT09&amp;from=addon</t>
  </si>
  <si>
    <t>Ali Moosavi,Ankush.R.Jain@morganstanley.com,Thirunavukkarasu.Venkatachalam@morganstanley.com,Hitesh.Ghai@morganstanley.com,Vasantha.Kumar@morganstanley.com,Jason Yan,Jon Butler,govind.jajoo,Shridhar Guravannavar</t>
  </si>
  <si>
    <t>00000000A6C727E4353C314FBD93409EF639422707000D702909B30966478A168622D1D80E2400000000010D00000D702909B30966478A168622D1D80E240002534C93C50000</t>
  </si>
  <si>
    <t>00000000A6C727E4353C314FBD93409EF639422707000D702909B30966478A168622D1D80E2400000000010D00000D702909B30966478A168622D1D80E240002E1C3B8CE0000</t>
  </si>
  <si>
    <t>Coffee John</t>
  </si>
  <si>
    <t>Barclays Lobby</t>
  </si>
  <si>
    <t>peter.atkinson@barclays.com,Jon Butler</t>
  </si>
  <si>
    <t>peter.atkinson@barclays.com</t>
  </si>
  <si>
    <t>00000000A6C727E4353C314FBD93409EF639422707000D702909B30966478A168622D1D80E2400000000010D00000D702909B30966478A168622D1D80E240002E1C3B8D00000</t>
  </si>
  <si>
    <t>valantic / greg</t>
  </si>
  <si>
    <t>00000000A6C727E4353C314FBD93409EF639422707000D702909B30966478A168622D1D80E2400000000010D00000D702909B30966478A168622D1D80E240002534C93C60000</t>
  </si>
  <si>
    <t>Valantic team</t>
  </si>
  <si>
    <t>00000000A6C727E4353C314FBD93409EF639422707000D702909B30966478A168622D1D80E2400000000010D00000D702909B30966478A168622D1D80E240002E1C3B8D30000</t>
  </si>
  <si>
    <t>Ultumus / mat knapman</t>
  </si>
  <si>
    <t>00000000A6C727E4353C314FBD93409EF639422707000D702909B30966478A168622D1D80E2400000000010D00000D702909B30966478A168622D1D80E240002E1C3B8D20000</t>
  </si>
  <si>
    <t>svb</t>
  </si>
  <si>
    <t>00000000A6C727E4353C314FBD93409EF639422707000D702909B30966478A168622D1D80E2400000000010D00000D702909B30966478A168622D1D80E240002534C93C80000</t>
  </si>
  <si>
    <t>Canceled: Velox / Palace: Proposal</t>
  </si>
  <si>
    <t>Ben Clark,Neto,Jon Butler</t>
  </si>
  <si>
    <t>Ben Clark</t>
  </si>
  <si>
    <t>00000000A6C727E4353C314FBD93409EF639422707000D702909B30966478A168622D1D80E2400000000010D00000D702909B30966478A168622D1D80E240002E1C3B8D40000</t>
  </si>
  <si>
    <t>00000000A6C727E4353C314FBD93409EF639422707000D702909B30966478A168622D1D80E2400000000010D00000D702909B30966478A168622D1D80E240002534C93C90000</t>
  </si>
  <si>
    <t>flights/travel</t>
  </si>
  <si>
    <t>00000000A6C727E4353C314FBD93409EF639422707000D702909B30966478A168622D1D80E2400000000010D00000D702909B30966478A168622D1D80E240002534C93CA0000</t>
  </si>
  <si>
    <t>mum + dad</t>
  </si>
  <si>
    <t>00000000A6C727E4353C314FBD93409EF639422707000D702909B30966478A168622D1D80E2400000000010D00000D702909B30966478A168622D1D80E240002534C93CB0000</t>
  </si>
  <si>
    <t>bernie / ultumus</t>
  </si>
  <si>
    <t>00000000A6C727E4353C314FBD93409EF639422707000D702909B30966478A168622D1D80E2400000000010D00000D702909B30966478A168622D1D80E240002534C93CC0000</t>
  </si>
  <si>
    <t>nancy / travel</t>
  </si>
  <si>
    <t>00000000A6C727E4353C314FBD93409EF639422707000D702909B30966478A168622D1D80E2400000000010D00000D702909B30966478A168622D1D80E240002534C93CD0000</t>
  </si>
  <si>
    <t>ali / morgan stanley</t>
  </si>
  <si>
    <t>00000000A6C727E4353C314FBD93409EF639422707000D702909B30966478A168622D1D80E2400000000010D00000D702909B30966478A168622D1D80E240002534C93CE0000</t>
  </si>
  <si>
    <t>meeting minutes write up</t>
  </si>
  <si>
    <t>00000000A6C727E4353C314FBD93409EF639422707000D702909B30966478A168622D1D80E2400000000010D00000D702909B30966478A168622D1D80E240002534C93CF0000</t>
  </si>
  <si>
    <t>FIX NYC Regional Event (Placeholder)</t>
  </si>
  <si>
    <t>Broadridge - 605 3rd Ave 605 3rd Avenue New York, NY 10158</t>
  </si>
  <si>
    <t>00000000A6C727E4353C314FBD93409EF639422707000D702909B30966478A168622D1D80E2400000000010D00000D702909B30966478A168622D1D80E240002534C93D00000</t>
  </si>
  <si>
    <t>00000000A6C727E4353C314FBD93409EF639422707000D702909B30966478A168622D1D80E2400000000010D00000D702909B30966478A168622D1D80E240002534C93D10000</t>
  </si>
  <si>
    <t>nancy</t>
  </si>
  <si>
    <t>00000000A6C727E4353C314FBD93409EF639422707000D702909B30966478A168622D1D80E2400000000010D00000D702909B30966478A168622D1D80E240002534C93D20000</t>
  </si>
  <si>
    <t>00000000A6C727E4353C314FBD93409EF639422707000D702909B30966478A168622D1D80E2400000000010D00000D702909B30966478A168622D1D80E240002534C93D30000</t>
  </si>
  <si>
    <t>meeting minutres</t>
  </si>
  <si>
    <t>00000000A6C727E4353C314FBD93409EF639422707000D702909B30966478A168622D1D80E2400000000010D00000D702909B30966478A168622D1D80E240002534C93D40000</t>
  </si>
  <si>
    <t>travel prep / packing</t>
  </si>
  <si>
    <t>00000000A6C727E4353C314FBD93409EF639422707000D702909B30966478A168622D1D80E2400000000010D00000D702909B30966478A168622D1D80E240002534C93D50000</t>
  </si>
  <si>
    <t>mswealth</t>
  </si>
  <si>
    <t>00000000A6C727E4353C314FBD93409EF639422707000D702909B30966478A168622D1D80E2400000000010D00000D702909B30966478A168622D1D80E240002534C93D60000</t>
  </si>
  <si>
    <t>aljazira</t>
  </si>
  <si>
    <t>00000000A6C727E4353C314FBD93409EF639422707000D702909B30966478A168622D1D80E2400000000010D00000D702909B30966478A168622D1D80E240002534C93D70000</t>
  </si>
  <si>
    <t>00000000A6C727E4353C314FBD93409EF639422707000D702909B30966478A168622D1D80E2400000000010D00000D702909B30966478A168622D1D80E240002534C93D80000</t>
  </si>
  <si>
    <t xml:space="preserve">Abdullah&amp;Tariq - Velox meeting </t>
  </si>
  <si>
    <t>Mohamed Arkate,Abdullah.khalifah@gmail.com,Abdullah Al-Khalifah,Jon Butler</t>
  </si>
  <si>
    <t>00000000A6C727E4353C314FBD93409EF639422707000D702909B30966478A168622D1D80E2400000000010D00000D702909B30966478A168622D1D80E240002534C93D90000</t>
  </si>
  <si>
    <t>Travel to meet Riyadh Capital</t>
  </si>
  <si>
    <t>00000000A6C727E4353C314FBD93409EF639422707000D702909B30966478A168622D1D80E2400000000010D00000D702909B30966478A168622D1D80E240002534C93DA0000</t>
  </si>
  <si>
    <t>travel to Aljazira</t>
  </si>
  <si>
    <t>00000000A6C727E4353C314FBD93409EF639422707000D702909B30966478A168622D1D80E2400000000010D00000D702909B30966478A168622D1D80E240002534C93DB0000</t>
  </si>
  <si>
    <t>00000000A6C727E4353C314FBD93409EF639422707000D702909B30966478A168622D1D80E2400000000010D00000D702909B30966478A168622D1D80E240002534C93DC0000</t>
  </si>
  <si>
    <t>breakfast with mo</t>
  </si>
  <si>
    <t>00000000A6C727E4353C314FBD93409EF639422707000D702909B30966478A168622D1D80E2400000000010D00000D702909B30966478A168622D1D80E240002534C93DD0000</t>
  </si>
  <si>
    <t>General Discussion</t>
  </si>
  <si>
    <t>Wamid- South Tower - Floor # 04 - Main Meeting Room</t>
  </si>
  <si>
    <t>Ammar.I Alhussaini,Jon Butler,Issa AlIssa,Dominic Che,Mohamed Arkate</t>
  </si>
  <si>
    <t>Ammar.I Alhussaini</t>
  </si>
  <si>
    <t>00000000A6C727E4353C314FBD93409EF639422707000D702909B30966478A168622D1D80E2400000000010D00000D702909B30966478A168622D1D80E240002534C93DE0000</t>
  </si>
  <si>
    <t>MS followup</t>
  </si>
  <si>
    <t>00000000A6C727E4353C314FBD93409EF639422707000D702909B30966478A168622D1D80E2400000000010D00000D702909B30966478A168622D1D80E240002534C93DF0000</t>
  </si>
  <si>
    <t>lunch w/mo</t>
  </si>
  <si>
    <t>00000000A6C727E4353C314FBD93409EF639422707000D702909B30966478A168622D1D80E2400000000010D00000D702909B30966478A168622D1D80E240002534C93E00000</t>
  </si>
  <si>
    <t>ms wealth</t>
  </si>
  <si>
    <t>00000000A6C727E4353C314FBD93409EF639422707000D702909B30966478A168622D1D80E2400000000010D00000D702909B30966478A168622D1D80E240002534C93E10000</t>
  </si>
  <si>
    <t>Velox / Palace call</t>
  </si>
  <si>
    <t>00000000A6C727E4353C314FBD93409EF639422707000D702909B30966478A168622D1D80E2400000000010D00000D702909B30966478A168622D1D80E240002E39EA67E0000</t>
  </si>
  <si>
    <t>prep for wamid</t>
  </si>
  <si>
    <t>00000000A6C727E4353C314FBD93409EF639422707000D702909B30966478A168622D1D80E2400000000010D00000D702909B30966478A168622D1D80E240002534C93E20000</t>
  </si>
  <si>
    <t>travel to wamid</t>
  </si>
  <si>
    <t>00000000A6C727E4353C314FBD93409EF639422707000D702909B30966478A168622D1D80E2400000000010D00000D702909B30966478A168622D1D80E240002534C93E30000</t>
  </si>
  <si>
    <t>00000000A6C727E4353C314FBD93409EF639422707000D702909B30966478A168622D1D80E2400000000010D00000D702909B30966478A168622D1D80E240002534C93E40000</t>
  </si>
  <si>
    <t>00000000A6C727E4353C314FBD93409EF639422707000D702909B30966478A168622D1D80E2400000000010D00000D702909B30966478A168622D1D80E240002534C93E50000</t>
  </si>
  <si>
    <t>meeting with abdullaj</t>
  </si>
  <si>
    <t>00000000A6C727E4353C314FBD93409EF639422707000D702909B30966478A168622D1D80E2400000000010D00000D702909B30966478A168622D1D80E240002534C93E60000</t>
  </si>
  <si>
    <t>prep for SNB</t>
  </si>
  <si>
    <t>00000000A6C727E4353C314FBD93409EF639422707000D702909B30966478A168622D1D80E2400000000010D00000D702909B30966478A168622D1D80E240002534C93E70000</t>
  </si>
  <si>
    <t>Meeting with Perpetua, Edouard Rouchy &amp; Velox Financial</t>
  </si>
  <si>
    <t>ICD Brookfield Place, 312 Al Mustaqbal St - Trade Centre - DIFC - Dubai - Émirats arabes unis</t>
  </si>
  <si>
    <t>tanya.schaller@perpetua-ig.com,mehdi.eljazouli@perpetua-ig.com,reception@perpetua-ig.com,edouard@parkpartnersgp.com,tarik.elaoufi@perpetua-ig.com,Jon Butler,Mohamed Arkate</t>
  </si>
  <si>
    <t>tanya.schaller@perpetua-ig.com</t>
  </si>
  <si>
    <t>00000000A6C727E4353C314FBD93409EF639422707000D702909B30966478A168622D1D80E2400000000010D00000D702909B30966478A168622D1D80E240002E39EA67F0000</t>
  </si>
  <si>
    <t>prep/ travel snb</t>
  </si>
  <si>
    <t>00000000A6C727E4353C314FBD93409EF639422707000D702909B30966478A168622D1D80E2400000000010D00000D702909B30966478A168622D1D80E240002534C93E80000</t>
  </si>
  <si>
    <t xml:space="preserve">Yapi Kredi/Velox - Meeting </t>
  </si>
  <si>
    <t>Yapi Kredi Office</t>
  </si>
  <si>
    <t>Mohamed Arkate,Jon Butler,afsin.ozdemir@ykyatirim.com.tr,İhsan Afşin Özdemir,Recep Yağcı,Merve Fresko</t>
  </si>
  <si>
    <t>00000000A6C727E4353C314FBD93409EF639422707000D702909B30966478A168622D1D80E2400000000010D00000D702909B30966478A168622D1D80E240002534C93E90000</t>
  </si>
  <si>
    <t>Flight to Dubai</t>
  </si>
  <si>
    <t>00000000A6C727E4353C314FBD93409EF639422707000D702909B30966478A168622D1D80E2400000000010D00000D702909B30966478A168622D1D80E240002534C93EA0000</t>
  </si>
  <si>
    <t>fly to NY</t>
  </si>
  <si>
    <t>00000000A6C727E4353C314FBD93409EF639422707000D702909B30966478A168622D1D80E2400000000010D00000D702909B30966478A168622D1D80E240002534C93EB0000</t>
  </si>
  <si>
    <t>metting notes</t>
  </si>
  <si>
    <t>00000000A6C727E4353C314FBD93409EF639422707000D702909B30966478A168622D1D80E2400000000010D00000D702909B30966478A168622D1D80E240002534C93EC0000</t>
  </si>
  <si>
    <t>Trial Preparation ZOOM</t>
  </si>
  <si>
    <t>https://mccarter.zoom.us/j/94909331387?pwd=eURlNWV1RVZyc3cydzIrT3IvLzRxUT09 / Meeting ID: 949 0933 1387 / Passcode: 313936</t>
  </si>
  <si>
    <t>Boland, Roberta,Jon Butler,Jason Yan,Kosch, James A.,Carroll, Brian,Bareentto, Omar</t>
  </si>
  <si>
    <t>Boland, Roberta</t>
  </si>
  <si>
    <t>00000000A6C727E4353C314FBD93409EF639422707000D702909B30966478A168622D1D80E2400000000010D00000D702909B30966478A168622D1D80E240002E39EA6830000</t>
  </si>
  <si>
    <t>mo / prep for AK over dinner</t>
  </si>
  <si>
    <t>00000000A6C727E4353C314FBD93409EF639422707000D702909B30966478A168622D1D80E2400000000010D00000D702909B30966478A168622D1D80E240002534C93ED0000</t>
  </si>
  <si>
    <t>Steve/Jon Intro meeting</t>
  </si>
  <si>
    <t>Alison Hood,Jon Butler,Steve Savides,Bradley Cooke</t>
  </si>
  <si>
    <t>00000000A6C727E4353C314FBD93409EF639422707000D702909B30966478A168622D1D80E2400000000010D00000D702909B30966478A168622D1D80E240002534C93EF0000</t>
  </si>
  <si>
    <t>AK Invest dinner</t>
  </si>
  <si>
    <t>00000000A6C727E4353C314FBD93409EF639422707000D702909B30966478A168622D1D80E2400000000010D00000D702909B30966478A168622D1D80E240002534C93F00000</t>
  </si>
  <si>
    <t>travel to Istanbul hotel</t>
  </si>
  <si>
    <t>00000000A6C727E4353C314FBD93409EF639422707000D702909B30966478A168622D1D80E2400000000010D00000D702909B30966478A168622D1D80E240002534C93F10000</t>
  </si>
  <si>
    <t>dinner with Mo</t>
  </si>
  <si>
    <t>00000000A6C727E4353C314FBD93409EF639422707000D702909B30966478A168622D1D80E2400000000010D00000D702909B30966478A168622D1D80E240002534C93F20000</t>
  </si>
  <si>
    <t>Velox/GCP Intro&lt;&gt;Jon / Alison</t>
  </si>
  <si>
    <t>Alison Rooney,Jon Butler</t>
  </si>
  <si>
    <t>Alison Rooney</t>
  </si>
  <si>
    <t>00000000A6C727E4353C314FBD93409EF639422707000D702909B30966478A168622D1D80E2400000000010D00000D702909B30966478A168622D1D80E240002534C93F30000</t>
  </si>
  <si>
    <t>work</t>
  </si>
  <si>
    <t>00000000A6C727E4353C314FBD93409EF639422707000D702909B30966478A168622D1D80E2400000000010D00000D702909B30966478A168622D1D80E240002534C93F40000</t>
  </si>
  <si>
    <t>00000000A6C727E4353C314FBD93409EF639422707000D702909B30966478A168622D1D80E2400000000010D00000D702909B30966478A168622D1D80E240002534C93F50000</t>
  </si>
  <si>
    <t xml:space="preserve">Jon Butler (Velox) / Ian Roche (Barclays) </t>
  </si>
  <si>
    <t>Jon Butler,ian.roche@barclays.com,Michael Wilkins,govind.jajoo,peter.atkinson@barclays.com,nikhil.x.doshi@barclays.com,Eric.Anderson@barclays.com,Justin.Lada@barclays.com,Mike Wilkins</t>
  </si>
  <si>
    <t>00000000A6C727E4353C314FBD93409EF639422707000D702909B30966478A168622D1D80E2400000000010D00000D702909B30966478A168622D1D80E240002534C93F60000</t>
  </si>
  <si>
    <t>Velox Demo</t>
  </si>
  <si>
    <t>Jon Butler,hanaany@googlemail.com,stefan.kabaferreiro@gmail.com</t>
  </si>
  <si>
    <t>00000000A6C727E4353C314FBD93409EF639422707000D702909B30966478A168622D1D80E2400000000010D00000D702909B30966478A168622D1D80E240002534C93F80000</t>
  </si>
  <si>
    <t>00000000A6C727E4353C314FBD93409EF639422707000D702909B30966478A168622D1D80E2400000000010D00000D702909B30966478A168622D1D80E240002534C93F90000</t>
  </si>
  <si>
    <t>Jon/Joerg: intro and catch-up</t>
  </si>
  <si>
    <t>https://us06web.zoom.us/j/82310794101?pwd=OVY3ZW1uRmhHbjhFSVoraHRoNCtlQT09</t>
  </si>
  <si>
    <t>joerg@cosaic.io,Jon Butler</t>
  </si>
  <si>
    <t>joerg@cosaic.io</t>
  </si>
  <si>
    <t>00000000A6C727E4353C314FBD93409EF639422707000D702909B30966478A168622D1D80E2400000000010D00000D702909B30966478A168622D1D80E240002534C93FA0000</t>
  </si>
  <si>
    <t>00000000A6C727E4353C314FBD93409EF639422707000D702909B30966478A168622D1D80E2400000000010D00000D702909B30966478A168622D1D80E2400026533CB470000</t>
  </si>
  <si>
    <t>Velox  / Mike (ex Fidessa)</t>
  </si>
  <si>
    <t>Jon Butler,lee.harding@thenorthstarr.com,Mike Wilkins</t>
  </si>
  <si>
    <t>00000000A6C727E4353C314FBD93409EF639422707000D702909B30966478A168622D1D80E2400000000010D00000D702909B30966478A168622D1D80E2400026533CB450000</t>
  </si>
  <si>
    <t>00000000A6C727E4353C314FBD93409EF639422707000D702909B30966478A168622D1D80E2400000000010D00000D702909B30966478A168622D1D80E2400026533CB440000</t>
  </si>
  <si>
    <t>nancy / meds</t>
  </si>
  <si>
    <t>00000000A6C727E4353C314FBD93409EF639422707000D702909B30966478A168622D1D80E2400000000010D00000D702909B30966478A168622D1D80E2400026533CB420000</t>
  </si>
  <si>
    <t>00000000A6C727E4353C314FBD93409EF639422707000D702909B30966478A168622D1D80E2400000000010D00000D702909B30966478A168622D1D80E2400026533CB400000</t>
  </si>
  <si>
    <t>Dimitris Androutsos (UK),Jon Butler,James Moseley (UK)</t>
  </si>
  <si>
    <t>Dimitris Androutsos (UK)</t>
  </si>
  <si>
    <t>00000000A6C727E4353C314FBD93409EF639422707000D702909B30966478A168622D1D80E2400000000010D00000D702909B30966478A168622D1D80E2400026533CB410000</t>
  </si>
  <si>
    <t>00000000A6C727E4353C314FBD93409EF639422707000D702909B30966478A168622D1D80E2400000000010D00000D702909B30966478A168622D1D80E2400026533CB3F0000</t>
  </si>
  <si>
    <t>quinton</t>
  </si>
  <si>
    <t>00000000A6C727E4353C314FBD93409EF639422707000D702909B30966478A168622D1D80E2400000000010D00000D702909B30966478A168622D1D80E2400026533CB3E0000</t>
  </si>
  <si>
    <t>deloitte use-cases</t>
  </si>
  <si>
    <t>00000000A6C727E4353C314FBD93409EF639422707000D702909B30966478A168622D1D80E2400000000010D00000D702909B30966478A168622D1D80E2400026533CB3D0000</t>
  </si>
  <si>
    <t>Jon Butler (Velox) / Matthew Hargreaves (Luxoft)</t>
  </si>
  <si>
    <t>Jon Butler,matthew.c.hargreaves@dxc.com</t>
  </si>
  <si>
    <t>00000000A6C727E4353C314FBD93409EF639422707000D702909B30966478A168622D1D80E2400000000010D00000D702909B30966478A168622D1D80E2400026533CB3B0000</t>
  </si>
  <si>
    <t>Velox vCore - UI acceleration</t>
  </si>
  <si>
    <t>Johan Feinberg,Jon Butler,Mohamed Arkate,Per Karlsson,Anh-Dung Phan,Flemming Christensen,Oleh Hryshkevych,Joachim Bonding,Neil Cook,Morten Middelboe Pedersen,James Carter,Heinz Meissl</t>
  </si>
  <si>
    <t>Johan Feinberg</t>
  </si>
  <si>
    <t>00000000A6C727E4353C314FBD93409EF639422707000D702909B30966478A168622D1D80E2400000000010D00000D702909B30966478A168622D1D80E2400026533CB430000</t>
  </si>
  <si>
    <t>00000000A6C727E4353C314FBD93409EF639422707000D702909B30966478A168622D1D80E2400000000010D00000D702909B30966478A168622D1D80E2400026533CB5A0000</t>
  </si>
  <si>
    <t>prep for SimCorp</t>
  </si>
  <si>
    <t>00000000A6C727E4353C314FBD93409EF639422707000D702909B30966478A168622D1D80E2400000000010D00000D702909B30966478A168622D1D80E2400026533CB590000</t>
  </si>
  <si>
    <t>alison/admin</t>
  </si>
  <si>
    <t>00000000A6C727E4353C314FBD93409EF639422707000D702909B30966478A168622D1D80E2400000000010D00000D702909B30966478A168622D1D80E2400026533CB580000</t>
  </si>
  <si>
    <t>Jon Butler,ian.roche@barclays.com,peter.atkinson@barclays.com,Jason Yan,govind.jajoo</t>
  </si>
  <si>
    <t>00000000A6C727E4353C314FBD93409EF639422707000D702909B30966478A168622D1D80E2400000000010D00000D702909B30966478A168622D1D80E2400026533CB570000</t>
  </si>
  <si>
    <t xml:space="preserve">Funding discussion </t>
  </si>
  <si>
    <t>Mark Weeks,Martyn James,Jon Butler</t>
  </si>
  <si>
    <t>00000000A6C727E4353C314FBD93409EF639422707000D702909B30966478A168622D1D80E2400000000010D00000D702909B30966478A168622D1D80E240002E8C8EF560000</t>
  </si>
  <si>
    <t>00000000A6C727E4353C314FBD93409EF639422707000D702909B30966478A168622D1D80E2400000000010D00000D702909B30966478A168622D1D80E2400026533CB550000</t>
  </si>
  <si>
    <t>pptx report</t>
  </si>
  <si>
    <t>00000000A6C727E4353C314FBD93409EF639422707000D702909B30966478A168622D1D80E2400000000010D00000D702909B30966478A168622D1D80E2400026533CB540000</t>
  </si>
  <si>
    <t>00000000A6C727E4353C314FBD93409EF639422707000D702909B30966478A168622D1D80E2400000000010D00000D702909B30966478A168622D1D80E2400026533CB530000</t>
  </si>
  <si>
    <t>Catchup Jon/Greg</t>
  </si>
  <si>
    <t>Greg Cooper,Jon Butler</t>
  </si>
  <si>
    <t>Greg Cooper</t>
  </si>
  <si>
    <t>00000000A6C727E4353C314FBD93409EF639422707000D702909B30966478A168622D1D80E2400000000010D00000D702909B30966478A168622D1D80E2400026533CB500000</t>
  </si>
  <si>
    <t>Velox - Quantum discussion</t>
  </si>
  <si>
    <t>Trey Harvin,Iain Greer,Paul Arber,Jon Butler</t>
  </si>
  <si>
    <t>Trey Harvin</t>
  </si>
  <si>
    <t>00000000A6C727E4353C314FBD93409EF639422707000D702909B30966478A168622D1D80E2400000000010D00000D702909B30966478A168622D1D80E2400026533CB510000</t>
  </si>
  <si>
    <t>mo and sales tools</t>
  </si>
  <si>
    <t>00000000A6C727E4353C314FBD93409EF639422707000D702909B30966478A168622D1D80E2400000000010D00000D702909B30966478A168622D1D80E2400026533CB4F0000</t>
  </si>
  <si>
    <t>flow diagrams for EXEGY</t>
  </si>
  <si>
    <t>00000000A6C727E4353C314FBD93409EF639422707000D702909B30966478A168622D1D80E2400000000010D00000D702909B30966478A168622D1D80E2400026533CB4E0000</t>
  </si>
  <si>
    <t>00000000A6C727E4353C314FBD93409EF639422707000D702909B30966478A168622D1D80E2400000000010D00000D702909B30966478A168622D1D80E2400026533CB4B0000</t>
  </si>
  <si>
    <t>meeting followup</t>
  </si>
  <si>
    <t>00000000A6C727E4353C314FBD93409EF639422707000D702909B30966478A168622D1D80E2400000000010D00000D702909B30966478A168622D1D80E2400026533CB4A0000</t>
  </si>
  <si>
    <t>00000000A6C727E4353C314FBD93409EF639422707000D702909B30966478A168622D1D80E2400000000010D00000D702909B30966478A168622D1D80E2400026533CB490000</t>
  </si>
  <si>
    <t>follows for exegy</t>
  </si>
  <si>
    <t>00000000A6C727E4353C314FBD93409EF639422707000D702909B30966478A168622D1D80E2400000000010D00000D702909B30966478A168622D1D80E2400026533CB480000</t>
  </si>
  <si>
    <t>Reena // Jon Catch Up</t>
  </si>
  <si>
    <t>https://us02web.zoom.us/j/8381504791</t>
  </si>
  <si>
    <t>Reena Raichura,Jon Butler</t>
  </si>
  <si>
    <t>00000000A6C727E4353C314FBD93409EF639422707000D702909B30966478A168622D1D80E2400000000010D00000D702909B30966478A168622D1D80E2400026533CB4C0000</t>
  </si>
  <si>
    <t>Quantum Discussion</t>
  </si>
  <si>
    <t>Ian Lansdell,Jon Butler,Patrick Kearney,Meeting Room-1</t>
  </si>
  <si>
    <t>Ian Lansdell</t>
  </si>
  <si>
    <t>00000000A6C727E4353C314FBD93409EF639422707000D702909B30966478A168622D1D80E2400000000010D00000D702909B30966478A168622D1D80E2400026533CB520000</t>
  </si>
  <si>
    <t>Palace &amp; velox - Meeting</t>
  </si>
  <si>
    <t>00000000A6C727E4353C314FBD93409EF639422707000D702909B30966478A168622D1D80E2400000000010D00000D702909B30966478A168622D1D80E2400026533CB560000</t>
  </si>
  <si>
    <t>00000000A6C727E4353C314FBD93409EF639422707000D702909B30966478A168622D1D80E2400000000010D00000D702909B30966478A168622D1D80E2400026533CB5B0000</t>
  </si>
  <si>
    <t>00000000A6C727E4353C314FBD93409EF639422707000D702909B30966478A168622D1D80E2400000000010D00000D702909B30966478A168622D1D80E2400026533CB780000</t>
  </si>
  <si>
    <t>workflow diagrams</t>
  </si>
  <si>
    <t>00000000A6C727E4353C314FBD93409EF639422707000D702909B30966478A168622D1D80E2400000000010D00000D702909B30966478A168622D1D80E2400026533CB770000</t>
  </si>
  <si>
    <t>exegy followups</t>
  </si>
  <si>
    <t>00000000A6C727E4353C314FBD93409EF639422707000D702909B30966478A168622D1D80E2400000000010D00000D702909B30966478A168622D1D80E2400026533CB760000</t>
  </si>
  <si>
    <t>exegy</t>
  </si>
  <si>
    <t>00000000A6C727E4353C314FBD93409EF639422707000D702909B30966478A168622D1D80E2400000000010D00000D702909B30966478A168622D1D80E2400026533CB750000</t>
  </si>
  <si>
    <t>00000000A6C727E4353C314FBD93409EF639422707000D702909B30966478A168622D1D80E2400000000010D00000D702909B30966478A168622D1D80E2400026533CB740000</t>
  </si>
  <si>
    <t>00000000A6C727E4353C314FBD93409EF639422707000D702909B30966478A168622D1D80E2400000000010D00000D702909B30966478A168622D1D80E2400026533CB730000</t>
  </si>
  <si>
    <t>exegy followup</t>
  </si>
  <si>
    <t>00000000A6C727E4353C314FBD93409EF639422707000D702909B30966478A168622D1D80E2400000000010D00000D702909B30966478A168622D1D80E2400026533CB720000</t>
  </si>
  <si>
    <t>recordings for valanric</t>
  </si>
  <si>
    <t>00000000A6C727E4353C314FBD93409EF639422707000D702909B30966478A168622D1D80E2400000000010D00000D702909B30966478A168622D1D80E2400026533CB700000</t>
  </si>
  <si>
    <t>simcorp prep</t>
  </si>
  <si>
    <t>00000000A6C727E4353C314FBD93409EF639422707000D702909B30966478A168622D1D80E2400000000010D00000D702909B30966478A168622D1D80E2400026533CB6E0000</t>
  </si>
  <si>
    <t>00000000A6C727E4353C314FBD93409EF639422707000D702909B30966478A168622D1D80E2400000000010D00000D702909B30966478A168622D1D80E2400026533CB6D0000</t>
  </si>
  <si>
    <t>barclays debreif</t>
  </si>
  <si>
    <t>00000000A6C727E4353C314FBD93409EF639422707000D702909B30966478A168622D1D80E2400000000010D00000D702909B30966478A168622D1D80E2400026533CB6C0000</t>
  </si>
  <si>
    <t xml:space="preserve">Mat/Jon intro meeting </t>
  </si>
  <si>
    <t>Recruiting^ Marketing</t>
  </si>
  <si>
    <t>Alison Hood,matcornish@gmail.com,Jon Butler,Bradley Cooke</t>
  </si>
  <si>
    <t>00000000A6C727E4353C314FBD93409EF639422707000D702909B30966478A168622D1D80E2400000000010D00000D702909B30966478A168622D1D80E2400026533CB710000</t>
  </si>
  <si>
    <t>barclays</t>
  </si>
  <si>
    <t>00000000A6C727E4353C314FBD93409EF639422707000D702909B30966478A168622D1D80E2400000000010D00000D702909B30966478A168622D1D80E2400026533CB6B0000</t>
  </si>
  <si>
    <t>barclasys</t>
  </si>
  <si>
    <t>00000000A6C727E4353C314FBD93409EF639422707000D702909B30966478A168622D1D80E2400000000010D00000D702909B30966478A168622D1D80E2400026533CB690000</t>
  </si>
  <si>
    <t>00000000A6C727E4353C314FBD93409EF639422707000D702909B30966478A168622D1D80E2400000000010D00000D702909B30966478A168622D1D80E2400026533CB680000</t>
  </si>
  <si>
    <t>barlcays</t>
  </si>
  <si>
    <t>00000000A6C727E4353C314FBD93409EF639422707000D702909B30966478A168622D1D80E2400000000010D00000D702909B30966478A168622D1D80E2400026533CB670000</t>
  </si>
  <si>
    <t>00000000A6C727E4353C314FBD93409EF639422707000D702909B30966478A168622D1D80E2400000000010D00000D702909B30966478A168622D1D80E2400026533CB660000</t>
  </si>
  <si>
    <t>barclays prep</t>
  </si>
  <si>
    <t>00000000A6C727E4353C314FBD93409EF639422707000D702909B30966478A168622D1D80E2400000000010D00000D702909B30966478A168622D1D80E2400026533CB650000</t>
  </si>
  <si>
    <t>00000000A6C727E4353C314FBD93409EF639422707000D702909B30966478A168622D1D80E2400000000010D00000D702909B30966478A168622D1D80E2400026533CB640000</t>
  </si>
  <si>
    <t>00000000A6C727E4353C314FBD93409EF639422707000D702909B30966478A168622D1D80E2400000000010D00000D702909B30966478A168622D1D80E2400026533CB630000</t>
  </si>
  <si>
    <t>prep for barclays</t>
  </si>
  <si>
    <t>00000000A6C727E4353C314FBD93409EF639422707000D702909B30966478A168622D1D80E2400000000010D00000D702909B30966478A168622D1D80E2400026533CB610000</t>
  </si>
  <si>
    <t>00000000A6C727E4353C314FBD93409EF639422707000D702909B30966478A168622D1D80E2400000000010D00000D702909B30966478A168622D1D80E2400026533CB600000</t>
  </si>
  <si>
    <t>00000000A6C727E4353C314FBD93409EF639422707000D702909B30966478A168622D1D80E2400000000010D00000D702909B30966478A168622D1D80E2400026533CB5F0000</t>
  </si>
  <si>
    <t xml:space="preserve">pptx </t>
  </si>
  <si>
    <t>00000000A6C727E4353C314FBD93409EF639422707000D702909B30966478A168622D1D80E2400000000010D00000D702909B30966478A168622D1D80E24000265348E8E0000</t>
  </si>
  <si>
    <t>00000000A6C727E4353C314FBD93409EF639422707000D702909B30966478A168622D1D80E2400000000010D00000D702909B30966478A168622D1D80E24000265348E8D0000</t>
  </si>
  <si>
    <t>Zoom: Tiger Global &lt;&gt; Velox</t>
  </si>
  <si>
    <t>https://tigerglobal.zoom.us/j/94354013016?pwd=WkJJdDN2WTRwSytFdUVCK2RrUUdadz09</t>
  </si>
  <si>
    <t>Nicolazzo, Gia,Vince Monti,Jon Butler</t>
  </si>
  <si>
    <t>Nicolazzo, Gia</t>
  </si>
  <si>
    <t>00000000A6C727E4353C314FBD93409EF639422707000D702909B30966478A168622D1D80E2400000000010D00000D702909B30966478A168622D1D80E2400026533CB6A0000</t>
  </si>
  <si>
    <t>00000000A6C727E4353C314FBD93409EF639422707000D702909B30966478A168622D1D80E2400000000010D00000D702909B30966478A168622D1D80E2400026533CB5E0000</t>
  </si>
  <si>
    <t>00000000A6C727E4353C314FBD93409EF639422707000D702909B30966478A168622D1D80E2400000000010D00000D702909B30966478A168622D1D80E2400026533CB5D0000</t>
  </si>
  <si>
    <t>Prep for BARCLAYS</t>
  </si>
  <si>
    <t>00000000A6C727E4353C314FBD93409EF639422707000D702909B30966478A168622D1D80E2400000000010D00000D702909B30966478A168622D1D80E2400026533CB5C0000</t>
  </si>
  <si>
    <t>Velox &lt;&gt; Silversmith</t>
  </si>
  <si>
    <t>https://silversmith.zoom.us/j/81054261828?pwd=d1RqZ3VjUGNTRVhnclZhcTlNbFdjUT09</t>
  </si>
  <si>
    <t>Conor Finn,Jon Butler,Neto</t>
  </si>
  <si>
    <t>Conor Finn</t>
  </si>
  <si>
    <t>00000000A6C727E4353C314FBD93409EF639422707000D702909B30966478A168622D1D80E2400000000010D00000D702909B30966478A168622D1D80E2400026533CB6F0000</t>
  </si>
  <si>
    <t>t+1 post</t>
  </si>
  <si>
    <t>00000000A6C727E4353C314FBD93409EF639422707000D702909B30966478A168622D1D80E2400000000010D00000D702909B30966478A168622D1D80E2400026533CB830000</t>
  </si>
  <si>
    <t>flow diagrams</t>
  </si>
  <si>
    <t>00000000A6C727E4353C314FBD93409EF639422707000D702909B30966478A168622D1D80E2400000000010D00000D702909B30966478A168622D1D80E2400026533CB820000</t>
  </si>
  <si>
    <t>demos</t>
  </si>
  <si>
    <t>00000000A6C727E4353C314FBD93409EF639422707000D702909B30966478A168622D1D80E2400000000010D00000D702909B30966478A168622D1D80E2400026533CB810000</t>
  </si>
  <si>
    <t>00000000A6C727E4353C314FBD93409EF639422707000D702909B30966478A168622D1D80E2400000000010D00000D702909B30966478A168622D1D80E2400026533CB800000</t>
  </si>
  <si>
    <t>00000000A6C727E4353C314FBD93409EF639422707000D702909B30966478A168622D1D80E2400000000010D00000D702909B30966478A168622D1D80E2400026533CB7F0000</t>
  </si>
  <si>
    <t>flowdiagrams</t>
  </si>
  <si>
    <t>00000000A6C727E4353C314FBD93409EF639422707000D702909B30966478A168622D1D80E2400000000010D00000D702909B30966478A168622D1D80E2400026533CB7E0000</t>
  </si>
  <si>
    <t>00000000A6C727E4353C314FBD93409EF639422707000D702909B30966478A168622D1D80E2400000000010D00000D702909B30966478A168622D1D80E2400026533CB7D0000</t>
  </si>
  <si>
    <t>00000000A6C727E4353C314FBD93409EF639422707000D702909B30966478A168622D1D80E2400000000010D00000D702909B30966478A168622D1D80E2400026533CB7C0000</t>
  </si>
  <si>
    <t>flowdiagrms</t>
  </si>
  <si>
    <t>00000000A6C727E4353C314FBD93409EF639422707000D702909B30966478A168622D1D80E2400000000010D00000D702909B30966478A168622D1D80E2400026533CB7B0000</t>
  </si>
  <si>
    <t>00000000A6C727E4353C314FBD93409EF639422707000D702909B30966478A168622D1D80E2400000000010D00000D702909B30966478A168622D1D80E2400026533CB7A0000</t>
  </si>
  <si>
    <t>valantic videos</t>
  </si>
  <si>
    <t>00000000A6C727E4353C314FBD93409EF639422707000D702909B30966478A168622D1D80E2400000000010D00000D702909B30966478A168622D1D80E2400026533CB790000</t>
  </si>
  <si>
    <t>Jon Butler (Velox) / Will Winzor-Saile (Redburn)</t>
  </si>
  <si>
    <t>Jon Butler,Will Winzor-Saile,Jamie Clark</t>
  </si>
  <si>
    <t>00000000A6C727E4353C314FBD93409EF639422707000D702909B30966478A168622D1D80E2400000000010D00000D702909B30966478A168622D1D80E240002534C93FB0000</t>
  </si>
  <si>
    <t>00000000A6C727E4353C314FBD93409EF639422707000D702909B30966478A168622D1D80E2400000000010D00000D702909B30966478A168622D1D80E240002534C93FC0000</t>
  </si>
  <si>
    <t>demos + ppt viewer</t>
  </si>
  <si>
    <t>00000000A6C727E4353C314FBD93409EF639422707000D702909B30966478A168622D1D80E2400000000010D00000D702909B30966478A168622D1D80E2400026533CB840000</t>
  </si>
  <si>
    <t>00000000A6C727E4353C314FBD93409EF639422707000D702909B30966478A168622D1D80E2400000000010D00000D702909B30966478A168622D1D80E240002534C93FD0000</t>
  </si>
  <si>
    <t>00000000A6C727E4353C314FBD93409EF639422707000D702909B30966478A168622D1D80E2400000000010D00000D702909B30966478A168622D1D80E2400026533CB890000</t>
  </si>
  <si>
    <t>00000000A6C727E4353C314FBD93409EF639422707000D702909B30966478A168622D1D80E2400000000010D00000D702909B30966478A168622D1D80E2400026533CB880000</t>
  </si>
  <si>
    <t>00000000A6C727E4353C314FBD93409EF639422707000D702909B30966478A168622D1D80E2400000000010D00000D702909B30966478A168622D1D80E2400026533CB860000</t>
  </si>
  <si>
    <t xml:space="preserve">PLACEHOLDER - Jon/Mike </t>
  </si>
  <si>
    <t>Blackbarn Restraurant - 19 E. 26TH STREET</t>
  </si>
  <si>
    <t>Jon Butler,mike@mikewilkins.us</t>
  </si>
  <si>
    <t>00000000A6C727E4353C314FBD93409EF639422707000D702909B30966478A168622D1D80E2400000000010D00000D702909B30966478A168622D1D80E2400026533CB850000</t>
  </si>
  <si>
    <t>00000000A6C727E4353C314FBD93409EF639422707000D702909B30966478A168622D1D80E2400000000010D00000D702909B30966478A168622D1D80E2400026533CB8B0000</t>
  </si>
  <si>
    <t>00000000A6C727E4353C314FBD93409EF639422707000D702909B30966478A168622D1D80E2400000000010D00000D702909B30966478A168622D1D80E2400026533CB8A0000</t>
  </si>
  <si>
    <t>00000000A6C727E4353C314FBD93409EF639422707000D702909B30966478A168622D1D80E2400000000010D00000D702909B30966478A168622D1D80E240002534C93FE0000</t>
  </si>
  <si>
    <t>Meeting summaries</t>
  </si>
  <si>
    <t>00000000A6C727E4353C314FBD93409EF639422707000D702909B30966478A168622D1D80E2400000000010D00000D702909B30966478A168622D1D80E2400026533CB960000</t>
  </si>
  <si>
    <t>00000000A6C727E4353C314FBD93409EF639422707000D702909B30966478A168622D1D80E2400000000010D00000D702909B30966478A168622D1D80E2400026533CB950000</t>
  </si>
  <si>
    <t>13:45 train back from Penn</t>
  </si>
  <si>
    <t>00000000A6C727E4353C314FBD93409EF639422707000D702909B30966478A168622D1D80E2400000000010D00000D702909B30966478A168622D1D80E2400026533CB940000</t>
  </si>
  <si>
    <t>travel to NYC for interview</t>
  </si>
  <si>
    <t>00000000A6C727E4353C314FBD93409EF639422707000D702909B30966478A168622D1D80E2400000000010D00000D702909B30966478A168622D1D80E2400026533CB930000</t>
  </si>
  <si>
    <t xml:space="preserve">ppt viewer </t>
  </si>
  <si>
    <t>00000000A6C727E4353C314FBD93409EF639422707000D702909B30966478A168622D1D80E2400000000010D00000D702909B30966478A168622D1D80E2400026533CB920000</t>
  </si>
  <si>
    <t>valantic presentations</t>
  </si>
  <si>
    <t>00000000A6C727E4353C314FBD93409EF639422707000D702909B30966478A168622D1D80E2400000000010D00000D702909B30966478A168622D1D80E2400026533CB910000</t>
  </si>
  <si>
    <t>00000000A6C727E4353C314FBD93409EF639422707000D702909B30966478A168622D1D80E2400000000010D00000D702909B30966478A168622D1D80E2400026533CB900000</t>
  </si>
  <si>
    <t>videos</t>
  </si>
  <si>
    <t>00000000A6C727E4353C314FBD93409EF639422707000D702909B30966478A168622D1D80E2400000000010D00000D702909B30966478A168622D1D80E2400026533CB8F0000</t>
  </si>
  <si>
    <t>T+1</t>
  </si>
  <si>
    <t>00000000A6C727E4353C314FBD93409EF639422707000D702909B30966478A168622D1D80E2400000000010D00000D702909B30966478A168622D1D80E2400026533CB8E0000</t>
  </si>
  <si>
    <t>matthew H</t>
  </si>
  <si>
    <t>00000000A6C727E4353C314FBD93409EF639422707000D702909B30966478A168622D1D80E2400000000010D00000D702909B30966478A168622D1D80E2400026533CB8D0000</t>
  </si>
  <si>
    <t>00000000A6C727E4353C314FBD93409EF639422707000D702909B30966478A168622D1D80E2400000000010D00000D702909B30966478A168622D1D80E2400026533CB8C0000</t>
  </si>
  <si>
    <t>Velox Pricing &amp; Next Steps</t>
  </si>
  <si>
    <t>Jon Butler,Trey Harvin</t>
  </si>
  <si>
    <t>00000000A6C727E4353C314FBD93409EF639422707000D702909B30966478A168622D1D80E2400000000010D00000D702909B30966478A168622D1D80E2400026533CB9A0000</t>
  </si>
  <si>
    <t>meeting summaries / setting up interviews</t>
  </si>
  <si>
    <t>00000000A6C727E4353C314FBD93409EF639422707000D702909B30966478A168622D1D80E2400000000010D00000D702909B30966478A168622D1D80E2400026533CB990000</t>
  </si>
  <si>
    <t>Jason Yan (Velox) / Mike Wilkins</t>
  </si>
  <si>
    <t>Jon Butler,Jason Yan,Michael Wilkins</t>
  </si>
  <si>
    <t>00000000A6C727E4353C314FBD93409EF639422707000D702909B30966478A168622D1D80E2400000000010D00000D702909B30966478A168622D1D80E2400026533CB980000</t>
  </si>
  <si>
    <t>Alison Hood (Velox) / Mike Wilkins</t>
  </si>
  <si>
    <t>Zoom Details TBD</t>
  </si>
  <si>
    <t>Jon Butler,Alison Hood,Michael Wilkins</t>
  </si>
  <si>
    <t>00000000A6C727E4353C314FBD93409EF639422707000D702909B30966478A168622D1D80E2400000000010D00000D702909B30966478A168622D1D80E2400026533CB970000</t>
  </si>
  <si>
    <t>Prep Call: Trading Automation &amp; Workflows Panel - NY Regional Meeting 2023</t>
  </si>
  <si>
    <t>https://us02web.zoom.us/j/83747901749?pwd=cnI1eVdhY2UraGgwMWhPZ1VqT2xzdz09</t>
  </si>
  <si>
    <t>FIX Events,Jon Butler,James.Kwiatkowski@broadridge.com,Kelly Harding,Amy Snape,George Rosenberger,Carla Cano Blázquez,ally.bernstein@blackrock.com</t>
  </si>
  <si>
    <t>FIX Events</t>
  </si>
  <si>
    <t>00000000A6C727E4353C314FBD93409EF639422707000D702909B30966478A168622D1D80E2400000000010D00000D702909B30966478A168622D1D80E240002E8C8EF5D0000</t>
  </si>
  <si>
    <t>Iain | Jon</t>
  </si>
  <si>
    <t>Iain Greer,Jon Butler</t>
  </si>
  <si>
    <t>00000000A6C727E4353C314FBD93409EF639422707000D702909B30966478A168622D1D80E2400000000010D00000D702909B30966478A168622D1D80E240002E8C8EF5C0000</t>
  </si>
  <si>
    <t>Jason Alison/Elias/Barclays</t>
  </si>
  <si>
    <t>00000000A6C727E4353C314FBD93409EF639422707000D702909B30966478A168622D1D80E2400000000010D00000D702909B30966478A168622D1D80E240002E8C8EF5B0000</t>
  </si>
  <si>
    <t>00000000A6C727E4353C314FBD93409EF639422707000D702909B30966478A168622D1D80E2400000000010D00000D702909B30966478A168622D1D80E240002534C93FF0000</t>
  </si>
  <si>
    <t>00000000A6C727E4353C314FBD93409EF639422707000D702909B30966478A168622D1D80E2400000000010D00000D702909B30966478A168622D1D80E2400026533CBA10000</t>
  </si>
  <si>
    <t>ETFCS</t>
  </si>
  <si>
    <t>00000000A6C727E4353C314FBD93409EF639422707000D702909B30966478A168622D1D80E2400000000010D00000D702909B30966478A168622D1D80E2400026533CBA00000</t>
  </si>
  <si>
    <t>00000000A6C727E4353C314FBD93409EF639422707000D702909B30966478A168622D1D80E2400000000010D00000D702909B30966478A168622D1D80E2400026533CB9F0000</t>
  </si>
  <si>
    <t>00000000A6C727E4353C314FBD93409EF639422707000D702909B30966478A168622D1D80E2400000000010D00000D702909B30966478A168622D1D80E2400026533CB9E0000</t>
  </si>
  <si>
    <t>interfview prep</t>
  </si>
  <si>
    <t>00000000A6C727E4353C314FBD93409EF639422707000D702909B30966478A168622D1D80E2400000000010D00000D702909B30966478A168622D1D80E2400026533CB9D0000</t>
  </si>
  <si>
    <t>00000000A6C727E4353C314FBD93409EF639422707000D702909B30966478A168622D1D80E2400000000010D00000D702909B30966478A168622D1D80E2400026533CB9C0000</t>
  </si>
  <si>
    <t>ETFSC Update</t>
  </si>
  <si>
    <t>00000000A6C727E4353C314FBD93409EF639422707000D702909B30966478A168622D1D80E2400000000010D00000D702909B30966478A168622D1D80E2400026533CB9B0000</t>
  </si>
  <si>
    <t>00000000A6C727E4353C314FBD93409EF639422707000D702909B30966478A168622D1D80E2400000000010D00000D702909B30966478A168622D1D80E240002534C94000000</t>
  </si>
  <si>
    <t>ETGFSC</t>
  </si>
  <si>
    <t>00000000A6C727E4353C314FBD93409EF639422707000D702909B30966478A168622D1D80E2400000000010D00000D702909B30966478A168622D1D80E2400026533CBA20000</t>
  </si>
  <si>
    <t>updating webpage</t>
  </si>
  <si>
    <t>00000000A6C727E4353C314FBD93409EF639422707000D702909B30966478A168622D1D80E2400000000010D00000D702909B30966478A168622D1D80E2400026533CBAF0000</t>
  </si>
  <si>
    <t>00000000A6C727E4353C314FBD93409EF639422707000D702909B30966478A168622D1D80E2400000000010D00000D702909B30966478A168622D1D80E2400026533CBAE0000</t>
  </si>
  <si>
    <t>Jon Butler,Michael Wilkins</t>
  </si>
  <si>
    <t>00000000A6C727E4353C314FBD93409EF639422707000D702909B30966478A168622D1D80E2400000000010D00000D702909B30966478A168622D1D80E2400026533CBAD0000</t>
  </si>
  <si>
    <t>Amplemarket - Velox</t>
  </si>
  <si>
    <t>francisca@amplemarket.com,Jon Butler,luis@amplemarket.com,diogo@amplemarket.com,Mohamed Arkate</t>
  </si>
  <si>
    <t>francisca@amplemarket.com</t>
  </si>
  <si>
    <t>00000000A6C727E4353C314FBD93409EF639422707000D702909B30966478A168622D1D80E2400000000010D00000D702909B30966478A168622D1D80E240002EF1149EA0000</t>
  </si>
  <si>
    <t>Agree Ample Markets next steps/timelines</t>
  </si>
  <si>
    <t>Jon Butler,Mohamed Arkate,Alison Hood,Christian Schueler</t>
  </si>
  <si>
    <t>00000000A6C727E4353C314FBD93409EF639422707000D702909B30966478A168622D1D80E2400000000010D00000D702909B30966478A168622D1D80E2400026533CBAB0000</t>
  </si>
  <si>
    <t>meeting summaries - redburn</t>
  </si>
  <si>
    <t>00000000A6C727E4353C314FBD93409EF639422707000D702909B30966478A168622D1D80E2400000000010D00000D702909B30966478A168622D1D80E2400026533CBA90000</t>
  </si>
  <si>
    <t>aalison</t>
  </si>
  <si>
    <t>00000000A6C727E4353C314FBD93409EF639422707000D702909B30966478A168622D1D80E2400000000010D00000D702909B30966478A168622D1D80E2400026533CBA80000</t>
  </si>
  <si>
    <t>00000000A6C727E4353C314FBD93409EF639422707000D702909B30966478A168622D1D80E2400000000010D00000D702909B30966478A168622D1D80E2400026533CBA70000</t>
  </si>
  <si>
    <t>Mohamed on Holidays (Marrakech)</t>
  </si>
  <si>
    <t>00000000A6C727E4353C314FBD93409EF639422707000D702909B30966478A168622D1D80E2400000000010D00000D702909B30966478A168622D1D80E240002EF1149E80000</t>
  </si>
  <si>
    <t>France Public Holiday (Easter)</t>
  </si>
  <si>
    <t>00000000A6C727E4353C314FBD93409EF639422707000D702909B30966478A168622D1D80E2400000000010D00000D702909B30966478A168622D1D80E240002EF1149E70000</t>
  </si>
  <si>
    <t>Mohamed working from Marrakech</t>
  </si>
  <si>
    <t>00000000A6C727E4353C314FBD93409EF639422707000D702909B30966478A168622D1D80E2400000000010D00000D702909B30966478A168622D1D80E240002EF1149E60000</t>
  </si>
  <si>
    <t>Jon (Velox) / Steve - Continued</t>
  </si>
  <si>
    <t>Jon Butler,stevesavides@gmail.com</t>
  </si>
  <si>
    <t>00000000A6C727E4353C314FBD93409EF639422707000D702909B30966478A168622D1D80E2400000000010D00000D702909B30966478A168622D1D80E2400026533CBA60000</t>
  </si>
  <si>
    <t>IS Invest/Velox Intro</t>
  </si>
  <si>
    <t>https://veloxfintech.zoom.us/j/84934246138?pwd=UnI2SVIxVVNxM0lSejBHSG01dnhQUT09</t>
  </si>
  <si>
    <t>Mohamed Arkate,Jon Butler,etaskin@isyatirim.com.tr,earslan@isyatirim.com.tr,Melahat Nefesoglu Yilmaz</t>
  </si>
  <si>
    <t>00000000A6C727E4353C314FBD93409EF639422707000D702909B30966478A168622D1D80E2400000000010D00000D702909B30966478A168622D1D80E2400026533CBAC0000</t>
  </si>
  <si>
    <t>00000000A6C727E4353C314FBD93409EF639422707000D702909B30966478A168622D1D80E2400000000010D00000D702909B30966478A168622D1D80E2400026533CBA50000</t>
  </si>
  <si>
    <t>00000000A6C727E4353C314FBD93409EF639422707000D702909B30966478A168622D1D80E2400000000010D00000D702909B30966478A168622D1D80E2400026533CBA40000</t>
  </si>
  <si>
    <t>00000000A6C727E4353C314FBD93409EF639422707000D702909B30966478A168622D1D80E2400000000010D00000D702909B30966478A168622D1D80E2400026533CBA30000</t>
  </si>
  <si>
    <t>linkedin</t>
  </si>
  <si>
    <t>00000000A6C727E4353C314FBD93409EF639422707000D702909B30966478A168622D1D80E2400000000010D00000D702909B30966478A168622D1D80E2400026533CBBD0000</t>
  </si>
  <si>
    <t>meeting summary report</t>
  </si>
  <si>
    <t>00000000A6C727E4353C314FBD93409EF639422707000D702909B30966478A168622D1D80E2400000000010D00000D702909B30966478A168622D1D80E2400026533CBBC0000</t>
  </si>
  <si>
    <t>00000000A6C727E4353C314FBD93409EF639422707000D702909B30966478A168622D1D80E2400000000010D00000D702909B30966478A168622D1D80E2400026533CBBA0000</t>
  </si>
  <si>
    <t>00000000A6C727E4353C314FBD93409EF639422707000D702909B30966478A168622D1D80E2400000000010D00000D702909B30966478A168622D1D80E2400026533CBB90000</t>
  </si>
  <si>
    <t>alison / mike wilkins</t>
  </si>
  <si>
    <t>00000000A6C727E4353C314FBD93409EF639422707000D702909B30966478A168622D1D80E2400000000010D00000D702909B30966478A168622D1D80E2400026533CBB80000</t>
  </si>
  <si>
    <t>00000000A6C727E4353C314FBD93409EF639422707000D702909B30966478A168622D1D80E2400000000010D00000D702909B30966478A168622D1D80E2400026533CBB70000</t>
  </si>
  <si>
    <t>00000000A6C727E4353C314FBD93409EF639422707000D702909B30966478A168622D1D80E2400000000010D00000D702909B30966478A168622D1D80E2400026533CBB60000</t>
  </si>
  <si>
    <t>00000000A6C727E4353C314FBD93409EF639422707000D702909B30966478A168622D1D80E2400000000010D00000D702909B30966478A168622D1D80E2400026533CBB50000</t>
  </si>
  <si>
    <t>Steve prep</t>
  </si>
  <si>
    <t>00000000A6C727E4353C314FBD93409EF639422707000D702909B30966478A168622D1D80E2400000000010D00000D702909B30966478A168622D1D80E2400026533CBB40000</t>
  </si>
  <si>
    <t>00000000A6C727E4353C314FBD93409EF639422707000D702909B30966478A168622D1D80E2400000000010D00000D702909B30966478A168622D1D80E2400026533CBB30000</t>
  </si>
  <si>
    <t xml:space="preserve">Lee/Alison call </t>
  </si>
  <si>
    <t>https://us05web.zoom.us/j/89786727507?pwd=Q0g1TXRrUmV5endWZ3NqZU1YSXdydz09</t>
  </si>
  <si>
    <t>Lee Harding - The North Starr,Jon Butler,Alison Hood</t>
  </si>
  <si>
    <t>00000000A6C727E4353C314FBD93409EF639422707000D702909B30966478A168622D1D80E2400000000010D00000D702909B30966478A168622D1D80E240002EF1149EB0000</t>
  </si>
  <si>
    <t>new docs / followup for redburn</t>
  </si>
  <si>
    <t>00000000A6C727E4353C314FBD93409EF639422707000D702909B30966478A168622D1D80E2400000000010D00000D702909B30966478A168622D1D80E2400026533CBB20000</t>
  </si>
  <si>
    <t>00000000A6C727E4353C314FBD93409EF639422707000D702909B30966478A168622D1D80E2400000000010D00000D702909B30966478A168622D1D80E2400026533CBB10000</t>
  </si>
  <si>
    <t>00000000A6C727E4353C314FBD93409EF639422707000D702909B30966478A168622D1D80E2400000000010D00000D702909B30966478A168622D1D80E2400026533CBB00000</t>
  </si>
  <si>
    <t>Amplemarket demo for Jason</t>
  </si>
  <si>
    <t>https://veloxfintech.zoom.us/j/85799782245?pwd=SWpZaHgzZERyL29PVkczS1IwU1U4dz09</t>
  </si>
  <si>
    <t>Mohamed Arkate,Alison Hood,Christian Schueler,Jon Butler,Jason Yan</t>
  </si>
  <si>
    <t>00000000A6C727E4353C314FBD93409EF639422707000D702909B30966478A168622D1D80E2400000000010D00000D702909B30966478A168622D1D80E2400026533CBBB0000</t>
  </si>
  <si>
    <t>00000000A6C727E4353C314FBD93409EF639422707000D702909B30966478A168622D1D80E2400000000010D00000D702909B30966478A168622D1D80E2400026533CBBF0000</t>
  </si>
  <si>
    <t>meeting minutes report</t>
  </si>
  <si>
    <t>00000000A6C727E4353C314FBD93409EF639422707000D702909B30966478A168622D1D80E2400000000010D00000D702909B30966478A168622D1D80E2400026533CBBE0000</t>
  </si>
  <si>
    <t>00000000A6C727E4353C314FBD93409EF639422707000D702909B30966478A168622D1D80E2400000000010D00000D702909B30966478A168622D1D80E240002534C94010000</t>
  </si>
  <si>
    <t>00000000A6C727E4353C314FBD93409EF639422707000D702909B30966478A168622D1D80E2400000000010D00000D702909B30966478A168622D1D80E240002534C94020000</t>
  </si>
  <si>
    <t>00000000A6C727E4353C314FBD93409EF639422707000D702909B30966478A168622D1D80E2400000000010D00000D702909B30966478A168622D1D80E2400026533CBC00000</t>
  </si>
  <si>
    <t>00000000A6C727E4353C314FBD93409EF639422707000D702909B30966478A168622D1D80E2400000000010D00000D702909B30966478A168622D1D80E2400026533CBC50000</t>
  </si>
  <si>
    <t>meeting summaires</t>
  </si>
  <si>
    <t>00000000A6C727E4353C314FBD93409EF639422707000D702909B30966478A168622D1D80E2400000000010D00000D702909B30966478A168622D1D80E2400026533CBC30000</t>
  </si>
  <si>
    <t>00000000A6C727E4353C314FBD93409EF639422707000D702909B30966478A168622D1D80E2400000000010D00000D702909B30966478A168622D1D80E2400026533CBC20000</t>
  </si>
  <si>
    <t>Neto/Alison - Meeting</t>
  </si>
  <si>
    <t>Neto,Alison Hood,Jon Butler</t>
  </si>
  <si>
    <t>00000000A6C727E4353C314FBD93409EF639422707000D702909B30966478A168622D1D80E2400000000010D00000D702909B30966478A168622D1D80E240002F1D2E93B0000</t>
  </si>
  <si>
    <t>admin / week meeting</t>
  </si>
  <si>
    <t>00000000A6C727E4353C314FBD93409EF639422707000D702909B30966478A168622D1D80E2400000000010D00000D702909B30966478A168622D1D80E2400026533CBC10000</t>
  </si>
  <si>
    <t>valantic specs</t>
  </si>
  <si>
    <t>00000000A6C727E4353C314FBD93409EF639422707000D702909B30966478A168622D1D80E2400000000010D00000D702909B30966478A168622D1D80E240002534C94030000</t>
  </si>
  <si>
    <t>trey / quantum followups</t>
  </si>
  <si>
    <t>00000000A6C727E4353C314FBD93409EF639422707000D702909B30966478A168622D1D80E2400000000010D00000D702909B30966478A168622D1D80E2400026533CBC80000</t>
  </si>
  <si>
    <t>ALison / share scheme</t>
  </si>
  <si>
    <t>00000000A6C727E4353C314FBD93409EF639422707000D702909B30966478A168622D1D80E2400000000010D00000D702909B30966478A168622D1D80E2400026533CBC70000</t>
  </si>
  <si>
    <t>00000000A6C727E4353C314FBD93409EF639422707000D702909B30966478A168622D1D80E2400000000010D00000D702909B30966478A168622D1D80E2400026533CBC60000</t>
  </si>
  <si>
    <t>linkedin post for tomorrow</t>
  </si>
  <si>
    <t>00000000A6C727E4353C314FBD93409EF639422707000D702909B30966478A168622D1D80E2400000000010D00000D702909B30966478A168622D1D80E240002534C94040000</t>
  </si>
  <si>
    <t>Jim/Finsemble</t>
  </si>
  <si>
    <t>00000000A6C727E4353C314FBD93409EF639422707000D702909B30966478A168622D1D80E2400000000010D00000D702909B30966478A168622D1D80E2400026533CBD00000</t>
  </si>
  <si>
    <t>Alison / CHris</t>
  </si>
  <si>
    <t>00000000A6C727E4353C314FBD93409EF639422707000D702909B30966478A168622D1D80E2400000000010D00000D702909B30966478A168622D1D80E2400026533CBCF0000</t>
  </si>
  <si>
    <t>00000000A6C727E4353C314FBD93409EF639422707000D702909B30966478A168622D1D80E2400000000010D00000D702909B30966478A168622D1D80E2400026533CBCE0000</t>
  </si>
  <si>
    <t>meeting minutes / followups</t>
  </si>
  <si>
    <t>00000000A6C727E4353C314FBD93409EF639422707000D702909B30966478A168622D1D80E2400000000010D00000D702909B30966478A168622D1D80E2400026533CBCD0000</t>
  </si>
  <si>
    <t>Velox Technical Deep-dive w/PwC (Chris Stura)</t>
  </si>
  <si>
    <t>Jon Butler,Chris Stura (UK),govind.jajoo</t>
  </si>
  <si>
    <t>00000000A6C727E4353C314FBD93409EF639422707000D702909B30966478A168622D1D80E2400000000010D00000D702909B30966478A168622D1D80E2400026533CBCC0000</t>
  </si>
  <si>
    <t>00000000A6C727E4353C314FBD93409EF639422707000D702909B30966478A168622D1D80E2400000000010D00000D702909B30966478A168622D1D80E2400026533CBCB0000</t>
  </si>
  <si>
    <t>00000000A6C727E4353C314FBD93409EF639422707000D702909B30966478A168622D1D80E2400000000010D00000D702909B30966478A168622D1D80E2400026533CBCA0000</t>
  </si>
  <si>
    <t>00000000A6C727E4353C314FBD93409EF639422707000D702909B30966478A168622D1D80E2400000000010D00000D702909B30966478A168622D1D80E2400026533CBC90000</t>
  </si>
  <si>
    <t>JB working from upstate NY</t>
  </si>
  <si>
    <t>Jon Butler,Jason Yan,govind.jajoo,Alison Hood,Christian Schueler,Mohamed Arkate,Ali Moosavi</t>
  </si>
  <si>
    <t>00000000A6C727E4353C314FBD93409EF639422707000D702909B30966478A168622D1D80E2400000000010D00000D702909B30966478A168622D1D80E240002534C94050000</t>
  </si>
  <si>
    <t>website updates/data cleanup</t>
  </si>
  <si>
    <t>00000000A6C727E4353C314FBD93409EF639422707000D702909B30966478A168622D1D80E2400000000010D00000D702909B30966478A168622D1D80E240002534C94060000</t>
  </si>
  <si>
    <t>person data updates</t>
  </si>
  <si>
    <t>00000000A6C727E4353C314FBD93409EF639422707000D702909B30966478A168622D1D80E2400000000010D00000D702909B30966478A168622D1D80E240002534C94070000</t>
  </si>
  <si>
    <t>lead gen strategy</t>
  </si>
  <si>
    <t>00000000A6C727E4353C314FBD93409EF639422707000D702909B30966478A168622D1D80E2400000000010D00000D702909B30966478A168622D1D80E2400026533CBD30000</t>
  </si>
  <si>
    <t>00000000A6C727E4353C314FBD93409EF639422707000D702909B30966478A168622D1D80E2400000000010D00000D702909B30966478A168622D1D80E2400026533CBD20000</t>
  </si>
  <si>
    <t>00000000A6C727E4353C314FBD93409EF639422707000D702909B30966478A168622D1D80E2400000000010D00000D702909B30966478A168622D1D80E240002534C94080000</t>
  </si>
  <si>
    <t>00000000A6C727E4353C314FBD93409EF639422707000D702909B30966478A168622D1D80E2400000000010D00000D702909B30966478A168622D1D80E2400026533CBD80000</t>
  </si>
  <si>
    <t>chris website</t>
  </si>
  <si>
    <t>00000000A6C727E4353C314FBD93409EF639422707000D702909B30966478A168622D1D80E2400000000010D00000D702909B30966478A168622D1D80E2400026533CBD70000</t>
  </si>
  <si>
    <t>00000000A6C727E4353C314FBD93409EF639422707000D702909B30966478A168622D1D80E2400000000010D00000D702909B30966478A168622D1D80E2400026533CBD60000</t>
  </si>
  <si>
    <t>Mo / Velox Low Code Demo</t>
  </si>
  <si>
    <t>00000000A6C727E4353C314FBD93409EF639422707000D702909B30966478A168622D1D80E2400000000010D00000D702909B30966478A168622D1D80E2400026533CBD50000</t>
  </si>
  <si>
    <t>00000000A6C727E4353C314FBD93409EF639422707000D702909B30966478A168622D1D80E2400000000010D00000D702909B30966478A168622D1D80E2400026533CBD40000</t>
  </si>
  <si>
    <t>00000000A6C727E4353C314FBD93409EF639422707000D702909B30966478A168622D1D80E2400000000010D00000D702909B30966478A168622D1D80E240002534C940A0000</t>
  </si>
  <si>
    <t>00000000A6C727E4353C314FBD93409EF639422707000D702909B30966478A168622D1D80E2400000000010D00000D702909B30966478A168622D1D80E2400026533CBDF0000</t>
  </si>
  <si>
    <t>00000000A6C727E4353C314FBD93409EF639422707000D702909B30966478A168622D1D80E2400000000010D00000D702909B30966478A168622D1D80E2400026533CBDE0000</t>
  </si>
  <si>
    <t>Funding</t>
  </si>
  <si>
    <t>Alison Hood,Steph Poulier,Jon Butler</t>
  </si>
  <si>
    <t>00000000A6C727E4353C314FBD93409EF639422707000D702909B30966478A168622D1D80E2400000000010D00000D702909B30966478A168622D1D80E240002F31397900000</t>
  </si>
  <si>
    <t>LME/Velox Intro</t>
  </si>
  <si>
    <t>https://veloxfintech.zoom.us/j/88556947995?pwd=aWNvOFVVMnlrOCtXQ0JucEJ0dTljQT09</t>
  </si>
  <si>
    <t>Mohamed Arkate,Jon Butler,David Abrahams,Mike Wilkins</t>
  </si>
  <si>
    <t>00000000A6C727E4353C314FBD93409EF639422707000D702909B30966478A168622D1D80E2400000000010D00000D702909B30966478A168622D1D80E240002F313978F0000</t>
  </si>
  <si>
    <t>00000000A6C727E4353C314FBD93409EF639422707000D702909B30966478A168622D1D80E2400000000010D00000D702909B30966478A168622D1D80E2400026533CBDD0000</t>
  </si>
  <si>
    <t>vidfeo recordiongs</t>
  </si>
  <si>
    <t>00000000A6C727E4353C314FBD93409EF639422707000D702909B30966478A168622D1D80E2400000000010D00000D702909B30966478A168622D1D80E2400026533CBDC0000</t>
  </si>
  <si>
    <t>video recordings</t>
  </si>
  <si>
    <t>00000000A6C727E4353C314FBD93409EF639422707000D702909B30966478A168622D1D80E2400000000010D00000D702909B30966478A168622D1D80E2400026533CBDB0000</t>
  </si>
  <si>
    <t>Jon/Govind</t>
  </si>
  <si>
    <t>Jon Butler,govind.jajoo</t>
  </si>
  <si>
    <t>00000000A6C727E4353C314FBD93409EF639422707000D702909B30966478A168622D1D80E2400000000010D00000D702909B30966478A168622D1D80E2400026533CBDA0000</t>
  </si>
  <si>
    <t>00000000A6C727E4353C314FBD93409EF639422707000D702909B30966478A168622D1D80E2400000000010D00000D702909B30966478A168622D1D80E2400026533CBD90000</t>
  </si>
  <si>
    <t>admin / meeting minutes</t>
  </si>
  <si>
    <t>00000000A6C727E4353C314FBD93409EF639422707000D702909B30966478A168622D1D80E2400000000010D00000D702909B30966478A168622D1D80E240002534C940B0000</t>
  </si>
  <si>
    <t>00000000A6C727E4353C314FBD93409EF639422707000D702909B30966478A168622D1D80E2400000000010D00000D702909B30966478A168622D1D80E2400026533CBE00000</t>
  </si>
  <si>
    <t>Jon Butler,Steve Savides</t>
  </si>
  <si>
    <t>00000000A6C727E4353C314FBD93409EF639422707000D702909B30966478A168622D1D80E2400000000010D00000D702909B30966478A168622D1D80E2400026533CBE10000</t>
  </si>
  <si>
    <t>00000000A6C727E4353C314FBD93409EF639422707000D702909B30966478A168622D1D80E2400000000010D00000D702909B30966478A168622D1D80E2400026533CBE20000</t>
  </si>
  <si>
    <t>00000000A6C727E4353C314FBD93409EF639422707000D702909B30966478A168622D1D80E2400000000010D00000D702909B30966478A168622D1D80E240002534C940C0000</t>
  </si>
  <si>
    <t>more videos</t>
  </si>
  <si>
    <t>00000000A6C727E4353C314FBD93409EF639422707000D702909B30966478A168622D1D80E2400000000010D00000D702909B30966478A168622D1D80E2400026533CBE70000</t>
  </si>
  <si>
    <t>00000000A6C727E4353C314FBD93409EF639422707000D702909B30966478A168622D1D80E2400000000010D00000D702909B30966478A168622D1D80E2400026533CBE60000</t>
  </si>
  <si>
    <t>00000000A6C727E4353C314FBD93409EF639422707000D702909B30966478A168622D1D80E2400000000010D00000D702909B30966478A168622D1D80E2400026533CBE50000</t>
  </si>
  <si>
    <t>00000000A6C727E4353C314FBD93409EF639422707000D702909B30966478A168622D1D80E2400000000010D00000D702909B30966478A168622D1D80E2400026533CBE40000</t>
  </si>
  <si>
    <t>meetign summaries</t>
  </si>
  <si>
    <t>00000000A6C727E4353C314FBD93409EF639422707000D702909B30966478A168622D1D80E2400000000010D00000D702909B30966478A168622D1D80E2400026533CBE30000</t>
  </si>
  <si>
    <t>Sequitor/Velox - Intro</t>
  </si>
  <si>
    <t>https://veloxfintech.zoom.us/j/83774336422?pwd=UVNRMnMzaXpuZyszdjJ1WmYyUS9sUT09</t>
  </si>
  <si>
    <t>Mohamed Arkate,Magnus Hedin,rolf.andersson@sequitor.se,Johannes Frey-Skött,Jon Butler</t>
  </si>
  <si>
    <t>00000000A6C727E4353C314FBD93409EF639422707000D702909B30966478A168622D1D80E2400000000010D00000D702909B30966478A168622D1D80E240002F31397920000</t>
  </si>
  <si>
    <t>Trading Automation and Workflows in Fixed Income &amp; ETF’s</t>
  </si>
  <si>
    <t>Broadridge Offices, New York City</t>
  </si>
  <si>
    <t>Carla Cano Blázquez,Amy Snape,George Rosenberger,ally.bernstein@blackrock.com,Jon Butler,James.Kwiatkowski@broadridge.com,Manwani, Mukesh,Adam.Peralta@morganstanley.com,FIX Events,Laurence Jones,Mulkeen, Caitlin</t>
  </si>
  <si>
    <t>Carla Cano Blázquez</t>
  </si>
  <si>
    <t>00000000A6C727E4353C314FBD93409EF639422707000D702909B30966478A168622D1D80E2400000000010D00000D702909B30966478A168622D1D80E240002F31397910000</t>
  </si>
  <si>
    <t>00000000A6C727E4353C314FBD93409EF639422707000D702909B30966478A168622D1D80E2400000000010D00000D702909B30966478A168622D1D80E2400026533CBE80000</t>
  </si>
  <si>
    <t>Jon / Dan</t>
  </si>
  <si>
    <t>Jim Bunting,Dan Schleifer,Jon Butler</t>
  </si>
  <si>
    <t>00000000A6C727E4353C314FBD93409EF639422707000D702909B30966478A168622D1D80E2400000000010D00000D702909B30966478A168622D1D80E240002534C940D0000</t>
  </si>
  <si>
    <t>new docs page</t>
  </si>
  <si>
    <t>00000000A6C727E4353C314FBD93409EF639422707000D702909B30966478A168622D1D80E2400000000010D00000D702909B30966478A168622D1D80E2400026533CBED0000</t>
  </si>
  <si>
    <t>00000000A6C727E4353C314FBD93409EF639422707000D702909B30966478A168622D1D80E2400000000010D00000D702909B30966478A168622D1D80E2400026533CBEC0000</t>
  </si>
  <si>
    <t>Jon Butler (Velox) / Andrea Pirino (valanticFSA) - Biweekly</t>
  </si>
  <si>
    <t>00000000A6C727E4353C314FBD93409EF639422707000D702909B30966478A168622D1D80E2400000000010D00000D702909B30966478A168622D1D80E2400026533CBEB0000</t>
  </si>
  <si>
    <t>new docs</t>
  </si>
  <si>
    <t>00000000A6C727E4353C314FBD93409EF639422707000D702909B30966478A168622D1D80E2400000000010D00000D702909B30966478A168622D1D80E2400026533CBEA0000</t>
  </si>
  <si>
    <t>00000000A6C727E4353C314FBD93409EF639422707000D702909B30966478A168622D1D80E2400000000010D00000D702909B30966478A168622D1D80E2400026533CBE90000</t>
  </si>
  <si>
    <t>prep for dan and FIX</t>
  </si>
  <si>
    <t>00000000A6C727E4353C314FBD93409EF639422707000D702909B30966478A168622D1D80E2400000000010D00000D702909B30966478A168622D1D80E2400026533CBF10000</t>
  </si>
  <si>
    <t>credit ag target list</t>
  </si>
  <si>
    <t>00000000A6C727E4353C314FBD93409EF639422707000D702909B30966478A168622D1D80E2400000000010D00000D702909B30966478A168622D1D80E2400026533CBF00000</t>
  </si>
  <si>
    <t>00000000A6C727E4353C314FBD93409EF639422707000D702909B30966478A168622D1D80E2400000000010D00000D702909B30966478A168622D1D80E2400026533CBEF0000</t>
  </si>
  <si>
    <t>00000000A6C727E4353C314FBD93409EF639422707000D702909B30966478A168622D1D80E2400000000010D00000D702909B30966478A168622D1D80E2400026533CBEE0000</t>
  </si>
  <si>
    <t>00000000A6C727E4353C314FBD93409EF639422707000D702909B30966478A168622D1D80E2400000000010D00000D702909B30966478A168622D1D80E240002534C940E0000</t>
  </si>
  <si>
    <t>qlb</t>
  </si>
  <si>
    <t>00000000A6C727E4353C314FBD93409EF639422707000D702909B30966478A168622D1D80E2400000000010D00000D702909B30966478A168622D1D80E240002534C940F0000</t>
  </si>
  <si>
    <t>ride</t>
  </si>
  <si>
    <t>00000000A6C727E4353C314FBD93409EF639422707000D702909B30966478A168622D1D80E2400000000010D00000D702909B30966478A168622D1D80E240002534C94100000</t>
  </si>
  <si>
    <t>credit ag list</t>
  </si>
  <si>
    <t>00000000A6C727E4353C314FBD93409EF639422707000D702909B30966478A168622D1D80E2400000000010D00000D702909B30966478A168622D1D80E240002534C94110000</t>
  </si>
  <si>
    <t>new docsa page</t>
  </si>
  <si>
    <t>00000000A6C727E4353C314FBD93409EF639422707000D702909B30966478A168622D1D80E2400000000010D00000D702909B30966478A168622D1D80E2400026533CBF40000</t>
  </si>
  <si>
    <t>00000000A6C727E4353C314FBD93409EF639422707000D702909B30966478A168622D1D80E2400000000010D00000D702909B30966478A168622D1D80E2400026533CBF30000</t>
  </si>
  <si>
    <t>00000000A6C727E4353C314FBD93409EF639422707000D702909B30966478A168622D1D80E2400000000010D00000D702909B30966478A168622D1D80E2400026533CBF20000</t>
  </si>
  <si>
    <t>updated dodcs</t>
  </si>
  <si>
    <t>00000000A6C727E4353C314FBD93409EF639422707000D702909B30966478A168622D1D80E2400000000010D00000D702909B30966478A168622D1D80E2400026533CBFC0000</t>
  </si>
  <si>
    <t>updated docs</t>
  </si>
  <si>
    <t>00000000A6C727E4353C314FBD93409EF639422707000D702909B30966478A168622D1D80E2400000000010D00000D702909B30966478A168622D1D80E2400026533CBFB0000</t>
  </si>
  <si>
    <t>upodated docs</t>
  </si>
  <si>
    <t>00000000A6C727E4353C314FBD93409EF639422707000D702909B30966478A168622D1D80E2400000000010D00000D702909B30966478A168622D1D80E2400026533CBFA0000</t>
  </si>
  <si>
    <t>00000000A6C727E4353C314FBD93409EF639422707000D702909B30966478A168622D1D80E2400000000010D00000D702909B30966478A168622D1D80E2400026533CBF90000</t>
  </si>
  <si>
    <t>00000000A6C727E4353C314FBD93409EF639422707000D702909B30966478A168622D1D80E2400000000010D00000D702909B30966478A168622D1D80E2400026533CBF80000</t>
  </si>
  <si>
    <t>00000000A6C727E4353C314FBD93409EF639422707000D702909B30966478A168622D1D80E2400000000010D00000D702909B30966478A168622D1D80E2400026533CBF70000</t>
  </si>
  <si>
    <t>00000000A6C727E4353C314FBD93409EF639422707000D702909B30966478A168622D1D80E2400000000010D00000D702909B30966478A168622D1D80E2400026533CBF60000</t>
  </si>
  <si>
    <t>News docs page</t>
  </si>
  <si>
    <t>00000000A6C727E4353C314FBD93409EF639422707000D702909B30966478A168622D1D80E2400000000010D00000D702909B30966478A168622D1D80E2400026533CBF50000</t>
  </si>
  <si>
    <t>mike prep. lead gen/sales nav</t>
  </si>
  <si>
    <t>00000000A6C727E4353C314FBD93409EF639422707000D702909B30966478A168622D1D80E2400000000010D00000D702909B30966478A168622D1D80E240002534C94120000</t>
  </si>
  <si>
    <t>standard bank lead gen</t>
  </si>
  <si>
    <t>00000000A6C727E4353C314FBD93409EF639422707000D702909B30966478A168622D1D80E2400000000010D00000D702909B30966478A168622D1D80E240002534C94130000</t>
  </si>
  <si>
    <t>standard bank gen</t>
  </si>
  <si>
    <t>00000000A6C727E4353C314FBD93409EF639422707000D702909B30966478A168622D1D80E2400000000010D00000D702909B30966478A168622D1D80E240002534C94140000</t>
  </si>
  <si>
    <t>admin / setting up mike</t>
  </si>
  <si>
    <t>00000000A6C727E4353C314FBD93409EF639422707000D702909B30966478A168622D1D80E2400000000010D00000D702909B30966478A168622D1D80E240002534C94150000</t>
  </si>
  <si>
    <t>govind</t>
  </si>
  <si>
    <t>00000000A6C727E4353C314FBD93409EF639422707000D702909B30966478A168622D1D80E2400000000010D00000D702909B30966478A168622D1D80E2400026533CBFF0000</t>
  </si>
  <si>
    <t>00000000A6C727E4353C314FBD93409EF639422707000D702909B30966478A168622D1D80E2400000000010D00000D702909B30966478A168622D1D80E2400026533CBFE0000</t>
  </si>
  <si>
    <t>prep for meetings</t>
  </si>
  <si>
    <t>00000000A6C727E4353C314FBD93409EF639422707000D702909B30966478A168622D1D80E2400000000010D00000D702909B30966478A168622D1D80E2400026533CBFD0000</t>
  </si>
  <si>
    <t>Alison in Spain</t>
  </si>
  <si>
    <t>00000000A6C727E4353C314FBD93409EF639422707000D702909B30966478A168622D1D80E2400000000010D00000D702909B30966478A168622D1D80E240002FB33E67E0000</t>
  </si>
  <si>
    <t>Dataset structure for POC</t>
  </si>
  <si>
    <t>nikhil.x.doshi@barclays.com,peter.atkinson@barclays.com,Jon Butler</t>
  </si>
  <si>
    <t>nikhil.x.doshi@barclays.com</t>
  </si>
  <si>
    <t>00000000A6C727E4353C314FBD93409EF639422707000D702909B30966478A168622D1D80E2400000000010D00000D702909B30966478A168622D1D80E240002FB33E67D0000</t>
  </si>
  <si>
    <t>Jon/Mike - Velox Intro - Part 1 - Industry Use Cases</t>
  </si>
  <si>
    <t>Jon Butler,Mike Wilkins</t>
  </si>
  <si>
    <t>00000000A6C727E4353C314FBD93409EF639422707000D702909B30966478A168622D1D80E2400000000010D00000D702909B30966478A168622D1D80E240002534C94160000</t>
  </si>
  <si>
    <t>meeting summaries for barclays</t>
  </si>
  <si>
    <t>00000000A6C727E4353C314FBD93409EF639422707000D702909B30966478A168622D1D80E2400000000010D00000D702909B30966478A168622D1D80E240002534C94170000</t>
  </si>
  <si>
    <t>Velox Service Mesh use case</t>
  </si>
  <si>
    <t>Aditya.Sadhotra@cognizant.com,John.Fraser@cognizant.com,Jon Butler,Dylan.Myburgh@cognizant.com</t>
  </si>
  <si>
    <t>00000000A6C727E4353C314FBD93409EF639422707000D702909B30966478A168622D1D80E2400000000010D00000D702909B30966478A168622D1D80E240002534C94180000</t>
  </si>
  <si>
    <t>00000000A6C727E4353C314FBD93409EF639422707000D702909B30966478A168622D1D80E2400000000010D00000D702909B30966478A168622D1D80E2400026533CC010000</t>
  </si>
  <si>
    <t>00000000A6C727E4353C314FBD93409EF639422707000D702909B30966478A168622D1D80E2400000000010D00000D702909B30966478A168622D1D80E2400026533CC000000</t>
  </si>
  <si>
    <t>fix prep</t>
  </si>
  <si>
    <t>00000000A6C727E4353C314FBD93409EF639422707000D702909B30966478A168622D1D80E2400000000010D00000D702909B30966478A168622D1D80E240002534C94190000</t>
  </si>
  <si>
    <t>Panel prep (Velox)</t>
  </si>
  <si>
    <t>Jon Butler,Rosenberger, George,Ali Moosavi</t>
  </si>
  <si>
    <t>00000000A6C727E4353C314FBD93409EF639422707000D702909B30966478A168622D1D80E2400000000010D00000D702909B30966478A168622D1D80E240002534C941A0000</t>
  </si>
  <si>
    <t>ali / fix prep</t>
  </si>
  <si>
    <t>00000000A6C727E4353C314FBD93409EF639422707000D702909B30966478A168622D1D80E2400000000010D00000D702909B30966478A168622D1D80E240002534C941B0000</t>
  </si>
  <si>
    <t>panel prep</t>
  </si>
  <si>
    <t>00000000A6C727E4353C314FBD93409EF639422707000D702909B30966478A168622D1D80E2400000000010D00000D702909B30966478A168622D1D80E240002534C941C0000</t>
  </si>
  <si>
    <t>00000000A6C727E4353C314FBD93409EF639422707000D702909B30966478A168622D1D80E2400000000010D00000D702909B30966478A168622D1D80E240002534C941D0000</t>
  </si>
  <si>
    <t>00000000A6C727E4353C314FBD93409EF639422707000D702909B30966478A168622D1D80E2400000000010D00000D702909B30966478A168622D1D80E2400026533CC060000</t>
  </si>
  <si>
    <t>bernie response</t>
  </si>
  <si>
    <t>00000000A6C727E4353C314FBD93409EF639422707000D702909B30966478A168622D1D80E2400000000010D00000D702909B30966478A168622D1D80E2400026533CC050000</t>
  </si>
  <si>
    <t>00000000A6C727E4353C314FBD93409EF639422707000D702909B30966478A168622D1D80E2400000000010D00000D702909B30966478A168622D1D80E2400026533CC040000</t>
  </si>
  <si>
    <t xml:space="preserve">barclays prep / fix </t>
  </si>
  <si>
    <t>00000000A6C727E4353C314FBD93409EF639422707000D702909B30966478A168622D1D80E2400000000010D00000D702909B30966478A168622D1D80E2400026533CC030000</t>
  </si>
  <si>
    <t>Velox POC (Teams)</t>
  </si>
  <si>
    <t>peter.atkinson@barclays.com,ian.roche@barclays.com,nikhil.x.doshi@barclays.com,Jon Butler</t>
  </si>
  <si>
    <t>00000000A6C727E4353C314FBD93409EF639422707000D702909B30966478A168622D1D80E2400000000010D00000D702909B30966478A168622D1D80E2400026533CC020000</t>
  </si>
  <si>
    <t>LME debreif</t>
  </si>
  <si>
    <t>00000000A6C727E4353C314FBD93409EF639422707000D702909B30966478A168622D1D80E2400000000010D00000D702909B30966478A168622D1D80E2400026533CC090000</t>
  </si>
  <si>
    <t xml:space="preserve">LME </t>
  </si>
  <si>
    <t>00000000A6C727E4353C314FBD93409EF639422707000D702909B30966478A168622D1D80E2400000000010D00000D702909B30966478A168622D1D80E2400026533CC080000</t>
  </si>
  <si>
    <t>https://veloxfintech.zoom.us/j/83033730406?pwd=OHloMjYwa0RjdWRnVW5CNDB2RXV5Zz09&amp;from=addon</t>
  </si>
  <si>
    <t>Ali Moosavi,Jim Northey,Jon Butler</t>
  </si>
  <si>
    <t>00000000A6C727E4353C314FBD93409EF639422707000D702909B30966478A168622D1D80E2400000000010D00000D702909B30966478A168622D1D80E2400026533CC070000</t>
  </si>
  <si>
    <t>00000000A6C727E4353C314FBD93409EF639422707000D702909B30966478A168622D1D80E2400000000010D00000D702909B30966478A168622D1D80E240002534C941E0000</t>
  </si>
  <si>
    <t>00000000A6C727E4353C314FBD93409EF639422707000D702909B30966478A168622D1D80E2400000000010D00000D702909B30966478A168622D1D80E240002534C941F0000</t>
  </si>
  <si>
    <t>00000000A6C727E4353C314FBD93409EF639422707000D702909B30966478A168622D1D80E2400000000010D00000D702909B30966478A168622D1D80E240002534C94200000</t>
  </si>
  <si>
    <t>MW/JB</t>
  </si>
  <si>
    <t>Mike Wilkins,Jon Butler</t>
  </si>
  <si>
    <t>Mike Wilkins</t>
  </si>
  <si>
    <t>00000000A6C727E4353C314FBD93409EF639422707000D702909B30966478A168622D1D80E2400000000010D00000D702909B30966478A168622D1D80E240002FC2C04F30000</t>
  </si>
  <si>
    <t>jim</t>
  </si>
  <si>
    <t>00000000A6C727E4353C314FBD93409EF639422707000D702909B30966478A168622D1D80E2400000000010D00000D702909B30966478A168622D1D80E2400026533CC160000</t>
  </si>
  <si>
    <t>velox service mesh</t>
  </si>
  <si>
    <t>00000000A6C727E4353C314FBD93409EF639422707000D702909B30966478A168622D1D80E2400000000010D00000D702909B30966478A168622D1D80E2400026533CC150000</t>
  </si>
  <si>
    <t>cognizant prep</t>
  </si>
  <si>
    <t>00000000A6C727E4353C314FBD93409EF639422707000D702909B30966478A168622D1D80E2400000000010D00000D702909B30966478A168622D1D80E2400026533CC140000</t>
  </si>
  <si>
    <t>Updated invitation: Review Call @ Mon Apr 24, 2023 10am - 10:30am (EDT) (jon.butler@veloxfintech.com)</t>
  </si>
  <si>
    <t>00000000A6C727E4353C314FBD93409EF639422707000D702909B30966478A168622D1D80E2400000000010D00000D702909B30966478A168622D1D80E240002FC2C04F40000</t>
  </si>
  <si>
    <t>00000000A6C727E4353C314FBD93409EF639422707000D702909B30966478A168622D1D80E2400000000010D00000D702909B30966478A168622D1D80E2400026533CC130000</t>
  </si>
  <si>
    <t>00000000A6C727E4353C314FBD93409EF639422707000D702909B30966478A168622D1D80E2400000000010D00000D702909B30966478A168622D1D80E2400026533CC110000</t>
  </si>
  <si>
    <t>mo/josoor</t>
  </si>
  <si>
    <t>00000000A6C727E4353C314FBD93409EF639422707000D702909B30966478A168622D1D80E2400000000010D00000D702909B30966478A168622D1D80E2400026533CC100000</t>
  </si>
  <si>
    <t>00000000A6C727E4353C314FBD93409EF639422707000D702909B30966478A168622D1D80E2400000000010D00000D702909B30966478A168622D1D80E2400026533CC0F0000</t>
  </si>
  <si>
    <t>Jon Butler,Steve Savides,Alison Hood</t>
  </si>
  <si>
    <t>00000000A6C727E4353C314FBD93409EF639422707000D702909B30966478A168622D1D80E2400000000010D00000D702909B30966478A168622D1D80E2400026533CC0E0000</t>
  </si>
  <si>
    <t>00000000A6C727E4353C314FBD93409EF639422707000D702909B30966478A168622D1D80E2400000000010D00000D702909B30966478A168622D1D80E2400026533CC0D0000</t>
  </si>
  <si>
    <t>capsule cleanup and sales reports</t>
  </si>
  <si>
    <t>00000000A6C727E4353C314FBD93409EF639422707000D702909B30966478A168622D1D80E2400000000010D00000D702909B30966478A168622D1D80E2400026533CC0C0000</t>
  </si>
  <si>
    <t>00000000A6C727E4353C314FBD93409EF639422707000D702909B30966478A168622D1D80E2400000000010D00000D702909B30966478A168622D1D80E2400026533CC0B0000</t>
  </si>
  <si>
    <t>Jon,Alison (Velox) / Steve</t>
  </si>
  <si>
    <t>00000000A6C727E4353C314FBD93409EF639422707000D702909B30966478A168622D1D80E2400000000010D00000D702909B30966478A168622D1D80E240002534C94210000</t>
  </si>
  <si>
    <t>00000000A6C727E4353C314FBD93409EF639422707000D702909B30966478A168622D1D80E2400000000010D00000D702909B30966478A168622D1D80E240002534C94220000</t>
  </si>
  <si>
    <t>prep for FIX</t>
  </si>
  <si>
    <t>00000000A6C727E4353C314FBD93409EF639422707000D702909B30966478A168622D1D80E2400000000010D00000D702909B30966478A168622D1D80E240002534C94230000</t>
  </si>
  <si>
    <t>talk to mike about Ali</t>
  </si>
  <si>
    <t>00000000A6C727E4353C314FBD93409EF639422707000D702909B30966478A168622D1D80E2400000000010D00000D702909B30966478A168622D1D80E240002534C94240000</t>
  </si>
  <si>
    <t>00000000A6C727E4353C314FBD93409EF639422707000D702909B30966478A168622D1D80E2400000000010D00000D702909B30966478A168622D1D80E240002534C94250000</t>
  </si>
  <si>
    <t>00000000A6C727E4353C314FBD93409EF639422707000D702909B30966478A168622D1D80E2400000000010D00000D702909B30966478A168622D1D80E2400026533CC1B0000</t>
  </si>
  <si>
    <t>tumilty</t>
  </si>
  <si>
    <t>00000000A6C727E4353C314FBD93409EF639422707000D702909B30966478A168622D1D80E2400000000010D00000D702909B30966478A168622D1D80E2400026533CC1A0000</t>
  </si>
  <si>
    <t>Velox tech deep-dive for Redburn</t>
  </si>
  <si>
    <t>Jon Butler,Will Winzor-Saile,Jamie Clark,Mohamed Arkate,Jason Yan,govind.jajoo</t>
  </si>
  <si>
    <t>00000000A6C727E4353C314FBD93409EF639422707000D702909B30966478A168622D1D80E2400000000010D00000D702909B30966478A168622D1D80E2400026533CC190000</t>
  </si>
  <si>
    <t>Jon/Giles - Quickie about a sales idea</t>
  </si>
  <si>
    <t>00000000A6C727E4353C314FBD93409EF639422707000D702909B30966478A168622D1D80E2400000000010D00000D702909B30966478A168622D1D80E2400026533CC180000</t>
  </si>
  <si>
    <t>00000000A6C727E4353C314FBD93409EF639422707000D702909B30966478A168622D1D80E2400000000010D00000D702909B30966478A168622D1D80E2400026533CC170000</t>
  </si>
  <si>
    <t>00000000A6C727E4353C314FBD93409EF639422707000D702909B30966478A168622D1D80E2400000000010D00000D702909B30966478A168622D1D80E240002534C94260000</t>
  </si>
  <si>
    <t>915 train to penn</t>
  </si>
  <si>
    <t>00000000A6C727E4353C314FBD93409EF639422707000D702909B30966478A168622D1D80E2400000000010D00000D702909B30966478A168622D1D80E2400026533CC210000</t>
  </si>
  <si>
    <t>Jon/Mike - Planning session (In person)</t>
  </si>
  <si>
    <t>Regus NYC</t>
  </si>
  <si>
    <t>00000000A6C727E4353C314FBD93409EF639422707000D702909B30966478A168622D1D80E2400000000010D00000D702909B30966478A168622D1D80E2400026533CC200000</t>
  </si>
  <si>
    <t>Jon / Neto 1-on-1</t>
  </si>
  <si>
    <t>00000000A6C727E4353C314FBD93409EF639422707000D702909B30966478A168622D1D80E2400000000010D00000D702909B30966478A168622D1D80E2400026533CC1F0000</t>
  </si>
  <si>
    <t>Team Lunch</t>
  </si>
  <si>
    <t>Restaurant TBD in NYC nr. Regus</t>
  </si>
  <si>
    <t>Jon Butler,Neto,Mike Wilkins,Ali Moosavi</t>
  </si>
  <si>
    <t>00000000A6C727E4353C314FBD93409EF639422707000D702909B30966478A168622D1D80E2400000000010D00000D702909B30966478A168622D1D80E2400026533CC1E0000</t>
  </si>
  <si>
    <t>mike &amp; ali</t>
  </si>
  <si>
    <t>00000000A6C727E4353C314FBD93409EF639422707000D702909B30966478A168622D1D80E2400000000010D00000D702909B30966478A168622D1D80E2400026533CC1D0000</t>
  </si>
  <si>
    <t>00000000A6C727E4353C314FBD93409EF639422707000D702909B30966478A168622D1D80E2400000000010D00000D702909B30966478A168622D1D80E2400026533CC1C0000</t>
  </si>
  <si>
    <t xml:space="preserve">Creative Mines / Velox call </t>
  </si>
  <si>
    <t>https://veloxfintech.zoom.us/j/83935381342?pwd=S1RTSVlDcFM0WXZnb3VWMms3RWdvQT09&amp;from=addon</t>
  </si>
  <si>
    <t>Ali Moosavi,Jake Northey,Jon Butler,Mike Wilkins</t>
  </si>
  <si>
    <t>00000000A6C727E4353C314FBD93409EF639422707000D702909B30966478A168622D1D80E2400000000010D00000D702909B30966478A168622D1D80E240002FDF6176A0000</t>
  </si>
  <si>
    <t>JB Janna</t>
  </si>
  <si>
    <t>00000000A6C727E4353C314FBD93409EF639422707000D702909B30966478A168622D1D80E2400000000010D00000D702909B30966478A168622D1D80E2400026533CC250000</t>
  </si>
  <si>
    <t>Mike project mgmt / Capsule uploads</t>
  </si>
  <si>
    <t>00000000A6C727E4353C314FBD93409EF639422707000D702909B30966478A168622D1D80E2400000000010D00000D702909B30966478A168622D1D80E2400026533CC240000</t>
  </si>
  <si>
    <t>00000000A6C727E4353C314FBD93409EF639422707000D702909B30966478A168622D1D80E2400000000010D00000D702909B30966478A168622D1D80E2400026533CC230000</t>
  </si>
  <si>
    <t>00000000A6C727E4353C314FBD93409EF639422707000D702909B30966478A168622D1D80E2400000000010D00000D702909B30966478A168622D1D80E2400026533CC220000</t>
  </si>
  <si>
    <t>Mike stuff</t>
  </si>
  <si>
    <t>00000000A6C727E4353C314FBD93409EF639422707000D702909B30966478A168622D1D80E2400000000010D00000D702909B30966478A168622D1D80E240002534C94270000</t>
  </si>
  <si>
    <t>00000000A6C727E4353C314FBD93409EF639422707000D702909B30966478A168622D1D80E2400000000010D00000D702909B30966478A168622D1D80E240002534C94280000</t>
  </si>
  <si>
    <t>PPT viewer</t>
  </si>
  <si>
    <t>00000000A6C727E4353C314FBD93409EF639422707000D702909B30966478A168622D1D80E2400000000010D00000D702909B30966478A168622D1D80E240002534C94290000</t>
  </si>
  <si>
    <t>BJB</t>
  </si>
  <si>
    <t>00000000A6C727E4353C314FBD93409EF639422707000D702909B30966478A168622D1D80E2400000000010D00000D702909B30966478A168622D1D80E240002FDF6176C0000</t>
  </si>
  <si>
    <t>00000000A6C727E4353C314FBD93409EF639422707000D702909B30966478A168622D1D80E2400000000010D00000D702909B30966478A168622D1D80E2400026533CC270000</t>
  </si>
  <si>
    <t>00000000A6C727E4353C314FBD93409EF639422707000D702909B30966478A168622D1D80E2400000000010D00000D702909B30966478A168622D1D80E2400026533CC260000</t>
  </si>
  <si>
    <t>meeting minutes BJB</t>
  </si>
  <si>
    <t>00000000A6C727E4353C314FBD93409EF639422707000D702909B30966478A168622D1D80E2400000000010D00000D702909B30966478A168622D1D80E240002534C942A0000</t>
  </si>
  <si>
    <t xml:space="preserve">Josoor business case discussion </t>
  </si>
  <si>
    <t>00000000A6C727E4353C314FBD93409EF639422707000D702909B30966478A168622D1D80E2400000000010D00000D702909B30966478A168622D1D80E240002534C942B0000</t>
  </si>
  <si>
    <t>sales stuff for mike</t>
  </si>
  <si>
    <t>00000000A6C727E4353C314FBD93409EF639422707000D702909B30966478A168622D1D80E2400000000010D00000D702909B30966478A168622D1D80E240002534C942C0000</t>
  </si>
  <si>
    <t>00000000A6C727E4353C314FBD93409EF639422707000D702909B30966478A168622D1D80E2400000000010D00000D702909B30966478A168622D1D80E240002534C942D0000</t>
  </si>
  <si>
    <t>00000000A6C727E4353C314FBD93409EF639422707000D702909B30966478A168622D1D80E2400000000010D00000D702909B30966478A168622D1D80E2400026533CC2E0000</t>
  </si>
  <si>
    <t>BJB - Jon/Greg</t>
  </si>
  <si>
    <t>00000000A6C727E4353C314FBD93409EF639422707000D702909B30966478A168622D1D80E2400000000010D00000D702909B30966478A168622D1D80E2400026533CC2D0000</t>
  </si>
  <si>
    <t>Giles and dividend viewer</t>
  </si>
  <si>
    <t>00000000A6C727E4353C314FBD93409EF639422707000D702909B30966478A168622D1D80E2400000000010D00000D702909B30966478A168622D1D80E2400026533CC2C0000</t>
  </si>
  <si>
    <t>Yapi Kredi/Velox Intro</t>
  </si>
  <si>
    <t>Mohamed Arkate,Jon Butler,Mahmut Erdem Erdada,Burak Demirpehlivan,Daniel.serap@ykyatirim.com.tr,Ozgur.acikgozoglu@ykyatirim.com.tr,Gökçe Yiğit Onur</t>
  </si>
  <si>
    <t>00000000A6C727E4353C314FBD93409EF639422707000D702909B30966478A168622D1D80E2400000000010D00000D702909B30966478A168622D1D80E2400026533CC2B0000</t>
  </si>
  <si>
    <t>00000000A6C727E4353C314FBD93409EF639422707000D702909B30966478A168622D1D80E2400000000010D00000D702909B30966478A168622D1D80E2400026533CC2A0000</t>
  </si>
  <si>
    <t>00000000A6C727E4353C314FBD93409EF639422707000D702909B30966478A168622D1D80E2400000000010D00000D702909B30966478A168622D1D80E2400026533CC290000</t>
  </si>
  <si>
    <t>pptvierwerrt</t>
  </si>
  <si>
    <t>00000000A6C727E4353C314FBD93409EF639422707000D702909B30966478A168622D1D80E2400000000010D00000D702909B30966478A168622D1D80E2400026533CC280000</t>
  </si>
  <si>
    <t>00000000A6C727E4353C314FBD93409EF639422707000D702909B30966478A168622D1D80E2400000000010D00000D702909B30966478A168622D1D80E240002534C942E0000</t>
  </si>
  <si>
    <t>00000000A6C727E4353C314FBD93409EF639422707000D702909B30966478A168622D1D80E2400000000010D00000D702909B30966478A168622D1D80E240002534C942F0000</t>
  </si>
  <si>
    <t>Cosmos docs / Lloys example</t>
  </si>
  <si>
    <t>00000000A6C727E4353C314FBD93409EF639422707000D702909B30966478A168622D1D80E2400000000010D00000D702909B30966478A168622D1D80E240002534C94300000</t>
  </si>
  <si>
    <t>00000000A6C727E4353C314FBD93409EF639422707000D702909B30966478A168622D1D80E2400000000010D00000D702909B30966478A168622D1D80E2400026533CC2F0000</t>
  </si>
  <si>
    <t>prep for Redburn</t>
  </si>
  <si>
    <t>00000000A6C727E4353C314FBD93409EF639422707000D702909B30966478A168622D1D80E2400000000010D00000D702909B30966478A168622D1D80E2400026533CC300000</t>
  </si>
  <si>
    <t xml:space="preserve">Mike/Jon </t>
  </si>
  <si>
    <t>00000000A6C727E4353C314FBD93409EF639422707000D702909B30966478A168622D1D80E2400000000010D00000D702909B30966478A168622D1D80E240002534C94310000</t>
  </si>
  <si>
    <t>Intros - Toby &amp; Jon</t>
  </si>
  <si>
    <t>Alison Hood,Jon Butler,tobywlarkman@gmail.com,Bradley Cooke</t>
  </si>
  <si>
    <t>00000000A6C727E4353C314FBD93409EF639422707000D702909B30966478A168622D1D80E2400000000010D00000D702909B30966478A168622D1D80E240002534C94320000</t>
  </si>
  <si>
    <t>RE: Bank Julius Bär</t>
  </si>
  <si>
    <t>Andrea Pirino,Jon Butler,Greg Cooper</t>
  </si>
  <si>
    <t>00000000A6C727E4353C314FBD93409EF639422707000D702909B30966478A168622D1D80E2400000000010D00000D702909B30966478A168622D1D80E240002534C94330000</t>
  </si>
  <si>
    <t>00000000A6C727E4353C314FBD93409EF639422707000D702909B30966478A168622D1D80E2400000000010D00000D702909B30966478A168622D1D80E240002534CCA340000</t>
  </si>
  <si>
    <t>00000000A6C727E4353C314FBD93409EF639422707000D702909B30966478A168622D1D80E2400000000010D00000D702909B30966478A168622D1D80E240002534CCA350000</t>
  </si>
  <si>
    <t>mike onboarding doc</t>
  </si>
  <si>
    <t>00000000A6C727E4353C314FBD93409EF639422707000D702909B30966478A168622D1D80E2400000000010D00000D702909B30966478A168622D1D80E240002534CCA360000</t>
  </si>
  <si>
    <t>00000000A6C727E4353C314FBD93409EF639422707000D702909B30966478A168622D1D80E2400000000010D00000D702909B30966478A168622D1D80E240002534CCA370000</t>
  </si>
  <si>
    <t>p[rep</t>
  </si>
  <si>
    <t>00000000A6C727E4353C314FBD93409EF639422707000D702909B30966478A168622D1D80E2400000000010D00000D702909B30966478A168622D1D80E2400026533CC330000</t>
  </si>
  <si>
    <t>00000000A6C727E4353C314FBD93409EF639422707000D702909B30966478A168622D1D80E2400000000010D00000D702909B30966478A168622D1D80E2400026533CC320000</t>
  </si>
  <si>
    <t>00000000A6C727E4353C314FBD93409EF639422707000D702909B30966478A168622D1D80E2400000000010D00000D702909B30966478A168622D1D80E2400026533CC310000</t>
  </si>
  <si>
    <t>00000000A6C727E4353C314FBD93409EF639422707000D702909B30966478A168622D1D80E2400000000010D00000D702909B30966478A168622D1D80E240002FFD310F80000</t>
  </si>
  <si>
    <t>00000000A6C727E4353C314FBD93409EF639422707000D702909B30966478A168622D1D80E2400000000010D00000D702909B30966478A168622D1D80E240002534CCA380000</t>
  </si>
  <si>
    <t>00000000A6C727E4353C314FBD93409EF639422707000D702909B30966478A168622D1D80E2400000000010D00000D702909B30966478A168622D1D80E2400026533CC340000</t>
  </si>
  <si>
    <t>Finsemble/Creative Mines/Velox intro call</t>
  </si>
  <si>
    <t>https://veloxfintech.zoom.us/j/89206477456?pwd=bGVua3M3LzJaVEFOdkVDOXpnRHJKQT09&amp;from=addon</t>
  </si>
  <si>
    <t>Ali Moosavi,Jon Butler,Jim Bunting,Jake Northey,Mike Wilkins</t>
  </si>
  <si>
    <t>00000000A6C727E4353C314FBD93409EF639422707000D702909B30966478A168622D1D80E2400000000010D00000D702909B30966478A168622D1D80E240002534CCA390000</t>
  </si>
  <si>
    <t>00000000A6C727E4353C314FBD93409EF639422707000D702909B30966478A168622D1D80E2400000000010D00000D702909B30966478A168622D1D80E240002534CCA3B0000</t>
  </si>
  <si>
    <t>neto/savides</t>
  </si>
  <si>
    <t>00000000A6C727E4353C314FBD93409EF639422707000D702909B30966478A168622D1D80E2400000000010D00000D702909B30966478A168622D1D80E240002534CCA3C0000</t>
  </si>
  <si>
    <t>00000000A6C727E4353C314FBD93409EF639422707000D702909B30966478A168622D1D80E2400000000010D00000D702909B30966478A168622D1D80E2400026533CC3C0000</t>
  </si>
  <si>
    <t>neot prep</t>
  </si>
  <si>
    <t>00000000A6C727E4353C314FBD93409EF639422707000D702909B30966478A168622D1D80E2400000000010D00000D702909B30966478A168622D1D80E2400026533CC3B0000</t>
  </si>
  <si>
    <t>cosmos/symphony</t>
  </si>
  <si>
    <t>00000000A6C727E4353C314FBD93409EF639422707000D702909B30966478A168622D1D80E2400000000010D00000D702909B30966478A168622D1D80E2400026533CC380000</t>
  </si>
  <si>
    <t>00000000A6C727E4353C314FBD93409EF639422707000D702909B30966478A168622D1D80E2400000000010D00000D702909B30966478A168622D1D80E2400026533CC370000</t>
  </si>
  <si>
    <t>00000000A6C727E4353C314FBD93409EF639422707000D702909B30966478A168622D1D80E2400000000010D00000D702909B30966478A168622D1D80E2400026533CC360000</t>
  </si>
  <si>
    <t>4350408039-pitching-to-heads-of-equities-tech</t>
  </si>
  <si>
    <t>https://veloxfintech.zoom.us/j/87929153202?from=addon</t>
  </si>
  <si>
    <t>Christian Schueler,Mike Wilkins,Jon Butler</t>
  </si>
  <si>
    <t>00000000A6C727E4353C314FBD93409EF639422707000D702909B30966478A168622D1D80E2400000000010D00000D702909B30966478A168622D1D80E2400026533CC350000</t>
  </si>
  <si>
    <t>Neto's contract</t>
  </si>
  <si>
    <t>00000000A6C727E4353C314FBD93409EF639422707000D702909B30966478A168622D1D80E2400000000010D00000D702909B30966478A168622D1D80E2400026533CC390000</t>
  </si>
  <si>
    <t>Follow up actions with Velox - RBC thread &amp; Cloud GTM</t>
  </si>
  <si>
    <t>Aditya.Sadhotra@cognizant.com,Jon Butler,Mark.Fisher@cognizant.com,Dylan.Myburgh@cognizant.com,John.Fraser@cognizant.com,Mike Wilkins</t>
  </si>
  <si>
    <t>00000000A6C727E4353C314FBD93409EF639422707000D702909B30966478A168622D1D80E2400000000010D00000D702909B30966478A168622D1D80E240002534CCA3D0000</t>
  </si>
  <si>
    <t>00000000A6C727E4353C314FBD93409EF639422707000D702909B30966478A168622D1D80E2400000000010D00000D702909B30966478A168622D1D80E2400026533CC3D0000</t>
  </si>
  <si>
    <t>tomorrows post</t>
  </si>
  <si>
    <t>00000000A6C727E4353C314FBD93409EF639422707000D702909B30966478A168622D1D80E2400000000010D00000D702909B30966478A168622D1D80E240002534CCA3E0000</t>
  </si>
  <si>
    <t>will client followups</t>
  </si>
  <si>
    <t>00000000A6C727E4353C314FBD93409EF639422707000D702909B30966478A168622D1D80E2400000000010D00000D702909B30966478A168622D1D80E240002534CCA3F0000</t>
  </si>
  <si>
    <t>mike campaign stuff</t>
  </si>
  <si>
    <t>00000000A6C727E4353C314FBD93409EF639422707000D702909B30966478A168622D1D80E2400000000010D00000D702909B30966478A168622D1D80E240002534CCA400000</t>
  </si>
  <si>
    <t>00000000A6C727E4353C314FBD93409EF639422707000D702909B30966478A168622D1D80E2400000000010D00000D702909B30966478A168622D1D80E2400026533CC570000</t>
  </si>
  <si>
    <t>Dr Nasser  E 58th</t>
  </si>
  <si>
    <t>00000000A6C727E4353C314FBD93409EF639422707000D702909B30966478A168622D1D80E2400000000010D00000D702909B30966478A168622D1D80E2400026533CC560000</t>
  </si>
  <si>
    <t>00000000A6C727E4353C314FBD93409EF639422707000D702909B30966478A168622D1D80E2400000000010D00000D702909B30966478A168622D1D80E2400026533CC540000</t>
  </si>
  <si>
    <t>barcvlays</t>
  </si>
  <si>
    <t>00000000A6C727E4353C314FBD93409EF639422707000D702909B30966478A168622D1D80E2400000000010D00000D702909B30966478A168622D1D80E2400026533CC530000</t>
  </si>
  <si>
    <t>00000000A6C727E4353C314FBD93409EF639422707000D702909B30966478A168622D1D80E2400000000010D00000D702909B30966478A168622D1D80E2400026533CC520000</t>
  </si>
  <si>
    <t>Jon/Mike - Quick Catchup</t>
  </si>
  <si>
    <t>00000000A6C727E4353C314FBD93409EF639422707000D702909B30966478A168622D1D80E2400000000010D00000D702909B30966478A168622D1D80E2400026533CC510000</t>
  </si>
  <si>
    <t>Campaign Brief Review</t>
  </si>
  <si>
    <t>00000000A6C727E4353C314FBD93409EF639422707000D702909B30966478A168622D1D80E2400000000010D00000D702909B30966478A168622D1D80E2400026533CC500000</t>
  </si>
  <si>
    <t>barc</t>
  </si>
  <si>
    <t>00000000A6C727E4353C314FBD93409EF639422707000D702909B30966478A168622D1D80E2400000000010D00000D702909B30966478A168622D1D80E2400026533CC4F0000</t>
  </si>
  <si>
    <t>00000000A6C727E4353C314FBD93409EF639422707000D702909B30966478A168622D1D80E2400000000010D00000D702909B30966478A168622D1D80E2400026533CC4E0000</t>
  </si>
  <si>
    <t>00000000A6C727E4353C314FBD93409EF639422707000D702909B30966478A168622D1D80E2400000000010D00000D702909B30966478A168622D1D80E2400026533CC4D0000</t>
  </si>
  <si>
    <t>barclsays</t>
  </si>
  <si>
    <t>00000000A6C727E4353C314FBD93409EF639422707000D702909B30966478A168622D1D80E2400000000010D00000D702909B30966478A168622D1D80E2400026533CC4C0000</t>
  </si>
  <si>
    <t>00000000A6C727E4353C314FBD93409EF639422707000D702909B30966478A168622D1D80E2400000000010D00000D702909B30966478A168622D1D80E2400026533CC4B0000</t>
  </si>
  <si>
    <t>parsing job titles</t>
  </si>
  <si>
    <t>00000000A6C727E4353C314FBD93409EF639422707000D702909B30966478A168622D1D80E2400000000010D00000D702909B30966478A168622D1D80E2400026533CC4A0000</t>
  </si>
  <si>
    <t>Introduction to Velox</t>
  </si>
  <si>
    <t>Microsoft Teams Meeting; and at Linedata -260 Franklin Street, 13th Floor, Boston; R_BS1Boardroom</t>
  </si>
  <si>
    <t>Daniel Bassett,Jon Butler,Vikram Aryan,Ali Moosavi,Jason Penniman,Sreedhar Adapala,Marwa Adala</t>
  </si>
  <si>
    <t>Daniel Bassett</t>
  </si>
  <si>
    <t>00000000A6C727E4353C314FBD93409EF639422707000D702909B30966478A168622D1D80E2400000000010D00000D702909B30966478A168622D1D80E2400026533CC490000</t>
  </si>
  <si>
    <t>nda's / msa's / admin</t>
  </si>
  <si>
    <t>00000000A6C727E4353C314FBD93409EF639422707000D702909B30966478A168622D1D80E2400000000010D00000D702909B30966478A168622D1D80E2400026533CC480000</t>
  </si>
  <si>
    <t>00000000A6C727E4353C314FBD93409EF639422707000D702909B30966478A168622D1D80E2400000000010D00000D702909B30966478A168622D1D80E2400026533CC440000</t>
  </si>
  <si>
    <t>BBVA</t>
  </si>
  <si>
    <t>00000000A6C727E4353C314FBD93409EF639422707000D702909B30966478A168622D1D80E2400000000010D00000D702909B30966478A168622D1D80E2400026533CC430000</t>
  </si>
  <si>
    <t>00000000A6C727E4353C314FBD93409EF639422707000D702909B30966478A168622D1D80E2400000000010D00000D702909B30966478A168622D1D80E2400026533CC420000</t>
  </si>
  <si>
    <t>00000000A6C727E4353C314FBD93409EF639422707000D702909B30966478A168622D1D80E2400000000010D00000D702909B30966478A168622D1D80E2400026533CC410000</t>
  </si>
  <si>
    <t xml:space="preserve">Mike/Jon - Collab on Campaign Brief </t>
  </si>
  <si>
    <t>00000000A6C727E4353C314FBD93409EF639422707000D702909B30966478A168622D1D80E2400000000010D00000D702909B30966478A168622D1D80E2400026533CC400000</t>
  </si>
  <si>
    <t>00000000A6C727E4353C314FBD93409EF639422707000D702909B30966478A168622D1D80E2400000000010D00000D702909B30966478A168622D1D80E2400026533CC3F0000</t>
  </si>
  <si>
    <t>fix post</t>
  </si>
  <si>
    <t>00000000A6C727E4353C314FBD93409EF639422707000D702909B30966478A168622D1D80E2400000000010D00000D702909B30966478A168622D1D80E2400026533CC3E0000</t>
  </si>
  <si>
    <t>Mike/Jon Working Session</t>
  </si>
  <si>
    <t>00000000A6C727E4353C314FBD93409EF639422707000D702909B30966478A168622D1D80E2400000000010D00000D702909B30966478A168622D1D80E2400026533CC550000</t>
  </si>
  <si>
    <t>greg catchup</t>
  </si>
  <si>
    <t>00000000A6C727E4353C314FBD93409EF639422707000D702909B30966478A168622D1D80E2400000000010D00000D702909B30966478A168622D1D80E240002534CCA410000</t>
  </si>
  <si>
    <t>00000000A6C727E4353C314FBD93409EF639422707000D702909B30966478A168622D1D80E2400000000010D00000D702909B30966478A168622D1D80E240002534CCA420000</t>
  </si>
  <si>
    <t>00000000A6C727E4353C314FBD93409EF639422707000D702909B30966478A168622D1D80E2400000000010D00000D702909B30966478A168622D1D80E240002534CCA430000</t>
  </si>
  <si>
    <t>job titles</t>
  </si>
  <si>
    <t>00000000A6C727E4353C314FBD93409EF639422707000D702909B30966478A168622D1D80E2400000000010D00000D702909B30966478A168622D1D80E240002534CCA440000</t>
  </si>
  <si>
    <t>jason/low code bug</t>
  </si>
  <si>
    <t>00000000A6C727E4353C314FBD93409EF639422707000D702909B30966478A168622D1D80E2400000000010D00000D702909B30966478A168622D1D80E240002534CCA450000</t>
  </si>
  <si>
    <t>00000000A6C727E4353C314FBD93409EF639422707000D702909B30966478A168622D1D80E2400000000010D00000D702909B30966478A168622D1D80E240002534CCA460000</t>
  </si>
  <si>
    <t>pptviewer</t>
  </si>
  <si>
    <t>00000000A6C727E4353C314FBD93409EF639422707000D702909B30966478A168622D1D80E2400000000010D00000D702909B30966478A168622D1D80E240002534CCA470000</t>
  </si>
  <si>
    <t>00000000A6C727E4353C314FBD93409EF639422707000D702909B30966478A168622D1D80E2400000000010D00000D702909B30966478A168622D1D80E240002534CCA480000</t>
  </si>
  <si>
    <t>00000000A6C727E4353C314FBD93409EF639422707000D702909B30966478A168622D1D80E2400000000010D00000D702909B30966478A168622D1D80E240002534CCA490000</t>
  </si>
  <si>
    <t>barc/jobtitles</t>
  </si>
  <si>
    <t>00000000A6C727E4353C314FBD93409EF639422707000D702909B30966478A168622D1D80E2400000000010D00000D702909B30966478A168622D1D80E240002534CCA4A0000</t>
  </si>
  <si>
    <t>00000000A6C727E4353C314FBD93409EF639422707000D702909B30966478A168622D1D80E2400000000010D00000D702909B30966478A168622D1D80E240002534CCA4B0000</t>
  </si>
  <si>
    <t>barc/job titles</t>
  </si>
  <si>
    <t>00000000A6C727E4353C314FBD93409EF639422707000D702909B30966478A168622D1D80E2400000000010D00000D702909B30966478A168622D1D80E240002534CCA4C0000</t>
  </si>
  <si>
    <t>00000000A6C727E4353C314FBD93409EF639422707000D702909B30966478A168622D1D80E2400000000010D00000D702909B30966478A168622D1D80E240002534CCA4D0000</t>
  </si>
  <si>
    <t>00000000A6C727E4353C314FBD93409EF639422707000D702909B30966478A168622D1D80E2400000000010D00000D702909B30966478A168622D1D80E240002534CCA4E0000</t>
  </si>
  <si>
    <t>00000000A6C727E4353C314FBD93409EF639422707000D702909B30966478A168622D1D80E2400000000010D00000D702909B30966478A168622D1D80E240002534CCA4F0000</t>
  </si>
  <si>
    <t>00000000A6C727E4353C314FBD93409EF639422707000D702909B30966478A168622D1D80E2400000000010D00000D702909B30966478A168622D1D80E240002534CCA500000</t>
  </si>
  <si>
    <t>00000000A6C727E4353C314FBD93409EF639422707000D702909B30966478A168622D1D80E2400000000010D00000D702909B30966478A168622D1D80E240002534CCA510000</t>
  </si>
  <si>
    <t>barc/jontitles</t>
  </si>
  <si>
    <t>00000000A6C727E4353C314FBD93409EF639422707000D702909B30966478A168622D1D80E2400000000010D00000D702909B30966478A168622D1D80E240002534CCA520000</t>
  </si>
  <si>
    <t>00000000A6C727E4353C314FBD93409EF639422707000D702909B30966478A168622D1D80E2400000000010D00000D702909B30966478A168622D1D80E240002534CCA530000</t>
  </si>
  <si>
    <t>00000000A6C727E4353C314FBD93409EF639422707000D702909B30966478A168622D1D80E2400000000010D00000D702909B30966478A168622D1D80E240002534CCA540000</t>
  </si>
  <si>
    <t>00000000A6C727E4353C314FBD93409EF639422707000D702909B30966478A168622D1D80E2400000000010D00000D702909B30966478A168622D1D80E240002534CCA550000</t>
  </si>
  <si>
    <t>BARC</t>
  </si>
  <si>
    <t>00000000A6C727E4353C314FBD93409EF639422707000D702909B30966478A168622D1D80E2400000000010D00000D702909B30966478A168622D1D80E240002534CCA560000</t>
  </si>
  <si>
    <t>00000000A6C727E4353C314FBD93409EF639422707000D702909B30966478A168622D1D80E2400000000010D00000D702909B30966478A168622D1D80E240002534CCA570000</t>
  </si>
  <si>
    <t>BARC/Josoor</t>
  </si>
  <si>
    <t>00000000A6C727E4353C314FBD93409EF639422707000D702909B30966478A168622D1D80E2400000000010D00000D702909B30966478A168622D1D80E240002534CCA580000</t>
  </si>
  <si>
    <t>BARC etc</t>
  </si>
  <si>
    <t>00000000A6C727E4353C314FBD93409EF639422707000D702909B30966478A168622D1D80E2400000000010D00000D702909B30966478A168622D1D80E240002534CCA590000</t>
  </si>
  <si>
    <t>00000000A6C727E4353C314FBD93409EF639422707000D702909B30966478A168622D1D80E2400000000010D00000D702909B30966478A168622D1D80E2400026533CC580000</t>
  </si>
  <si>
    <t>FIX post</t>
  </si>
  <si>
    <t>00000000A6C727E4353C314FBD93409EF639422707000D702909B30966478A168622D1D80E2400000000010D00000D702909B30966478A168622D1D80E240002534CCA5B0000</t>
  </si>
  <si>
    <t>Steve Savides</t>
  </si>
  <si>
    <t>00000000A6C727E4353C314FBD93409EF639422707000D702909B30966478A168622D1D80E2400000000010D00000D702909B30966478A168622D1D80E240002534CCA5C0000</t>
  </si>
  <si>
    <t>00000000A6C727E4353C314FBD93409EF639422707000D702909B30966478A168622D1D80E2400000000010D00000D702909B30966478A168622D1D80E240002534CCA5D0000</t>
  </si>
  <si>
    <t>Intros Nikolai &amp; Jon</t>
  </si>
  <si>
    <t>Alison Hood,nikolaivarma@googlemail.com,Jon Butler,Bradley Cooke</t>
  </si>
  <si>
    <t>00000000A6C727E4353C314FBD93409EF639422707000D702909B30966478A168622D1D80E2400000000010D00000D702909B30966478A168622D1D80E240003055A4D110000</t>
  </si>
  <si>
    <t>Jason demoing ERP contact enrichment to Mike/Jon</t>
  </si>
  <si>
    <t>Jon Butler,Jason Yan,Mike Wilkins</t>
  </si>
  <si>
    <t>00000000A6C727E4353C314FBD93409EF639422707000D702909B30966478A168622D1D80E2400000000010D00000D702909B30966478A168622D1D80E240002534CCA5E0000</t>
  </si>
  <si>
    <t>00000000A6C727E4353C314FBD93409EF639422707000D702909B30966478A168622D1D80E2400000000010D00000D702909B30966478A168622D1D80E240002534CCA5F0000</t>
  </si>
  <si>
    <t>alison update</t>
  </si>
  <si>
    <t>00000000A6C727E4353C314FBD93409EF639422707000D702909B30966478A168622D1D80E2400000000010D00000D702909B30966478A168622D1D80E240002534CCA600000</t>
  </si>
  <si>
    <t>00000000A6C727E4353C314FBD93409EF639422707000D702909B30966478A168622D1D80E2400000000010D00000D702909B30966478A168622D1D80E240002534CCA610000</t>
  </si>
  <si>
    <t>00000000A6C727E4353C314FBD93409EF639422707000D702909B30966478A168622D1D80E2400000000010D00000D702909B30966478A168622D1D80E240002534CCA620000</t>
  </si>
  <si>
    <t>Jon/Rob Velox R&amp;D Credits</t>
  </si>
  <si>
    <t>Jon Butler,rsinger@rndcredits.com</t>
  </si>
  <si>
    <t>00000000A6C727E4353C314FBD93409EF639422707000D702909B30966478A168622D1D80E2400000000010D00000D702909B30966478A168622D1D80E240002534CCA630000</t>
  </si>
  <si>
    <t>00000000A6C727E4353C314FBD93409EF639422707000D702909B30966478A168622D1D80E2400000000010D00000D702909B30966478A168622D1D80E240002534CCA650000</t>
  </si>
  <si>
    <t>ALI</t>
  </si>
  <si>
    <t>00000000A6C727E4353C314FBD93409EF639422707000D702909B30966478A168622D1D80E2400000000010D00000D702909B30966478A168622D1D80E240002534CCA660000</t>
  </si>
  <si>
    <t>Jon/Pete - Biweekly Cuddle</t>
  </si>
  <si>
    <t>00000000A6C727E4353C314FBD93409EF639422707000D702909B30966478A168622D1D80E2400000000010D00000D702909B30966478A168622D1D80E240002534CCA670000</t>
  </si>
  <si>
    <t>Pete/Dan Izzo</t>
  </si>
  <si>
    <t>00000000A6C727E4353C314FBD93409EF639422707000D702909B30966478A168622D1D80E2400000000010D00000D702909B30966478A168622D1D80E240002534CCA680000</t>
  </si>
  <si>
    <t>Barclays POC Chat Peter &amp; Jon</t>
  </si>
  <si>
    <t>00000000A6C727E4353C314FBD93409EF639422707000D702909B30966478A168622D1D80E2400000000010D00000D702909B30966478A168622D1D80E240002534CCA690000</t>
  </si>
  <si>
    <t>00000000A6C727E4353C314FBD93409EF639422707000D702909B30966478A168622D1D80E2400000000010D00000D702909B30966478A168622D1D80E240002534CCA6A0000</t>
  </si>
  <si>
    <t>00000000A6C727E4353C314FBD93409EF639422707000D702909B30966478A168622D1D80E2400000000010D00000D702909B30966478A168622D1D80E240002534CCA6B0000</t>
  </si>
  <si>
    <t>Boston prep</t>
  </si>
  <si>
    <t>https://veloxfintech.zoom.us/j/84314442942?pwd=ZHdseE40WHNiNmpMMGc1dEtpWmlkZz09&amp;from=addon</t>
  </si>
  <si>
    <t>00000000A6C727E4353C314FBD93409EF639422707000D702909B30966478A168622D1D80E2400000000010D00000D702909B30966478A168622D1D80E240002534CCA6C0000</t>
  </si>
  <si>
    <t>JB Personal</t>
  </si>
  <si>
    <t>00000000A6C727E4353C314FBD93409EF639422707000D702909B30966478A168622D1D80E2400000000010D00000D702909B30966478A168622D1D80E240002534CCA6E0000</t>
  </si>
  <si>
    <t>head of eq campaign</t>
  </si>
  <si>
    <t>00000000A6C727E4353C314FBD93409EF639422707000D702909B30966478A168622D1D80E2400000000010D00000D702909B30966478A168622D1D80E240002534CCA6F0000</t>
  </si>
  <si>
    <t>equities tech campaign</t>
  </si>
  <si>
    <t>00000000A6C727E4353C314FBD93409EF639422707000D702909B30966478A168622D1D80E2400000000010D00000D702909B30966478A168622D1D80E240002534CCA700000</t>
  </si>
  <si>
    <t>cash eq</t>
  </si>
  <si>
    <t>00000000A6C727E4353C314FBD93409EF639422707000D702909B30966478A168622D1D80E2400000000010D00000D702909B30966478A168622D1D80E240002534CCA710000</t>
  </si>
  <si>
    <t>00000000A6C727E4353C314FBD93409EF639422707000D702909B30966478A168622D1D80E2400000000010D00000D702909B30966478A168622D1D80E240002534CCA720000</t>
  </si>
  <si>
    <t>equityies</t>
  </si>
  <si>
    <t>00000000A6C727E4353C314FBD93409EF639422707000D702909B30966478A168622D1D80E2400000000010D00000D702909B30966478A168622D1D80E2400026533CC5B0000</t>
  </si>
  <si>
    <t>Athens Exchange - Velox Intro</t>
  </si>
  <si>
    <t>https://veloxfintech.zoom.us/j/84277548484?pwd=cktReVZZZTJYcFo4amdORUFSSWJEZz09</t>
  </si>
  <si>
    <t>Mohamed Arkate,Jon Butler,n.porfyris@athexgroup.gr,Apostologlou, Loukas,Vratits, Pavlos,Batsalias, Vasileios</t>
  </si>
  <si>
    <t>00000000A6C727E4353C314FBD93409EF639422707000D702909B30966478A168622D1D80E2400000000010D00000D702909B30966478A168622D1D80E2400026533CC5A0000</t>
  </si>
  <si>
    <t>Exegy/Velox - Opportunities discussion</t>
  </si>
  <si>
    <t>https://veloxfintech.zoom.us/j/89302322334?pwd=TThuUjFSWFpJWGRxYlFBWEcxUzd4dz09</t>
  </si>
  <si>
    <t>00000000A6C727E4353C314FBD93409EF639422707000D702909B30966478A168622D1D80E2400000000010D00000D702909B30966478A168622D1D80E240003055A4D160000</t>
  </si>
  <si>
    <t>00000000A6C727E4353C314FBD93409EF639422707000D702909B30966478A168622D1D80E2400000000010D00000D702909B30966478A168622D1D80E240002534CCA730000</t>
  </si>
  <si>
    <t>00000000A6C727E4353C314FBD93409EF639422707000D702909B30966478A168622D1D80E2400000000010D00000D702909B30966478A168622D1D80E240002534CCA740000</t>
  </si>
  <si>
    <t>linedata</t>
  </si>
  <si>
    <t>00000000A6C727E4353C314FBD93409EF639422707000D702909B30966478A168622D1D80E2400000000010D00000D702909B30966478A168622D1D80E240002534CCA750000</t>
  </si>
  <si>
    <t>BJB demo</t>
  </si>
  <si>
    <t>id=4413704910</t>
  </si>
  <si>
    <t>00000000A6C727E4353C314FBD93409EF639422707000D702909B30966478A168622D1D80E2400000000010D00000D702909B30966478A168622D1D80E240002534CCA760000</t>
  </si>
  <si>
    <t>lowcode bugs</t>
  </si>
  <si>
    <t>00000000A6C727E4353C314FBD93409EF639422707000D702909B30966478A168622D1D80E2400000000010D00000D702909B30966478A168622D1D80E240002534CCA770000</t>
  </si>
  <si>
    <t>mikes announcement</t>
  </si>
  <si>
    <t>00000000A6C727E4353C314FBD93409EF639422707000D702909B30966478A168622D1D80E2400000000010D00000D702909B30966478A168622D1D80E240002534CCA780000</t>
  </si>
  <si>
    <t>00000000A6C727E4353C314FBD93409EF639422707000D702909B30966478A168622D1D80E2400000000010D00000D702909B30966478A168622D1D80E240002534CCA790000</t>
  </si>
  <si>
    <t>00000000A6C727E4353C314FBD93409EF639422707000D702909B30966478A168622D1D80E2400000000010D00000D702909B30966478A168622D1D80E240002534CCA7A0000</t>
  </si>
  <si>
    <t>00000000A6C727E4353C314FBD93409EF639422707000D702909B30966478A168622D1D80E2400000000010D00000D702909B30966478A168622D1D80E240002534CCA7B0000</t>
  </si>
  <si>
    <t>00000000A6C727E4353C314FBD93409EF639422707000D702909B30966478A168622D1D80E2400000000010D00000D702909B30966478A168622D1D80E240002534CCA7C0000</t>
  </si>
  <si>
    <t>00000000A6C727E4353C314FBD93409EF639422707000D702909B30966478A168622D1D80E2400000000010D00000D702909B30966478A168622D1D80E240002534CCA7D0000</t>
  </si>
  <si>
    <t>Exsgy</t>
  </si>
  <si>
    <t>00000000A6C727E4353C314FBD93409EF639422707000D702909B30966478A168622D1D80E2400000000010D00000D702909B30966478A168622D1D80E240002534CCA7E0000</t>
  </si>
  <si>
    <t>00000000A6C727E4353C314FBD93409EF639422707000D702909B30966478A168622D1D80E2400000000010D00000D702909B30966478A168622D1D80E240002534CCA7F0000</t>
  </si>
  <si>
    <t>00000000A6C727E4353C314FBD93409EF639422707000D702909B30966478A168622D1D80E2400000000010D00000D702909B30966478A168622D1D80E240002534CCA800000</t>
  </si>
  <si>
    <t>barclays minutes</t>
  </si>
  <si>
    <t>00000000A6C727E4353C314FBD93409EF639422707000D702909B30966478A168622D1D80E2400000000010D00000D702909B30966478A168622D1D80E240002534CCA810000</t>
  </si>
  <si>
    <t>00000000A6C727E4353C314FBD93409EF639422707000D702909B30966478A168622D1D80E2400000000010D00000D702909B30966478A168622D1D80E240002534CCA820000</t>
  </si>
  <si>
    <t>00000000A6C727E4353C314FBD93409EF639422707000D702909B30966478A168622D1D80E2400000000010D00000D702909B30966478A168622D1D80E240002534CCA830000</t>
  </si>
  <si>
    <t>Bernie Thurston,Jon Butler</t>
  </si>
  <si>
    <t>00000000A6C727E4353C314FBD93409EF639422707000D702909B30966478A168622D1D80E2400000000010D00000D702909B30966478A168622D1D80E240002534CCA840000</t>
  </si>
  <si>
    <t>00000000A6C727E4353C314FBD93409EF639422707000D702909B30966478A168622D1D80E2400000000010D00000D702909B30966478A168622D1D80E240002534CCA850000</t>
  </si>
  <si>
    <t>00000000A6C727E4353C314FBD93409EF639422707000D702909B30966478A168622D1D80E2400000000010D00000D702909B30966478A168622D1D80E240002534CCA860000</t>
  </si>
  <si>
    <t>Jon/Neto: 1 on 1</t>
  </si>
  <si>
    <t>00000000A6C727E4353C314FBD93409EF639422707000D702909B30966478A168622D1D80E2400000000010D00000D702909B30966478A168622D1D80E240002534CCA870000</t>
  </si>
  <si>
    <t>00000000A6C727E4353C314FBD93409EF639422707000D702909B30966478A168622D1D80E2400000000010D00000D702909B30966478A168622D1D80E240002534CCA880000</t>
  </si>
  <si>
    <t xml:space="preserve">Josoor/Velox - next steps </t>
  </si>
  <si>
    <t>Mohamed Arkate,Abdullah.khalifah@gmail.com,Jon Butler</t>
  </si>
  <si>
    <t>00000000A6C727E4353C314FBD93409EF639422707000D702909B30966478A168622D1D80E2400000000010D00000D702909B30966478A168622D1D80E240002534CCA890000</t>
  </si>
  <si>
    <t>00000000A6C727E4353C314FBD93409EF639422707000D702909B30966478A168622D1D80E2400000000010D00000D702909B30966478A168622D1D80E240002534CCA8A0000</t>
  </si>
  <si>
    <t>00000000A6C727E4353C314FBD93409EF639422707000D702909B30966478A168622D1D80E2400000000010D00000D702909B30966478A168622D1D80E240002534CCA8B0000</t>
  </si>
  <si>
    <t>capsule cleanup / meeting minties</t>
  </si>
  <si>
    <t>00000000A6C727E4353C314FBD93409EF639422707000D702909B30966478A168622D1D80E2400000000010D00000D702909B30966478A168622D1D80E240002534CCA8C0000</t>
  </si>
  <si>
    <t>capsule cleanup / meeting minitues</t>
  </si>
  <si>
    <t>00000000A6C727E4353C314FBD93409EF639422707000D702909B30966478A168622D1D80E2400000000010D00000D702909B30966478A168622D1D80E240002534CCA8D0000</t>
  </si>
  <si>
    <t>minutes spreadsheet</t>
  </si>
  <si>
    <t>id=4428965722</t>
  </si>
  <si>
    <t>00000000A6C727E4353C314FBD93409EF639422707000D702909B30966478A168622D1D80E2400000000010D00000D702909B30966478A168622D1D80E240002534CCA8E0000</t>
  </si>
  <si>
    <t>00000000A6C727E4353C314FBD93409EF639422707000D702909B30966478A168622D1D80E2400000000010D00000D702909B30966478A168622D1D80E240002534CCA8F0000</t>
  </si>
  <si>
    <t>00000000A6C727E4353C314FBD93409EF639422707000D702909B30966478A168622D1D80E2400000000010D00000D702909B30966478A168622D1D80E240002534CCA900000</t>
  </si>
  <si>
    <t>00000000A6C727E4353C314FBD93409EF639422707000D702909B30966478A168622D1D80E2400000000010D00000D702909B30966478A168622D1D80E240002534CCA910000</t>
  </si>
  <si>
    <t>00000000A6C727E4353C314FBD93409EF639422707000D702909B30966478A168622D1D80E2400000000010D00000D702909B30966478A168622D1D80E240002534CCA920000</t>
  </si>
  <si>
    <t>00000000A6C727E4353C314FBD93409EF639422707000D702909B30966478A168622D1D80E2400000000010D00000D702909B30966478A168622D1D80E240002534CCA930000</t>
  </si>
  <si>
    <t>00000000A6C727E4353C314FBD93409EF639422707000D702909B30966478A168622D1D80E2400000000010D00000D702909B30966478A168622D1D80E240002534CCA940000</t>
  </si>
  <si>
    <t>meeting minutes sheet</t>
  </si>
  <si>
    <t>00000000A6C727E4353C314FBD93409EF639422707000D702909B30966478A168622D1D80E2400000000010D00000D702909B30966478A168622D1D80E240002534CCA950000</t>
  </si>
  <si>
    <t>00000000A6C727E4353C314FBD93409EF639422707000D702909B30966478A168622D1D80E2400000000010D00000D702909B30966478A168622D1D80E240002534CCA960000</t>
  </si>
  <si>
    <t>00000000A6C727E4353C314FBD93409EF639422707000D702909B30966478A168622D1D80E2400000000010D00000D702909B30966478A168622D1D80E240002534CCA970000</t>
  </si>
  <si>
    <t>00000000A6C727E4353C314FBD93409EF639422707000D702909B30966478A168622D1D80E2400000000010D00000D702909B30966478A168622D1D80E240002534CCA980000</t>
  </si>
  <si>
    <t>00000000A6C727E4353C314FBD93409EF639422707000D702909B30966478A168622D1D80E2400000000010D00000D702909B30966478A168622D1D80E240002534CCA990000</t>
  </si>
  <si>
    <t>00000000A6C727E4353C314FBD93409EF639422707000D702909B30966478A168622D1D80E2400000000010D00000D702909B30966478A168622D1D80E240002534CCA9A0000</t>
  </si>
  <si>
    <t>245 TRAIN TO CITY</t>
  </si>
  <si>
    <t>00000000A6C727E4353C314FBD93409EF639422707000D702909B30966478A168622D1D80E2400000000010D00000D702909B30966478A168622D1D80E240002534CCA9B0000</t>
  </si>
  <si>
    <t>00000000A6C727E4353C314FBD93409EF639422707000D702909B30966478A168622D1D80E2400000000010D00000D702909B30966478A168622D1D80E240002534CCA9C0000</t>
  </si>
  <si>
    <t>00000000A6C727E4353C314FBD93409EF639422707000D702909B30966478A168622D1D80E2400000000010D00000D702909B30966478A168622D1D80E240002534CCA9D0000</t>
  </si>
  <si>
    <t>sync up with mike/chris</t>
  </si>
  <si>
    <t>Jon Butler,Mike Wilkins,Christian Schueler,Alison Hood</t>
  </si>
  <si>
    <t>00000000A6C727E4353C314FBD93409EF639422707000D702909B30966478A168622D1D80E2400000000010D00000D702909B30966478A168622D1D80E240002534CCA9E0000</t>
  </si>
  <si>
    <t>Kezar Markets chat</t>
  </si>
  <si>
    <t>https://veloxfintech.zoom.us/j/84978884895?pwd=V0tkdGdpU0lNaHptRkQ5dGFsTkp5dz09&amp;from=addon</t>
  </si>
  <si>
    <t>Ali Moosavi,Jon Butler,Mike Wilkins</t>
  </si>
  <si>
    <t>00000000A6C727E4353C314FBD93409EF639422707000D702909B30966478A168622D1D80E2400000000010D00000D702909B30966478A168622D1D80E240002534CCA9F0000</t>
  </si>
  <si>
    <t>00000000A6C727E4353C314FBD93409EF639422707000D702909B30966478A168622D1D80E2400000000010D00000D702909B30966478A168622D1D80E240002534CCAA00000</t>
  </si>
  <si>
    <t>00000000A6C727E4353C314FBD93409EF639422707000D702909B30966478A168622D1D80E2400000000010D00000D702909B30966478A168622D1D80E240002534CCAA10000</t>
  </si>
  <si>
    <t>00000000A6C727E4353C314FBD93409EF639422707000D702909B30966478A168622D1D80E2400000000010D00000D702909B30966478A168622D1D80E240002534CCAA20000</t>
  </si>
  <si>
    <t>00000000A6C727E4353C314FBD93409EF639422707000D702909B30966478A168622D1D80E2400000000010D00000D702909B30966478A168622D1D80E240002534CCAA30000</t>
  </si>
  <si>
    <t>00000000A6C727E4353C314FBD93409EF639422707000D702909B30966478A168622D1D80E2400000000010D00000D702909B30966478A168622D1D80E240002534CCAA40000</t>
  </si>
  <si>
    <t>00000000A6C727E4353C314FBD93409EF639422707000D702909B30966478A168622D1D80E2400000000010D00000D702909B30966478A168622D1D80E240002534CCAA50000</t>
  </si>
  <si>
    <t>00000000A6C727E4353C314FBD93409EF639422707000D702909B30966478A168622D1D80E2400000000010D00000D702909B30966478A168622D1D80E240002534CCAA60000</t>
  </si>
  <si>
    <t>00000000A6C727E4353C314FBD93409EF639422707000D702909B30966478A168622D1D80E2400000000010D00000D702909B30966478A168622D1D80E240002534CCAA70000</t>
  </si>
  <si>
    <t>00000000A6C727E4353C314FBD93409EF639422707000D702909B30966478A168622D1D80E2400000000010D00000D702909B30966478A168622D1D80E240002534CCAA80000</t>
  </si>
  <si>
    <t>00000000A6C727E4353C314FBD93409EF639422707000D702909B30966478A168622D1D80E2400000000010D00000D702909B30966478A168622D1D80E240002534CCAA90000</t>
  </si>
  <si>
    <t>FIX</t>
  </si>
  <si>
    <t>00000000A6C727E4353C314FBD93409EF639422707000D702909B30966478A168622D1D80E2400000000010D00000D702909B30966478A168622D1D80E240002534CCAAA0000</t>
  </si>
  <si>
    <t>00000000A6C727E4353C314FBD93409EF639422707000D702909B30966478A168622D1D80E2400000000010D00000D702909B30966478A168622D1D80E240002534CCAAB0000</t>
  </si>
  <si>
    <t>catch up Brad/Jon/Alison</t>
  </si>
  <si>
    <t>Alison Hood,Bradley Cooke,Jon Butler</t>
  </si>
  <si>
    <t>00000000A6C727E4353C314FBD93409EF639422707000D702909B30966478A168622D1D80E2400000000010D00000D702909B30966478A168622D1D80E2400030A0A4B3B0000</t>
  </si>
  <si>
    <t>00000000A6C727E4353C314FBD93409EF639422707000D702909B30966478A168622D1D80E2400000000010D00000D702909B30966478A168622D1D80E2400026533CC5C0000</t>
  </si>
  <si>
    <t>00000000A6C727E4353C314FBD93409EF639422707000D702909B30966478A168622D1D80E2400000000010D00000D702909B30966478A168622D1D80E240002534CCAAC0000</t>
  </si>
  <si>
    <t>client / prospect meeting followups</t>
  </si>
  <si>
    <t>00000000A6C727E4353C314FBD93409EF639422707000D702909B30966478A168622D1D80E2400000000010D00000D702909B30966478A168622D1D80E240002534CCAAD0000</t>
  </si>
  <si>
    <t>Formulate a Barclays response</t>
  </si>
  <si>
    <t>huddle</t>
  </si>
  <si>
    <t>00000000A6C727E4353C314FBD93409EF639422707000D702909B30966478A168622D1D80E2400000000010D00000D702909B30966478A168622D1D80E240002534CCAAE0000</t>
  </si>
  <si>
    <t>00000000A6C727E4353C314FBD93409EF639422707000D702909B30966478A168622D1D80E2400000000010D00000D702909B30966478A168622D1D80E240002534CCAAF0000</t>
  </si>
  <si>
    <t>Canceled: Mike/Jon: Capsule Capabilities</t>
  </si>
  <si>
    <t>Mike Wilkins is inviting you to a scheduled Zoom meeting.; Topic: Mike Wilkins's Personal Meeting Room; Join Zoom Meeting; https://veloxfintech.zoom.us/j/9324603875; Meeting ID: 932 460 3875; One tap mobile; +13052241968,,9324603875# US; +13092053325,,932</t>
  </si>
  <si>
    <t>00000000A6C727E4353C314FBD93409EF639422707000D702909B30966478A168622D1D80E2400000000010D00000D702909B30966478A168622D1D80E2400030A0A4B3C0000</t>
  </si>
  <si>
    <t>00000000A6C727E4353C314FBD93409EF639422707000D702909B30966478A168622D1D80E2400000000010D00000D702909B30966478A168622D1D80E240002534CCAB00000</t>
  </si>
  <si>
    <t>00000000A6C727E4353C314FBD93409EF639422707000D702909B30966478A168622D1D80E2400000000010D00000D702909B30966478A168622D1D80E240002534CCAB10000</t>
  </si>
  <si>
    <t>00000000A6C727E4353C314FBD93409EF639422707000D702909B30966478A168622D1D80E2400000000010D00000D702909B30966478A168622D1D80E240002534CCAB20000</t>
  </si>
  <si>
    <t>capsule cleanp</t>
  </si>
  <si>
    <t>00000000A6C727E4353C314FBD93409EF639422707000D702909B30966478A168622D1D80E2400000000010D00000D702909B30966478A168622D1D80E240002534CCAB30000</t>
  </si>
  <si>
    <t>00000000A6C727E4353C314FBD93409EF639422707000D702909B30966478A168622D1D80E2400000000010D00000D702909B30966478A168622D1D80E240002534CCAB40000</t>
  </si>
  <si>
    <t>00000000A6C727E4353C314FBD93409EF639422707000D702909B30966478A168622D1D80E2400000000010D00000D702909B30966478A168622D1D80E240002534CCAB50000</t>
  </si>
  <si>
    <t>00000000A6C727E4353C314FBD93409EF639422707000D702909B30966478A168622D1D80E2400000000010D00000D702909B30966478A168622D1D80E240002534CCAB60000</t>
  </si>
  <si>
    <t>personal</t>
  </si>
  <si>
    <t>00000000A6C727E4353C314FBD93409EF639422707000D702909B30966478A168622D1D80E2400000000010D00000D702909B30966478A168622D1D80E240002534CCAB70000</t>
  </si>
  <si>
    <t>00000000A6C727E4353C314FBD93409EF639422707000D702909B30966478A168622D1D80E2400000000010D00000D702909B30966478A168622D1D80E240002534CCAB80000</t>
  </si>
  <si>
    <t>00000000A6C727E4353C314FBD93409EF639422707000D702909B30966478A168622D1D80E2400000000010D00000D702909B30966478A168622D1D80E240002534CCAB90000</t>
  </si>
  <si>
    <t>Lunch - Velox</t>
  </si>
  <si>
    <t>Ravagh Persian Grill 173 Madison Ave, New York, NY 10016; id=1506701839</t>
  </si>
  <si>
    <t>Ali Moosavi,Jon Butler,Jason Yan,Mike Wilkins,Mohamed Arkate</t>
  </si>
  <si>
    <t>00000000A6C727E4353C314FBD93409EF639422707000D702909B30966478A168622D1D80E2400000000010D00000D702909B30966478A168622D1D80E2400030A0A4B3F0000</t>
  </si>
  <si>
    <t>Intros Jonathan &amp; Jon</t>
  </si>
  <si>
    <t>Alison Hood,Jonathan Hodder,Jon Butler,Bradley Cooke</t>
  </si>
  <si>
    <t>00000000A6C727E4353C314FBD93409EF639422707000D702909B30966478A168622D1D80E2400000000010D00000D702909B30966478A168622D1D80E240002534CCABA0000</t>
  </si>
  <si>
    <t>pipeline cleanup</t>
  </si>
  <si>
    <t>00000000A6C727E4353C314FBD93409EF639422707000D702909B30966478A168622D1D80E2400000000010D00000D702909B30966478A168622D1D80E240002534CCABB0000</t>
  </si>
  <si>
    <t>00000000A6C727E4353C314FBD93409EF639422707000D702909B30966478A168622D1D80E2400000000010D00000D702909B30966478A168622D1D80E240002534CCABC0000</t>
  </si>
  <si>
    <t>00000000A6C727E4353C314FBD93409EF639422707000D702909B30966478A168622D1D80E2400000000010D00000D702909B30966478A168622D1D80E240002534CCABD0000</t>
  </si>
  <si>
    <t>medium</t>
  </si>
  <si>
    <t>id=4457454683</t>
  </si>
  <si>
    <t>00000000A6C727E4353C314FBD93409EF639422707000D702909B30966478A168622D1D80E2400000000010D00000D702909B30966478A168622D1D80E240002534CCABE0000</t>
  </si>
  <si>
    <t>posting LI</t>
  </si>
  <si>
    <t>00000000A6C727E4353C314FBD93409EF639422707000D702909B30966478A168622D1D80E2400000000010D00000D702909B30966478A168622D1D80E240002534CCABF0000</t>
  </si>
  <si>
    <t>00000000A6C727E4353C314FBD93409EF639422707000D702909B30966478A168622D1D80E2400000000010D00000D702909B30966478A168622D1D80E240002534CCAC00000</t>
  </si>
  <si>
    <t>Mike/Jon Sync on Offsite</t>
  </si>
  <si>
    <t>00000000A6C727E4353C314FBD93409EF639422707000D702909B30966478A168622D1D80E2400000000010D00000D702909B30966478A168622D1D80E240002534CCAC10000</t>
  </si>
  <si>
    <t>00000000A6C727E4353C314FBD93409EF639422707000D702909B30966478A168622D1D80E2400000000010D00000D702909B30966478A168622D1D80E240002534CCAC20000</t>
  </si>
  <si>
    <t>Quick catch up - FIX discussion</t>
  </si>
  <si>
    <t>https://veloxfintech.zoom.us/j/82229493766?pwd=NVNFWHJmRS9Ha3N2Snd2TEF6ZzRDdz09&amp;from=addon</t>
  </si>
  <si>
    <t>00000000A6C727E4353C314FBD93409EF639422707000D702909B30966478A168622D1D80E2400000000010D00000D702909B30966478A168622D1D80E2400030B5918DA0000</t>
  </si>
  <si>
    <t>00000000A6C727E4353C314FBD93409EF639422707000D702909B30966478A168622D1D80E2400000000010D00000D702909B30966478A168622D1D80E240002534CCAC30000</t>
  </si>
  <si>
    <t>Cosmos sales strategizing</t>
  </si>
  <si>
    <t>zoom</t>
  </si>
  <si>
    <t>00000000A6C727E4353C314FBD93409EF639422707000D702909B30966478A168622D1D80E2400000000010D00000D702909B30966478A168622D1D80E240002534CCAC40000</t>
  </si>
  <si>
    <t>pipeline</t>
  </si>
  <si>
    <t>00000000A6C727E4353C314FBD93409EF639422707000D702909B30966478A168622D1D80E2400000000010D00000D702909B30966478A168622D1D80E240002534CCAC60000</t>
  </si>
  <si>
    <t>Velox pre-POC Kickoff Meeting</t>
  </si>
  <si>
    <t>peter.atkinson@barclays.com,Jason Yan,govind.jajoo,Alison Hood,Jon Butler,nikhil.x.doshi@barclays.com,ian.roche@barclays.com</t>
  </si>
  <si>
    <t>00000000A6C727E4353C314FBD93409EF639422707000D702909B30966478A168622D1D80E2400000000010D00000D702909B30966478A168622D1D80E240002534CCAC70000</t>
  </si>
  <si>
    <t>id=4350408039</t>
  </si>
  <si>
    <t>00000000A6C727E4353C314FBD93409EF639422707000D702909B30966478A168622D1D80E2400000000010D00000D702909B30966478A168622D1D80E240002534CCAC80000</t>
  </si>
  <si>
    <t>Presentation to Jon</t>
  </si>
  <si>
    <t>00000000A6C727E4353C314FBD93409EF639422707000D702909B30966478A168622D1D80E2400000000010D00000D702909B30966478A168622D1D80E240002534CCAC90000</t>
  </si>
  <si>
    <t>00000000A6C727E4353C314FBD93409EF639422707000D702909B30966478A168622D1D80E2400000000010D00000D702909B30966478A168622D1D80E240002534CCACA0000</t>
  </si>
  <si>
    <t xml:space="preserve">Cosmos Sales </t>
  </si>
  <si>
    <t>https://veloxfintech.zoom.us/j/85183557161?pwd=dWtYTWlUWW9tZTgvTHVjQWlMZmJWUT09&amp;from=addon</t>
  </si>
  <si>
    <t>00000000A6C727E4353C314FBD93409EF639422707000D702909B30966478A168622D1D80E2400000000010D00000D702909B30966478A168622D1D80E240002534CCACB0000</t>
  </si>
  <si>
    <t>00000000A6C727E4353C314FBD93409EF639422707000D702909B30966478A168622D1D80E2400000000010D00000D702909B30966478A168622D1D80E240002534CCACC0000</t>
  </si>
  <si>
    <t>00000000A6C727E4353C314FBD93409EF639422707000D702909B30966478A168622D1D80E2400000000010D00000D702909B30966478A168622D1D80E240002534CCACD0000</t>
  </si>
  <si>
    <t>greg / bjb</t>
  </si>
  <si>
    <t>00000000A6C727E4353C314FBD93409EF639422707000D702909B30966478A168622D1D80E2400000000010D00000D702909B30966478A168622D1D80E240002534CCACE0000</t>
  </si>
  <si>
    <t>00000000A6C727E4353C314FBD93409EF639422707000D702909B30966478A168622D1D80E2400000000010D00000D702909B30966478A168622D1D80E240002534CCACF0000</t>
  </si>
  <si>
    <t>00000000A6C727E4353C314FBD93409EF639422707000D702909B30966478A168622D1D80E2400000000010D00000D702909B30966478A168622D1D80E240002534CCAD00000</t>
  </si>
  <si>
    <t>eq target</t>
  </si>
  <si>
    <t>00000000A6C727E4353C314FBD93409EF639422707000D702909B30966478A168622D1D80E2400000000010D00000D702909B30966478A168622D1D80E240002534CCAD10000</t>
  </si>
  <si>
    <t>00000000A6C727E4353C314FBD93409EF639422707000D702909B30966478A168622D1D80E2400000000010D00000D702909B30966478A168622D1D80E240002534CCAD20000</t>
  </si>
  <si>
    <t>ETF eco system</t>
  </si>
  <si>
    <t>id=4359655305</t>
  </si>
  <si>
    <t>00000000A6C727E4353C314FBD93409EF639422707000D702909B30966478A168622D1D80E2400000000010D00000D702909B30966478A168622D1D80E240002534CCAD30000</t>
  </si>
  <si>
    <t>etf eco system</t>
  </si>
  <si>
    <t>00000000A6C727E4353C314FBD93409EF639422707000D702909B30966478A168622D1D80E2400000000010D00000D702909B30966478A168622D1D80E240002534CCAD40000</t>
  </si>
  <si>
    <t>word doc processing</t>
  </si>
  <si>
    <t>id=4468712744</t>
  </si>
  <si>
    <t>00000000A6C727E4353C314FBD93409EF639422707000D702909B30966478A168622D1D80E2400000000010D00000D702909B30966478A168622D1D80E240002534CCAD50000</t>
  </si>
  <si>
    <t>00000000A6C727E4353C314FBD93409EF639422707000D702909B30966478A168622D1D80E2400000000010D00000D702909B30966478A168622D1D80E240002534CCAD60000</t>
  </si>
  <si>
    <t>medium setup</t>
  </si>
  <si>
    <t>00000000A6C727E4353C314FBD93409EF639422707000D702909B30966478A168622D1D80E2400000000010D00000D702909B30966478A168622D1D80E240002534CCAD70000</t>
  </si>
  <si>
    <t>00000000A6C727E4353C314FBD93409EF639422707000D702909B30966478A168622D1D80E2400000000010D00000D702909B30966478A168622D1D80E240002534CCAD80000</t>
  </si>
  <si>
    <t>learning how to use MidJourney to get images for Medium</t>
  </si>
  <si>
    <t>00000000A6C727E4353C314FBD93409EF639422707000D702909B30966478A168622D1D80E2400000000010D00000D702909B30966478A168622D1D80E240002534CCAD90000</t>
  </si>
  <si>
    <t>id=4469255034</t>
  </si>
  <si>
    <t>00000000A6C727E4353C314FBD93409EF639422707000D702909B30966478A168622D1D80E2400000000010D00000D702909B30966478A168622D1D80E2400026533CC5E0000</t>
  </si>
  <si>
    <t>redburn pricing</t>
  </si>
  <si>
    <t>id=4469147907</t>
  </si>
  <si>
    <t>00000000A6C727E4353C314FBD93409EF639422707000D702909B30966478A168622D1D80E2400000000010D00000D702909B30966478A168622D1D80E2400026533CC5D0000</t>
  </si>
  <si>
    <t>00000000A6C727E4353C314FBD93409EF639422707000D702909B30966478A168622D1D80E2400000000010D00000D702909B30966478A168622D1D80E2400026533CC5F0000</t>
  </si>
  <si>
    <t>redburn</t>
  </si>
  <si>
    <t>00000000A6C727E4353C314FBD93409EF639422707000D702909B30966478A168622D1D80E2400000000010D00000D702909B30966478A168622D1D80E2400026533CC600000</t>
  </si>
  <si>
    <t>cosmon</t>
  </si>
  <si>
    <t>00000000A6C727E4353C314FBD93409EF639422707000D702909B30966478A168622D1D80E2400000000010D00000D702909B30966478A168622D1D80E240002534CCADA0000</t>
  </si>
  <si>
    <t>cosmos</t>
  </si>
  <si>
    <t>00000000A6C727E4353C314FBD93409EF639422707000D702909B30966478A168622D1D80E2400000000010D00000D702909B30966478A168622D1D80E240002534CCADB0000</t>
  </si>
  <si>
    <t>govind / barclays</t>
  </si>
  <si>
    <t>00000000A6C727E4353C314FBD93409EF639422707000D702909B30966478A168622D1D80E2400000000010D00000D702909B30966478A168622D1D80E240002534CCADD0000</t>
  </si>
  <si>
    <t>00000000A6C727E4353C314FBD93409EF639422707000D702909B30966478A168622D1D80E2400000000010D00000D702909B30966478A168622D1D80E240002534CCADE0000</t>
  </si>
  <si>
    <t>00000000A6C727E4353C314FBD93409EF639422707000D702909B30966478A168622D1D80E2400000000010D00000D702909B30966478A168622D1D80E240002534CCADF0000</t>
  </si>
  <si>
    <t>break</t>
  </si>
  <si>
    <t>00000000A6C727E4353C314FBD93409EF639422707000D702909B30966478A168622D1D80E2400000000010D00000D702909B30966478A168622D1D80E240002534CCAE00000</t>
  </si>
  <si>
    <t>00000000A6C727E4353C314FBD93409EF639422707000D702909B30966478A168622D1D80E2400000000010D00000D702909B30966478A168622D1D80E240002534CCAE10000</t>
  </si>
  <si>
    <t>josoor</t>
  </si>
  <si>
    <t>00000000A6C727E4353C314FBD93409EF639422707000D702909B30966478A168622D1D80E2400000000010D00000D702909B30966478A168622D1D80E240002534CCAE20000</t>
  </si>
  <si>
    <t>00000000A6C727E4353C314FBD93409EF639422707000D702909B30966478A168622D1D80E2400000000010D00000D702909B30966478A168622D1D80E240002534CCAE30000</t>
  </si>
  <si>
    <t>00000000A6C727E4353C314FBD93409EF639422707000D702909B30966478A168622D1D80E2400000000010D00000D702909B30966478A168622D1D80E240002534CCAE40000</t>
  </si>
  <si>
    <t>letterhead</t>
  </si>
  <si>
    <t>00000000A6C727E4353C314FBD93409EF639422707000D702909B30966478A168622D1D80E2400000000010D00000D702909B30966478A168622D1D80E240002534CCAE50000</t>
  </si>
  <si>
    <t>00000000A6C727E4353C314FBD93409EF639422707000D702909B30966478A168622D1D80E2400000000010D00000D702909B30966478A168622D1D80E240002534CCAE60000</t>
  </si>
  <si>
    <t>id=4394030500</t>
  </si>
  <si>
    <t>00000000A6C727E4353C314FBD93409EF639422707000D702909B30966478A168622D1D80E2400000000010D00000D702909B30966478A168622D1D80E240002534CCAE70000</t>
  </si>
  <si>
    <t>Session 1 : Sales Campaign : Heads of Cash Eq Tech</t>
  </si>
  <si>
    <t>Jon Butler,Jason Yan,Mike Wilkins,Ali Moosavi,Mohamed Arkate</t>
  </si>
  <si>
    <t>00000000A6C727E4353C314FBD93409EF639422707000D702909B30966478A168622D1D80E2400000000010D00000D702909B30966478A168622D1D80E240002534CCAE80000</t>
  </si>
  <si>
    <t>Session 2 : Sales Campaign : Cosmos</t>
  </si>
  <si>
    <t>Jon Butler,Jason Yan,Ali Moosavi,Mohamed Arkate,Mike Wilkins</t>
  </si>
  <si>
    <t>00000000A6C727E4353C314FBD93409EF639422707000D702909B30966478A168622D1D80E2400000000010D00000D702909B30966478A168622D1D80E240002534CCAE90000</t>
  </si>
  <si>
    <t>Introduction Meeting with VELOX</t>
  </si>
  <si>
    <t>Microsoft Teams Meeting; id=4503328196</t>
  </si>
  <si>
    <t>Karampela, Betty,Zarros, Theodoros,Katsigiannis, Dimitrios,Vernardos, Emmanouil,Bikou, Anastasia,Mohamed Arkate,Jon Butler,Gardelis, Dimitris,Porfyris, Nikolaos</t>
  </si>
  <si>
    <t>Karampela, Betty</t>
  </si>
  <si>
    <t>00000000A6C727E4353C314FBD93409EF639422707000D702909B30966478A168622D1D80E2400000000010D00000D702909B30966478A168622D1D80E240002534CCAEA0000</t>
  </si>
  <si>
    <t>savides plan</t>
  </si>
  <si>
    <t>00000000A6C727E4353C314FBD93409EF639422707000D702909B30966478A168622D1D80E2400000000010D00000D702909B30966478A168622D1D80E240002534CCAEB0000</t>
  </si>
  <si>
    <t>00000000A6C727E4353C314FBD93409EF639422707000D702909B30966478A168622D1D80E2400000000010D00000D702909B30966478A168622D1D80E240002534CCAEC0000</t>
  </si>
  <si>
    <t>barcla</t>
  </si>
  <si>
    <t>00000000A6C727E4353C314FBD93409EF639422707000D702909B30966478A168622D1D80E2400000000010D00000D702909B30966478A168622D1D80E240002534CCAED0000</t>
  </si>
  <si>
    <t>weeks</t>
  </si>
  <si>
    <t>00000000A6C727E4353C314FBD93409EF639422707000D702909B30966478A168622D1D80E2400000000010D00000D702909B30966478A168622D1D80E240002534CCAEE0000</t>
  </si>
  <si>
    <t>nyc sesssion - eq campaign</t>
  </si>
  <si>
    <t>00000000A6C727E4353C314FBD93409EF639422707000D702909B30966478A168622D1D80E2400000000010D00000D702909B30966478A168622D1D80E240002534CCAEF0000</t>
  </si>
  <si>
    <t>Timothy Sargent,Jon Butler,Ali Moosavi,Alex Sargent</t>
  </si>
  <si>
    <t>00000000A6C727E4353C314FBD93409EF639422707000D702909B30966478A168622D1D80E2400000000010D00000D702909B30966478A168622D1D80E240002534CCAF00000</t>
  </si>
  <si>
    <t>00000000A6C727E4353C314FBD93409EF639422707000D702909B30966478A168622D1D80E2400000000010D00000D702909B30966478A168622D1D80E240002534CCAF10000</t>
  </si>
  <si>
    <t>nyc session</t>
  </si>
  <si>
    <t>00000000A6C727E4353C314FBD93409EF639422707000D702909B30966478A168622D1D80E2400000000010D00000D702909B30966478A168622D1D80E240002534CCAF20000</t>
  </si>
  <si>
    <t>posting / eq campaign</t>
  </si>
  <si>
    <t>00000000A6C727E4353C314FBD93409EF639422707000D702909B30966478A168622D1D80E2400000000010D00000D702909B30966478A168622D1D80E240002534CCAF30000</t>
  </si>
  <si>
    <t>00000000A6C727E4353C314FBD93409EF639422707000D702909B30966478A168622D1D80E2400000000010D00000D702909B30966478A168622D1D80E240002534CCAF40000</t>
  </si>
  <si>
    <t>Mike &lt;&gt; Jon Catch Up</t>
  </si>
  <si>
    <t>mrude@automated-data.io,mrude@opcollc.com,Jon Butler</t>
  </si>
  <si>
    <t>mrude@automated-data.io</t>
  </si>
  <si>
    <t>00000000A6C727E4353C314FBD93409EF639422707000D702909B30966478A168622D1D80E2400000000010D00000D702909B30966478A168622D1D80E2400030ECB29F60000</t>
  </si>
  <si>
    <t>00000000A6C727E4353C314FBD93409EF639422707000D702909B30966478A168622D1D80E2400000000010D00000D702909B30966478A168622D1D80E240002534CCAF50000</t>
  </si>
  <si>
    <t>00000000A6C727E4353C314FBD93409EF639422707000D702909B30966478A168622D1D80E2400000000010D00000D702909B30966478A168622D1D80E240002534CCAF60000</t>
  </si>
  <si>
    <t>ny session - cosmos capaign</t>
  </si>
  <si>
    <t>00000000A6C727E4353C314FBD93409EF639422707000D702909B30966478A168622D1D80E2400000000010D00000D702909B30966478A168622D1D80E240002534CCAF70000</t>
  </si>
  <si>
    <t>travel - dead time</t>
  </si>
  <si>
    <t>00000000A6C727E4353C314FBD93409EF639422707000D702909B30966478A168622D1D80E2400000000010D00000D702909B30966478A168622D1D80E240002534CCAF80000</t>
  </si>
  <si>
    <t>breakfast for quinton</t>
  </si>
  <si>
    <t>00000000A6C727E4353C314FBD93409EF639422707000D702909B30966478A168622D1D80E2400000000010D00000D702909B30966478A168622D1D80E240002534CCAF90000</t>
  </si>
  <si>
    <t>medium uploads</t>
  </si>
  <si>
    <t>00000000A6C727E4353C314FBD93409EF639422707000D702909B30966478A168622D1D80E2400000000010D00000D702909B30966478A168622D1D80E240002534CCAFA0000</t>
  </si>
  <si>
    <t>00000000A6C727E4353C314FBD93409EF639422707000D702909B30966478A168622D1D80E2400000000010D00000D702909B30966478A168622D1D80E240002534CCAFB0000</t>
  </si>
  <si>
    <t>00000000A6C727E4353C314FBD93409EF639422707000D702909B30966478A168622D1D80E2400000000010D00000D702909B30966478A168622D1D80E240002534CCAFC0000</t>
  </si>
  <si>
    <t>valntic</t>
  </si>
  <si>
    <t>00000000A6C727E4353C314FBD93409EF639422707000D702909B30966478A168622D1D80E2400000000010D00000D702909B30966478A168622D1D80E240002534CCAFD0000</t>
  </si>
  <si>
    <t>pipeline for mark</t>
  </si>
  <si>
    <t>00000000A6C727E4353C314FBD93409EF639422707000D702909B30966478A168622D1D80E2400000000010D00000D702909B30966478A168622D1D80E240002534CCAFE0000</t>
  </si>
  <si>
    <t>Prep for Barclays</t>
  </si>
  <si>
    <t>00000000A6C727E4353C314FBD93409EF639422707000D702909B30966478A168622D1D80E2400000000010D00000D702909B30966478A168622D1D80E2400030ECB29F70000</t>
  </si>
  <si>
    <t>00000000A6C727E4353C314FBD93409EF639422707000D702909B30966478A168622D1D80E2400000000010D00000D702909B30966478A168622D1D80E240002534CCAFF0000</t>
  </si>
  <si>
    <t>00000000A6C727E4353C314FBD93409EF639422707000D702909B30966478A168622D1D80E2400000000010D00000D702909B30966478A168622D1D80E240002534CCB000000</t>
  </si>
  <si>
    <t>JB Zoom</t>
  </si>
  <si>
    <t>00000000A6C727E4353C314FBD93409EF639422707000D702909B30966478A168622D1D80E2400000000010D00000D702909B30966478A168622D1D80E240002534CCB010000</t>
  </si>
  <si>
    <t>00000000A6C727E4353C314FBD93409EF639422707000D702909B30966478A168622D1D80E2400000000010D00000D702909B30966478A168622D1D80E240002534CCB020000</t>
  </si>
  <si>
    <t>valanticn</t>
  </si>
  <si>
    <t>00000000A6C727E4353C314FBD93409EF639422707000D702909B30966478A168622D1D80E2400000000010D00000D702909B30966478A168622D1D80E240002534CCB030000</t>
  </si>
  <si>
    <t>Weekly Sales Strategy</t>
  </si>
  <si>
    <t>Jon Butler,Alison Hood,Christian Schueler,Mike Wilkins,Ali Moosavi,Mohamed Arkate</t>
  </si>
  <si>
    <t>00000000A6C727E4353C314FBD93409EF639422707000D702909B30966478A168622D1D80E2400000000010D00000D702909B30966478A168622D1D80E240002534CCB040000</t>
  </si>
  <si>
    <t>Velox / CG Catchup - Continued</t>
  </si>
  <si>
    <t>Jon Butler,Timothy Sargent,Alex Sargent,Ali Moosavi</t>
  </si>
  <si>
    <t>00000000A6C727E4353C314FBD93409EF639422707000D702909B30966478A168622D1D80E2400000000010D00000D702909B30966478A168622D1D80E240002534CCB050000</t>
  </si>
  <si>
    <t>00000000A6C727E4353C314FBD93409EF639422707000D702909B30966478A168622D1D80E2400000000010D00000D702909B30966478A168622D1D80E240002534CCB060000</t>
  </si>
  <si>
    <t>00000000A6C727E4353C314FBD93409EF639422707000D702909B30966478A168622D1D80E2400000000010D00000D702909B30966478A168622D1D80E240002534CCB070000</t>
  </si>
  <si>
    <t>00000000A6C727E4353C314FBD93409EF639422707000D702909B30966478A168622D1D80E2400000000010D00000D702909B30966478A168622D1D80E240002534CCB080000</t>
  </si>
  <si>
    <t>Nicolai / Jon &amp; Alison (Velox)</t>
  </si>
  <si>
    <t>Jon Butler,Nikolai Varma,Alison Hood</t>
  </si>
  <si>
    <t>00000000A6C727E4353C314FBD93409EF639422707000D702909B30966478A168622D1D80E2400000000010D00000D702909B30966478A168622D1D80E240002534CCB090000</t>
  </si>
  <si>
    <t>00000000A6C727E4353C314FBD93409EF639422707000D702909B30966478A168622D1D80E2400000000010D00000D702909B30966478A168622D1D80E240002534CCB0A0000</t>
  </si>
  <si>
    <t>00000000A6C727E4353C314FBD93409EF639422707000D702909B30966478A168622D1D80E2400000000010D00000D702909B30966478A168622D1D80E240002534CCB0B0000</t>
  </si>
  <si>
    <t>Ali/Jon catch up - Cosmos</t>
  </si>
  <si>
    <t>https://veloxfintech.zoom.us/j/83302149147?pwd=ZEhYMUVrM25uVGpPTWFQL0NzVTZWZz09&amp;from=addon; id=4359655305</t>
  </si>
  <si>
    <t>00000000A6C727E4353C314FBD93409EF639422707000D702909B30966478A168622D1D80E2400000000010D00000D702909B30966478A168622D1D80E240002534CCB0C0000</t>
  </si>
  <si>
    <t>00000000A6C727E4353C314FBD93409EF639422707000D702909B30966478A168622D1D80E2400000000010D00000D702909B30966478A168622D1D80E240002534CCB0D0000</t>
  </si>
  <si>
    <t>00000000A6C727E4353C314FBD93409EF639422707000D702909B30966478A168622D1D80E2400000000010D00000D702909B30966478A168622D1D80E240002534CCB0E0000</t>
  </si>
  <si>
    <t>00000000A6C727E4353C314FBD93409EF639422707000D702909B30966478A168622D1D80E2400000000010D00000D702909B30966478A168622D1D80E240002534CCB0F0000</t>
  </si>
  <si>
    <t>00000000A6C727E4353C314FBD93409EF639422707000D702909B30966478A168622D1D80E2400000000010D00000D702909B30966478A168622D1D80E240002534CCB100000</t>
  </si>
  <si>
    <t>investor deck for Tower</t>
  </si>
  <si>
    <t>id=4499103132</t>
  </si>
  <si>
    <t>00000000A6C727E4353C314FBD93409EF639422707000D702909B30966478A168622D1D80E2400000000010D00000D702909B30966478A168622D1D80E240002534CCB110000</t>
  </si>
  <si>
    <t>athex prep</t>
  </si>
  <si>
    <t>id=4503328196</t>
  </si>
  <si>
    <t>00000000A6C727E4353C314FBD93409EF639422707000D702909B30966478A168622D1D80E2400000000010D00000D702909B30966478A168622D1D80E240002534CCB120000</t>
  </si>
  <si>
    <t>alison catchup</t>
  </si>
  <si>
    <t>00000000A6C727E4353C314FBD93409EF639422707000D702909B30966478A168622D1D80E2400000000010D00000D702909B30966478A168622D1D80E240002534CCB130000</t>
  </si>
  <si>
    <t>Athex prep</t>
  </si>
  <si>
    <t>00000000A6C727E4353C314FBD93409EF639422707000D702909B30966478A168622D1D80E2400000000010D00000D702909B30966478A168622D1D80E240002534CCB140000</t>
  </si>
  <si>
    <t>ALi / investpr / tower</t>
  </si>
  <si>
    <t>00000000A6C727E4353C314FBD93409EF639422707000D702909B30966478A168622D1D80E2400000000010D00000D702909B30966478A168622D1D80E240002534CCB150000</t>
  </si>
  <si>
    <t>00000000A6C727E4353C314FBD93409EF639422707000D702909B30966478A168622D1D80E2400000000010D00000D702909B30966478A168622D1D80E240002534CCB160000</t>
  </si>
  <si>
    <t>mo followup for athens</t>
  </si>
  <si>
    <t>00000000A6C727E4353C314FBD93409EF639422707000D702909B30966478A168622D1D80E2400000000010D00000D702909B30966478A168622D1D80E240002534CCB170000</t>
  </si>
  <si>
    <t>barclays POC doc</t>
  </si>
  <si>
    <t>00000000A6C727E4353C314FBD93409EF639422707000D702909B30966478A168622D1D80E2400000000010D00000D702909B30966478A168622D1D80E240002534CCB180000</t>
  </si>
  <si>
    <t>00000000A6C727E4353C314FBD93409EF639422707000D702909B30966478A168622D1D80E2400000000010D00000D702909B30966478A168622D1D80E240002534CCB190000</t>
  </si>
  <si>
    <t>00000000A6C727E4353C314FBD93409EF639422707000D702909B30966478A168622D1D80E2400000000010D00000D702909B30966478A168622D1D80E240002534CCB1A0000</t>
  </si>
  <si>
    <t>id=4495338775</t>
  </si>
  <si>
    <t>00000000A6C727E4353C314FBD93409EF639422707000D702909B30966478A168622D1D80E2400000000010D00000D702909B30966478A168622D1D80E240002534CCB1B0000</t>
  </si>
  <si>
    <t>00000000A6C727E4353C314FBD93409EF639422707000D702909B30966478A168622D1D80E2400000000010D00000D702909B30966478A168622D1D80E240002534CCB1C0000</t>
  </si>
  <si>
    <t>00000000A6C727E4353C314FBD93409EF639422707000D702909B30966478A168622D1D80E2400000000010D00000D702909B30966478A168622D1D80E240002534CCB1D0000</t>
  </si>
  <si>
    <t>00000000A6C727E4353C314FBD93409EF639422707000D702909B30966478A168622D1D80E2400000000010D00000D702909B30966478A168622D1D80E240002534CCB1E0000</t>
  </si>
  <si>
    <t>00000000A6C727E4353C314FBD93409EF639422707000D702909B30966478A168622D1D80E2400000000010D00000D702909B30966478A168622D1D80E240002534CCB1F0000</t>
  </si>
  <si>
    <t>investor deck for tower</t>
  </si>
  <si>
    <t>id=4513589961</t>
  </si>
  <si>
    <t>00000000A6C727E4353C314FBD93409EF639422707000D702909B30966478A168622D1D80E2400000000010D00000D702909B30966478A168622D1D80E240002534CCB200000</t>
  </si>
  <si>
    <t>capsule  / investor deck</t>
  </si>
  <si>
    <t>00000000A6C727E4353C314FBD93409EF639422707000D702909B30966478A168622D1D80E2400000000010D00000D702909B30966478A168622D1D80E240002534CCB210000</t>
  </si>
  <si>
    <t>capsule / investor deck</t>
  </si>
  <si>
    <t>id=4513562929</t>
  </si>
  <si>
    <t>00000000A6C727E4353C314FBD93409EF639422707000D702909B30966478A168622D1D80E2400000000010D00000D702909B30966478A168622D1D80E240002534CCB220000</t>
  </si>
  <si>
    <t>00000000A6C727E4353C314FBD93409EF639422707000D702909B30966478A168622D1D80E2400000000010D00000D702909B30966478A168622D1D80E240002534CCB230000</t>
  </si>
  <si>
    <t>capsule / removing dupes</t>
  </si>
  <si>
    <t>00000000A6C727E4353C314FBD93409EF639422707000D702909B30966478A168622D1D80E2400000000010D00000D702909B30966478A168622D1D80E240002534CCB240000</t>
  </si>
  <si>
    <t>capsule removing the dupes</t>
  </si>
  <si>
    <t>00000000A6C727E4353C314FBD93409EF639422707000D702909B30966478A168622D1D80E2400000000010D00000D702909B30966478A168622D1D80E240002534CCB250000</t>
  </si>
  <si>
    <t>post for cash eq</t>
  </si>
  <si>
    <t>00000000A6C727E4353C314FBD93409EF639422707000D702909B30966478A168622D1D80E2400000000010D00000D702909B30966478A168622D1D80E240002534CCB260000</t>
  </si>
  <si>
    <t>post for cash eq/tower investor</t>
  </si>
  <si>
    <t>00000000A6C727E4353C314FBD93409EF639422707000D702909B30966478A168622D1D80E2400000000010D00000D702909B30966478A168622D1D80E240002534CCB270000</t>
  </si>
  <si>
    <t>Mohamed in Stockholm (FIX Event)</t>
  </si>
  <si>
    <t>00000000A6C727E4353C314FBD93409EF639422707000D702909B30966478A168622D1D80E2400000000010D00000D702909B30966478A168622D1D80E24000312944C3F0000</t>
  </si>
  <si>
    <t>jon/chris</t>
  </si>
  <si>
    <t>00000000A6C727E4353C314FBD93409EF639422707000D702909B30966478A168622D1D80E2400000000010D00000D702909B30966478A168622D1D80E240002534CCB280000</t>
  </si>
  <si>
    <t>capsule remove dupes</t>
  </si>
  <si>
    <t>00000000A6C727E4353C314FBD93409EF639422707000D702909B30966478A168622D1D80E2400000000010D00000D702909B30966478A168622D1D80E240002534CCB290000</t>
  </si>
  <si>
    <t>capsule remove/dupes</t>
  </si>
  <si>
    <t>00000000A6C727E4353C314FBD93409EF639422707000D702909B30966478A168622D1D80E2400000000010D00000D702909B30966478A168622D1D80E240002534CCB2A0000</t>
  </si>
  <si>
    <t>catch up - Velox</t>
  </si>
  <si>
    <t>Microsoft Teams Meeting; id=4359655305</t>
  </si>
  <si>
    <t>00000000A6C727E4353C314FBD93409EF639422707000D702909B30966478A168622D1D80E2400000000010D00000D702909B30966478A168622D1D80E240002534CCB2C0000</t>
  </si>
  <si>
    <t>00000000A6C727E4353C314FBD93409EF639422707000D702909B30966478A168622D1D80E2400000000010D00000D702909B30966478A168622D1D80E240002534CCB2D0000</t>
  </si>
  <si>
    <t>capsule dupe cleanup</t>
  </si>
  <si>
    <t>00000000A6C727E4353C314FBD93409EF639422707000D702909B30966478A168622D1D80E2400000000010D00000D702909B30966478A168622D1D80E240002534CCB2E0000</t>
  </si>
  <si>
    <t>capsule dupe</t>
  </si>
  <si>
    <t>00000000A6C727E4353C314FBD93409EF639422707000D702909B30966478A168622D1D80E2400000000010D00000D702909B30966478A168622D1D80E240002534CCB300000</t>
  </si>
  <si>
    <t>00000000A6C727E4353C314FBD93409EF639422707000D702909B30966478A168622D1D80E2400000000010D00000D702909B30966478A168622D1D80E240002534CCB310000</t>
  </si>
  <si>
    <t>00000000A6C727E4353C314FBD93409EF639422707000D702909B30966478A168622D1D80E2400000000010D00000D702909B30966478A168622D1D80E240002534CCB320000</t>
  </si>
  <si>
    <t>Soccer / Dad</t>
  </si>
  <si>
    <t>00000000A6C727E4353C314FBD93409EF639422707000D702909B30966478A168622D1D80E2400000000010D00000D702909B30966478A168622D1D80E240002534CCB330000</t>
  </si>
  <si>
    <t>00000000A6C727E4353C314FBD93409EF639422707000D702909B30966478A168622D1D80E2400000000010D00000D702909B30966478A168622D1D80E240002534CCB340000</t>
  </si>
  <si>
    <t>00000000A6C727E4353C314FBD93409EF639422707000D702909B30966478A168622D1D80E2400000000010D00000D702909B30966478A168622D1D80E240002534CCB350000</t>
  </si>
  <si>
    <t>tower research</t>
  </si>
  <si>
    <t>00000000A6C727E4353C314FBD93409EF639422707000D702909B30966478A168622D1D80E2400000000010D00000D702909B30966478A168622D1D80E240002534CCB360000</t>
  </si>
  <si>
    <t>bernie / cosmos</t>
  </si>
  <si>
    <t>00000000A6C727E4353C314FBD93409EF639422707000D702909B30966478A168622D1D80E2400000000010D00000D702909B30966478A168622D1D80E240002534CCB370000</t>
  </si>
  <si>
    <t>00000000A6C727E4353C314FBD93409EF639422707000D702909B30966478A168622D1D80E2400000000010D00000D702909B30966478A168622D1D80E240002534CCB380000</t>
  </si>
  <si>
    <t>00000000A6C727E4353C314FBD93409EF639422707000D702909B30966478A168622D1D80E2400000000010D00000D702909B30966478A168622D1D80E240002534CCB390000</t>
  </si>
  <si>
    <t>Capsule</t>
  </si>
  <si>
    <t>00000000A6C727E4353C314FBD93409EF639422707000D702909B30966478A168622D1D80E2400000000010D00000D702909B30966478A168622D1D80E240002534CCB3A0000</t>
  </si>
  <si>
    <t>lead generation</t>
  </si>
  <si>
    <t>00000000A6C727E4353C314FBD93409EF639422707000D702909B30966478A168622D1D80E2400000000010D00000D702909B30966478A168622D1D80E240002534CCB3C0000</t>
  </si>
  <si>
    <t>Velox Bootcamp Pt. 1</t>
  </si>
  <si>
    <t>Jon Butler,Nikolai Varma,Firdaus Ibrahim,Alison Hood</t>
  </si>
  <si>
    <t>00000000A6C727E4353C314FBD93409EF639422707000D702909B30966478A168622D1D80E2400000000010D00000D702909B30966478A168622D1D80E240002534CCB3D0000</t>
  </si>
  <si>
    <t>Velox Bootcamp Pt. 2</t>
  </si>
  <si>
    <t>00000000A6C727E4353C314FBD93409EF639422707000D702909B30966478A168622D1D80E2400000000010D00000D702909B30966478A168622D1D80E240002534CCB3E0000</t>
  </si>
  <si>
    <t>00000000A6C727E4353C314FBD93409EF639422707000D702909B30966478A168622D1D80E2400000000010D00000D702909B30966478A168622D1D80E240002534CCB3F0000</t>
  </si>
  <si>
    <t>Daily Cosmos update</t>
  </si>
  <si>
    <t>https://veloxfintech.zoom.us/j/87029347927?pwd=N3A4Y3g5RnpBSHM2U0M5N3BsbDVnZz09&amp;from=addon; id=4359655305</t>
  </si>
  <si>
    <t>00000000A6C727E4353C314FBD93409EF639422707000D702909B30966478A168622D1D80E2400000000010D00000D702909B30966478A168622D1D80E240002534CCB400000</t>
  </si>
  <si>
    <t>Tower Researcg</t>
  </si>
  <si>
    <t>00000000A6C727E4353C314FBD93409EF639422707000D702909B30966478A168622D1D80E2400000000010D00000D702909B30966478A168622D1D80E240002534CCB410000</t>
  </si>
  <si>
    <t>cash eq linked in requests</t>
  </si>
  <si>
    <t>00000000A6C727E4353C314FBD93409EF639422707000D702909B30966478A168622D1D80E2400000000010D00000D702909B30966478A168622D1D80E240002534CCB420000</t>
  </si>
  <si>
    <t>cash eq linked in</t>
  </si>
  <si>
    <t>00000000A6C727E4353C314FBD93409EF639422707000D702909B30966478A168622D1D80E2400000000010D00000D702909B30966478A168622D1D80E240002534CCB430000</t>
  </si>
  <si>
    <t>prepare for the CG contract negotiation later today</t>
  </si>
  <si>
    <t>Jon Butler,Alison Hood,Ali Moosavi</t>
  </si>
  <si>
    <t>00000000A6C727E4353C314FBD93409EF639422707000D702909B30966478A168622D1D80E2400000000010D00000D702909B30966478A168622D1D80E240002534CCB450000</t>
  </si>
  <si>
    <t>00000000A6C727E4353C314FBD93409EF639422707000D702909B30966478A168622D1D80E2400000000010D00000D702909B30966478A168622D1D80E240002534CCB460000</t>
  </si>
  <si>
    <t>Jon Butler,Yaros, Bobby,Donovan, Justin,Jason Yan,Arteaga, Marvin,Mike Wilkins,Kappagantula, Kanthi,Hyden, Jim</t>
  </si>
  <si>
    <t>00000000A6C727E4353C314FBD93409EF639422707000D702909B30966478A168622D1D80E2400000000010D00000D702909B30966478A168622D1D80E240002534CCB480000</t>
  </si>
  <si>
    <t>eq campaign - using the new pipeline</t>
  </si>
  <si>
    <t>00000000A6C727E4353C314FBD93409EF639422707000D702909B30966478A168622D1D80E2400000000010D00000D702909B30966478A168622D1D80E240002534CCB470000</t>
  </si>
  <si>
    <t>bootcamp</t>
  </si>
  <si>
    <t>00000000A6C727E4353C314FBD93409EF639422707000D702909B30966478A168622D1D80E2400000000010D00000D702909B30966478A168622D1D80E240002534CCB490000</t>
  </si>
  <si>
    <t>00000000A6C727E4353C314FBD93409EF639422707000D702909B30966478A168622D1D80E2400000000010D00000D702909B30966478A168622D1D80E240002534CCB4A0000</t>
  </si>
  <si>
    <t xml:space="preserve">Cosmos demo/walk through - Ali </t>
  </si>
  <si>
    <t>https://veloxfintech.zoom.us/j/85859005661?pwd=d2Y2UE81aEVNSE9LaXlYVFZNOFc4QT09&amp;from=addon</t>
  </si>
  <si>
    <t>00000000A6C727E4353C314FBD93409EF639422707000D702909B30966478A168622D1D80E2400000000010D00000D702909B30966478A168622D1D80E240003138071C00000</t>
  </si>
  <si>
    <t>millenium prep</t>
  </si>
  <si>
    <t>id=4532008985</t>
  </si>
  <si>
    <t>00000000A6C727E4353C314FBD93409EF639422707000D702909B30966478A168622D1D80E2400000000010D00000D702909B30966478A168622D1D80E240002534CCB4B0000</t>
  </si>
  <si>
    <t>cash eq post</t>
  </si>
  <si>
    <t>00000000A6C727E4353C314FBD93409EF639422707000D702909B30966478A168622D1D80E2400000000010D00000D702909B30966478A168622D1D80E240002534CCB4C0000</t>
  </si>
  <si>
    <t>millenium demo</t>
  </si>
  <si>
    <t>00000000A6C727E4353C314FBD93409EF639422707000D702909B30966478A168622D1D80E2400000000010D00000D702909B30966478A168622D1D80E240002534CCB4D0000</t>
  </si>
  <si>
    <t>Velox Bootcamp Follow-up</t>
  </si>
  <si>
    <t>https://us06web.zoom.us/j/85042145619?pwd=d3R5eEdiNlhhalIvSjJXTExuTWRKUT09</t>
  </si>
  <si>
    <t>Firdaus I,Jon Butler,Alison Hood</t>
  </si>
  <si>
    <t>Firdaus I</t>
  </si>
  <si>
    <t>00000000A6C727E4353C314FBD93409EF639422707000D702909B30966478A168622D1D80E2400000000010D00000D702909B30966478A168622D1D80E240003148C4CF80000</t>
  </si>
  <si>
    <t>00000000A6C727E4353C314FBD93409EF639422707000D702909B30966478A168622D1D80E2400000000010D00000D702909B30966478A168622D1D80E240002534CCB4E0000</t>
  </si>
  <si>
    <t>Alison/Ali catch up - RE: FIX</t>
  </si>
  <si>
    <t>https://veloxfintech.zoom.us/j/83706253314?pwd=Q3lTdTlRWnFMQXp0YzQwaWhFTnVNdz09&amp;from=addon</t>
  </si>
  <si>
    <t>00000000A6C727E4353C314FBD93409EF639422707000D702909B30966478A168622D1D80E2400000000010D00000D702909B30966478A168622D1D80E240003148C4CF90000</t>
  </si>
  <si>
    <t>break / cycling</t>
  </si>
  <si>
    <t>00000000A6C727E4353C314FBD93409EF639422707000D702909B30966478A168622D1D80E2400000000010D00000D702909B30966478A168622D1D80E240002534CCB4F0000</t>
  </si>
  <si>
    <t>00000000A6C727E4353C314FBD93409EF639422707000D702909B30966478A168622D1D80E2400000000010D00000D702909B30966478A168622D1D80E240002534CCB500000</t>
  </si>
  <si>
    <t>00000000A6C727E4353C314FBD93409EF639422707000D702909B30966478A168622D1D80E2400000000010D00000D702909B30966478A168622D1D80E240002534CCB510000</t>
  </si>
  <si>
    <t>eq trading campaign / mike campaign</t>
  </si>
  <si>
    <t>00000000A6C727E4353C314FBD93409EF639422707000D702909B30966478A168622D1D80E2400000000010D00000D702909B30966478A168622D1D80E240002534CCB530000</t>
  </si>
  <si>
    <t>loadup mike ample contacts to capsule</t>
  </si>
  <si>
    <t>id=4537338313</t>
  </si>
  <si>
    <t>00000000A6C727E4353C314FBD93409EF639422707000D702909B30966478A168622D1D80E2400000000010D00000D702909B30966478A168622D1D80E240002534CCB540000</t>
  </si>
  <si>
    <t>00000000A6C727E4353C314FBD93409EF639422707000D702909B30966478A168622D1D80E2400000000010D00000D702909B30966478A168622D1D80E240002534CCB550000</t>
  </si>
  <si>
    <t>00000000A6C727E4353C314FBD93409EF639422707000D702909B30966478A168622D1D80E2400000000010D00000D702909B30966478A168622D1D80E240002534CCB560000</t>
  </si>
  <si>
    <t>upload mike</t>
  </si>
  <si>
    <t>00000000A6C727E4353C314FBD93409EF639422707000D702909B30966478A168622D1D80E2400000000010D00000D702909B30966478A168622D1D80E240002534CCB570000</t>
  </si>
  <si>
    <t>00000000A6C727E4353C314FBD93409EF639422707000D702909B30966478A168622D1D80E2400000000010D00000D702909B30966478A168622D1D80E240002534CCB580000</t>
  </si>
  <si>
    <t>00000000A6C727E4353C314FBD93409EF639422707000D702909B30966478A168622D1D80E2400000000010D00000D702909B30966478A168622D1D80E240002534CCB590000</t>
  </si>
  <si>
    <t>00000000A6C727E4353C314FBD93409EF639422707000D702909B30966478A168622D1D80E2400000000010D00000D702909B30966478A168622D1D80E240002534CCB5A0000</t>
  </si>
  <si>
    <t>00000000A6C727E4353C314FBD93409EF639422707000D702909B30966478A168622D1D80E2400000000010D00000D702909B30966478A168622D1D80E240002534CCB5B0000</t>
  </si>
  <si>
    <t>cycling / personal</t>
  </si>
  <si>
    <t>00000000A6C727E4353C314FBD93409EF639422707000D702909B30966478A168622D1D80E2400000000010D00000D702909B30966478A168622D1D80E240002534CCB5C0000</t>
  </si>
  <si>
    <t>00000000A6C727E4353C314FBD93409EF639422707000D702909B30966478A168622D1D80E2400000000010D00000D702909B30966478A168622D1D80E240002534CCB5D0000</t>
  </si>
  <si>
    <t>00000000A6C727E4353C314FBD93409EF639422707000D702909B30966478A168622D1D80E2400000000010D00000D702909B30966478A168622D1D80E240002534CCB5E0000</t>
  </si>
  <si>
    <t>pickup</t>
  </si>
  <si>
    <t>00000000A6C727E4353C314FBD93409EF639422707000D702909B30966478A168622D1D80E2400000000010D00000D702909B30966478A168622D1D80E240002534CCB5F0000</t>
  </si>
  <si>
    <t>capsule test script</t>
  </si>
  <si>
    <t>00000000A6C727E4353C314FBD93409EF639422707000D702909B30966478A168622D1D80E2400000000010D00000D702909B30966478A168622D1D80E240002534CCB600000</t>
  </si>
  <si>
    <t>00000000A6C727E4353C314FBD93409EF639422707000D702909B30966478A168622D1D80E2400000000010D00000D702909B30966478A168622D1D80E240002534CCB610000</t>
  </si>
  <si>
    <t>update capsule data</t>
  </si>
  <si>
    <t>00000000A6C727E4353C314FBD93409EF639422707000D702909B30966478A168622D1D80E2400000000010D00000D702909B30966478A168622D1D80E240002534CCB620000</t>
  </si>
  <si>
    <t>campaign data</t>
  </si>
  <si>
    <t>00000000A6C727E4353C314FBD93409EF639422707000D702909B30966478A168622D1D80E2400000000010D00000D702909B30966478A168622D1D80E240002534CCB630000</t>
  </si>
  <si>
    <t>00000000A6C727E4353C314FBD93409EF639422707000D702909B30966478A168622D1D80E2400000000010D00000D702909B30966478A168622D1D80E240002534CCB640000</t>
  </si>
  <si>
    <t>00000000A6C727E4353C314FBD93409EF639422707000D702909B30966478A168622D1D80E2400000000010D00000D702909B30966478A168622D1D80E240002534CCB650000</t>
  </si>
  <si>
    <t>meeting minutes loader</t>
  </si>
  <si>
    <t>id=4428965037</t>
  </si>
  <si>
    <t>00000000A6C727E4353C314FBD93409EF639422707000D702909B30966478A168622D1D80E2400000000010D00000D702909B30966478A168622D1D80E240002534CCB660000</t>
  </si>
  <si>
    <t>00000000A6C727E4353C314FBD93409EF639422707000D702909B30966478A168622D1D80E2400000000010D00000D702909B30966478A168622D1D80E240002534CCB670000</t>
  </si>
  <si>
    <t>00000000A6C727E4353C314FBD93409EF639422707000D702909B30966478A168622D1D80E2400000000010D00000D702909B30966478A168622D1D80E240002534CCB680000</t>
  </si>
  <si>
    <t>adding meeting minutes</t>
  </si>
  <si>
    <t>00000000A6C727E4353C314FBD93409EF639422707000D702909B30966478A168622D1D80E2400000000010D00000D702909B30966478A168622D1D80E240002534CCB690000</t>
  </si>
  <si>
    <t>meeting minutes tool</t>
  </si>
  <si>
    <t>00000000A6C727E4353C314FBD93409EF639422707000D702909B30966478A168622D1D80E2400000000010D00000D702909B30966478A168622D1D80E240002534CCB6A0000</t>
  </si>
  <si>
    <t>00000000A6C727E4353C314FBD93409EF639422707000D702909B30966478A168622D1D80E2400000000010D00000D702909B30966478A168622D1D80E240002534CCB6B0000</t>
  </si>
  <si>
    <t>meetng mninutes tool</t>
  </si>
  <si>
    <t>00000000A6C727E4353C314FBD93409EF639422707000D702909B30966478A168622D1D80E2400000000010D00000D702909B30966478A168622D1D80E240002534CCB6C0000</t>
  </si>
  <si>
    <t>meeting minute tool</t>
  </si>
  <si>
    <t>00000000A6C727E4353C314FBD93409EF639422707000D702909B30966478A168622D1D80E2400000000010D00000D702909B30966478A168622D1D80E240002534CCB6D0000</t>
  </si>
  <si>
    <t>meeting min</t>
  </si>
  <si>
    <t>00000000A6C727E4353C314FBD93409EF639422707000D702909B30966478A168622D1D80E2400000000010D00000D702909B30966478A168622D1D80E240002534CCB6E0000</t>
  </si>
  <si>
    <t>00000000A6C727E4353C314FBD93409EF639422707000D702909B30966478A168622D1D80E2400000000010D00000D702909B30966478A168622D1D80E240002534CCB6F0000</t>
  </si>
  <si>
    <t xml:space="preserve">Hertshten Group/ Velox Intro </t>
  </si>
  <si>
    <t>Mohamed Arkate,Mohamed Arkate,Mike Wilkins,Jon Butler,bharat.mittal@hertshtengroup.com,elad@hertshtengroup.com</t>
  </si>
  <si>
    <t>00000000A6C727E4353C314FBD93409EF639422707000D702909B30966478A168622D1D80E2400000000010D00000D702909B30966478A168622D1D80E240002534CCB700000</t>
  </si>
  <si>
    <t>COSMOS Call</t>
  </si>
  <si>
    <t>Microsoft Teams Meeting; Meeting Room 1</t>
  </si>
  <si>
    <t>Patrick Kearney,Jon Butler,Ian Lansdell,Meeting Room-1,Meeting Room 1</t>
  </si>
  <si>
    <t>Patrick Kearney</t>
  </si>
  <si>
    <t>00000000A6C727E4353C314FBD93409EF639422707000D702909B30966478A168622D1D80E2400000000010D00000D702909B30966478A168622D1D80E240002534CCB710000</t>
  </si>
  <si>
    <t>use case stuff for fi</t>
  </si>
  <si>
    <t>id=4555565550</t>
  </si>
  <si>
    <t>00000000A6C727E4353C314FBD93409EF639422707000D702909B30966478A168622D1D80E2400000000010D00000D702909B30966478A168622D1D80E240002534CCB730000</t>
  </si>
  <si>
    <t>prep for GTM / sales call</t>
  </si>
  <si>
    <t>00000000A6C727E4353C314FBD93409EF639422707000D702909B30966478A168622D1D80E2400000000010D00000D702909B30966478A168622D1D80E240002534CCB740000</t>
  </si>
  <si>
    <t>00000000A6C727E4353C314FBD93409EF639422707000D702909B30966478A168622D1D80E2400000000010D00000D702909B30966478A168622D1D80E240002534CCB750000</t>
  </si>
  <si>
    <t>00000000A6C727E4353C314FBD93409EF639422707000D702909B30966478A168622D1D80E2400000000010D00000D702909B30966478A168622D1D80E240002534CCB760000</t>
  </si>
  <si>
    <t>00000000A6C727E4353C314FBD93409EF639422707000D702909B30966478A168622D1D80E2400000000010D00000D702909B30966478A168622D1D80E240002534CCB770000</t>
  </si>
  <si>
    <t>00000000A6C727E4353C314FBD93409EF639422707000D702909B30966478A168622D1D80E2400000000010D00000D702909B30966478A168622D1D80E240002534CCB780000</t>
  </si>
  <si>
    <t>use case for Fi</t>
  </si>
  <si>
    <t>00000000A6C727E4353C314FBD93409EF639422707000D702909B30966478A168622D1D80E2400000000010D00000D702909B30966478A168622D1D80E240002534CCB790000</t>
  </si>
  <si>
    <t>00000000A6C727E4353C314FBD93409EF639422707000D702909B30966478A168622D1D80E2400000000010D00000D702909B30966478A168622D1D80E240002534CCB7A0000</t>
  </si>
  <si>
    <t>use cases for Fi</t>
  </si>
  <si>
    <t>00000000A6C727E4353C314FBD93409EF639422707000D702909B30966478A168622D1D80E2400000000010D00000D702909B30966478A168622D1D80E240002534CCB7B0000</t>
  </si>
  <si>
    <t>Wamid/Velox - Meeting follow up</t>
  </si>
  <si>
    <t>Ammar.I Alhussaini,Mohamed Arkate,Issa AlIssa,Jon Butler,Aseel Alzahrani</t>
  </si>
  <si>
    <t>00000000A6C727E4353C314FBD93409EF639422707000D702909B30966478A168622D1D80E2400000000010D00000D702909B30966478A168622D1D80E240002534CCB7C0000</t>
  </si>
  <si>
    <t>00000000A6C727E4353C314FBD93409EF639422707000D702909B30966478A168622D1D80E2400000000010D00000D702909B30966478A168622D1D80E240002534CCB7D0000</t>
  </si>
  <si>
    <t>00000000A6C727E4353C314FBD93409EF639422707000D702909B30966478A168622D1D80E2400000000010D00000D702909B30966478A168622D1D80E240002534CCB7F0000</t>
  </si>
  <si>
    <t>use case response</t>
  </si>
  <si>
    <t>00000000A6C727E4353C314FBD93409EF639422707000D702909B30966478A168622D1D80E2400000000010D00000D702909B30966478A168622D1D80E240002534CCB800000</t>
  </si>
  <si>
    <t>wamid prep</t>
  </si>
  <si>
    <t>00000000A6C727E4353C314FBD93409EF639422707000D702909B30966478A168622D1D80E2400000000010D00000D702909B30966478A168622D1D80E240002534CCB820000</t>
  </si>
  <si>
    <t>hertchen prep</t>
  </si>
  <si>
    <t>00000000A6C727E4353C314FBD93409EF639422707000D702909B30966478A168622D1D80E2400000000010D00000D702909B30966478A168622D1D80E240002534CCB830000</t>
  </si>
  <si>
    <t>meting minutes</t>
  </si>
  <si>
    <t>00000000A6C727E4353C314FBD93409EF639422707000D702909B30966478A168622D1D80E2400000000010D00000D702909B30966478A168622D1D80E240002534CCB840000</t>
  </si>
  <si>
    <t>00000000A6C727E4353C314FBD93409EF639422707000D702909B30966478A168622D1D80E2400000000010D00000D702909B30966478A168622D1D80E240002534CCB850000</t>
  </si>
  <si>
    <t>00000000A6C727E4353C314FBD93409EF639422707000D702909B30966478A168622D1D80E2400000000010D00000D702909B30966478A168622D1D80E240002534CCB860000</t>
  </si>
  <si>
    <t>00000000A6C727E4353C314FBD93409EF639422707000D702909B30966478A168622D1D80E2400000000010D00000D702909B30966478A168622D1D80E240002534CCB870000</t>
  </si>
  <si>
    <t>mike deck</t>
  </si>
  <si>
    <t>00000000A6C727E4353C314FBD93409EF639422707000D702909B30966478A168622D1D80E2400000000010D00000D702909B30966478A168622D1D80E240002534CCB880000</t>
  </si>
  <si>
    <t>Mike/Jon Daily</t>
  </si>
  <si>
    <t>https://veloxfintech.zoom.us/j/9324603875</t>
  </si>
  <si>
    <t>00000000A6C727E4353C314FBD93409EF639422707000D702909B30966478A168622D1D80E2400000000010D00000D702909B30966478A168622D1D80E2400031BFD1DA50000</t>
  </si>
  <si>
    <t>Prep. for Ardea</t>
  </si>
  <si>
    <t>Jon Butler,Nikolai Varma,Firdaus Ibrahim,Firdaus I,Alison Hood</t>
  </si>
  <si>
    <t>00000000A6C727E4353C314FBD93409EF639422707000D702909B30966478A168622D1D80E2400000000010D00000D702909B30966478A168622D1D80E240002534CCC090000</t>
  </si>
  <si>
    <t>Julia Tuck,Scott Besner,Mohamed Arkate,Jon Butler</t>
  </si>
  <si>
    <t>nikolai prep</t>
  </si>
  <si>
    <t>00000000A6C727E4353C314FBD93409EF639422707000D702909B30966478A168622D1D80E2400000000010D00000D702909B30966478A168622D1D80E240002534CCC0A0000</t>
  </si>
  <si>
    <t>nikolai talking points</t>
  </si>
  <si>
    <t>00000000A6C727E4353C314FBD93409EF639422707000D702909B30966478A168622D1D80E2400000000010D00000D702909B30966478A168622D1D80E240002534CCC0B0000</t>
  </si>
  <si>
    <t>00000000A6C727E4353C314FBD93409EF639422707000D702909B30966478A168622D1D80E2400000000010D00000D702909B30966478A168622D1D80E240002534CCC0C0000</t>
  </si>
  <si>
    <t>00000000A6C727E4353C314FBD93409EF639422707000D702909B30966478A168622D1D80E2400000000010D00000D702909B30966478A168622D1D80E240002534CCC0D0000</t>
  </si>
  <si>
    <t>campaign management</t>
  </si>
  <si>
    <t>00000000A6C727E4353C314FBD93409EF639422707000D702909B30966478A168622D1D80E2400000000010D00000D702909B30966478A168622D1D80E240002534CCC0E0000</t>
  </si>
  <si>
    <t xml:space="preserve">BNP - Tasks to go live </t>
  </si>
  <si>
    <t>Jane Lemmon,Bernie Thurston,Jason Yan,Jon Butler</t>
  </si>
  <si>
    <t>00000000A6C727E4353C314FBD93409EF639422707000D702909B30966478A168622D1D80E2400000000010D00000D702909B30966478A168622D1D80E2400031F6333340000</t>
  </si>
  <si>
    <t>ardea</t>
  </si>
  <si>
    <t>00000000A6C727E4353C314FBD93409EF639422707000D702909B30966478A168622D1D80E2400000000010D00000D702909B30966478A168622D1D80E240002534CCC0F0000</t>
  </si>
  <si>
    <t>mo hertchten group</t>
  </si>
  <si>
    <t>00000000A6C727E4353C314FBD93409EF639422707000D702909B30966478A168622D1D80E2400000000010D00000D702909B30966478A168622D1D80E240002534CCC100000</t>
  </si>
  <si>
    <t>ardea prep</t>
  </si>
  <si>
    <t>00000000A6C727E4353C314FBD93409EF639422707000D702909B30966478A168622D1D80E2400000000010D00000D702909B30966478A168622D1D80E240002534CCC110000</t>
  </si>
  <si>
    <t>hertschten pricing</t>
  </si>
  <si>
    <t>00000000A6C727E4353C314FBD93409EF639422707000D702909B30966478A168622D1D80E2400000000010D00000D702909B30966478A168622D1D80E240002534CCC120000</t>
  </si>
  <si>
    <t>lunch</t>
  </si>
  <si>
    <t>00000000A6C727E4353C314FBD93409EF639422707000D702909B30966478A168622D1D80E2400000000010D00000D702909B30966478A168622D1D80E240002534CCC130000</t>
  </si>
  <si>
    <t>00000000A6C727E4353C314FBD93409EF639422707000D702909B30966478A168622D1D80E2400000000010D00000D702909B30966478A168622D1D80E240002534CCC140000</t>
  </si>
  <si>
    <t>monday report/hertchten prep</t>
  </si>
  <si>
    <t>00000000A6C727E4353C314FBD93409EF639422707000D702909B30966478A168622D1D80E2400000000010D00000D702909B30966478A168622D1D80E240002534CCC150000</t>
  </si>
  <si>
    <t>Mohamed Arkate,Jon Butler,bharat.mittal@hertshtengroup.com,Elad Hertshten</t>
  </si>
  <si>
    <t>00000000A6C727E4353C314FBD93409EF639422707000D702909B30966478A168622D1D80E2400000000010D00000D702909B30966478A168622D1D80E240002534CCC160000</t>
  </si>
  <si>
    <t>Perpetua/Velox - collaboration discussion</t>
  </si>
  <si>
    <t>Mohamed Arkate,mehdi.eljazouli@perpetua-ig.com,Tarik.elaoufi@perpetua-ig.com,Jon Butler,Edouard Rouchy,youssef.eldorr@perpetua-ig.com</t>
  </si>
  <si>
    <t>00000000A6C727E4353C314FBD93409EF639422707000D702909B30966478A168622D1D80E2400000000010D00000D702909B30966478A168622D1D80E240002534CCC170000</t>
  </si>
  <si>
    <t>00000000A6C727E4353C314FBD93409EF639422707000D702909B30966478A168622D1D80E2400000000010D00000D702909B30966478A168622D1D80E240002534CCC180000</t>
  </si>
  <si>
    <t>00000000A6C727E4353C314FBD93409EF639422707000D702909B30966478A168622D1D80E2400000000010D00000D702909B30966478A168622D1D80E240002534CCC190000</t>
  </si>
  <si>
    <t>00000000A6C727E4353C314FBD93409EF639422707000D702909B30966478A168622D1D80E2400000000010D00000D702909B30966478A168622D1D80E240002534CCC1A0000</t>
  </si>
  <si>
    <t>00000000A6C727E4353C314FBD93409EF639422707000D702909B30966478A168622D1D80E2400000000010D00000D702909B30966478A168622D1D80E240002534CCC1B0000</t>
  </si>
  <si>
    <t>valantic andrea</t>
  </si>
  <si>
    <t>00000000A6C727E4353C314FBD93409EF639422707000D702909B30966478A168622D1D80E2400000000010D00000D702909B30966478A168622D1D80E240002534CCC1C0000</t>
  </si>
  <si>
    <t>dry run for hertshten</t>
  </si>
  <si>
    <t>Jon Butler,govind.jajoo,Mohamed Arkate</t>
  </si>
  <si>
    <t>00000000A6C727E4353C314FBD93409EF639422707000D702909B30966478A168622D1D80E2400000000010D00000D702909B30966478A168622D1D80E240002534CCC1D0000</t>
  </si>
  <si>
    <t>hertshten debreif</t>
  </si>
  <si>
    <t>00000000A6C727E4353C314FBD93409EF639422707000D702909B30966478A168622D1D80E2400000000010D00000D702909B30966478A168622D1D80E2400026533CC660000</t>
  </si>
  <si>
    <t>hertshten prep</t>
  </si>
  <si>
    <t>00000000A6C727E4353C314FBD93409EF639422707000D702909B30966478A168622D1D80E2400000000010D00000D702909B30966478A168622D1D80E2400026533CC650000</t>
  </si>
  <si>
    <t>00000000A6C727E4353C314FBD93409EF639422707000D702909B30966478A168622D1D80E2400000000010D00000D702909B30966478A168622D1D80E2400026533CC640000</t>
  </si>
  <si>
    <t>Hertshten commercial offer</t>
  </si>
  <si>
    <t>Mohamed Arkate,Jason Yan,govind.jajoo,Jon Butler,Alison Hood</t>
  </si>
  <si>
    <t>00000000A6C727E4353C314FBD93409EF639422707000D702909B30966478A168622D1D80E2400000000010D00000D702909B30966478A168622D1D80E240002534CCC1E0000</t>
  </si>
  <si>
    <t>Jason COSMOS implementation costs</t>
  </si>
  <si>
    <t>00000000A6C727E4353C314FBD93409EF639422707000D702909B30966478A168622D1D80E2400000000010D00000D702909B30966478A168622D1D80E240002534CCC1F0000</t>
  </si>
  <si>
    <t>hertshten response</t>
  </si>
  <si>
    <t>00000000A6C727E4353C314FBD93409EF639422707000D702909B30966478A168622D1D80E2400000000010D00000D702909B30966478A168622D1D80E240002534CCC200000</t>
  </si>
  <si>
    <t>00000000A6C727E4353C314FBD93409EF639422707000D702909B30966478A168622D1D80E2400000000010D00000D702909B30966478A168622D1D80E240002534CCC210000</t>
  </si>
  <si>
    <t>Quest Diagnostics - Great Neck</t>
  </si>
  <si>
    <t>00000000A6C727E4353C314FBD93409EF639422707000D702909B30966478A168622D1D80E2400000000010D00000D702909B30966478A168622D1D80E240002534CCC220000</t>
  </si>
  <si>
    <t>Hertshten/Velox - Commercials discussion</t>
  </si>
  <si>
    <t>Mohamed Arkate,bharat.mittal@hertshtengroup.com,Jon Butler,Elad Hertshten</t>
  </si>
  <si>
    <t>00000000A6C727E4353C314FBD93409EF639422707000D702909B30966478A168622D1D80E2400000000010D00000D702909B30966478A168622D1D80E240002534CCC230000</t>
  </si>
  <si>
    <t xml:space="preserve">hertshten </t>
  </si>
  <si>
    <t>00000000A6C727E4353C314FBD93409EF639422707000D702909B30966478A168622D1D80E2400000000010D00000D702909B30966478A168622D1D80E240002534CCC240000</t>
  </si>
  <si>
    <t>00000000A6C727E4353C314FBD93409EF639422707000D702909B30966478A168622D1D80E2400000000010D00000D702909B30966478A168622D1D80E2400026533CC670000</t>
  </si>
  <si>
    <t>campaign planning</t>
  </si>
  <si>
    <t>00000000A6C727E4353C314FBD93409EF639422707000D702909B30966478A168622D1D80E2400000000010D00000D702909B30966478A168622D1D80E240002534CCC250000</t>
  </si>
  <si>
    <t>00000000A6C727E4353C314FBD93409EF639422707000D702909B30966478A168622D1D80E2400000000010D00000D702909B30966478A168622D1D80E240002534CCC260000</t>
  </si>
  <si>
    <t>00000000A6C727E4353C314FBD93409EF639422707000D702909B30966478A168622D1D80E2400000000010D00000D702909B30966478A168622D1D80E240002534CCC270000</t>
  </si>
  <si>
    <t>Jon Butler,Ali Moosavi,Mike Wilkins</t>
  </si>
  <si>
    <t>00000000A6C727E4353C314FBD93409EF639422707000D702909B30966478A168622D1D80E2400000000010D00000D702909B30966478A168622D1D80E240002534CCC280000</t>
  </si>
  <si>
    <t>nikolai deck</t>
  </si>
  <si>
    <t>00000000A6C727E4353C314FBD93409EF639422707000D702909B30966478A168622D1D80E2400000000010D00000D702909B30966478A168622D1D80E240002534CCC290000</t>
  </si>
  <si>
    <t>Creative Mines/Velox call - CG discussion</t>
  </si>
  <si>
    <t>Ali Moosavi,Jake Northey,Jon Butler,Jason Yan,govind.jajoo</t>
  </si>
  <si>
    <t>00000000A6C727E4353C314FBD93409EF639422707000D702909B30966478A168622D1D80E2400000000010D00000D702909B30966478A168622D1D80E240003227AD23F0000</t>
  </si>
  <si>
    <t>hertschten prep</t>
  </si>
  <si>
    <t>00000000A6C727E4353C314FBD93409EF639422707000D702909B30966478A168622D1D80E2400000000010D00000D702909B30966478A168622D1D80E240002534CCC2A0000</t>
  </si>
  <si>
    <t>Touch base</t>
  </si>
  <si>
    <t>00000000A6C727E4353C314FBD93409EF639422707000D702909B30966478A168622D1D80E2400000000010D00000D702909B30966478A168622D1D80E240002534CCC2B0000</t>
  </si>
  <si>
    <t>00000000A6C727E4353C314FBD93409EF639422707000D702909B30966478A168622D1D80E2400000000010D00000D702909B30966478A168622D1D80E240002534CCC2C0000</t>
  </si>
  <si>
    <t>nikolai</t>
  </si>
  <si>
    <t>00000000A6C727E4353C314FBD93409EF639422707000D702909B30966478A168622D1D80E2400000000010D00000D702909B30966478A168622D1D80E240002534CCC2D0000</t>
  </si>
  <si>
    <t>mo / hertshten / vfsa</t>
  </si>
  <si>
    <t>00000000A6C727E4353C314FBD93409EF639422707000D702909B30966478A168622D1D80E2400000000010D00000D702909B30966478A168622D1D80E240002534CCC2E0000</t>
  </si>
  <si>
    <t>00000000A6C727E4353C314FBD93409EF639422707000D702909B30966478A168622D1D80E2400000000010D00000D702909B30966478A168622D1D80E240002534CCC2F0000</t>
  </si>
  <si>
    <t>ali / hertshten</t>
  </si>
  <si>
    <t>00000000A6C727E4353C314FBD93409EF639422707000D702909B30966478A168622D1D80E2400000000010D00000D702909B30966478A168622D1D80E240002534CCC300000</t>
  </si>
  <si>
    <t>00000000A6C727E4353C314FBD93409EF639422707000D702909B30966478A168622D1D80E2400000000010D00000D702909B30966478A168622D1D80E240002534CCC310000</t>
  </si>
  <si>
    <t>ali POC stuff</t>
  </si>
  <si>
    <t>00000000A6C727E4353C314FBD93409EF639422707000D702909B30966478A168622D1D80E2400000000010D00000D702909B30966478A168622D1D80E240002534CCC320000</t>
  </si>
  <si>
    <t>small change to ppt viewer and generate changes for last few months</t>
  </si>
  <si>
    <t>00000000A6C727E4353C314FBD93409EF639422707000D702909B30966478A168622D1D80E2400000000010D00000D702909B30966478A168622D1D80E240002534CCC330000</t>
  </si>
  <si>
    <t>blackrock middleoffice</t>
  </si>
  <si>
    <t>00000000A6C727E4353C314FBD93409EF639422707000D702909B30966478A168622D1D80E2400000000010D00000D702909B30966478A168622D1D80E240002534CDA340000</t>
  </si>
  <si>
    <t>blackrock middle office</t>
  </si>
  <si>
    <t>00000000A6C727E4353C314FBD93409EF639422707000D702909B30966478A168622D1D80E2400000000010D00000D702909B30966478A168622D1D80E240002534CDA350000</t>
  </si>
  <si>
    <t>00000000A6C727E4353C314FBD93409EF639422707000D702909B30966478A168622D1D80E2400000000010D00000D702909B30966478A168622D1D80E240002534CDA360000</t>
  </si>
  <si>
    <t>wholefoods</t>
  </si>
  <si>
    <t>00000000A6C727E4353C314FBD93409EF639422707000D702909B30966478A168622D1D80E2400000000010D00000D702909B30966478A168622D1D80E240002534CDA370000</t>
  </si>
  <si>
    <t>quinton breakfast</t>
  </si>
  <si>
    <t>00000000A6C727E4353C314FBD93409EF639422707000D702909B30966478A168622D1D80E2400000000010D00000D702909B30966478A168622D1D80E240002534CDA380000</t>
  </si>
  <si>
    <t>middle office</t>
  </si>
  <si>
    <t>00000000A6C727E4353C314FBD93409EF639422707000D702909B30966478A168622D1D80E2400000000010D00000D702909B30966478A168622D1D80E240002534CDA390000</t>
  </si>
  <si>
    <t xml:space="preserve">CG/Velox follow up call </t>
  </si>
  <si>
    <t>Ali Moosavi,Alex Sargent,Timothy Sargent,Jim Northey,Jon Butler</t>
  </si>
  <si>
    <t>00000000A6C727E4353C314FBD93409EF639422707000D702909B30966478A168622D1D80E2400000000010D00000D702909B30966478A168622D1D80E240003234A080F0000</t>
  </si>
  <si>
    <t>mike business cards</t>
  </si>
  <si>
    <t>00000000A6C727E4353C314FBD93409EF639422707000D702909B30966478A168622D1D80E2400000000010D00000D702909B30966478A168622D1D80E240002534CDA3A0000</t>
  </si>
  <si>
    <t>prep for sales strategy</t>
  </si>
  <si>
    <t>00000000A6C727E4353C314FBD93409EF639422707000D702909B30966478A168622D1D80E2400000000010D00000D702909B30966478A168622D1D80E240002534CDA3B0000</t>
  </si>
  <si>
    <t xml:space="preserve">Internal COSMOS call </t>
  </si>
  <si>
    <t>Ali Moosavi,Bernie Thurston,Mat Knapman,Jane Lemmon,Giles Sarton,Ali Moosavi,Jon Butler</t>
  </si>
  <si>
    <t>00000000A6C727E4353C314FBD93409EF639422707000D702909B30966478A168622D1D80E2400000000010D00000D702909B30966478A168622D1D80E240003234A08100000</t>
  </si>
  <si>
    <t>vcore diagram</t>
  </si>
  <si>
    <t>00000000A6C727E4353C314FBD93409EF639422707000D702909B30966478A168622D1D80E2400000000010D00000D702909B30966478A168622D1D80E240002534CDA3C0000</t>
  </si>
  <si>
    <t>00000000A6C727E4353C314FBD93409EF639422707000D702909B30966478A168622D1D80E2400000000010D00000D702909B30966478A168622D1D80E240002534CDA3D0000</t>
  </si>
  <si>
    <t>vCore diagrm</t>
  </si>
  <si>
    <t>00000000A6C727E4353C314FBD93409EF639422707000D702909B30966478A168622D1D80E2400000000010D00000D702909B30966478A168622D1D80E240002534CDA3E0000</t>
  </si>
  <si>
    <t>00000000A6C727E4353C314FBD93409EF639422707000D702909B30966478A168622D1D80E2400000000010D00000D702909B30966478A168622D1D80E240002534CDA3F0000</t>
  </si>
  <si>
    <t>mizuho payments / hertshtem followup</t>
  </si>
  <si>
    <t>00000000A6C727E4353C314FBD93409EF639422707000D702909B30966478A168622D1D80E2400000000010D00000D702909B30966478A168622D1D80E240002534CDA400000</t>
  </si>
  <si>
    <t>00000000A6C727E4353C314FBD93409EF639422707000D702909B30966478A168622D1D80E2400000000010D00000D702909B30966478A168622D1D80E240002534CDA410000</t>
  </si>
  <si>
    <t>4660522355</t>
  </si>
  <si>
    <t>4613026922</t>
  </si>
  <si>
    <t>4653325515</t>
  </si>
  <si>
    <t>4513565273</t>
  </si>
  <si>
    <t>2665003350</t>
  </si>
  <si>
    <t>4646485386</t>
  </si>
  <si>
    <t>4495589605</t>
  </si>
  <si>
    <t>4623545609</t>
  </si>
  <si>
    <t>4513589961</t>
  </si>
  <si>
    <t>4574061084</t>
  </si>
  <si>
    <t>4618972171</t>
  </si>
  <si>
    <t>4614952418</t>
  </si>
  <si>
    <t>1521440445</t>
  </si>
  <si>
    <t>Jon/Chris - weekly</t>
  </si>
  <si>
    <t>00000000A6C727E4353C314FBD93409EF639422707000D702909B30966478A168622D1D80E2400000000010D00000D702909B30966478A168622D1D80E240003384B20580000</t>
  </si>
  <si>
    <t>00000000A6C727E4353C314FBD93409EF639422707000D702909B30966478A168622D1D80E2400000000010D00000D702909B30966478A168622D1D80E2400026533DD9E0000</t>
  </si>
  <si>
    <t>Jon Butler,Jason Yan,Alison Hood,Xinchao Zhang,govind.jajoo,Mohamed Arkate,Mike Wilkins,Shridhar Guravannavar,Elias Diamantis</t>
  </si>
  <si>
    <t>Monday Items</t>
  </si>
  <si>
    <t>Monday Sub Items</t>
  </si>
  <si>
    <t>Jon/Elias - Daily</t>
  </si>
  <si>
    <t>Jon Butler,Elias Diamantis</t>
  </si>
  <si>
    <t>00000000A6C727E4353C314FBD93409EF639422707000D702909B30966478A168622D1D80E2400000000010D00000D702909B30966478A168622D1D80E2400026533DF130000</t>
  </si>
  <si>
    <t xml:space="preserve">https://veloxfintech.zoom.us/j/9324603875 </t>
  </si>
  <si>
    <t>Jon/Bernie - Weekly Sync. Up</t>
  </si>
  <si>
    <t>00000000A6C727E4353C314FBD93409EF639422707000D702909B30966478A168622D1D80E2400000000010D00000D702909B30966478A168622D1D80E2400026533F9E30000</t>
  </si>
  <si>
    <t>Review tomorrows post (Weekly)</t>
  </si>
  <si>
    <t>00000000A6C727E4353C314FBD93409EF639422707000D702909B30966478A168622D1D80E2400000000010D00000D702909B30966478A168622D1D80E2400026533FA050000</t>
  </si>
  <si>
    <t>00000000A6C727E4353C314FBD93409EF639422707000D702909B30966478A168622D1D80E2400000000010D00000D702909B30966478A168622D1D80E2400038125A6AF0000</t>
  </si>
  <si>
    <t>00000000A6C727E4353C314FBD93409EF639422707000D702909B30966478A168622D1D80E2400000000010D00000D702909B30966478A168622D1D80E24000339F315A40000</t>
  </si>
  <si>
    <t>00000000A6C727E4353C314FBD93409EF639422707000D702909B30966478A168622D1D80E2400000000010D00000D702909B30966478A168622D1D80E24000339F315A30000</t>
  </si>
  <si>
    <t>00000000A6C727E4353C314FBD93409EF639422707000D702909B30966478A168622D1D80E2400000000010D00000D702909B30966478A168622D1D80E24000339F315A20000</t>
  </si>
  <si>
    <t>00000000A6C727E4353C314FBD93409EF639422707000D702909B30966478A168622D1D80E2400000000010D00000D702909B30966478A168622D1D80E24000339F315A10000</t>
  </si>
  <si>
    <t>00000000A6C727E4353C314FBD93409EF639422707000D702909B30966478A168622D1D80E2400000000010D00000D702909B30966478A168622D1D80E240003989DF6900000</t>
  </si>
  <si>
    <t>00000000A6C727E4353C314FBD93409EF639422707000D702909B30966478A168622D1D80E2400000000010D00000D702909B30966478A168622D1D80E240003989DF68F0000</t>
  </si>
  <si>
    <t>00000000A6C727E4353C314FBD93409EF639422707000D702909B30966478A168622D1D80E2400000000010D00000D702909B30966478A168622D1D80E240003989DF68E0000</t>
  </si>
  <si>
    <t>00000000A6C727E4353C314FBD93409EF639422707000D702909B30966478A168622D1D80E2400000000010D00000D702909B30966478A168622D1D80E240003989DF68D0000</t>
  </si>
  <si>
    <t>00000000A6C727E4353C314FBD93409EF639422707000D702909B30966478A168622D1D80E2400000000010D00000D702909B30966478A168622D1D80E240003989DF68C0000</t>
  </si>
  <si>
    <t>00000000A6C727E4353C314FBD93409EF639422707000D702909B30966478A168622D1D80E2400000000010D00000D702909B30966478A168622D1D80E240003989DF68B0000</t>
  </si>
  <si>
    <t>00000000A6C727E4353C314FBD93409EF639422707000D702909B30966478A168622D1D80E2400000000010D00000D702909B30966478A168622D1D80E240003989DF68A0000</t>
  </si>
  <si>
    <t>00000000A6C727E4353C314FBD93409EF639422707000D702909B30966478A168622D1D80E2400000000010D00000D702909B30966478A168622D1D80E240003989DF6890000</t>
  </si>
  <si>
    <t>00000000A6C727E4353C314FBD93409EF639422707000D702909B30966478A168622D1D80E2400000000010D00000D702909B30966478A168622D1D80E240003989DF6880000</t>
  </si>
  <si>
    <t>00000000A6C727E4353C314FBD93409EF639422707000D702909B30966478A168622D1D80E2400000000010D00000D702909B30966478A168622D1D80E240003989DF6870000</t>
  </si>
  <si>
    <t>00000000A6C727E4353C314FBD93409EF639422707000D702909B30966478A168622D1D80E2400000000010D00000D702909B30966478A168622D1D80E240003989DF6860000</t>
  </si>
  <si>
    <t>00000000A6C727E4353C314FBD93409EF639422707000D702909B30966478A168622D1D80E2400000000010D00000D702909B30966478A168622D1D80E240003989DF6850000</t>
  </si>
  <si>
    <t>00000000A6C727E4353C314FBD93409EF639422707000D702909B30966478A168622D1D80E2400000000010D00000D702909B30966478A168622D1D80E240003989DF6840000</t>
  </si>
  <si>
    <t>00000000A6C727E4353C314FBD93409EF639422707000D702909B30966478A168622D1D80E2400000000010D00000D702909B30966478A168622D1D80E240003989DF6830000</t>
  </si>
  <si>
    <t>00000000A6C727E4353C314FBD93409EF639422707000D702909B30966478A168622D1D80E2400000000010D00000D702909B30966478A168622D1D80E240003989DF6820000</t>
  </si>
  <si>
    <t>00000000A6C727E4353C314FBD93409EF639422707000D702909B30966478A168622D1D80E2400000000010D00000D702909B30966478A168622D1D80E240003989DF6810000</t>
  </si>
  <si>
    <t>00000000A6C727E4353C314FBD93409EF639422707000D702909B30966478A168622D1D80E2400000000010D00000D702909B30966478A168622D1D80E240003989DF6800000</t>
  </si>
  <si>
    <t>00000000A6C727E4353C314FBD93409EF639422707000D702909B30966478A168622D1D80E2400000000010D00000D702909B30966478A168622D1D80E240003989DF67F0000</t>
  </si>
  <si>
    <t>00000000A6C727E4353C314FBD93409EF639422707000D702909B30966478A168622D1D80E2400000000010D00000D702909B30966478A168622D1D80E240003989DF67E0000</t>
  </si>
  <si>
    <t>00000000A6C727E4353C314FBD93409EF639422707000D702909B30966478A168622D1D80E2400000000010D00000D702909B30966478A168622D1D80E240003989DF67D0000</t>
  </si>
  <si>
    <t>00000000A6C727E4353C314FBD93409EF639422707000D702909B30966478A168622D1D80E2400000000010D00000D702909B30966478A168622D1D80E240003989DF67C0000</t>
  </si>
  <si>
    <t>00000000A6C727E4353C314FBD93409EF639422707000D702909B30966478A168622D1D80E2400000000010D00000D702909B30966478A168622D1D80E240003989DF67B0000</t>
  </si>
  <si>
    <t>00000000A6C727E4353C314FBD93409EF639422707000D702909B30966478A168622D1D80E2400000000010D00000D702909B30966478A168622D1D80E240003989DF67A0000</t>
  </si>
  <si>
    <t>00000000A6C727E4353C314FBD93409EF639422707000D702909B30966478A168622D1D80E2400000000010D00000D702909B30966478A168622D1D80E240003989DF6790000</t>
  </si>
  <si>
    <t>00000000A6C727E4353C314FBD93409EF639422707000D702909B30966478A168622D1D80E2400000000010D00000D702909B30966478A168622D1D80E240003989DF6780000</t>
  </si>
  <si>
    <t>00000000A6C727E4353C314FBD93409EF639422707000D702909B30966478A168622D1D80E2400000000010D00000D702909B30966478A168622D1D80E240003989DF6770000</t>
  </si>
  <si>
    <t>tools and dummy login</t>
  </si>
  <si>
    <t>00000000A6C727E4353C314FBD93409EF639422707000D702909B30966478A168622D1D80E2400000000010D00000D702909B30966478A168622D1D80E240003989DF6760000</t>
  </si>
  <si>
    <t>00000000A6C727E4353C314FBD93409EF639422707000D702909B30966478A168622D1D80E2400000000010D00000D702909B30966478A168622D1D80E240003989DF6750000</t>
  </si>
  <si>
    <t>00000000A6C727E4353C314FBD93409EF639422707000D702909B30966478A168622D1D80E2400000000010D00000D702909B30966478A168622D1D80E240003989DF6740000</t>
  </si>
  <si>
    <t>HG UAT Walk through</t>
  </si>
  <si>
    <t>https://veloxfintech.zoom.us/j/82239690615?pwd=YkMwZ0FsbG9sZmkrM0Q4SUR3ZGFOZz09</t>
  </si>
  <si>
    <t>Mohamed Arkate,Bharat Mittal,Nikunj Singh,Xinchao Zhang,Jon Butler</t>
  </si>
  <si>
    <t>00000000A6C727E4353C314FBD93409EF639422707000D702909B30966478A168622D1D80E2400000000010D00000D702909B30966478A168622D1D80E240003989DF6730000</t>
  </si>
  <si>
    <t>00000000A6C727E4353C314FBD93409EF639422707000D702909B30966478A168622D1D80E2400000000010D00000D702909B30966478A168622D1D80E240003989DF6720000</t>
  </si>
  <si>
    <t>00000000A6C727E4353C314FBD93409EF639422707000D702909B30966478A168622D1D80E2400000000010D00000D702909B30966478A168622D1D80E240003989DF6710000</t>
  </si>
  <si>
    <t>00000000A6C727E4353C314FBD93409EF639422707000D702909B30966478A168622D1D80E2400000000010D00000D702909B30966478A168622D1D80E240003989DF6700000</t>
  </si>
  <si>
    <t>00000000A6C727E4353C314FBD93409EF639422707000D702909B30966478A168622D1D80E2400000000010D00000D702909B30966478A168622D1D80E240003989DF66F0000</t>
  </si>
  <si>
    <t>00000000A6C727E4353C314FBD93409EF639422707000D702909B30966478A168622D1D80E2400000000010D00000D702909B30966478A168622D1D80E240003989DF66E0000</t>
  </si>
  <si>
    <t>00000000A6C727E4353C314FBD93409EF639422707000D702909B30966478A168622D1D80E2400000000010D00000D702909B30966478A168622D1D80E240003989DF66D0000</t>
  </si>
  <si>
    <t>00000000A6C727E4353C314FBD93409EF639422707000D702909B30966478A168622D1D80E2400000000010D00000D702909B30966478A168622D1D80E240003989DF66C0000</t>
  </si>
  <si>
    <t>00000000A6C727E4353C314FBD93409EF639422707000D702909B30966478A168622D1D80E2400000000010D00000D702909B30966478A168622D1D80E240003989DF66B0000</t>
  </si>
  <si>
    <t>00000000A6C727E4353C314FBD93409EF639422707000D702909B30966478A168622D1D80E2400000000010D00000D702909B30966478A168622D1D80E240003989DF66A0000</t>
  </si>
  <si>
    <t>00000000A6C727E4353C314FBD93409EF639422707000D702909B30966478A168622D1D80E2400000000010D00000D702909B30966478A168622D1D80E240003989DF6690000</t>
  </si>
  <si>
    <t>00000000A6C727E4353C314FBD93409EF639422707000D702909B30966478A168622D1D80E2400000000010D00000D702909B30966478A168622D1D80E240003989DF6680000</t>
  </si>
  <si>
    <t>00000000A6C727E4353C314FBD93409EF639422707000D702909B30966478A168622D1D80E2400000000010D00000D702909B30966478A168622D1D80E240003989DF6670000</t>
  </si>
  <si>
    <t>00000000A6C727E4353C314FBD93409EF639422707000D702909B30966478A168622D1D80E2400000000010D00000D702909B30966478A168622D1D80E240003989DF6660000</t>
  </si>
  <si>
    <t>00000000A6C727E4353C314FBD93409EF639422707000D702909B30966478A168622D1D80E2400000000010D00000D702909B30966478A168622D1D80E240003989DF6650000</t>
  </si>
  <si>
    <t>00000000A6C727E4353C314FBD93409EF639422707000D702909B30966478A168622D1D80E2400000000010D00000D702909B30966478A168622D1D80E240003989DF6640000</t>
  </si>
  <si>
    <t>00000000A6C727E4353C314FBD93409EF639422707000D702909B30966478A168622D1D80E2400000000010D00000D702909B30966478A168622D1D80E24000339F315A00000</t>
  </si>
  <si>
    <t>00000000A6C727E4353C314FBD93409EF639422707000D702909B30966478A168622D1D80E2400000000010D00000D702909B30966478A168622D1D80E24000339F3159F0000</t>
  </si>
  <si>
    <t>00000000A6C727E4353C314FBD93409EF639422707000D702909B30966478A168622D1D80E2400000000010D00000D702909B30966478A168622D1D80E24000339F3159E0000</t>
  </si>
  <si>
    <t>00000000A6C727E4353C314FBD93409EF639422707000D702909B30966478A168622D1D80E2400000000010D00000D702909B30966478A168622D1D80E24000339F3159D0000</t>
  </si>
  <si>
    <t>00000000A6C727E4353C314FBD93409EF639422707000D702909B30966478A168622D1D80E2400000000010D00000D702909B30966478A168622D1D80E24000339F3159C0000</t>
  </si>
  <si>
    <t>00000000A6C727E4353C314FBD93409EF639422707000D702909B30966478A168622D1D80E2400000000010D00000D702909B30966478A168622D1D80E24000339F3159B0000</t>
  </si>
  <si>
    <t>00000000A6C727E4353C314FBD93409EF639422707000D702909B30966478A168622D1D80E2400000000010D00000D702909B30966478A168622D1D80E24000339F3159A0000</t>
  </si>
  <si>
    <t>00000000A6C727E4353C314FBD93409EF639422707000D702909B30966478A168622D1D80E2400000000010D00000D702909B30966478A168622D1D80E24000339F315990000</t>
  </si>
  <si>
    <t>Mike OOO - Skiing in Quebec</t>
  </si>
  <si>
    <t>Mike Wilkins,Whereabouts calendar,Christian Schueler</t>
  </si>
  <si>
    <t>00000000A6C727E4353C314FBD93409EF639422707000D702909B30966478A168622D1D80E2400000000010D00000D702909B30966478A168622D1D80E2400039D64509D0000</t>
  </si>
  <si>
    <t>Jon Butler,Alison Hood,Mike Wilkins,Nancy Butler</t>
  </si>
  <si>
    <t>item</t>
  </si>
  <si>
    <t>4974012540</t>
  </si>
  <si>
    <t>Curating Content for Posting</t>
  </si>
  <si>
    <t>Publish : the problems associated with not being able to measure developer productivity</t>
  </si>
  <si>
    <t>2023-08-11 17:05</t>
  </si>
  <si>
    <t>4974013168</t>
  </si>
  <si>
    <t>a4974013168</t>
  </si>
  <si>
    <t>Not Started</t>
  </si>
  <si>
    <t>thought_leadership, news</t>
  </si>
  <si>
    <t>Building Pitch Decks</t>
  </si>
  <si>
    <t>Problem definition</t>
  </si>
  <si>
    <t>4974013265</t>
  </si>
  <si>
    <t>a4974013265</t>
  </si>
  <si>
    <t>2023-08-11 21:44</t>
  </si>
  <si>
    <t>Working</t>
  </si>
  <si>
    <t>ongoing</t>
  </si>
  <si>
    <t>How much of your devs effort gets put into differentiating features</t>
  </si>
  <si>
    <t>4974013272</t>
  </si>
  <si>
    <t>a4974013272</t>
  </si>
  <si>
    <t>thought_leadership</t>
  </si>
  <si>
    <t>no-code cons</t>
  </si>
  <si>
    <t>4974013271</t>
  </si>
  <si>
    <t>a4974013271</t>
  </si>
  <si>
    <t>Developer Support</t>
  </si>
  <si>
    <t>4974013281</t>
  </si>
  <si>
    <t>a4974013281</t>
  </si>
  <si>
    <t>2023-08-11 18:55</t>
  </si>
  <si>
    <t>nearly a third of all enterprise applications are considered legacy apps</t>
  </si>
  <si>
    <t>4974013288</t>
  </si>
  <si>
    <t>a4974013288</t>
  </si>
  <si>
    <t>fabric vs mesh</t>
  </si>
  <si>
    <t>4974013289</t>
  </si>
  <si>
    <t>a4974013289</t>
  </si>
  <si>
    <t>a good design wont survive a bad implementation</t>
  </si>
  <si>
    <t>4974013231</t>
  </si>
  <si>
    <t>a4974013231</t>
  </si>
  <si>
    <t>Completed</t>
  </si>
  <si>
    <t>Managing Website</t>
  </si>
  <si>
    <t>get 3Bweb to help us put website docs benhind a contact form</t>
  </si>
  <si>
    <t>4974013293</t>
  </si>
  <si>
    <t>a4974013293</t>
  </si>
  <si>
    <t>Duplicate</t>
  </si>
  <si>
    <t>Update the docs page with new videos</t>
  </si>
  <si>
    <t>4974013206</t>
  </si>
  <si>
    <t>a4974013206</t>
  </si>
  <si>
    <t>An army of citizen developers is not enough</t>
  </si>
  <si>
    <t>4974013235</t>
  </si>
  <si>
    <t>a4974013235</t>
  </si>
  <si>
    <t>Developer Productivity</t>
  </si>
  <si>
    <t>4974013302</t>
  </si>
  <si>
    <t>a4974013302</t>
  </si>
  <si>
    <t>does Lowcode automates roles that should not exist</t>
  </si>
  <si>
    <t>4974013307</t>
  </si>
  <si>
    <t>a4974013307</t>
  </si>
  <si>
    <t>Desktop Interop and Enterprise Interop Report</t>
  </si>
  <si>
    <t>4974013282</t>
  </si>
  <si>
    <t>a4974013282</t>
  </si>
  <si>
    <t>external</t>
  </si>
  <si>
    <t>Reconciling conflicting 'developer headlines</t>
  </si>
  <si>
    <t>4974013311</t>
  </si>
  <si>
    <t>a4974013311</t>
  </si>
  <si>
    <t>Alison Hood, Christian Schuler</t>
  </si>
  <si>
    <t>Pitch Specific</t>
  </si>
  <si>
    <t>4974013324</t>
  </si>
  <si>
    <t>a4974013324</t>
  </si>
  <si>
    <t>subitem</t>
  </si>
  <si>
    <t>Modernize UI</t>
  </si>
  <si>
    <t>2023-08-11 17:06</t>
  </si>
  <si>
    <t>4974018635</t>
  </si>
  <si>
    <t>a4974018635</t>
  </si>
  <si>
    <t>2023-08-12 00:19</t>
  </si>
  <si>
    <t>Standup Startup</t>
  </si>
  <si>
    <t>4974018713</t>
  </si>
  <si>
    <t>a4974018713</t>
  </si>
  <si>
    <t>Build Non-finance</t>
  </si>
  <si>
    <t>4974018722</t>
  </si>
  <si>
    <t>a4974018722</t>
  </si>
  <si>
    <t>Monetize Data</t>
  </si>
  <si>
    <t>4974018732</t>
  </si>
  <si>
    <t>a4974018732</t>
  </si>
  <si>
    <t>Team Productivity</t>
  </si>
  <si>
    <t>4974018749</t>
  </si>
  <si>
    <t>a4974018749</t>
  </si>
  <si>
    <t>Build Trading</t>
  </si>
  <si>
    <t>4974018759</t>
  </si>
  <si>
    <t>a4974018759</t>
  </si>
  <si>
    <t>Legacy Innovate</t>
  </si>
  <si>
    <t>4974018771</t>
  </si>
  <si>
    <t>a4974018771</t>
  </si>
  <si>
    <t>educate on why buy and build is ok now</t>
  </si>
  <si>
    <t>4974013329</t>
  </si>
  <si>
    <t>a4974013329</t>
  </si>
  <si>
    <t>Founder</t>
  </si>
  <si>
    <t>4974013294</t>
  </si>
  <si>
    <t>a4974013294</t>
  </si>
  <si>
    <t>google CME partnership</t>
  </si>
  <si>
    <t>4974013279</t>
  </si>
  <si>
    <t>a4974013279</t>
  </si>
  <si>
    <t>setup google alerts and coordinate w/team</t>
  </si>
  <si>
    <t>4974013341</t>
  </si>
  <si>
    <t>a4974013341</t>
  </si>
  <si>
    <t>Desktop Interop vs Server Interop</t>
  </si>
  <si>
    <t>4974013223</t>
  </si>
  <si>
    <t>a4974013223</t>
  </si>
  <si>
    <t>Building General Collateral</t>
  </si>
  <si>
    <t>create a tool that can easilly search all word docs and pdfs</t>
  </si>
  <si>
    <t>4974013316</t>
  </si>
  <si>
    <t>a4974013316</t>
  </si>
  <si>
    <t>velox eyes ETF trading</t>
  </si>
  <si>
    <t>4974013355</t>
  </si>
  <si>
    <t>a4974013355</t>
  </si>
  <si>
    <t>Not Needed</t>
  </si>
  <si>
    <t>velox_news</t>
  </si>
  <si>
    <t>setup feedly search terms and coordinate w/team</t>
  </si>
  <si>
    <t>4974013371</t>
  </si>
  <si>
    <t>a4974013371</t>
  </si>
  <si>
    <t>ROI Calculator on website</t>
  </si>
  <si>
    <t>4974013379</t>
  </si>
  <si>
    <t>a4974013379</t>
  </si>
  <si>
    <t>2023-08-14 19:40</t>
  </si>
  <si>
    <t>Publish : Employee spotlight Jon</t>
  </si>
  <si>
    <t>4974013331</t>
  </si>
  <si>
    <t>a4974013331</t>
  </si>
  <si>
    <t>Christian Schuler</t>
  </si>
  <si>
    <t>thought_leadership, news, velox_news</t>
  </si>
  <si>
    <t>Publish : Employee spotlight Neto</t>
  </si>
  <si>
    <t>4974013391</t>
  </si>
  <si>
    <t>a4974013391</t>
  </si>
  <si>
    <t>letter header</t>
  </si>
  <si>
    <t>4974013308</t>
  </si>
  <si>
    <t>a4974013308</t>
  </si>
  <si>
    <t>Differentiator / USP</t>
  </si>
  <si>
    <t>4974013343</t>
  </si>
  <si>
    <t>a4974013343</t>
  </si>
  <si>
    <t>Publish : Employee spotlight Jason</t>
  </si>
  <si>
    <t>4974013397</t>
  </si>
  <si>
    <t>a4974013397</t>
  </si>
  <si>
    <t>come up with a playbook of how to select articles and how to share/comment on posys</t>
  </si>
  <si>
    <t>4974013275</t>
  </si>
  <si>
    <t>a4974013275</t>
  </si>
  <si>
    <t>Jon Butler, Christian Schuler</t>
  </si>
  <si>
    <t>Publish : Employee spotlight Govind</t>
  </si>
  <si>
    <t>4974013408</t>
  </si>
  <si>
    <t>a4974013408</t>
  </si>
  <si>
    <t>simple architectures</t>
  </si>
  <si>
    <t>4974013328</t>
  </si>
  <si>
    <t>a4974013328</t>
  </si>
  <si>
    <t>Messaging</t>
  </si>
  <si>
    <t>tradetech</t>
  </si>
  <si>
    <t>4974013317</t>
  </si>
  <si>
    <t>a4974013317</t>
  </si>
  <si>
    <t>2023-08-11 17:11</t>
  </si>
  <si>
    <t>fast pivotting grid</t>
  </si>
  <si>
    <t>4974013418</t>
  </si>
  <si>
    <t>a4974013418</t>
  </si>
  <si>
    <t>video_demo</t>
  </si>
  <si>
    <t>The expanding role of FIX in automating fixed-income markets</t>
  </si>
  <si>
    <t>4974013333</t>
  </si>
  <si>
    <t>a4974013333</t>
  </si>
  <si>
    <t>complete email cards for everyone</t>
  </si>
  <si>
    <t>4974013396</t>
  </si>
  <si>
    <t>a4974013396</t>
  </si>
  <si>
    <t>take a checkpoint on the website - do we need to invest?</t>
  </si>
  <si>
    <t>4974013372</t>
  </si>
  <si>
    <t>a4974013372</t>
  </si>
  <si>
    <t>cash eq tech themes</t>
  </si>
  <si>
    <t>4974013435</t>
  </si>
  <si>
    <t>a4974013435</t>
  </si>
  <si>
    <t>make docs page pop up warning if not using chrome</t>
  </si>
  <si>
    <t>4974013449</t>
  </si>
  <si>
    <t>a4974013449</t>
  </si>
  <si>
    <t>what drives developer productivity</t>
  </si>
  <si>
    <t>4974013452</t>
  </si>
  <si>
    <t>a4974013452</t>
  </si>
  <si>
    <t>work out how to get an RSS feed together for the team</t>
  </si>
  <si>
    <t>4974013414</t>
  </si>
  <si>
    <t>a4974013414</t>
  </si>
  <si>
    <t>snippets from the latest FinTechTV</t>
  </si>
  <si>
    <t>4974013377</t>
  </si>
  <si>
    <t>a4974013377</t>
  </si>
  <si>
    <t>trends velox saw in 2022</t>
  </si>
  <si>
    <t>4974013427</t>
  </si>
  <si>
    <t>a4974013427</t>
  </si>
  <si>
    <t>velox_pitch</t>
  </si>
  <si>
    <t>how much does materialize / linkedin  marketing cost/work</t>
  </si>
  <si>
    <t>4974013376</t>
  </si>
  <si>
    <t>a4974013376</t>
  </si>
  <si>
    <t>History of User Interfaces in Cap Mkts</t>
  </si>
  <si>
    <t>4974013363</t>
  </si>
  <si>
    <t>a4974013363</t>
  </si>
  <si>
    <t>Product</t>
  </si>
  <si>
    <t>4974013409</t>
  </si>
  <si>
    <t>a4974013409</t>
  </si>
  <si>
    <t>Tech Detail - Data Platform Dev Layers</t>
  </si>
  <si>
    <t>4974018902</t>
  </si>
  <si>
    <t>a4974018902</t>
  </si>
  <si>
    <t>Tech Overview - Summary Target</t>
  </si>
  <si>
    <t>4974018918</t>
  </si>
  <si>
    <t>a4974018918</t>
  </si>
  <si>
    <t>Ongoing</t>
  </si>
  <si>
    <t>Platform vs. Framework</t>
  </si>
  <si>
    <t>4974018942</t>
  </si>
  <si>
    <t>a4974018942</t>
  </si>
  <si>
    <t>Tech Overview - Target</t>
  </si>
  <si>
    <t>4974019035</t>
  </si>
  <si>
    <t>a4974019035</t>
  </si>
  <si>
    <t>Hero</t>
  </si>
  <si>
    <t>4974019050</t>
  </si>
  <si>
    <t>a4974019050</t>
  </si>
  <si>
    <t>ny solstice when the stars align</t>
  </si>
  <si>
    <t>4974013419</t>
  </si>
  <si>
    <t>a4974013419</t>
  </si>
  <si>
    <t>Transcribe sell-side app build video</t>
  </si>
  <si>
    <t>4974013472</t>
  </si>
  <si>
    <t>a4974013472</t>
  </si>
  <si>
    <t>Publish : Why its hard to share software ?</t>
  </si>
  <si>
    <t>4974013477</t>
  </si>
  <si>
    <t>a4974013477</t>
  </si>
  <si>
    <t>ifd you need to lose a lot of weight dont chop off a limb</t>
  </si>
  <si>
    <t>4974013480</t>
  </si>
  <si>
    <t>a4974013480</t>
  </si>
  <si>
    <t>Flow Diagram</t>
  </si>
  <si>
    <t>4974013485</t>
  </si>
  <si>
    <t>a4974013485</t>
  </si>
  <si>
    <t>High Levell</t>
  </si>
  <si>
    <t>4974018893</t>
  </si>
  <si>
    <t>a4974018893</t>
  </si>
  <si>
    <t>Security Questions</t>
  </si>
  <si>
    <t>4974013519</t>
  </si>
  <si>
    <t>a4974013519</t>
  </si>
  <si>
    <t>Video format to consider - Ali sent demo from AIR summit</t>
  </si>
  <si>
    <t>4974013498</t>
  </si>
  <si>
    <t>a4974013498</t>
  </si>
  <si>
    <t>is app dev a people problem</t>
  </si>
  <si>
    <t>4974013496</t>
  </si>
  <si>
    <t>a4974013496</t>
  </si>
  <si>
    <t>velox bringing the power of the platforms to front office</t>
  </si>
  <si>
    <t>4974013510</t>
  </si>
  <si>
    <t>a4974013510</t>
  </si>
  <si>
    <t>cleaned up handout pdfs</t>
  </si>
  <si>
    <t>4974013402</t>
  </si>
  <si>
    <t>a4974013402</t>
  </si>
  <si>
    <t>tech debt impact on developer productivity</t>
  </si>
  <si>
    <t>4974013469</t>
  </si>
  <si>
    <t>a4974013469</t>
  </si>
  <si>
    <t>slides for nikolai</t>
  </si>
  <si>
    <t>4974013467</t>
  </si>
  <si>
    <t>a4974013467</t>
  </si>
  <si>
    <t>length of people jobs</t>
  </si>
  <si>
    <t>4974013545</t>
  </si>
  <si>
    <t>a4974013545</t>
  </si>
  <si>
    <t>10 things to consider when building an OMS</t>
  </si>
  <si>
    <t>4974013555</t>
  </si>
  <si>
    <t>a4974013555</t>
  </si>
  <si>
    <t>2023-08-19 22:58</t>
  </si>
  <si>
    <t>teasers</t>
  </si>
  <si>
    <t>foo dee doo</t>
  </si>
  <si>
    <t>2023-08-19 21:36</t>
  </si>
  <si>
    <t>5016776702</t>
  </si>
  <si>
    <t>a5016776702</t>
  </si>
  <si>
    <t>2023-08-19 22:42</t>
  </si>
  <si>
    <t>5016861469</t>
  </si>
  <si>
    <t>a5016861469</t>
  </si>
  <si>
    <t>2023-08-19 22:44</t>
  </si>
  <si>
    <t>2023-08-19 22:51</t>
  </si>
  <si>
    <t>5016871080</t>
  </si>
  <si>
    <t>a5016871080</t>
  </si>
  <si>
    <t>2023-08-19 22:52</t>
  </si>
  <si>
    <t>5016871459</t>
  </si>
  <si>
    <t>a5016871459</t>
  </si>
  <si>
    <t>2023-08-19 22:56</t>
  </si>
  <si>
    <t>5016875384</t>
  </si>
  <si>
    <t>a5016875384</t>
  </si>
  <si>
    <t>5016876615</t>
  </si>
  <si>
    <t>a5016876615</t>
  </si>
  <si>
    <t>Put hero page .ai files in central location</t>
  </si>
  <si>
    <t>4974013554</t>
  </si>
  <si>
    <t>a4974013554</t>
  </si>
  <si>
    <t>classify website content</t>
  </si>
  <si>
    <t>4974013392</t>
  </si>
  <si>
    <t>a4974013392</t>
  </si>
  <si>
    <t>mike at derivs conference</t>
  </si>
  <si>
    <t>4974013579</t>
  </si>
  <si>
    <t>a4974013579</t>
  </si>
  <si>
    <t>set up monitoring tool</t>
  </si>
  <si>
    <t>4974013584</t>
  </si>
  <si>
    <t>a4974013584</t>
  </si>
  <si>
    <t>Key Design Choices</t>
  </si>
  <si>
    <t>4974013504</t>
  </si>
  <si>
    <t>a4974013504</t>
  </si>
  <si>
    <t>2 page brochure</t>
  </si>
  <si>
    <t>4974013583</t>
  </si>
  <si>
    <t>a4974013583</t>
  </si>
  <si>
    <t>2023-08-11 17:07</t>
  </si>
  <si>
    <t>Subitem</t>
  </si>
  <si>
    <t>4974018672</t>
  </si>
  <si>
    <t>a4974018672</t>
  </si>
  <si>
    <t>VALANTIC case study lite</t>
  </si>
  <si>
    <t>4974013473</t>
  </si>
  <si>
    <t>a4974013473</t>
  </si>
  <si>
    <t>Latest Deck</t>
  </si>
  <si>
    <t>4974013625</t>
  </si>
  <si>
    <t>a4974013625</t>
  </si>
  <si>
    <t>Announce Velox 5 years old</t>
  </si>
  <si>
    <t>4974013644</t>
  </si>
  <si>
    <t>a4974013644</t>
  </si>
  <si>
    <t>4974013645</t>
  </si>
  <si>
    <t>a4974013645</t>
  </si>
  <si>
    <t>go around F &amp; F to get co-operation on posts</t>
  </si>
  <si>
    <t>4974013492</t>
  </si>
  <si>
    <t>a4974013492</t>
  </si>
  <si>
    <t>vCore diagram with systems we can accelerate</t>
  </si>
  <si>
    <t>4974013571</t>
  </si>
  <si>
    <t>a4974013571</t>
  </si>
  <si>
    <t>animated and make general putpose</t>
  </si>
  <si>
    <t>4974018680</t>
  </si>
  <si>
    <t>a4974018680</t>
  </si>
  <si>
    <t>4974013657</t>
  </si>
  <si>
    <t>a4974013657</t>
  </si>
  <si>
    <t>Start End Dividers</t>
  </si>
  <si>
    <t>4974013661</t>
  </si>
  <si>
    <t>a4974013661</t>
  </si>
  <si>
    <t>Locations - add Shanghai to final slide</t>
  </si>
  <si>
    <t>4974015835</t>
  </si>
  <si>
    <t>a4974015835</t>
  </si>
  <si>
    <t>MM - Developer Productivity</t>
  </si>
  <si>
    <t>4974013672</t>
  </si>
  <si>
    <t>a4974013672</t>
  </si>
  <si>
    <t>also i think we should do a review of all the different desk slides we have so that they are in one place and we can pick which ones we want to promote to the website</t>
  </si>
  <si>
    <t>4974013667</t>
  </si>
  <si>
    <t>a4974013667</t>
  </si>
  <si>
    <t>Announce the Velox Client Portal</t>
  </si>
  <si>
    <t>4974013683</t>
  </si>
  <si>
    <t>a4974013683</t>
  </si>
  <si>
    <t>JB to reach out to Jack to get an update</t>
  </si>
  <si>
    <t>4974013685</t>
  </si>
  <si>
    <t>a4974013685</t>
  </si>
  <si>
    <t>maximum size and speed of change</t>
  </si>
  <si>
    <t>4974013569</t>
  </si>
  <si>
    <t>a4974013569</t>
  </si>
  <si>
    <t>get licence to do domain lookups</t>
  </si>
  <si>
    <t>4974013617</t>
  </si>
  <si>
    <t>a4974013617</t>
  </si>
  <si>
    <t>get a quote from 3B on integrating support tools into website</t>
  </si>
  <si>
    <t>4974013705</t>
  </si>
  <si>
    <t>a4974013705</t>
  </si>
  <si>
    <t>Announce Shridhar</t>
  </si>
  <si>
    <t>4974013699</t>
  </si>
  <si>
    <t>a4974013699</t>
  </si>
  <si>
    <t>should we include the valantic 1 pager as a client profile on the website</t>
  </si>
  <si>
    <t>4974013568</t>
  </si>
  <si>
    <t>a4974013568</t>
  </si>
  <si>
    <t>monetizing data</t>
  </si>
  <si>
    <t>4974013711</t>
  </si>
  <si>
    <t>a4974013711</t>
  </si>
  <si>
    <t>Update social media content to webpage</t>
  </si>
  <si>
    <t>4974013718</t>
  </si>
  <si>
    <t>a4974013718</t>
  </si>
  <si>
    <t>Announce Jon FIX Panel FIX NY Regional</t>
  </si>
  <si>
    <t>4974013723</t>
  </si>
  <si>
    <t>a4974013723</t>
  </si>
  <si>
    <t>negative selection bias</t>
  </si>
  <si>
    <t>4974013727</t>
  </si>
  <si>
    <t>a4974013727</t>
  </si>
  <si>
    <t>Announce MIke</t>
  </si>
  <si>
    <t>4974013737</t>
  </si>
  <si>
    <t>a4974013737</t>
  </si>
  <si>
    <t>setup a template for creating web version of posts</t>
  </si>
  <si>
    <t>4974013664</t>
  </si>
  <si>
    <t>a4974013664</t>
  </si>
  <si>
    <t>Desktop Interop Stepchart</t>
  </si>
  <si>
    <t>4974013673</t>
  </si>
  <si>
    <t>a4974013673</t>
  </si>
  <si>
    <t>fix docs page to not autoplay videos</t>
  </si>
  <si>
    <t>4974013530</t>
  </si>
  <si>
    <t>a4974013530</t>
  </si>
  <si>
    <t>strangler pattern</t>
  </si>
  <si>
    <t>4974013708</t>
  </si>
  <si>
    <t>a4974013708</t>
  </si>
  <si>
    <t>Make list of features we would record for marketing</t>
  </si>
  <si>
    <t>4974013764</t>
  </si>
  <si>
    <t>a4974013764</t>
  </si>
  <si>
    <t>next level of abstraction</t>
  </si>
  <si>
    <t>4974013744</t>
  </si>
  <si>
    <t>a4974013744</t>
  </si>
  <si>
    <t>something to do with frogs</t>
  </si>
  <si>
    <t>4974013770</t>
  </si>
  <si>
    <t>a4974013770</t>
  </si>
  <si>
    <t>Use Cases</t>
  </si>
  <si>
    <t>4974013771</t>
  </si>
  <si>
    <t>a4974013771</t>
  </si>
  <si>
    <t>Work out which decks needed for which opportunity</t>
  </si>
  <si>
    <t>4974013778</t>
  </si>
  <si>
    <t>a4974013778</t>
  </si>
  <si>
    <t>Jon Butler, Alison Hood</t>
  </si>
  <si>
    <t>add non data driven app flow to flow diagram</t>
  </si>
  <si>
    <t>4974013781</t>
  </si>
  <si>
    <t>a4974013781</t>
  </si>
  <si>
    <t>technical</t>
  </si>
  <si>
    <t>short WP on use-cases and boiler plate</t>
  </si>
  <si>
    <t>4974013785</t>
  </si>
  <si>
    <t>a4974013785</t>
  </si>
  <si>
    <t>Ideas</t>
  </si>
  <si>
    <t>Use 'The Financial Technologist'?</t>
  </si>
  <si>
    <t>4974013587</t>
  </si>
  <si>
    <t>a4974013587</t>
  </si>
  <si>
    <t>Our Clients</t>
  </si>
  <si>
    <t>4974013789</t>
  </si>
  <si>
    <t>a4974013789</t>
  </si>
  <si>
    <t>3B initial changes</t>
  </si>
  <si>
    <t>4974013791</t>
  </si>
  <si>
    <t>a4974013791</t>
  </si>
  <si>
    <t>4974015817</t>
  </si>
  <si>
    <t>a4974015817</t>
  </si>
  <si>
    <t>symphony demo</t>
  </si>
  <si>
    <t>4974013780</t>
  </si>
  <si>
    <t>a4974013780</t>
  </si>
  <si>
    <t>create a flow diagram for state engine flows</t>
  </si>
  <si>
    <t>4974013792</t>
  </si>
  <si>
    <t>a4974013792</t>
  </si>
  <si>
    <t>Data Fragmentation</t>
  </si>
  <si>
    <t>4974013799</t>
  </si>
  <si>
    <t>a4974013799</t>
  </si>
  <si>
    <t>Website ideas (add doc/links as sub items)</t>
  </si>
  <si>
    <t>4974013818</t>
  </si>
  <si>
    <t>a4974013818</t>
  </si>
  <si>
    <t>Website/Category slide idea</t>
  </si>
  <si>
    <t>4974018817</t>
  </si>
  <si>
    <t>a4974018817</t>
  </si>
  <si>
    <t>Update team page</t>
  </si>
  <si>
    <t>4974013772</t>
  </si>
  <si>
    <t>a4974013772</t>
  </si>
  <si>
    <t>Documentation ideas (add docs/links as sub items)</t>
  </si>
  <si>
    <t>4974013835</t>
  </si>
  <si>
    <t>a4974013835</t>
  </si>
  <si>
    <t>add new slide showing that we solve the full stack soln as a venn</t>
  </si>
  <si>
    <t>4974013808</t>
  </si>
  <si>
    <t>a4974013808</t>
  </si>
  <si>
    <t>sort out google analytics</t>
  </si>
  <si>
    <t>4974013767</t>
  </si>
  <si>
    <t>a4974013767</t>
  </si>
  <si>
    <t>fix docs page so need to double click is more obvious</t>
  </si>
  <si>
    <t>4974013842</t>
  </si>
  <si>
    <t>a4974013842</t>
  </si>
  <si>
    <t>nokia in 2007</t>
  </si>
  <si>
    <t>4974013779</t>
  </si>
  <si>
    <t>a4974013779</t>
  </si>
  <si>
    <t>attitude over aptitude</t>
  </si>
  <si>
    <t>4974013867</t>
  </si>
  <si>
    <t>a4974013867</t>
  </si>
  <si>
    <t>4974013823</t>
  </si>
  <si>
    <t>a4974013823</t>
  </si>
  <si>
    <t>add state management use case to handout pdfs</t>
  </si>
  <si>
    <t>4974013821</t>
  </si>
  <si>
    <t>a4974013821</t>
  </si>
  <si>
    <t>pull together JB previous technical velox sripts into one folder</t>
  </si>
  <si>
    <t>4974013879</t>
  </si>
  <si>
    <t>a4974013879</t>
  </si>
  <si>
    <t>ali client questions</t>
  </si>
  <si>
    <t>4974013811</t>
  </si>
  <si>
    <t>a4974013811</t>
  </si>
  <si>
    <t>Sales</t>
  </si>
  <si>
    <t>make urgent mods to the website</t>
  </si>
  <si>
    <t>4974013082</t>
  </si>
  <si>
    <t>a4974013082</t>
  </si>
  <si>
    <t>ali website requests</t>
  </si>
  <si>
    <t>4974017849</t>
  </si>
  <si>
    <t>a4974017849</t>
  </si>
  <si>
    <t>Add Terms of Use</t>
  </si>
  <si>
    <t>4974018075</t>
  </si>
  <si>
    <t>a4974018075</t>
  </si>
  <si>
    <t>clean up slide options for new sections</t>
  </si>
  <si>
    <t>4974018204</t>
  </si>
  <si>
    <t>a4974018204</t>
  </si>
  <si>
    <t>fix contact us</t>
  </si>
  <si>
    <t>4974018346</t>
  </si>
  <si>
    <t>a4974018346</t>
  </si>
  <si>
    <t>add a link to watch full video n youtube</t>
  </si>
  <si>
    <t>4974013874</t>
  </si>
  <si>
    <t>a4974013874</t>
  </si>
  <si>
    <t>get an estimate from shokubai to make fixes/enhancements to the existing site</t>
  </si>
  <si>
    <t>4974013843</t>
  </si>
  <si>
    <t>a4974013843</t>
  </si>
  <si>
    <t>Add the Trademark notice</t>
  </si>
  <si>
    <t>4974013875</t>
  </si>
  <si>
    <t>a4974013875</t>
  </si>
  <si>
    <t>main pitch deck</t>
  </si>
  <si>
    <t>4974013924</t>
  </si>
  <si>
    <t>a4974013924</t>
  </si>
  <si>
    <t>for liquifity venues</t>
  </si>
  <si>
    <t>4974013870</t>
  </si>
  <si>
    <t>a4974013870</t>
  </si>
  <si>
    <t>create proper template for the flow diagrams</t>
  </si>
  <si>
    <t>4974013951</t>
  </si>
  <si>
    <t>a4974013951</t>
  </si>
  <si>
    <t>data is trapped in the enterpise</t>
  </si>
  <si>
    <t>4974013878</t>
  </si>
  <si>
    <t>a4974013878</t>
  </si>
  <si>
    <t>t+1 and velox ability to help solve (w/Cognizant)</t>
  </si>
  <si>
    <t>4974013885</t>
  </si>
  <si>
    <t>a4974013885</t>
  </si>
  <si>
    <t>industry</t>
  </si>
  <si>
    <t>co-ordinate with Cognizant</t>
  </si>
  <si>
    <t>4974019123</t>
  </si>
  <si>
    <t>a4974019123</t>
  </si>
  <si>
    <t>Juarez Neto</t>
  </si>
  <si>
    <t>write post</t>
  </si>
  <si>
    <t>4974019147</t>
  </si>
  <si>
    <t>a4974019147</t>
  </si>
  <si>
    <t>co-ordinate with finsemble</t>
  </si>
  <si>
    <t>4974019171</t>
  </si>
  <si>
    <t>a4974019171</t>
  </si>
  <si>
    <t>publish also on TABB forum</t>
  </si>
  <si>
    <t>4974019263</t>
  </si>
  <si>
    <t>a4974019263</t>
  </si>
  <si>
    <t>specialization, generalization and perseverance</t>
  </si>
  <si>
    <t>4974013961</t>
  </si>
  <si>
    <t>a4974013961</t>
  </si>
  <si>
    <t>discuss with chris about pointing 3B to me so he can focus on DigMkt off line</t>
  </si>
  <si>
    <t>4974013960</t>
  </si>
  <si>
    <t>a4974013960</t>
  </si>
  <si>
    <t>Review monthly analytics (via 3B web)</t>
  </si>
  <si>
    <t>4974013974</t>
  </si>
  <si>
    <t>a4974013974</t>
  </si>
  <si>
    <t>collate all historical slides into above categories</t>
  </si>
  <si>
    <t>4974013881</t>
  </si>
  <si>
    <t>a4974013881</t>
  </si>
  <si>
    <t>sort out how parts of webpage are viewed on mobile</t>
  </si>
  <si>
    <t>4974013969</t>
  </si>
  <si>
    <t>a4974013969</t>
  </si>
  <si>
    <t>create a deck builder / slide chooser</t>
  </si>
  <si>
    <t>4974013989</t>
  </si>
  <si>
    <t>a4974013989</t>
  </si>
  <si>
    <t>build ability to collapse different slide files into 1 file</t>
  </si>
  <si>
    <t>4974016123</t>
  </si>
  <si>
    <t>a4974016123</t>
  </si>
  <si>
    <t>build ability to tag slides</t>
  </si>
  <si>
    <t>4974016134</t>
  </si>
  <si>
    <t>a4974016134</t>
  </si>
  <si>
    <t>build ability to change file names</t>
  </si>
  <si>
    <t>4974016189</t>
  </si>
  <si>
    <t>a4974016189</t>
  </si>
  <si>
    <t>run for Monday</t>
  </si>
  <si>
    <t>4974017329</t>
  </si>
  <si>
    <t>a4974017329</t>
  </si>
  <si>
    <t>run for Sales Cycle</t>
  </si>
  <si>
    <t>4974017352</t>
  </si>
  <si>
    <t>a4974017352</t>
  </si>
  <si>
    <t>run PitchDeck</t>
  </si>
  <si>
    <t>4974017405</t>
  </si>
  <si>
    <t>a4974017405</t>
  </si>
  <si>
    <t>run for History</t>
  </si>
  <si>
    <t>4974017426</t>
  </si>
  <si>
    <t>a4974017426</t>
  </si>
  <si>
    <t>add ability to only process new updates after a ceetain date</t>
  </si>
  <si>
    <t>4974017671</t>
  </si>
  <si>
    <t>a4974017671</t>
  </si>
  <si>
    <t>python script to compare image files</t>
  </si>
  <si>
    <t>4974018572</t>
  </si>
  <si>
    <t>a4974018572</t>
  </si>
  <si>
    <t>introduce text files into comparison</t>
  </si>
  <si>
    <t>4974018621</t>
  </si>
  <si>
    <t>a4974018621</t>
  </si>
  <si>
    <t>clean up the bullseye</t>
  </si>
  <si>
    <t>4974014013</t>
  </si>
  <si>
    <t>a4974014013</t>
  </si>
  <si>
    <t>get historical data from google analytics</t>
  </si>
  <si>
    <t>4974013880</t>
  </si>
  <si>
    <t>a4974013880</t>
  </si>
  <si>
    <t>why the enterprise struggles with low-code</t>
  </si>
  <si>
    <t>4974013978</t>
  </si>
  <si>
    <t>a4974013978</t>
  </si>
  <si>
    <t>Investor</t>
  </si>
  <si>
    <t>4974014022</t>
  </si>
  <si>
    <t>a4974014022</t>
  </si>
  <si>
    <t>30 years of technology in cap mkts</t>
  </si>
  <si>
    <t>4974014025</t>
  </si>
  <si>
    <t>a4974014025</t>
  </si>
  <si>
    <t>Look to include Cookies statement (via 3B web)</t>
  </si>
  <si>
    <t>4974013983</t>
  </si>
  <si>
    <t>a4974013983</t>
  </si>
  <si>
    <t>Legal</t>
  </si>
  <si>
    <t>CSuite</t>
  </si>
  <si>
    <t>4974014029</t>
  </si>
  <si>
    <t>a4974014029</t>
  </si>
  <si>
    <t>can low code principles be applied to the enterprise</t>
  </si>
  <si>
    <t>4974014031</t>
  </si>
  <si>
    <t>a4974014031</t>
  </si>
  <si>
    <t>why are trading floors stacked with screens</t>
  </si>
  <si>
    <t>4974014037</t>
  </si>
  <si>
    <t>a4974014037</t>
  </si>
  <si>
    <t>Add a partner section</t>
  </si>
  <si>
    <t>4974014010</t>
  </si>
  <si>
    <t>a4974014010</t>
  </si>
  <si>
    <t>Performance</t>
  </si>
  <si>
    <t>4974014050</t>
  </si>
  <si>
    <t>a4974014050</t>
  </si>
  <si>
    <t>implementing ross' changes to the website</t>
  </si>
  <si>
    <t>4974014066</t>
  </si>
  <si>
    <t>a4974014066</t>
  </si>
  <si>
    <t>move website ownership to 3B</t>
  </si>
  <si>
    <t>4974014086</t>
  </si>
  <si>
    <t>a4974014086</t>
  </si>
  <si>
    <t>inform 3B</t>
  </si>
  <si>
    <t>4974015663</t>
  </si>
  <si>
    <t>a4974015663</t>
  </si>
  <si>
    <t>give them access</t>
  </si>
  <si>
    <t>4974016033</t>
  </si>
  <si>
    <t>a4974016033</t>
  </si>
  <si>
    <t>inform shok</t>
  </si>
  <si>
    <t>4974018471</t>
  </si>
  <si>
    <t>a4974018471</t>
  </si>
  <si>
    <t>JB to review latest new section deck that 3B are implementing</t>
  </si>
  <si>
    <t>4974014127</t>
  </si>
  <si>
    <t>a4974014127</t>
  </si>
  <si>
    <t>outlook templae</t>
  </si>
  <si>
    <t>4974014120</t>
  </si>
  <si>
    <t>a4974014120</t>
  </si>
  <si>
    <t>upgrade the email sig to include 100 devs</t>
  </si>
  <si>
    <t>4974014213</t>
  </si>
  <si>
    <t>a4974014213</t>
  </si>
  <si>
    <t>mm article on developer produictivty</t>
  </si>
  <si>
    <t>4974014250</t>
  </si>
  <si>
    <t>a4974014250</t>
  </si>
  <si>
    <t>add a social media panel to the webpae</t>
  </si>
  <si>
    <t>4974014255</t>
  </si>
  <si>
    <t>a4974014255</t>
  </si>
  <si>
    <t>setting up visual studio</t>
  </si>
  <si>
    <t>4974014340</t>
  </si>
  <si>
    <t>a4974014340</t>
  </si>
  <si>
    <t>Our clients' problem isn't unique</t>
  </si>
  <si>
    <t>4974014364</t>
  </si>
  <si>
    <t>a4974014364</t>
  </si>
  <si>
    <t>Mckinsey article on measuring dev productivity</t>
  </si>
  <si>
    <t>2023-08-19 21:21</t>
  </si>
  <si>
    <t>5016754932</t>
  </si>
  <si>
    <t>a5016754932</t>
  </si>
  <si>
    <t>Demos</t>
  </si>
  <si>
    <t>Retail &amp; Single Names</t>
  </si>
  <si>
    <t>2023-08-28 19:22</t>
  </si>
  <si>
    <t>5064700125</t>
  </si>
  <si>
    <t>a5064700125</t>
  </si>
  <si>
    <t>Train Mo on how to use the demo</t>
  </si>
  <si>
    <t>5064700254</t>
  </si>
  <si>
    <t>a5064700254</t>
  </si>
  <si>
    <t>2023-08-29 08:20</t>
  </si>
  <si>
    <t>use the Ateam event prep to create a post on UI/UX?</t>
  </si>
  <si>
    <t>2023-09-23 19:48</t>
  </si>
  <si>
    <t>5212383224</t>
  </si>
  <si>
    <t>a5212383224</t>
  </si>
  <si>
    <t>Ateam Review</t>
  </si>
  <si>
    <t>2023-10-04 18:50</t>
  </si>
  <si>
    <t>5276920373</t>
  </si>
  <si>
    <t>a5276920373</t>
  </si>
  <si>
    <t>2023-11-02 20:05</t>
  </si>
  <si>
    <t>Modernize to next gen</t>
  </si>
  <si>
    <t>2023-10-17 12:51</t>
  </si>
  <si>
    <t>5342379889</t>
  </si>
  <si>
    <t>a5342379889</t>
  </si>
  <si>
    <t>2023-10-17 12:53</t>
  </si>
  <si>
    <t>Update from FIX event in Oct 23 NY</t>
  </si>
  <si>
    <t>2023-10-23 23:59</t>
  </si>
  <si>
    <t>5379547175</t>
  </si>
  <si>
    <t>a5379547175</t>
  </si>
  <si>
    <t>Supply &amp; Demand repost</t>
  </si>
  <si>
    <t>2023-10-25 23:54</t>
  </si>
  <si>
    <t>5395268021</t>
  </si>
  <si>
    <t>a5395268021</t>
  </si>
  <si>
    <t>halloween post</t>
  </si>
  <si>
    <t>2023-10-31 22:04</t>
  </si>
  <si>
    <t>5429598691</t>
  </si>
  <si>
    <t>a5429598691</t>
  </si>
  <si>
    <t>why do legacy systems...become legacy systems</t>
  </si>
  <si>
    <t>5444063454</t>
  </si>
  <si>
    <t>a5444063454</t>
  </si>
  <si>
    <t>2023-11-13 13:03</t>
  </si>
  <si>
    <t>Jon Butler, Mike Wilkins</t>
  </si>
  <si>
    <t>front office of the future post</t>
  </si>
  <si>
    <t>5499685773</t>
  </si>
  <si>
    <t>a5499685773</t>
  </si>
  <si>
    <t>2023-11-13 15:24</t>
  </si>
  <si>
    <t>Lessons Learned from Ibanking</t>
  </si>
  <si>
    <t>2023-11-27 12:55</t>
  </si>
  <si>
    <t>5574316308</t>
  </si>
  <si>
    <t>a5574316308</t>
  </si>
  <si>
    <t>announcing BNP golive</t>
  </si>
  <si>
    <t>2023-11-30 15:46</t>
  </si>
  <si>
    <t>5601757361</t>
  </si>
  <si>
    <t>a5601757361</t>
  </si>
  <si>
    <t>use case aggregation</t>
  </si>
  <si>
    <t>2023-12-06 15:42</t>
  </si>
  <si>
    <t>5638022985</t>
  </si>
  <si>
    <t>a5638022985</t>
  </si>
  <si>
    <t>posting the FIX event interview</t>
  </si>
  <si>
    <t>2023-12-12 22:28</t>
  </si>
  <si>
    <t>5675175640</t>
  </si>
  <si>
    <t>a5675175640</t>
  </si>
  <si>
    <t>thought leadership</t>
  </si>
  <si>
    <t>GreySpark</t>
  </si>
  <si>
    <t>2023-12-13 13:45</t>
  </si>
  <si>
    <t>5678610506</t>
  </si>
  <si>
    <t>a5678610506</t>
  </si>
  <si>
    <t>5678610856</t>
  </si>
  <si>
    <t>a5678610856</t>
  </si>
  <si>
    <t>article 1</t>
  </si>
  <si>
    <t>5678611328</t>
  </si>
  <si>
    <t>a5678611328</t>
  </si>
  <si>
    <t>2023-12-13 13:51</t>
  </si>
  <si>
    <t>article 2</t>
  </si>
  <si>
    <t>5678611679</t>
  </si>
  <si>
    <t>a5678611679</t>
  </si>
  <si>
    <t>Markets Media</t>
  </si>
  <si>
    <t>5678612071</t>
  </si>
  <si>
    <t>a5678612071</t>
  </si>
  <si>
    <t>2023-12-26 23:51</t>
  </si>
  <si>
    <t>ETF C/R arrticle</t>
  </si>
  <si>
    <t>5678613750</t>
  </si>
  <si>
    <t>a5678613750</t>
  </si>
  <si>
    <t>Stuck</t>
  </si>
  <si>
    <t>Foo</t>
  </si>
  <si>
    <t>2024-01-01 21:41</t>
  </si>
  <si>
    <t>5765833187</t>
  </si>
  <si>
    <t>a5765833187</t>
  </si>
  <si>
    <t>foof</t>
  </si>
  <si>
    <t>this is a sub itewm</t>
  </si>
  <si>
    <t>5765833230</t>
  </si>
  <si>
    <t>a5765833230</t>
  </si>
  <si>
    <t>New Item</t>
  </si>
  <si>
    <t>2024-01-02 16:54</t>
  </si>
  <si>
    <t>5772017384</t>
  </si>
  <si>
    <t>a5772017384</t>
  </si>
  <si>
    <t>Unfulfiled devs</t>
  </si>
  <si>
    <t>5772023441</t>
  </si>
  <si>
    <t>a5772023441</t>
  </si>
  <si>
    <t>4977328922</t>
  </si>
  <si>
    <t>Group Title</t>
  </si>
  <si>
    <t>TestItem1</t>
  </si>
  <si>
    <t>2024-01-01 15:45</t>
  </si>
  <si>
    <t>5765091616</t>
  </si>
  <si>
    <t>a5765091616</t>
  </si>
  <si>
    <t>2024-01-02 11:28</t>
  </si>
  <si>
    <t>TestSubItem1</t>
  </si>
  <si>
    <t>2024-01-01 15:49</t>
  </si>
  <si>
    <t>5765095809</t>
  </si>
  <si>
    <t>a5765095809</t>
  </si>
  <si>
    <t>2024-01-01 19:27</t>
  </si>
  <si>
    <t>TestSubItem2</t>
  </si>
  <si>
    <t>2024-01-01 15:53</t>
  </si>
  <si>
    <t>5765099466</t>
  </si>
  <si>
    <t>a5765099466</t>
  </si>
  <si>
    <t>TestSubItem3</t>
  </si>
  <si>
    <t>2024-01-01 16:30</t>
  </si>
  <si>
    <t>5765212573</t>
  </si>
  <si>
    <t>a5765212573</t>
  </si>
  <si>
    <t>new item</t>
  </si>
  <si>
    <t>2024-01-02 11:27</t>
  </si>
  <si>
    <t>5768403244</t>
  </si>
  <si>
    <t>a5768403244</t>
  </si>
  <si>
    <t>5768407847</t>
  </si>
  <si>
    <t>a5768407847</t>
  </si>
  <si>
    <t>TestItem2</t>
  </si>
  <si>
    <t>2024-01-01 16:27</t>
  </si>
  <si>
    <t>5765208405</t>
  </si>
  <si>
    <t>a5765208405</t>
  </si>
  <si>
    <t>2024-01-02 14:56</t>
  </si>
  <si>
    <t>TestItem3</t>
  </si>
  <si>
    <t>5765208584</t>
  </si>
  <si>
    <t>a5765208584</t>
  </si>
  <si>
    <t>2024-01-02 14:12</t>
  </si>
  <si>
    <t>Foobar2</t>
  </si>
  <si>
    <t>2024-01-02 17:34</t>
  </si>
  <si>
    <t>5772533057</t>
  </si>
  <si>
    <t>a5772533057</t>
  </si>
  <si>
    <t>six, fia-expo</t>
  </si>
  <si>
    <t>5772533162</t>
  </si>
  <si>
    <t>a5772533162</t>
  </si>
  <si>
    <t>hsbc_exec_services</t>
  </si>
  <si>
    <t>INPUT_ONE</t>
  </si>
  <si>
    <t>2024-01-02 17:48</t>
  </si>
  <si>
    <t>5772700017</t>
  </si>
  <si>
    <t>a5772700017</t>
  </si>
  <si>
    <t>Mohamed ARKATE</t>
  </si>
  <si>
    <t>SELECT_ONE</t>
  </si>
  <si>
    <t>5772700136</t>
  </si>
  <si>
    <t>a5772700136</t>
  </si>
  <si>
    <t>fsdfsdfdf</t>
  </si>
  <si>
    <t>2024-01-02 17:55</t>
  </si>
  <si>
    <t>5772780260</t>
  </si>
  <si>
    <t>a5772780260</t>
  </si>
  <si>
    <t>sfdfdsfsdf</t>
  </si>
  <si>
    <t>5772780392</t>
  </si>
  <si>
    <t>a5772780392</t>
  </si>
  <si>
    <t>just a test</t>
  </si>
  <si>
    <t>id=5772533057</t>
  </si>
  <si>
    <t>00000000A6C727E4353C314FBD93409EF639422707000D702909B30966478A168622D1D80E2400000000010D00000D702909B30966478A168622D1D80E240003A730D8F20000</t>
  </si>
  <si>
    <t>settings__startdateval</t>
  </si>
  <si>
    <t>settings__offsetval</t>
  </si>
  <si>
    <t>settings__enddateval</t>
  </si>
  <si>
    <t>useremail__jonbutlerval</t>
  </si>
  <si>
    <t>useremail__alisonhoodval</t>
  </si>
  <si>
    <t>ribbonpointer</t>
  </si>
  <si>
    <t>useremail</t>
  </si>
  <si>
    <t>00000000A6C727E4353C314FBD93409EF639422707000D702909B30966478A168622D1D80E2400000000010D00000D702909B30966478A168622D1D80E240003A730D8F30000</t>
  </si>
  <si>
    <t>action__loadappointments</t>
  </si>
  <si>
    <t>useremail__jon.butler</t>
  </si>
  <si>
    <t>00000000A6C727E4353C314FBD93409EF639422707000D702909B30966478A168622D1D80E2400000000010D00000D702909B30966478A168622D1D80E240003A730D8F40000</t>
  </si>
  <si>
    <t>action__updateitems</t>
  </si>
  <si>
    <t>action__refreshmonday</t>
  </si>
  <si>
    <t>id:34234234</t>
  </si>
  <si>
    <t>additem__startdate</t>
  </si>
  <si>
    <t>additem__starttime</t>
  </si>
  <si>
    <t>additem__subject</t>
  </si>
  <si>
    <t>additem__mondayitem</t>
  </si>
  <si>
    <t>additem__category</t>
  </si>
  <si>
    <t>additem__mondaysubitem</t>
  </si>
  <si>
    <t>owner</t>
  </si>
  <si>
    <t>parent</t>
  </si>
  <si>
    <t>item_display</t>
  </si>
  <si>
    <t>subitem_display</t>
  </si>
  <si>
    <t>action__addcalendaritem</t>
  </si>
  <si>
    <t>additem__mondaysubitemid</t>
  </si>
  <si>
    <t>additem__mondayitemid</t>
  </si>
  <si>
    <t>additem__duration</t>
  </si>
  <si>
    <t>name=posting the FIX even  [owner=Jon Butler]</t>
  </si>
  <si>
    <t>name=article 2  [parent=GreySpark] [owner=0]</t>
  </si>
  <si>
    <t>additem__addcalendaritem</t>
  </si>
  <si>
    <t>action__addcolorcoding</t>
  </si>
  <si>
    <t>action__updateitemsval</t>
  </si>
  <si>
    <t>action__refreshmondayval</t>
  </si>
  <si>
    <t>00000000A6C727E4353C314FBD93409EF639422707000D702909B30966478A168622D1D80E2400000000010D00000D702909B30966478A168622D1D80E240003A730D8F50000</t>
  </si>
  <si>
    <t>00000000A6C727E4353C314FBD93409EF639422707000D702909B30966478A168622D1D80E2400000000010D00000D702909B30966478A168622D1D80E240003A730D8F60000</t>
  </si>
  <si>
    <t>00000000A6C727E4353C314FBD93409EF639422707000D702909B30966478A168622D1D80E2400000000010D00000D702909B30966478A168622D1D80E240003A730D8FA0000</t>
  </si>
  <si>
    <t>00000000A6C727E4353C314FBD93409EF639422707000D702909B30966478A168622D1D80E2400000000010D00000D702909B30966478A168622D1D80E240003A730D8FB0000</t>
  </si>
  <si>
    <t>admin__checkinchanges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</si>
</sst>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"/>
    <numFmt numFmtId="165" formatCode="0.0"/>
    <numFmt numFmtId="166" formatCode="ddd"/>
    <numFmt numFmtId="167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61616"/>
      <name val="Segoe U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A1A2"/>
        <bgColor indexed="64"/>
      </patternFill>
    </fill>
    <fill>
      <patternFill patternType="solid">
        <fgColor rgb="FF78D168"/>
        <bgColor indexed="64"/>
      </patternFill>
    </fill>
    <fill>
      <patternFill patternType="solid">
        <fgColor rgb="FF9FDCC9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4F4F4F"/>
        <bgColor indexed="64"/>
      </patternFill>
    </fill>
    <fill>
      <patternFill patternType="solid">
        <fgColor rgb="FFB5A1E2"/>
        <bgColor indexed="64"/>
      </patternFill>
    </fill>
    <fill>
      <patternFill patternType="solid">
        <fgColor rgb="FFF9BA89"/>
        <bgColor indexed="64"/>
      </patternFill>
    </fill>
    <fill>
      <patternFill patternType="solid">
        <fgColor rgb="FFF7DD8F"/>
        <bgColor indexed="64"/>
      </patternFill>
    </fill>
    <fill>
      <patternFill patternType="solid">
        <fgColor rgb="FF6B7994"/>
        <bgColor indexed="64"/>
      </patternFill>
    </fill>
    <fill>
      <patternFill patternType="solid">
        <fgColor rgb="FFC79930"/>
        <bgColor indexed="64"/>
      </patternFill>
    </fill>
    <fill>
      <patternFill patternType="solid">
        <fgColor rgb="FFC6D2B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1" xfId="0" applyBorder="1"/>
    <xf numFmtId="164" fontId="0" fillId="0" borderId="0" xfId="0" applyNumberFormat="1"/>
    <xf numFmtId="0" fontId="0" fillId="0" borderId="2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2" xfId="0" applyFont="1" applyBorder="1"/>
    <xf numFmtId="165" fontId="1" fillId="0" borderId="2" xfId="0" applyNumberFormat="1" applyFont="1" applyBorder="1"/>
    <xf numFmtId="164" fontId="0" fillId="8" borderId="3" xfId="0" applyNumberForma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5" fontId="0" fillId="8" borderId="4" xfId="0" applyNumberFormat="1" applyFill="1" applyBorder="1" applyAlignment="1">
      <alignment horizontal="center"/>
    </xf>
    <xf numFmtId="165" fontId="0" fillId="8" borderId="6" xfId="0" applyNumberFormat="1" applyFill="1" applyBorder="1" applyAlignment="1">
      <alignment horizontal="center"/>
    </xf>
    <xf numFmtId="164" fontId="0" fillId="9" borderId="3" xfId="0" applyNumberFormat="1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165" fontId="0" fillId="9" borderId="4" xfId="0" applyNumberFormat="1" applyFill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7" xfId="0" applyNumberFormat="1" applyFill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" fontId="0" fillId="8" borderId="5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/>
    <xf numFmtId="1" fontId="0" fillId="9" borderId="4" xfId="0" applyNumberFormat="1" applyFill="1" applyBorder="1" applyAlignment="1">
      <alignment horizontal="center"/>
    </xf>
    <xf numFmtId="49" fontId="0" fillId="0" borderId="0" xfId="0" applyNumberFormat="1"/>
    <xf numFmtId="0" fontId="2" fillId="0" borderId="0" xfId="1"/>
    <xf numFmtId="0" fontId="3" fillId="10" borderId="0" xfId="0" applyFont="1" applyFill="1" applyAlignment="1">
      <alignment horizontal="left" vertical="top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49" fontId="4" fillId="14" borderId="11" xfId="0" applyNumberFormat="1" applyFont="1" applyFill="1" applyBorder="1"/>
    <xf numFmtId="0" fontId="5" fillId="0" borderId="11" xfId="0" applyFont="1" applyBorder="1"/>
    <xf numFmtId="0" fontId="0" fillId="15" borderId="0" xfId="0" applyFill="1"/>
    <xf numFmtId="22" fontId="0" fillId="0" borderId="0" xfId="0" applyNumberFormat="1"/>
    <xf numFmtId="0" fontId="0" fillId="0" borderId="0" xfId="0" applyAlignment="1">
      <alignment wrapText="1"/>
    </xf>
    <xf numFmtId="49" fontId="4" fillId="0" borderId="11" xfId="0" applyNumberFormat="1" applyFont="1" applyBorder="1"/>
    <xf numFmtId="0" fontId="0" fillId="0" borderId="0" xfId="0" quotePrefix="1"/>
    <xf numFmtId="18" fontId="0" fillId="0" borderId="0" xfId="0" applyNumberFormat="1"/>
    <xf numFmtId="0" fontId="0" fillId="16" borderId="0" xfId="0" applyFill="1"/>
    <xf numFmtId="49" fontId="4" fillId="0" borderId="0" xfId="0" applyNumberFormat="1" applyFont="1"/>
    <xf numFmtId="0" fontId="0" fillId="0" borderId="11" xfId="0" applyBorder="1"/>
    <xf numFmtId="0" fontId="5" fillId="0" borderId="0" xfId="0" applyFont="1"/>
    <xf numFmtId="0" fontId="0" fillId="17" borderId="0" xfId="0" applyFill="1"/>
    <xf numFmtId="0" fontId="0" fillId="18" borderId="0" xfId="0" applyFill="1"/>
    <xf numFmtId="0" fontId="0" fillId="19" borderId="0" xfId="0" applyFill="1"/>
    <xf numFmtId="21" fontId="0" fillId="0" borderId="0" xfId="0" quotePrefix="1" applyNumberFormat="1"/>
    <xf numFmtId="0" fontId="0" fillId="20" borderId="0" xfId="0" applyFill="1"/>
    <xf numFmtId="0" fontId="0" fillId="10" borderId="0" xfId="0" applyFill="1"/>
    <xf numFmtId="167" fontId="0" fillId="0" borderId="0" xfId="0" quotePrefix="1" applyNumberFormat="1"/>
    <xf numFmtId="0" fontId="0" fillId="21" borderId="0" xfId="0" applyFill="1"/>
    <xf numFmtId="14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18">
    <dxf>
      <fill>
        <patternFill>
          <bgColor rgb="FFFFFF66"/>
        </patternFill>
      </fill>
    </dxf>
    <dxf>
      <fill>
        <patternFill>
          <bgColor rgb="FFAC75D5"/>
        </patternFill>
      </fill>
    </dxf>
    <dxf>
      <fill>
        <patternFill>
          <bgColor theme="0" tint="-0.24994659260841701"/>
        </patternFill>
      </fill>
    </dxf>
    <dxf>
      <fill>
        <patternFill>
          <bgColor rgb="FF5B8987"/>
        </patternFill>
      </fill>
    </dxf>
    <dxf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7979"/>
        </patternFill>
      </fill>
    </dxf>
    <dxf>
      <fill>
        <patternFill>
          <bgColor rgb="FF69DFF7"/>
        </patternFill>
      </fill>
    </dxf>
    <dxf>
      <fill>
        <patternFill>
          <bgColor rgb="FFFFFF66"/>
        </patternFill>
      </fill>
    </dxf>
    <dxf>
      <fill>
        <patternFill>
          <bgColor rgb="FFAC75D5"/>
        </patternFill>
      </fill>
    </dxf>
    <dxf>
      <fill>
        <patternFill>
          <bgColor theme="0" tint="-0.24994659260841701"/>
        </patternFill>
      </fill>
    </dxf>
    <dxf>
      <fill>
        <patternFill>
          <bgColor rgb="FF5B8987"/>
        </patternFill>
      </fill>
    </dxf>
    <dxf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7979"/>
        </patternFill>
      </fill>
    </dxf>
    <dxf>
      <fill>
        <patternFill>
          <bgColor rgb="FF69DFF7"/>
        </patternFill>
      </fill>
    </dxf>
  </dxfs>
  <tableStyles count="0" defaultTableStyle="TableStyleMedium2" defaultPivotStyle="PivotStyleLight16"/>
  <colors>
    <mruColors>
      <color rgb="FFE7A1A2"/>
      <color rgb="FF5B8987"/>
      <color rgb="FFAC75D5"/>
      <color rgb="FFFFFF66"/>
      <color rgb="FF69DFF7"/>
      <color rgb="FFFF7979"/>
      <color rgb="FFAE78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0</xdr:row>
          <xdr:rowOff>15240</xdr:rowOff>
        </xdr:from>
        <xdr:to>
          <xdr:col>6</xdr:col>
          <xdr:colOff>1097280</xdr:colOff>
          <xdr:row>0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</xdr:rowOff>
        </xdr:from>
        <xdr:to>
          <xdr:col>11</xdr:col>
          <xdr:colOff>53340</xdr:colOff>
          <xdr:row>0</xdr:row>
          <xdr:rowOff>175260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1</xdr:row>
          <xdr:rowOff>15240</xdr:rowOff>
        </xdr:from>
        <xdr:to>
          <xdr:col>1</xdr:col>
          <xdr:colOff>594360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from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15240</xdr:rowOff>
        </xdr:from>
        <xdr:to>
          <xdr:col>1</xdr:col>
          <xdr:colOff>1363980</xdr:colOff>
          <xdr:row>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PARSE new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525780</xdr:colOff>
          <xdr:row>1</xdr:row>
          <xdr:rowOff>15240</xdr:rowOff>
        </xdr:from>
        <xdr:to>
          <xdr:col>1</xdr:col>
          <xdr:colOff>594360</xdr:colOff>
          <xdr:row>3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from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15240</xdr:rowOff>
        </xdr:from>
        <xdr:to>
          <xdr:col>1</xdr:col>
          <xdr:colOff>1363980</xdr:colOff>
          <xdr:row>3</xdr:row>
          <xdr:rowOff>15240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PARSE new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alison.hood@veloxfintech.com" TargetMode="External"/><Relationship Id="rId2" Type="http://schemas.openxmlformats.org/officeDocument/2006/relationships/hyperlink" Target="mailto:ali.moosavi@veloxfintech.com" TargetMode="External"/><Relationship Id="rId1" Type="http://schemas.openxmlformats.org/officeDocument/2006/relationships/hyperlink" Target="mailto:jon.butler@veloxfintech.com" TargetMode="External"/><Relationship Id="rId4" Type="http://schemas.openxmlformats.org/officeDocument/2006/relationships/hyperlink" Target="mailto:mike.wilkins@veloxfintech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3B96-51BF-4A1B-899B-CF103D28EC74}">
  <sheetPr codeName="Sheet1"/>
  <dimension ref="A1:T5623"/>
  <sheetViews>
    <sheetView tabSelected="1" zoomScale="85" zoomScaleNormal="85" workbookViewId="0">
      <pane ySplit="2" topLeftCell="A3" activePane="bottomLeft" state="frozen"/>
      <selection pane="bottomLeft" activeCell="E10" sqref="E10"/>
    </sheetView>
  </sheetViews>
  <sheetFormatPr defaultRowHeight="14.4" x14ac:dyDescent="0.3"/>
  <cols>
    <col min="1" max="1" width="26.88671875" customWidth="1"/>
    <col min="2" max="2" width="14.88671875" customWidth="1"/>
    <col min="3" max="3" width="10.44140625" bestFit="1" customWidth="1"/>
    <col min="4" max="4" width="12.88671875" bestFit="1" customWidth="1"/>
    <col min="5" max="5" width="11.6640625" bestFit="1" customWidth="1"/>
    <col min="6" max="6" width="21" customWidth="1"/>
    <col min="7" max="7" width="22.44140625" customWidth="1"/>
    <col min="8" max="11" width="10.44140625" customWidth="1"/>
    <col min="14" max="14" width="11.88671875" customWidth="1"/>
    <col min="15" max="15" width="12.33203125" customWidth="1"/>
    <col min="16" max="16" width="3.21875" hidden="1" customWidth="1"/>
    <col min="17" max="17" width="12.21875" customWidth="1"/>
    <col min="18" max="18" width="13.109375" customWidth="1"/>
    <col min="19" max="19" width="18.5546875" customWidth="1"/>
    <col min="20" max="20" width="18.6640625" customWidth="1"/>
    <col min="21" max="21" width="18" customWidth="1"/>
    <col min="22" max="22" width="19.109375" customWidth="1"/>
  </cols>
  <sheetData>
    <row r="1" spans="1:20" x14ac:dyDescent="0.3">
      <c r="A1" s="1"/>
      <c r="B1" s="1"/>
      <c r="C1" s="1"/>
      <c r="D1" s="1"/>
      <c r="E1" s="1"/>
      <c r="F1" s="43"/>
      <c r="G1" s="43"/>
      <c r="Q1">
        <v>78</v>
      </c>
    </row>
    <row r="2" spans="1:20" x14ac:dyDescent="0.3">
      <c r="A2" t="s">
        <v>0</v>
      </c>
      <c r="B2" t="s">
        <v>406</v>
      </c>
      <c r="C2" t="s">
        <v>1</v>
      </c>
      <c r="D2" t="s">
        <v>2</v>
      </c>
      <c r="E2" t="s">
        <v>3</v>
      </c>
      <c r="F2" s="43" t="s">
        <v>4</v>
      </c>
      <c r="G2" s="43" t="s">
        <v>46</v>
      </c>
      <c r="H2" t="s">
        <v>187</v>
      </c>
      <c r="I2" t="s">
        <v>188</v>
      </c>
      <c r="J2" t="s">
        <v>189</v>
      </c>
      <c r="K2" t="s">
        <v>190</v>
      </c>
      <c r="L2" t="s">
        <v>191</v>
      </c>
      <c r="M2" t="s">
        <v>192</v>
      </c>
      <c r="N2" t="s">
        <v>193</v>
      </c>
      <c r="O2" t="s">
        <v>194</v>
      </c>
      <c r="P2" t="s">
        <v>407</v>
      </c>
      <c r="Q2" t="s">
        <v>408</v>
      </c>
      <c r="R2" t="s">
        <v>409</v>
      </c>
      <c r="S2" t="s">
        <v>9122</v>
      </c>
      <c r="T2" t="s">
        <v>9123</v>
      </c>
    </row>
    <row r="3" spans="1:20" x14ac:dyDescent="0.3">
      <c r="A3" t="s">
        <v>6671</v>
      </c>
      <c r="B3" s="57"/>
      <c r="C3">
        <v>30</v>
      </c>
      <c r="D3" t="s">
        <v>10</v>
      </c>
      <c r="F3" s="43">
        <v>45294.354166666664</v>
      </c>
      <c r="G3" s="43">
        <v>45294.375</v>
      </c>
      <c r="H3">
        <v>8</v>
      </c>
      <c r="I3">
        <v>30</v>
      </c>
      <c r="J3">
        <v>9</v>
      </c>
      <c r="K3">
        <v>0</v>
      </c>
      <c r="L3">
        <v>2024</v>
      </c>
      <c r="N3" t="s">
        <v>47</v>
      </c>
      <c r="O3" t="s">
        <v>47</v>
      </c>
      <c r="P3" t="s">
        <v>10030</v>
      </c>
      <c r="Q3" s="59" t="s">
        <v>224</v>
      </c>
      <c r="R3" t="str">
        <f t="shared" ref="R3:R66" si="0">IF(ISERROR(INDEX(MONDAY_ITEMID,MATCH(S3,MONDAY_ITEMS,0))),"",INDEX(MONDAY_ITEMID,MATCH(S3,MONDAY_ITEMS,0)))</f>
        <v>5772023441</v>
      </c>
      <c r="S3" t="s">
        <v>9929</v>
      </c>
    </row>
    <row r="4" spans="1:20" x14ac:dyDescent="0.3">
      <c r="A4" t="s">
        <v>9</v>
      </c>
      <c r="B4" s="57"/>
      <c r="C4">
        <v>60</v>
      </c>
      <c r="D4" t="s">
        <v>10</v>
      </c>
      <c r="F4" s="43">
        <v>45294.25</v>
      </c>
      <c r="G4" s="43">
        <v>45294.291666666664</v>
      </c>
      <c r="H4">
        <v>6</v>
      </c>
      <c r="I4">
        <v>0</v>
      </c>
      <c r="J4">
        <v>7</v>
      </c>
      <c r="K4">
        <v>0</v>
      </c>
      <c r="L4">
        <v>2024</v>
      </c>
      <c r="N4" t="s">
        <v>47</v>
      </c>
      <c r="O4" t="s">
        <v>47</v>
      </c>
      <c r="P4" t="s">
        <v>10029</v>
      </c>
      <c r="Q4" s="57"/>
      <c r="R4" t="str">
        <f t="shared" si="0"/>
        <v/>
      </c>
    </row>
    <row r="5" spans="1:20" x14ac:dyDescent="0.3">
      <c r="A5" t="s">
        <v>9990</v>
      </c>
      <c r="B5" s="52" t="s">
        <v>20</v>
      </c>
      <c r="C5">
        <v>45</v>
      </c>
      <c r="D5" t="s">
        <v>10</v>
      </c>
      <c r="E5" t="s">
        <v>9991</v>
      </c>
      <c r="F5" s="43">
        <v>45293.854166666664</v>
      </c>
      <c r="G5" s="43">
        <v>45293.885416666664</v>
      </c>
      <c r="H5">
        <v>20</v>
      </c>
      <c r="I5">
        <v>30</v>
      </c>
      <c r="J5">
        <v>21</v>
      </c>
      <c r="K5">
        <v>15</v>
      </c>
      <c r="L5">
        <v>2024</v>
      </c>
      <c r="O5" t="s">
        <v>47</v>
      </c>
      <c r="P5" t="s">
        <v>10028</v>
      </c>
      <c r="Q5" s="57"/>
      <c r="R5" t="str">
        <f t="shared" si="0"/>
        <v/>
      </c>
    </row>
    <row r="6" spans="1:20" x14ac:dyDescent="0.3">
      <c r="A6" t="s">
        <v>9990</v>
      </c>
      <c r="B6" s="52" t="s">
        <v>20</v>
      </c>
      <c r="C6">
        <v>60</v>
      </c>
      <c r="D6" t="s">
        <v>10</v>
      </c>
      <c r="E6" t="s">
        <v>9991</v>
      </c>
      <c r="F6" s="43">
        <v>45293.770833333336</v>
      </c>
      <c r="G6" s="43">
        <v>45293.8125</v>
      </c>
      <c r="H6">
        <v>18</v>
      </c>
      <c r="I6">
        <v>30</v>
      </c>
      <c r="J6">
        <v>19</v>
      </c>
      <c r="K6">
        <v>30</v>
      </c>
      <c r="L6">
        <v>2024</v>
      </c>
      <c r="O6" t="s">
        <v>47</v>
      </c>
      <c r="P6" t="s">
        <v>10027</v>
      </c>
      <c r="Q6" s="57"/>
      <c r="R6" t="str">
        <f t="shared" si="0"/>
        <v/>
      </c>
    </row>
    <row r="7" spans="1:20" x14ac:dyDescent="0.3">
      <c r="A7" t="s">
        <v>9990</v>
      </c>
      <c r="B7" s="38" t="s">
        <v>6</v>
      </c>
      <c r="C7">
        <v>60</v>
      </c>
      <c r="D7" t="s">
        <v>10</v>
      </c>
      <c r="E7" t="s">
        <v>10006</v>
      </c>
      <c r="F7" s="43">
        <v>45293.729166666664</v>
      </c>
      <c r="G7" s="43">
        <v>45293.770833333336</v>
      </c>
      <c r="H7">
        <v>17</v>
      </c>
      <c r="I7">
        <v>30</v>
      </c>
      <c r="J7">
        <v>18</v>
      </c>
      <c r="K7">
        <v>30</v>
      </c>
      <c r="L7">
        <v>2024</v>
      </c>
      <c r="O7" t="s">
        <v>47</v>
      </c>
      <c r="P7" t="s">
        <v>10003</v>
      </c>
      <c r="Q7" s="57"/>
      <c r="R7" t="str">
        <f t="shared" si="0"/>
        <v/>
      </c>
    </row>
    <row r="8" spans="1:20" x14ac:dyDescent="0.3">
      <c r="A8" t="s">
        <v>9990</v>
      </c>
      <c r="B8" s="52" t="s">
        <v>20</v>
      </c>
      <c r="C8">
        <v>20</v>
      </c>
      <c r="D8" t="s">
        <v>10</v>
      </c>
      <c r="E8" t="s">
        <v>9991</v>
      </c>
      <c r="F8" s="43">
        <v>45293.694444444445</v>
      </c>
      <c r="G8" s="43">
        <v>45293.708333333336</v>
      </c>
      <c r="H8">
        <v>16</v>
      </c>
      <c r="I8">
        <v>40</v>
      </c>
      <c r="J8">
        <v>17</v>
      </c>
      <c r="K8">
        <v>0</v>
      </c>
      <c r="L8">
        <v>2024</v>
      </c>
      <c r="O8" t="s">
        <v>47</v>
      </c>
      <c r="P8" t="s">
        <v>10000</v>
      </c>
      <c r="Q8" s="57"/>
      <c r="R8" t="str">
        <f t="shared" si="0"/>
        <v/>
      </c>
    </row>
    <row r="9" spans="1:20" x14ac:dyDescent="0.3">
      <c r="A9" t="s">
        <v>9990</v>
      </c>
      <c r="B9" s="52" t="s">
        <v>20</v>
      </c>
      <c r="C9">
        <v>40</v>
      </c>
      <c r="D9" t="s">
        <v>10</v>
      </c>
      <c r="E9" t="s">
        <v>9991</v>
      </c>
      <c r="F9" s="43">
        <v>45293.666666666664</v>
      </c>
      <c r="G9" s="43">
        <v>45293.694444444445</v>
      </c>
      <c r="H9">
        <v>16</v>
      </c>
      <c r="I9">
        <v>0</v>
      </c>
      <c r="J9">
        <v>16</v>
      </c>
      <c r="K9">
        <v>40</v>
      </c>
      <c r="L9">
        <v>2024</v>
      </c>
      <c r="N9" t="s">
        <v>47</v>
      </c>
      <c r="O9" t="s">
        <v>47</v>
      </c>
      <c r="P9" t="s">
        <v>9992</v>
      </c>
      <c r="Q9" s="57"/>
      <c r="R9" t="str">
        <f t="shared" si="0"/>
        <v/>
      </c>
    </row>
    <row r="10" spans="1:20" x14ac:dyDescent="0.3">
      <c r="A10" t="s">
        <v>6671</v>
      </c>
      <c r="B10" s="57"/>
      <c r="C10">
        <v>60</v>
      </c>
      <c r="D10" t="s">
        <v>10</v>
      </c>
      <c r="F10" s="43">
        <v>45293.576388888891</v>
      </c>
      <c r="G10" s="43">
        <v>45293.618055555555</v>
      </c>
      <c r="H10">
        <v>13</v>
      </c>
      <c r="I10">
        <v>50</v>
      </c>
      <c r="J10">
        <v>14</v>
      </c>
      <c r="K10">
        <v>50</v>
      </c>
      <c r="L10">
        <v>2024</v>
      </c>
      <c r="N10" t="s">
        <v>47</v>
      </c>
      <c r="O10" t="s">
        <v>47</v>
      </c>
      <c r="P10" t="s">
        <v>9133</v>
      </c>
      <c r="Q10" s="57"/>
      <c r="R10" t="str">
        <f t="shared" si="0"/>
        <v/>
      </c>
    </row>
    <row r="11" spans="1:20" x14ac:dyDescent="0.3">
      <c r="A11" t="s">
        <v>6671</v>
      </c>
      <c r="B11" s="57"/>
      <c r="C11">
        <v>60</v>
      </c>
      <c r="D11" t="s">
        <v>10</v>
      </c>
      <c r="F11" s="43">
        <v>45293.5</v>
      </c>
      <c r="G11" s="43">
        <v>45293.541666666664</v>
      </c>
      <c r="H11">
        <v>12</v>
      </c>
      <c r="I11">
        <v>0</v>
      </c>
      <c r="J11">
        <v>13</v>
      </c>
      <c r="K11">
        <v>0</v>
      </c>
      <c r="L11">
        <v>2024</v>
      </c>
      <c r="N11" t="s">
        <v>47</v>
      </c>
      <c r="O11" t="s">
        <v>47</v>
      </c>
      <c r="P11" t="s">
        <v>9134</v>
      </c>
      <c r="Q11" s="57"/>
      <c r="R11" t="str">
        <f t="shared" si="0"/>
        <v/>
      </c>
    </row>
    <row r="12" spans="1:20" x14ac:dyDescent="0.3">
      <c r="A12" t="s">
        <v>17</v>
      </c>
      <c r="B12" s="57"/>
      <c r="C12">
        <v>45</v>
      </c>
      <c r="D12" t="s">
        <v>10</v>
      </c>
      <c r="F12" s="43">
        <v>45293.416666666664</v>
      </c>
      <c r="G12" s="43">
        <v>45293.447916666664</v>
      </c>
      <c r="H12">
        <v>10</v>
      </c>
      <c r="I12">
        <v>0</v>
      </c>
      <c r="J12">
        <v>10</v>
      </c>
      <c r="K12">
        <v>45</v>
      </c>
      <c r="L12">
        <v>2024</v>
      </c>
      <c r="N12" t="s">
        <v>47</v>
      </c>
      <c r="O12" t="s">
        <v>47</v>
      </c>
      <c r="P12" t="s">
        <v>9136</v>
      </c>
      <c r="Q12" s="57"/>
      <c r="R12" t="str">
        <f t="shared" si="0"/>
        <v/>
      </c>
    </row>
    <row r="13" spans="1:20" x14ac:dyDescent="0.3">
      <c r="A13" t="s">
        <v>6671</v>
      </c>
      <c r="B13" s="57"/>
      <c r="C13">
        <v>30</v>
      </c>
      <c r="D13" t="s">
        <v>10</v>
      </c>
      <c r="F13" s="43">
        <v>45293.375</v>
      </c>
      <c r="G13" s="43">
        <v>45293.395833333336</v>
      </c>
      <c r="H13">
        <v>9</v>
      </c>
      <c r="I13">
        <v>0</v>
      </c>
      <c r="J13">
        <v>9</v>
      </c>
      <c r="K13">
        <v>30</v>
      </c>
      <c r="L13">
        <v>2024</v>
      </c>
      <c r="N13" t="s">
        <v>47</v>
      </c>
      <c r="O13" t="s">
        <v>47</v>
      </c>
      <c r="P13" t="s">
        <v>9135</v>
      </c>
      <c r="Q13" s="57"/>
      <c r="R13" t="str">
        <f t="shared" si="0"/>
        <v/>
      </c>
    </row>
    <row r="14" spans="1:20" x14ac:dyDescent="0.3">
      <c r="A14" t="s">
        <v>6671</v>
      </c>
      <c r="B14" s="57"/>
      <c r="C14">
        <v>30</v>
      </c>
      <c r="D14" t="s">
        <v>10</v>
      </c>
      <c r="F14" s="43">
        <v>45293.333333333336</v>
      </c>
      <c r="G14" s="43">
        <v>45293.354166666664</v>
      </c>
      <c r="H14">
        <v>8</v>
      </c>
      <c r="I14">
        <v>0</v>
      </c>
      <c r="J14">
        <v>8</v>
      </c>
      <c r="K14">
        <v>30</v>
      </c>
      <c r="L14">
        <v>2024</v>
      </c>
      <c r="N14" t="s">
        <v>47</v>
      </c>
      <c r="O14" t="s">
        <v>47</v>
      </c>
      <c r="P14" t="s">
        <v>9137</v>
      </c>
      <c r="Q14" s="57"/>
      <c r="R14" t="str">
        <f t="shared" si="0"/>
        <v/>
      </c>
    </row>
    <row r="15" spans="1:20" x14ac:dyDescent="0.3">
      <c r="A15" t="s">
        <v>6671</v>
      </c>
      <c r="B15" s="57"/>
      <c r="C15">
        <v>60</v>
      </c>
      <c r="D15" t="s">
        <v>10</v>
      </c>
      <c r="F15" s="43">
        <v>45293.25</v>
      </c>
      <c r="G15" s="43">
        <v>45293.291666666664</v>
      </c>
      <c r="H15">
        <v>6</v>
      </c>
      <c r="I15">
        <v>0</v>
      </c>
      <c r="J15">
        <v>7</v>
      </c>
      <c r="K15">
        <v>0</v>
      </c>
      <c r="L15">
        <v>2024</v>
      </c>
      <c r="N15" t="s">
        <v>47</v>
      </c>
      <c r="O15" t="s">
        <v>47</v>
      </c>
      <c r="P15" t="s">
        <v>9138</v>
      </c>
      <c r="Q15" s="57"/>
      <c r="R15" t="str">
        <f t="shared" si="0"/>
        <v/>
      </c>
    </row>
    <row r="16" spans="1:20" x14ac:dyDescent="0.3">
      <c r="A16" t="s">
        <v>6671</v>
      </c>
      <c r="B16" s="57"/>
      <c r="C16">
        <v>30</v>
      </c>
      <c r="D16" t="s">
        <v>10</v>
      </c>
      <c r="F16" s="43">
        <v>45292.833333333336</v>
      </c>
      <c r="G16" s="43">
        <v>45292.854166666664</v>
      </c>
      <c r="H16">
        <v>20</v>
      </c>
      <c r="I16">
        <v>0</v>
      </c>
      <c r="J16">
        <v>20</v>
      </c>
      <c r="K16">
        <v>30</v>
      </c>
      <c r="L16">
        <v>2024</v>
      </c>
      <c r="N16" t="s">
        <v>47</v>
      </c>
      <c r="O16" t="s">
        <v>47</v>
      </c>
      <c r="P16" t="s">
        <v>9139</v>
      </c>
      <c r="Q16" s="57"/>
      <c r="R16" t="str">
        <f t="shared" si="0"/>
        <v/>
      </c>
    </row>
    <row r="17" spans="1:18" x14ac:dyDescent="0.3">
      <c r="A17" t="s">
        <v>6671</v>
      </c>
      <c r="B17" s="57"/>
      <c r="C17">
        <v>60</v>
      </c>
      <c r="D17" t="s">
        <v>10</v>
      </c>
      <c r="F17" s="43">
        <v>45292.770833333336</v>
      </c>
      <c r="G17" s="43">
        <v>45292.8125</v>
      </c>
      <c r="H17">
        <v>18</v>
      </c>
      <c r="I17">
        <v>30</v>
      </c>
      <c r="J17">
        <v>19</v>
      </c>
      <c r="K17">
        <v>30</v>
      </c>
      <c r="L17">
        <v>2024</v>
      </c>
      <c r="N17" t="s">
        <v>47</v>
      </c>
      <c r="O17" t="s">
        <v>47</v>
      </c>
      <c r="P17" t="s">
        <v>9140</v>
      </c>
      <c r="Q17" s="57"/>
      <c r="R17" t="str">
        <f t="shared" si="0"/>
        <v/>
      </c>
    </row>
    <row r="18" spans="1:18" x14ac:dyDescent="0.3">
      <c r="A18" t="s">
        <v>6671</v>
      </c>
      <c r="B18" s="57"/>
      <c r="C18">
        <v>60</v>
      </c>
      <c r="D18" t="s">
        <v>10</v>
      </c>
      <c r="F18" s="43">
        <v>45292.6875</v>
      </c>
      <c r="G18" s="43">
        <v>45292.729166666664</v>
      </c>
      <c r="H18">
        <v>16</v>
      </c>
      <c r="I18">
        <v>30</v>
      </c>
      <c r="J18">
        <v>17</v>
      </c>
      <c r="K18">
        <v>30</v>
      </c>
      <c r="L18">
        <v>2024</v>
      </c>
      <c r="N18" t="s">
        <v>47</v>
      </c>
      <c r="O18" t="s">
        <v>47</v>
      </c>
      <c r="P18" t="s">
        <v>9141</v>
      </c>
      <c r="Q18" s="57"/>
      <c r="R18" t="str">
        <f t="shared" si="0"/>
        <v/>
      </c>
    </row>
    <row r="19" spans="1:18" x14ac:dyDescent="0.3">
      <c r="A19" t="s">
        <v>6671</v>
      </c>
      <c r="B19" s="57"/>
      <c r="C19">
        <v>60</v>
      </c>
      <c r="D19" t="s">
        <v>10</v>
      </c>
      <c r="F19" s="43">
        <v>45292.583333333336</v>
      </c>
      <c r="G19" s="43">
        <v>45292.625</v>
      </c>
      <c r="H19">
        <v>14</v>
      </c>
      <c r="I19">
        <v>0</v>
      </c>
      <c r="J19">
        <v>15</v>
      </c>
      <c r="K19">
        <v>0</v>
      </c>
      <c r="L19">
        <v>2024</v>
      </c>
      <c r="N19" t="s">
        <v>47</v>
      </c>
      <c r="O19" t="s">
        <v>47</v>
      </c>
      <c r="P19" t="s">
        <v>9142</v>
      </c>
      <c r="Q19" s="57"/>
      <c r="R19" t="str">
        <f t="shared" si="0"/>
        <v/>
      </c>
    </row>
    <row r="20" spans="1:18" x14ac:dyDescent="0.3">
      <c r="A20" t="s">
        <v>6671</v>
      </c>
      <c r="B20" s="57"/>
      <c r="C20">
        <v>90</v>
      </c>
      <c r="D20" t="s">
        <v>10</v>
      </c>
      <c r="F20" s="43">
        <v>45292.416666666664</v>
      </c>
      <c r="G20" s="43">
        <v>45292.479166666664</v>
      </c>
      <c r="H20">
        <v>10</v>
      </c>
      <c r="I20">
        <v>0</v>
      </c>
      <c r="J20">
        <v>11</v>
      </c>
      <c r="K20">
        <v>30</v>
      </c>
      <c r="L20">
        <v>2024</v>
      </c>
      <c r="N20" t="s">
        <v>47</v>
      </c>
      <c r="O20" t="s">
        <v>47</v>
      </c>
      <c r="P20" t="s">
        <v>9143</v>
      </c>
      <c r="Q20" s="57"/>
      <c r="R20" t="str">
        <f t="shared" si="0"/>
        <v/>
      </c>
    </row>
    <row r="21" spans="1:18" x14ac:dyDescent="0.3">
      <c r="A21" t="s">
        <v>6671</v>
      </c>
      <c r="B21" s="57"/>
      <c r="C21">
        <v>45</v>
      </c>
      <c r="D21" t="s">
        <v>10</v>
      </c>
      <c r="F21" s="43">
        <v>45292.291666666664</v>
      </c>
      <c r="G21" s="43">
        <v>45292.322916666664</v>
      </c>
      <c r="H21">
        <v>7</v>
      </c>
      <c r="I21">
        <v>0</v>
      </c>
      <c r="J21">
        <v>7</v>
      </c>
      <c r="K21">
        <v>45</v>
      </c>
      <c r="L21">
        <v>2024</v>
      </c>
      <c r="N21" t="s">
        <v>47</v>
      </c>
      <c r="O21" t="s">
        <v>47</v>
      </c>
      <c r="P21" t="s">
        <v>9144</v>
      </c>
      <c r="Q21" s="57"/>
      <c r="R21" t="str">
        <f t="shared" si="0"/>
        <v/>
      </c>
    </row>
    <row r="22" spans="1:18" x14ac:dyDescent="0.3">
      <c r="A22" t="s">
        <v>6671</v>
      </c>
      <c r="B22" s="57"/>
      <c r="C22">
        <v>45</v>
      </c>
      <c r="D22" t="s">
        <v>10</v>
      </c>
      <c r="F22" s="43">
        <v>45291.6875</v>
      </c>
      <c r="G22" s="43">
        <v>45291.71875</v>
      </c>
      <c r="H22">
        <v>16</v>
      </c>
      <c r="I22">
        <v>30</v>
      </c>
      <c r="J22">
        <v>17</v>
      </c>
      <c r="K22">
        <v>15</v>
      </c>
      <c r="L22">
        <v>2023</v>
      </c>
      <c r="N22" t="s">
        <v>47</v>
      </c>
      <c r="O22" t="s">
        <v>47</v>
      </c>
      <c r="P22" t="s">
        <v>9145</v>
      </c>
      <c r="Q22" s="57"/>
      <c r="R22" t="str">
        <f t="shared" si="0"/>
        <v/>
      </c>
    </row>
    <row r="23" spans="1:18" x14ac:dyDescent="0.3">
      <c r="A23" t="s">
        <v>6671</v>
      </c>
      <c r="B23" s="57"/>
      <c r="C23">
        <v>45</v>
      </c>
      <c r="D23" t="s">
        <v>10</v>
      </c>
      <c r="F23" s="43">
        <v>45291.625</v>
      </c>
      <c r="G23" s="43">
        <v>45291.65625</v>
      </c>
      <c r="H23">
        <v>15</v>
      </c>
      <c r="I23">
        <v>0</v>
      </c>
      <c r="J23">
        <v>15</v>
      </c>
      <c r="K23">
        <v>45</v>
      </c>
      <c r="L23">
        <v>2023</v>
      </c>
      <c r="N23" t="s">
        <v>47</v>
      </c>
      <c r="O23" t="s">
        <v>47</v>
      </c>
      <c r="P23" t="s">
        <v>9146</v>
      </c>
      <c r="Q23" s="57"/>
      <c r="R23" t="str">
        <f t="shared" si="0"/>
        <v/>
      </c>
    </row>
    <row r="24" spans="1:18" x14ac:dyDescent="0.3">
      <c r="A24" t="s">
        <v>6671</v>
      </c>
      <c r="B24" s="57"/>
      <c r="C24">
        <v>30</v>
      </c>
      <c r="D24" t="s">
        <v>10</v>
      </c>
      <c r="F24" s="43">
        <v>45291.552083333336</v>
      </c>
      <c r="G24" s="43">
        <v>45291.572916666664</v>
      </c>
      <c r="H24">
        <v>13</v>
      </c>
      <c r="I24">
        <v>15</v>
      </c>
      <c r="J24">
        <v>13</v>
      </c>
      <c r="K24">
        <v>45</v>
      </c>
      <c r="L24">
        <v>2023</v>
      </c>
      <c r="N24" t="s">
        <v>47</v>
      </c>
      <c r="O24" t="s">
        <v>47</v>
      </c>
      <c r="P24" t="s">
        <v>9147</v>
      </c>
      <c r="Q24" s="57"/>
      <c r="R24" t="str">
        <f t="shared" si="0"/>
        <v/>
      </c>
    </row>
    <row r="25" spans="1:18" x14ac:dyDescent="0.3">
      <c r="A25" t="s">
        <v>6671</v>
      </c>
      <c r="B25" s="57"/>
      <c r="C25">
        <v>90</v>
      </c>
      <c r="D25" t="s">
        <v>10</v>
      </c>
      <c r="F25" s="43">
        <v>45291.458333333336</v>
      </c>
      <c r="G25" s="43">
        <v>45291.520833333336</v>
      </c>
      <c r="H25">
        <v>11</v>
      </c>
      <c r="I25">
        <v>0</v>
      </c>
      <c r="J25">
        <v>12</v>
      </c>
      <c r="K25">
        <v>30</v>
      </c>
      <c r="L25">
        <v>2023</v>
      </c>
      <c r="N25" t="s">
        <v>47</v>
      </c>
      <c r="O25" t="s">
        <v>47</v>
      </c>
      <c r="P25" t="s">
        <v>9148</v>
      </c>
      <c r="Q25" s="57"/>
      <c r="R25" t="str">
        <f t="shared" si="0"/>
        <v/>
      </c>
    </row>
    <row r="26" spans="1:18" x14ac:dyDescent="0.3">
      <c r="A26" t="s">
        <v>6671</v>
      </c>
      <c r="B26" s="57"/>
      <c r="C26">
        <v>45</v>
      </c>
      <c r="D26" t="s">
        <v>10</v>
      </c>
      <c r="F26" s="43">
        <v>45291.395833333336</v>
      </c>
      <c r="G26" s="43">
        <v>45291.427083333336</v>
      </c>
      <c r="H26">
        <v>9</v>
      </c>
      <c r="I26">
        <v>30</v>
      </c>
      <c r="J26">
        <v>10</v>
      </c>
      <c r="K26">
        <v>15</v>
      </c>
      <c r="L26">
        <v>2023</v>
      </c>
      <c r="N26" t="s">
        <v>47</v>
      </c>
      <c r="O26" t="s">
        <v>47</v>
      </c>
      <c r="P26" t="s">
        <v>9149</v>
      </c>
      <c r="Q26" s="57"/>
      <c r="R26" t="str">
        <f t="shared" si="0"/>
        <v/>
      </c>
    </row>
    <row r="27" spans="1:18" x14ac:dyDescent="0.3">
      <c r="A27" t="s">
        <v>6671</v>
      </c>
      <c r="B27" s="57"/>
      <c r="C27">
        <v>60</v>
      </c>
      <c r="D27" t="s">
        <v>10</v>
      </c>
      <c r="F27" s="43">
        <v>45291.25</v>
      </c>
      <c r="G27" s="43">
        <v>45291.291666666664</v>
      </c>
      <c r="H27">
        <v>6</v>
      </c>
      <c r="I27">
        <v>0</v>
      </c>
      <c r="J27">
        <v>7</v>
      </c>
      <c r="K27">
        <v>0</v>
      </c>
      <c r="L27">
        <v>2023</v>
      </c>
      <c r="N27" t="s">
        <v>47</v>
      </c>
      <c r="O27" t="s">
        <v>47</v>
      </c>
      <c r="P27" t="s">
        <v>9150</v>
      </c>
      <c r="Q27" s="57"/>
      <c r="R27" t="str">
        <f t="shared" si="0"/>
        <v/>
      </c>
    </row>
    <row r="28" spans="1:18" x14ac:dyDescent="0.3">
      <c r="A28" t="s">
        <v>6671</v>
      </c>
      <c r="B28" s="57"/>
      <c r="C28">
        <v>45</v>
      </c>
      <c r="D28" t="s">
        <v>10</v>
      </c>
      <c r="F28" s="43">
        <v>45290.791666666664</v>
      </c>
      <c r="G28" s="43">
        <v>45290.822916666664</v>
      </c>
      <c r="H28">
        <v>19</v>
      </c>
      <c r="I28">
        <v>0</v>
      </c>
      <c r="J28">
        <v>19</v>
      </c>
      <c r="K28">
        <v>45</v>
      </c>
      <c r="L28">
        <v>2023</v>
      </c>
      <c r="N28" t="s">
        <v>47</v>
      </c>
      <c r="O28" t="s">
        <v>47</v>
      </c>
      <c r="P28" t="s">
        <v>9151</v>
      </c>
      <c r="Q28" s="57"/>
      <c r="R28" t="str">
        <f t="shared" si="0"/>
        <v/>
      </c>
    </row>
    <row r="29" spans="1:18" x14ac:dyDescent="0.3">
      <c r="A29" t="s">
        <v>6671</v>
      </c>
      <c r="B29" s="57"/>
      <c r="C29">
        <v>30</v>
      </c>
      <c r="D29" t="s">
        <v>10</v>
      </c>
      <c r="F29" s="43">
        <v>45290.708333333336</v>
      </c>
      <c r="G29" s="43">
        <v>45290.729166666664</v>
      </c>
      <c r="H29">
        <v>17</v>
      </c>
      <c r="I29">
        <v>0</v>
      </c>
      <c r="J29">
        <v>17</v>
      </c>
      <c r="K29">
        <v>30</v>
      </c>
      <c r="L29">
        <v>2023</v>
      </c>
      <c r="N29" t="s">
        <v>47</v>
      </c>
      <c r="O29" t="s">
        <v>47</v>
      </c>
      <c r="P29" t="s">
        <v>9152</v>
      </c>
      <c r="Q29" s="57"/>
      <c r="R29" t="str">
        <f t="shared" si="0"/>
        <v/>
      </c>
    </row>
    <row r="30" spans="1:18" x14ac:dyDescent="0.3">
      <c r="A30" t="s">
        <v>6671</v>
      </c>
      <c r="B30" s="57"/>
      <c r="C30">
        <v>30</v>
      </c>
      <c r="D30" t="s">
        <v>10</v>
      </c>
      <c r="F30" s="43">
        <v>45290.677083333336</v>
      </c>
      <c r="G30" s="43">
        <v>45290.697916666664</v>
      </c>
      <c r="H30">
        <v>16</v>
      </c>
      <c r="I30">
        <v>15</v>
      </c>
      <c r="J30">
        <v>16</v>
      </c>
      <c r="K30">
        <v>45</v>
      </c>
      <c r="L30">
        <v>2023</v>
      </c>
      <c r="N30" t="s">
        <v>47</v>
      </c>
      <c r="O30" t="s">
        <v>47</v>
      </c>
      <c r="P30" t="s">
        <v>9153</v>
      </c>
      <c r="Q30" s="57"/>
      <c r="R30" t="str">
        <f t="shared" si="0"/>
        <v/>
      </c>
    </row>
    <row r="31" spans="1:18" x14ac:dyDescent="0.3">
      <c r="A31" t="s">
        <v>6671</v>
      </c>
      <c r="B31" s="57"/>
      <c r="C31">
        <v>90</v>
      </c>
      <c r="D31" t="s">
        <v>10</v>
      </c>
      <c r="F31" s="43">
        <v>45290.583333333336</v>
      </c>
      <c r="G31" s="43">
        <v>45290.645833333336</v>
      </c>
      <c r="H31">
        <v>14</v>
      </c>
      <c r="I31">
        <v>0</v>
      </c>
      <c r="J31">
        <v>15</v>
      </c>
      <c r="K31">
        <v>30</v>
      </c>
      <c r="L31">
        <v>2023</v>
      </c>
      <c r="N31" t="s">
        <v>47</v>
      </c>
      <c r="O31" t="s">
        <v>47</v>
      </c>
      <c r="P31" t="s">
        <v>9154</v>
      </c>
      <c r="Q31" s="57"/>
      <c r="R31" t="str">
        <f t="shared" si="0"/>
        <v/>
      </c>
    </row>
    <row r="32" spans="1:18" x14ac:dyDescent="0.3">
      <c r="A32" t="s">
        <v>6671</v>
      </c>
      <c r="B32" s="57"/>
      <c r="C32">
        <v>45</v>
      </c>
      <c r="D32" t="s">
        <v>10</v>
      </c>
      <c r="F32" s="43">
        <v>45290.5</v>
      </c>
      <c r="G32" s="43">
        <v>45290.53125</v>
      </c>
      <c r="H32">
        <v>12</v>
      </c>
      <c r="I32">
        <v>0</v>
      </c>
      <c r="J32">
        <v>12</v>
      </c>
      <c r="K32">
        <v>45</v>
      </c>
      <c r="L32">
        <v>2023</v>
      </c>
      <c r="N32" t="s">
        <v>47</v>
      </c>
      <c r="O32" t="s">
        <v>47</v>
      </c>
      <c r="P32" t="s">
        <v>9155</v>
      </c>
      <c r="Q32" s="57"/>
      <c r="R32" t="str">
        <f t="shared" si="0"/>
        <v/>
      </c>
    </row>
    <row r="33" spans="1:18" x14ac:dyDescent="0.3">
      <c r="A33" t="s">
        <v>6671</v>
      </c>
      <c r="B33" s="57"/>
      <c r="C33">
        <v>60</v>
      </c>
      <c r="D33" t="s">
        <v>10</v>
      </c>
      <c r="F33" s="43">
        <v>45290.4375</v>
      </c>
      <c r="G33" s="43">
        <v>45290.479166666664</v>
      </c>
      <c r="H33">
        <v>10</v>
      </c>
      <c r="I33">
        <v>30</v>
      </c>
      <c r="J33">
        <v>11</v>
      </c>
      <c r="K33">
        <v>30</v>
      </c>
      <c r="L33">
        <v>2023</v>
      </c>
      <c r="N33" t="s">
        <v>47</v>
      </c>
      <c r="O33" t="s">
        <v>47</v>
      </c>
      <c r="P33" t="s">
        <v>9156</v>
      </c>
      <c r="Q33" s="57"/>
      <c r="R33" t="str">
        <f t="shared" si="0"/>
        <v/>
      </c>
    </row>
    <row r="34" spans="1:18" x14ac:dyDescent="0.3">
      <c r="A34" t="s">
        <v>6671</v>
      </c>
      <c r="B34" s="57"/>
      <c r="C34">
        <v>80</v>
      </c>
      <c r="D34" t="s">
        <v>10</v>
      </c>
      <c r="F34" s="43">
        <v>45289.791666666664</v>
      </c>
      <c r="G34" s="43">
        <v>45289.847222222219</v>
      </c>
      <c r="H34">
        <v>19</v>
      </c>
      <c r="I34">
        <v>0</v>
      </c>
      <c r="J34">
        <v>20</v>
      </c>
      <c r="K34">
        <v>20</v>
      </c>
      <c r="L34">
        <v>2023</v>
      </c>
      <c r="N34" t="s">
        <v>47</v>
      </c>
      <c r="O34" t="s">
        <v>47</v>
      </c>
      <c r="P34" t="s">
        <v>9157</v>
      </c>
      <c r="Q34" s="57"/>
      <c r="R34" t="str">
        <f t="shared" si="0"/>
        <v/>
      </c>
    </row>
    <row r="35" spans="1:18" x14ac:dyDescent="0.3">
      <c r="A35" t="s">
        <v>6671</v>
      </c>
      <c r="B35" s="57"/>
      <c r="C35">
        <v>105</v>
      </c>
      <c r="D35" t="s">
        <v>10</v>
      </c>
      <c r="F35" s="43">
        <v>45289.604166666664</v>
      </c>
      <c r="G35" s="43">
        <v>45289.677083333336</v>
      </c>
      <c r="H35">
        <v>14</v>
      </c>
      <c r="I35">
        <v>30</v>
      </c>
      <c r="J35">
        <v>16</v>
      </c>
      <c r="K35">
        <v>15</v>
      </c>
      <c r="L35">
        <v>2023</v>
      </c>
      <c r="N35" t="s">
        <v>47</v>
      </c>
      <c r="O35" t="s">
        <v>47</v>
      </c>
      <c r="P35" t="s">
        <v>9158</v>
      </c>
      <c r="Q35" s="57"/>
      <c r="R35" t="str">
        <f t="shared" si="0"/>
        <v/>
      </c>
    </row>
    <row r="36" spans="1:18" x14ac:dyDescent="0.3">
      <c r="A36" t="s">
        <v>6671</v>
      </c>
      <c r="B36" s="57"/>
      <c r="C36">
        <v>60</v>
      </c>
      <c r="D36" t="s">
        <v>10</v>
      </c>
      <c r="F36" s="43">
        <v>45289.5</v>
      </c>
      <c r="G36" s="43">
        <v>45289.541666666664</v>
      </c>
      <c r="H36">
        <v>12</v>
      </c>
      <c r="I36">
        <v>0</v>
      </c>
      <c r="J36">
        <v>13</v>
      </c>
      <c r="K36">
        <v>0</v>
      </c>
      <c r="L36">
        <v>2023</v>
      </c>
      <c r="N36" t="s">
        <v>47</v>
      </c>
      <c r="O36" t="s">
        <v>47</v>
      </c>
      <c r="P36" t="s">
        <v>9159</v>
      </c>
      <c r="Q36" s="57"/>
      <c r="R36" t="str">
        <f t="shared" si="0"/>
        <v/>
      </c>
    </row>
    <row r="37" spans="1:18" x14ac:dyDescent="0.3">
      <c r="A37" t="s">
        <v>6671</v>
      </c>
      <c r="B37" s="57"/>
      <c r="C37">
        <v>30</v>
      </c>
      <c r="D37" t="s">
        <v>10</v>
      </c>
      <c r="F37" s="43">
        <v>45289.416666666664</v>
      </c>
      <c r="G37" s="43">
        <v>45289.4375</v>
      </c>
      <c r="H37">
        <v>10</v>
      </c>
      <c r="I37">
        <v>0</v>
      </c>
      <c r="J37">
        <v>10</v>
      </c>
      <c r="K37">
        <v>30</v>
      </c>
      <c r="L37">
        <v>2023</v>
      </c>
      <c r="N37" t="s">
        <v>47</v>
      </c>
      <c r="O37" t="s">
        <v>47</v>
      </c>
      <c r="P37" t="s">
        <v>9160</v>
      </c>
      <c r="Q37" s="57"/>
      <c r="R37" t="str">
        <f t="shared" si="0"/>
        <v/>
      </c>
    </row>
    <row r="38" spans="1:18" x14ac:dyDescent="0.3">
      <c r="A38" t="s">
        <v>6671</v>
      </c>
      <c r="B38" s="57"/>
      <c r="C38">
        <v>60</v>
      </c>
      <c r="D38" t="s">
        <v>10</v>
      </c>
      <c r="F38" s="43">
        <v>45289.333333333336</v>
      </c>
      <c r="G38" s="43">
        <v>45289.375</v>
      </c>
      <c r="H38">
        <v>8</v>
      </c>
      <c r="I38">
        <v>0</v>
      </c>
      <c r="J38">
        <v>9</v>
      </c>
      <c r="K38">
        <v>0</v>
      </c>
      <c r="L38">
        <v>2023</v>
      </c>
      <c r="N38" t="s">
        <v>47</v>
      </c>
      <c r="O38" t="s">
        <v>47</v>
      </c>
      <c r="P38" t="s">
        <v>9161</v>
      </c>
      <c r="Q38" s="57"/>
      <c r="R38" t="str">
        <f t="shared" si="0"/>
        <v/>
      </c>
    </row>
    <row r="39" spans="1:18" x14ac:dyDescent="0.3">
      <c r="A39" t="s">
        <v>6671</v>
      </c>
      <c r="B39" s="57"/>
      <c r="C39">
        <v>120</v>
      </c>
      <c r="D39" t="s">
        <v>10</v>
      </c>
      <c r="F39" s="43">
        <v>45288.6875</v>
      </c>
      <c r="G39" s="43">
        <v>45288.770833333336</v>
      </c>
      <c r="H39">
        <v>16</v>
      </c>
      <c r="I39">
        <v>30</v>
      </c>
      <c r="J39">
        <v>18</v>
      </c>
      <c r="K39">
        <v>30</v>
      </c>
      <c r="L39">
        <v>2023</v>
      </c>
      <c r="N39" t="s">
        <v>47</v>
      </c>
      <c r="O39" t="s">
        <v>47</v>
      </c>
      <c r="P39" t="s">
        <v>9162</v>
      </c>
      <c r="Q39" s="57"/>
      <c r="R39" t="str">
        <f t="shared" si="0"/>
        <v/>
      </c>
    </row>
    <row r="40" spans="1:18" x14ac:dyDescent="0.3">
      <c r="A40" t="s">
        <v>9163</v>
      </c>
      <c r="B40" s="57"/>
      <c r="C40">
        <v>120</v>
      </c>
      <c r="D40" t="s">
        <v>10</v>
      </c>
      <c r="F40" s="43">
        <v>45288.5625</v>
      </c>
      <c r="G40" s="43">
        <v>45288.645833333336</v>
      </c>
      <c r="H40">
        <v>13</v>
      </c>
      <c r="I40">
        <v>30</v>
      </c>
      <c r="J40">
        <v>15</v>
      </c>
      <c r="K40">
        <v>30</v>
      </c>
      <c r="L40">
        <v>2023</v>
      </c>
      <c r="N40" t="s">
        <v>47</v>
      </c>
      <c r="O40" t="s">
        <v>47</v>
      </c>
      <c r="P40" t="s">
        <v>9164</v>
      </c>
      <c r="Q40" s="57"/>
      <c r="R40" t="str">
        <f t="shared" si="0"/>
        <v/>
      </c>
    </row>
    <row r="41" spans="1:18" x14ac:dyDescent="0.3">
      <c r="A41" t="s">
        <v>9167</v>
      </c>
      <c r="B41" s="57"/>
      <c r="C41">
        <v>45</v>
      </c>
      <c r="D41" t="s">
        <v>10</v>
      </c>
      <c r="E41" t="s">
        <v>9168</v>
      </c>
      <c r="F41" s="43">
        <v>45288.416666666664</v>
      </c>
      <c r="G41" s="43">
        <v>45288.447916666664</v>
      </c>
      <c r="H41">
        <v>10</v>
      </c>
      <c r="I41">
        <v>0</v>
      </c>
      <c r="J41">
        <v>10</v>
      </c>
      <c r="K41">
        <v>45</v>
      </c>
      <c r="L41">
        <v>2023</v>
      </c>
      <c r="N41" t="s">
        <v>9169</v>
      </c>
      <c r="O41" t="s">
        <v>73</v>
      </c>
      <c r="P41" t="s">
        <v>9170</v>
      </c>
      <c r="Q41" s="57"/>
      <c r="R41" t="str">
        <f t="shared" si="0"/>
        <v/>
      </c>
    </row>
    <row r="42" spans="1:18" x14ac:dyDescent="0.3">
      <c r="A42" t="s">
        <v>7</v>
      </c>
      <c r="B42" s="57"/>
      <c r="C42">
        <v>30</v>
      </c>
      <c r="D42" t="s">
        <v>10</v>
      </c>
      <c r="F42" s="43">
        <v>45288.395833333336</v>
      </c>
      <c r="G42" s="43">
        <v>45288.416666666664</v>
      </c>
      <c r="H42">
        <v>9</v>
      </c>
      <c r="I42">
        <v>30</v>
      </c>
      <c r="J42">
        <v>10</v>
      </c>
      <c r="K42">
        <v>0</v>
      </c>
      <c r="L42">
        <v>2023</v>
      </c>
      <c r="N42" t="s">
        <v>47</v>
      </c>
      <c r="O42" t="s">
        <v>47</v>
      </c>
      <c r="P42" t="s">
        <v>9165</v>
      </c>
      <c r="Q42" s="57"/>
      <c r="R42" t="str">
        <f t="shared" si="0"/>
        <v/>
      </c>
    </row>
    <row r="43" spans="1:18" x14ac:dyDescent="0.3">
      <c r="A43" t="s">
        <v>6671</v>
      </c>
      <c r="B43" s="57"/>
      <c r="C43">
        <v>60</v>
      </c>
      <c r="D43" t="s">
        <v>10</v>
      </c>
      <c r="F43" s="43">
        <v>45288.354166666664</v>
      </c>
      <c r="G43" s="43">
        <v>45288.395833333336</v>
      </c>
      <c r="H43">
        <v>8</v>
      </c>
      <c r="I43">
        <v>30</v>
      </c>
      <c r="J43">
        <v>9</v>
      </c>
      <c r="K43">
        <v>30</v>
      </c>
      <c r="L43">
        <v>2023</v>
      </c>
      <c r="N43" t="s">
        <v>47</v>
      </c>
      <c r="O43" t="s">
        <v>47</v>
      </c>
      <c r="P43" t="s">
        <v>9166</v>
      </c>
      <c r="Q43" s="57"/>
      <c r="R43" t="str">
        <f t="shared" si="0"/>
        <v/>
      </c>
    </row>
    <row r="44" spans="1:18" x14ac:dyDescent="0.3">
      <c r="A44" t="s">
        <v>6671</v>
      </c>
      <c r="B44" s="57"/>
      <c r="C44">
        <v>60</v>
      </c>
      <c r="D44" t="s">
        <v>10</v>
      </c>
      <c r="F44" s="43">
        <v>45288.25</v>
      </c>
      <c r="G44" s="43">
        <v>45288.291666666664</v>
      </c>
      <c r="H44">
        <v>6</v>
      </c>
      <c r="I44">
        <v>0</v>
      </c>
      <c r="J44">
        <v>7</v>
      </c>
      <c r="K44">
        <v>0</v>
      </c>
      <c r="L44">
        <v>2023</v>
      </c>
      <c r="N44" t="s">
        <v>47</v>
      </c>
      <c r="O44" t="s">
        <v>47</v>
      </c>
      <c r="P44" t="s">
        <v>9171</v>
      </c>
      <c r="Q44" s="57"/>
      <c r="R44" t="str">
        <f t="shared" si="0"/>
        <v/>
      </c>
    </row>
    <row r="45" spans="1:18" x14ac:dyDescent="0.3">
      <c r="A45" t="s">
        <v>6671</v>
      </c>
      <c r="B45" s="57"/>
      <c r="C45">
        <v>45</v>
      </c>
      <c r="D45" t="s">
        <v>10</v>
      </c>
      <c r="F45" s="43">
        <v>45287.791666666664</v>
      </c>
      <c r="G45" s="43">
        <v>45287.822916666664</v>
      </c>
      <c r="H45">
        <v>19</v>
      </c>
      <c r="I45">
        <v>0</v>
      </c>
      <c r="J45">
        <v>19</v>
      </c>
      <c r="K45">
        <v>45</v>
      </c>
      <c r="L45">
        <v>2023</v>
      </c>
      <c r="N45" t="s">
        <v>47</v>
      </c>
      <c r="O45" t="s">
        <v>47</v>
      </c>
      <c r="P45" t="s">
        <v>9172</v>
      </c>
      <c r="Q45" s="57"/>
      <c r="R45" t="str">
        <f t="shared" si="0"/>
        <v/>
      </c>
    </row>
    <row r="46" spans="1:18" x14ac:dyDescent="0.3">
      <c r="A46" t="s">
        <v>6671</v>
      </c>
      <c r="B46" s="57"/>
      <c r="C46">
        <v>20</v>
      </c>
      <c r="D46" t="s">
        <v>10</v>
      </c>
      <c r="F46" s="43">
        <v>45287.708333333336</v>
      </c>
      <c r="G46" s="43">
        <v>45287.722222222219</v>
      </c>
      <c r="H46">
        <v>17</v>
      </c>
      <c r="I46">
        <v>0</v>
      </c>
      <c r="J46">
        <v>17</v>
      </c>
      <c r="K46">
        <v>20</v>
      </c>
      <c r="L46">
        <v>2023</v>
      </c>
      <c r="N46" t="s">
        <v>47</v>
      </c>
      <c r="O46" t="s">
        <v>47</v>
      </c>
      <c r="P46" t="s">
        <v>9173</v>
      </c>
      <c r="Q46" s="57"/>
      <c r="R46" t="str">
        <f t="shared" si="0"/>
        <v/>
      </c>
    </row>
    <row r="47" spans="1:18" x14ac:dyDescent="0.3">
      <c r="A47" t="s">
        <v>6671</v>
      </c>
      <c r="B47" s="57"/>
      <c r="C47">
        <v>45</v>
      </c>
      <c r="D47" t="s">
        <v>10</v>
      </c>
      <c r="F47" s="43">
        <v>45287.666666666664</v>
      </c>
      <c r="G47" s="43">
        <v>45287.697916666664</v>
      </c>
      <c r="H47">
        <v>16</v>
      </c>
      <c r="I47">
        <v>0</v>
      </c>
      <c r="J47">
        <v>16</v>
      </c>
      <c r="K47">
        <v>45</v>
      </c>
      <c r="L47">
        <v>2023</v>
      </c>
      <c r="N47" t="s">
        <v>47</v>
      </c>
      <c r="O47" t="s">
        <v>47</v>
      </c>
      <c r="P47" t="s">
        <v>9174</v>
      </c>
      <c r="Q47" s="57"/>
      <c r="R47" t="str">
        <f t="shared" si="0"/>
        <v/>
      </c>
    </row>
    <row r="48" spans="1:18" x14ac:dyDescent="0.3">
      <c r="A48" t="s">
        <v>6671</v>
      </c>
      <c r="B48" s="57"/>
      <c r="C48">
        <v>60</v>
      </c>
      <c r="D48" t="s">
        <v>10</v>
      </c>
      <c r="F48" s="43">
        <v>45287.604166666664</v>
      </c>
      <c r="G48" s="43">
        <v>45287.645833333336</v>
      </c>
      <c r="H48">
        <v>14</v>
      </c>
      <c r="I48">
        <v>30</v>
      </c>
      <c r="J48">
        <v>15</v>
      </c>
      <c r="K48">
        <v>30</v>
      </c>
      <c r="L48">
        <v>2023</v>
      </c>
      <c r="N48" t="s">
        <v>47</v>
      </c>
      <c r="O48" t="s">
        <v>47</v>
      </c>
      <c r="P48" t="s">
        <v>9175</v>
      </c>
      <c r="Q48" s="57"/>
      <c r="R48" t="str">
        <f t="shared" si="0"/>
        <v/>
      </c>
    </row>
    <row r="49" spans="1:18" x14ac:dyDescent="0.3">
      <c r="A49" t="s">
        <v>6671</v>
      </c>
      <c r="B49" s="57"/>
      <c r="C49">
        <v>30</v>
      </c>
      <c r="D49" t="s">
        <v>10</v>
      </c>
      <c r="F49" s="43">
        <v>45287.5625</v>
      </c>
      <c r="G49" s="43">
        <v>45287.583333333336</v>
      </c>
      <c r="H49">
        <v>13</v>
      </c>
      <c r="I49">
        <v>30</v>
      </c>
      <c r="J49">
        <v>14</v>
      </c>
      <c r="K49">
        <v>0</v>
      </c>
      <c r="L49">
        <v>2023</v>
      </c>
      <c r="N49" t="s">
        <v>47</v>
      </c>
      <c r="O49" t="s">
        <v>47</v>
      </c>
      <c r="P49" t="s">
        <v>9176</v>
      </c>
      <c r="Q49" s="57"/>
      <c r="R49" t="str">
        <f t="shared" si="0"/>
        <v/>
      </c>
    </row>
    <row r="50" spans="1:18" x14ac:dyDescent="0.3">
      <c r="A50" t="s">
        <v>6671</v>
      </c>
      <c r="B50" s="57"/>
      <c r="C50">
        <v>30</v>
      </c>
      <c r="D50" t="s">
        <v>10</v>
      </c>
      <c r="F50" s="43">
        <v>45287.479166666664</v>
      </c>
      <c r="G50" s="43">
        <v>45287.5</v>
      </c>
      <c r="H50">
        <v>11</v>
      </c>
      <c r="I50">
        <v>30</v>
      </c>
      <c r="J50">
        <v>12</v>
      </c>
      <c r="K50">
        <v>0</v>
      </c>
      <c r="L50">
        <v>2023</v>
      </c>
      <c r="N50" t="s">
        <v>47</v>
      </c>
      <c r="O50" t="s">
        <v>47</v>
      </c>
      <c r="P50" t="s">
        <v>9177</v>
      </c>
      <c r="Q50" s="57"/>
      <c r="R50" t="str">
        <f t="shared" si="0"/>
        <v/>
      </c>
    </row>
    <row r="51" spans="1:18" x14ac:dyDescent="0.3">
      <c r="A51" t="s">
        <v>4790</v>
      </c>
      <c r="B51" s="57"/>
      <c r="C51">
        <v>30</v>
      </c>
      <c r="D51" t="s">
        <v>10</v>
      </c>
      <c r="F51" s="43">
        <v>45287.458333333336</v>
      </c>
      <c r="G51" s="43">
        <v>45287.479166666664</v>
      </c>
      <c r="H51">
        <v>11</v>
      </c>
      <c r="I51">
        <v>0</v>
      </c>
      <c r="J51">
        <v>11</v>
      </c>
      <c r="K51">
        <v>30</v>
      </c>
      <c r="L51">
        <v>2023</v>
      </c>
      <c r="N51" t="s">
        <v>47</v>
      </c>
      <c r="O51" t="s">
        <v>47</v>
      </c>
      <c r="P51" t="s">
        <v>9178</v>
      </c>
      <c r="Q51" s="57"/>
      <c r="R51" t="str">
        <f t="shared" si="0"/>
        <v/>
      </c>
    </row>
    <row r="52" spans="1:18" x14ac:dyDescent="0.3">
      <c r="A52" t="s">
        <v>6671</v>
      </c>
      <c r="B52" s="57"/>
      <c r="C52">
        <v>30</v>
      </c>
      <c r="D52" t="s">
        <v>10</v>
      </c>
      <c r="F52" s="43">
        <v>45287.4375</v>
      </c>
      <c r="G52" s="43">
        <v>45287.458333333336</v>
      </c>
      <c r="H52">
        <v>10</v>
      </c>
      <c r="I52">
        <v>30</v>
      </c>
      <c r="J52">
        <v>11</v>
      </c>
      <c r="K52">
        <v>0</v>
      </c>
      <c r="L52">
        <v>2023</v>
      </c>
      <c r="N52" t="s">
        <v>47</v>
      </c>
      <c r="O52" t="s">
        <v>47</v>
      </c>
      <c r="P52" t="s">
        <v>9179</v>
      </c>
      <c r="Q52" s="57"/>
      <c r="R52" t="str">
        <f t="shared" si="0"/>
        <v/>
      </c>
    </row>
    <row r="53" spans="1:18" x14ac:dyDescent="0.3">
      <c r="A53" t="s">
        <v>4790</v>
      </c>
      <c r="B53" s="57"/>
      <c r="C53">
        <v>60</v>
      </c>
      <c r="D53" t="s">
        <v>10</v>
      </c>
      <c r="F53" s="43">
        <v>45287.395833333336</v>
      </c>
      <c r="G53" s="43">
        <v>45287.4375</v>
      </c>
      <c r="H53">
        <v>9</v>
      </c>
      <c r="I53">
        <v>30</v>
      </c>
      <c r="J53">
        <v>10</v>
      </c>
      <c r="K53">
        <v>30</v>
      </c>
      <c r="L53">
        <v>2023</v>
      </c>
      <c r="N53" t="s">
        <v>47</v>
      </c>
      <c r="O53" t="s">
        <v>47</v>
      </c>
      <c r="P53" t="s">
        <v>9180</v>
      </c>
      <c r="Q53" s="57"/>
      <c r="R53" t="str">
        <f t="shared" si="0"/>
        <v/>
      </c>
    </row>
    <row r="54" spans="1:18" x14ac:dyDescent="0.3">
      <c r="A54" t="s">
        <v>6671</v>
      </c>
      <c r="B54" s="57"/>
      <c r="C54">
        <v>30</v>
      </c>
      <c r="D54" t="s">
        <v>10</v>
      </c>
      <c r="F54" s="43">
        <v>45287.375</v>
      </c>
      <c r="G54" s="43">
        <v>45287.395833333336</v>
      </c>
      <c r="H54">
        <v>9</v>
      </c>
      <c r="I54">
        <v>0</v>
      </c>
      <c r="J54">
        <v>9</v>
      </c>
      <c r="K54">
        <v>30</v>
      </c>
      <c r="L54">
        <v>2023</v>
      </c>
      <c r="N54" t="s">
        <v>47</v>
      </c>
      <c r="O54" t="s">
        <v>47</v>
      </c>
      <c r="P54" t="s">
        <v>9181</v>
      </c>
      <c r="Q54" s="57"/>
      <c r="R54" t="str">
        <f t="shared" si="0"/>
        <v/>
      </c>
    </row>
    <row r="55" spans="1:18" x14ac:dyDescent="0.3">
      <c r="A55" t="s">
        <v>6671</v>
      </c>
      <c r="B55" s="57"/>
      <c r="C55">
        <v>60</v>
      </c>
      <c r="D55" t="s">
        <v>10</v>
      </c>
      <c r="F55" s="43">
        <v>45287.25</v>
      </c>
      <c r="G55" s="43">
        <v>45287.291666666664</v>
      </c>
      <c r="H55">
        <v>6</v>
      </c>
      <c r="I55">
        <v>0</v>
      </c>
      <c r="J55">
        <v>7</v>
      </c>
      <c r="K55">
        <v>0</v>
      </c>
      <c r="L55">
        <v>2023</v>
      </c>
      <c r="N55" t="s">
        <v>47</v>
      </c>
      <c r="O55" t="s">
        <v>47</v>
      </c>
      <c r="P55" t="s">
        <v>9182</v>
      </c>
      <c r="Q55" s="57"/>
      <c r="R55" t="str">
        <f t="shared" si="0"/>
        <v/>
      </c>
    </row>
    <row r="56" spans="1:18" x14ac:dyDescent="0.3">
      <c r="A56" t="s">
        <v>6671</v>
      </c>
      <c r="B56" s="57"/>
      <c r="C56">
        <v>60</v>
      </c>
      <c r="D56" t="s">
        <v>10</v>
      </c>
      <c r="F56" s="43">
        <v>45286.75</v>
      </c>
      <c r="G56" s="43">
        <v>45286.791666666664</v>
      </c>
      <c r="H56">
        <v>18</v>
      </c>
      <c r="I56">
        <v>0</v>
      </c>
      <c r="J56">
        <v>19</v>
      </c>
      <c r="K56">
        <v>0</v>
      </c>
      <c r="L56">
        <v>2023</v>
      </c>
      <c r="N56" t="s">
        <v>47</v>
      </c>
      <c r="O56" t="s">
        <v>47</v>
      </c>
      <c r="P56" t="s">
        <v>9183</v>
      </c>
      <c r="Q56" s="57"/>
      <c r="R56" t="str">
        <f t="shared" si="0"/>
        <v/>
      </c>
    </row>
    <row r="57" spans="1:18" x14ac:dyDescent="0.3">
      <c r="A57" t="s">
        <v>6671</v>
      </c>
      <c r="B57" s="57"/>
      <c r="C57">
        <v>60</v>
      </c>
      <c r="D57" t="s">
        <v>10</v>
      </c>
      <c r="F57" s="43">
        <v>45286.65625</v>
      </c>
      <c r="G57" s="43">
        <v>45286.697916666664</v>
      </c>
      <c r="H57">
        <v>15</v>
      </c>
      <c r="I57">
        <v>45</v>
      </c>
      <c r="J57">
        <v>16</v>
      </c>
      <c r="K57">
        <v>45</v>
      </c>
      <c r="L57">
        <v>2023</v>
      </c>
      <c r="N57" t="s">
        <v>47</v>
      </c>
      <c r="O57" t="s">
        <v>47</v>
      </c>
      <c r="P57" t="s">
        <v>9184</v>
      </c>
      <c r="Q57" s="57"/>
      <c r="R57" t="str">
        <f t="shared" si="0"/>
        <v/>
      </c>
    </row>
    <row r="58" spans="1:18" x14ac:dyDescent="0.3">
      <c r="A58" t="s">
        <v>6671</v>
      </c>
      <c r="B58" s="57"/>
      <c r="C58">
        <v>90</v>
      </c>
      <c r="D58" t="s">
        <v>10</v>
      </c>
      <c r="F58" s="43">
        <v>45286.583333333336</v>
      </c>
      <c r="G58" s="43">
        <v>45286.645833333336</v>
      </c>
      <c r="H58">
        <v>14</v>
      </c>
      <c r="I58">
        <v>0</v>
      </c>
      <c r="J58">
        <v>15</v>
      </c>
      <c r="K58">
        <v>30</v>
      </c>
      <c r="L58">
        <v>2023</v>
      </c>
      <c r="N58" t="s">
        <v>47</v>
      </c>
      <c r="O58" t="s">
        <v>47</v>
      </c>
      <c r="P58" t="s">
        <v>9185</v>
      </c>
      <c r="Q58" s="57"/>
      <c r="R58" t="str">
        <f t="shared" si="0"/>
        <v/>
      </c>
    </row>
    <row r="59" spans="1:18" x14ac:dyDescent="0.3">
      <c r="A59" t="s">
        <v>6671</v>
      </c>
      <c r="B59" s="57"/>
      <c r="C59">
        <v>45</v>
      </c>
      <c r="D59" t="s">
        <v>10</v>
      </c>
      <c r="F59" s="43">
        <v>45286.458333333336</v>
      </c>
      <c r="G59" s="43">
        <v>45286.489583333336</v>
      </c>
      <c r="H59">
        <v>11</v>
      </c>
      <c r="I59">
        <v>0</v>
      </c>
      <c r="J59">
        <v>11</v>
      </c>
      <c r="K59">
        <v>45</v>
      </c>
      <c r="L59">
        <v>2023</v>
      </c>
      <c r="N59" t="s">
        <v>47</v>
      </c>
      <c r="O59" t="s">
        <v>47</v>
      </c>
      <c r="P59" t="s">
        <v>9186</v>
      </c>
      <c r="Q59" s="57"/>
      <c r="R59" t="str">
        <f t="shared" si="0"/>
        <v/>
      </c>
    </row>
    <row r="60" spans="1:18" x14ac:dyDescent="0.3">
      <c r="A60" t="s">
        <v>6671</v>
      </c>
      <c r="B60" s="57"/>
      <c r="C60">
        <v>75</v>
      </c>
      <c r="D60" t="s">
        <v>10</v>
      </c>
      <c r="F60" s="43">
        <v>45286.34375</v>
      </c>
      <c r="G60" s="43">
        <v>45286.395833333336</v>
      </c>
      <c r="H60">
        <v>8</v>
      </c>
      <c r="I60">
        <v>15</v>
      </c>
      <c r="J60">
        <v>9</v>
      </c>
      <c r="K60">
        <v>30</v>
      </c>
      <c r="L60">
        <v>2023</v>
      </c>
      <c r="N60" t="s">
        <v>47</v>
      </c>
      <c r="O60" t="s">
        <v>47</v>
      </c>
      <c r="P60" t="s">
        <v>9187</v>
      </c>
      <c r="Q60" s="57"/>
      <c r="R60" t="str">
        <f t="shared" si="0"/>
        <v/>
      </c>
    </row>
    <row r="61" spans="1:18" x14ac:dyDescent="0.3">
      <c r="A61" t="s">
        <v>9194</v>
      </c>
      <c r="B61" s="57"/>
      <c r="C61">
        <v>4350</v>
      </c>
      <c r="D61" t="s">
        <v>10</v>
      </c>
      <c r="F61" s="43">
        <v>45286.333333333336</v>
      </c>
      <c r="G61" s="43">
        <v>45289.354166666664</v>
      </c>
      <c r="H61">
        <v>8</v>
      </c>
      <c r="I61">
        <v>0</v>
      </c>
      <c r="J61">
        <v>8</v>
      </c>
      <c r="K61">
        <v>30</v>
      </c>
      <c r="L61">
        <v>2023</v>
      </c>
      <c r="N61" t="s">
        <v>9195</v>
      </c>
      <c r="O61" t="s">
        <v>8224</v>
      </c>
      <c r="P61" t="s">
        <v>9196</v>
      </c>
      <c r="Q61" s="57"/>
      <c r="R61" t="str">
        <f t="shared" si="0"/>
        <v/>
      </c>
    </row>
    <row r="62" spans="1:18" x14ac:dyDescent="0.3">
      <c r="A62" t="s">
        <v>6671</v>
      </c>
      <c r="B62" s="57"/>
      <c r="C62">
        <v>90</v>
      </c>
      <c r="D62" t="s">
        <v>10</v>
      </c>
      <c r="F62" s="43">
        <v>45286.229166666664</v>
      </c>
      <c r="G62" s="43">
        <v>45286.291666666664</v>
      </c>
      <c r="H62">
        <v>5</v>
      </c>
      <c r="I62">
        <v>30</v>
      </c>
      <c r="J62">
        <v>7</v>
      </c>
      <c r="K62">
        <v>0</v>
      </c>
      <c r="L62">
        <v>2023</v>
      </c>
      <c r="N62" t="s">
        <v>47</v>
      </c>
      <c r="O62" t="s">
        <v>47</v>
      </c>
      <c r="P62" t="s">
        <v>9188</v>
      </c>
      <c r="Q62" s="57"/>
      <c r="R62" t="str">
        <f t="shared" si="0"/>
        <v/>
      </c>
    </row>
    <row r="63" spans="1:18" x14ac:dyDescent="0.3">
      <c r="A63" t="s">
        <v>6671</v>
      </c>
      <c r="B63" s="57"/>
      <c r="C63">
        <v>120</v>
      </c>
      <c r="D63" t="s">
        <v>10</v>
      </c>
      <c r="F63" s="43">
        <v>45285.729166666664</v>
      </c>
      <c r="G63" s="43">
        <v>45285.8125</v>
      </c>
      <c r="H63">
        <v>17</v>
      </c>
      <c r="I63">
        <v>30</v>
      </c>
      <c r="J63">
        <v>19</v>
      </c>
      <c r="K63">
        <v>30</v>
      </c>
      <c r="L63">
        <v>2023</v>
      </c>
      <c r="N63" t="s">
        <v>47</v>
      </c>
      <c r="O63" t="s">
        <v>47</v>
      </c>
      <c r="P63" t="s">
        <v>9189</v>
      </c>
      <c r="Q63" s="57"/>
      <c r="R63" t="str">
        <f t="shared" si="0"/>
        <v/>
      </c>
    </row>
    <row r="64" spans="1:18" x14ac:dyDescent="0.3">
      <c r="A64" t="s">
        <v>6671</v>
      </c>
      <c r="B64" s="57"/>
      <c r="C64">
        <v>30</v>
      </c>
      <c r="D64" t="s">
        <v>10</v>
      </c>
      <c r="F64" s="1">
        <v>45285.65625</v>
      </c>
      <c r="G64" s="1">
        <v>45285.677083333336</v>
      </c>
      <c r="H64">
        <v>15</v>
      </c>
      <c r="I64">
        <v>45</v>
      </c>
      <c r="J64">
        <v>16</v>
      </c>
      <c r="K64">
        <v>15</v>
      </c>
      <c r="L64">
        <v>2023</v>
      </c>
      <c r="N64" t="s">
        <v>47</v>
      </c>
      <c r="O64" t="s">
        <v>47</v>
      </c>
      <c r="P64" t="s">
        <v>9190</v>
      </c>
      <c r="Q64" s="57"/>
      <c r="R64" t="str">
        <f t="shared" si="0"/>
        <v/>
      </c>
    </row>
    <row r="65" spans="1:18" x14ac:dyDescent="0.3">
      <c r="A65" t="s">
        <v>6671</v>
      </c>
      <c r="B65" s="57"/>
      <c r="C65">
        <v>45</v>
      </c>
      <c r="D65" t="s">
        <v>10</v>
      </c>
      <c r="F65" s="43">
        <v>45285.614583333336</v>
      </c>
      <c r="G65" s="43">
        <v>45285.645833333336</v>
      </c>
      <c r="H65">
        <v>14</v>
      </c>
      <c r="I65">
        <v>45</v>
      </c>
      <c r="J65">
        <v>15</v>
      </c>
      <c r="K65">
        <v>30</v>
      </c>
      <c r="L65">
        <v>2023</v>
      </c>
      <c r="N65" t="s">
        <v>47</v>
      </c>
      <c r="O65" t="s">
        <v>47</v>
      </c>
      <c r="P65" t="s">
        <v>9191</v>
      </c>
      <c r="Q65" s="57"/>
      <c r="R65" t="str">
        <f t="shared" si="0"/>
        <v/>
      </c>
    </row>
    <row r="66" spans="1:18" x14ac:dyDescent="0.3">
      <c r="A66" t="s">
        <v>6671</v>
      </c>
      <c r="B66" s="57"/>
      <c r="C66">
        <v>90</v>
      </c>
      <c r="D66" t="s">
        <v>10</v>
      </c>
      <c r="F66" s="43">
        <v>45285.416666666664</v>
      </c>
      <c r="G66" s="43">
        <v>45285.479166666664</v>
      </c>
      <c r="H66">
        <v>10</v>
      </c>
      <c r="I66">
        <v>0</v>
      </c>
      <c r="J66">
        <v>11</v>
      </c>
      <c r="K66">
        <v>30</v>
      </c>
      <c r="L66">
        <v>2023</v>
      </c>
      <c r="N66" t="s">
        <v>47</v>
      </c>
      <c r="O66" t="s">
        <v>47</v>
      </c>
      <c r="P66" t="s">
        <v>9192</v>
      </c>
      <c r="Q66" s="57"/>
      <c r="R66" t="str">
        <f t="shared" si="0"/>
        <v/>
      </c>
    </row>
    <row r="67" spans="1:18" x14ac:dyDescent="0.3">
      <c r="A67" t="s">
        <v>6671</v>
      </c>
      <c r="B67" s="57"/>
      <c r="C67">
        <v>45</v>
      </c>
      <c r="D67" t="s">
        <v>10</v>
      </c>
      <c r="F67" s="43">
        <v>45285.229166666664</v>
      </c>
      <c r="G67" s="43">
        <v>45285.260416666664</v>
      </c>
      <c r="H67">
        <v>5</v>
      </c>
      <c r="I67">
        <v>30</v>
      </c>
      <c r="J67">
        <v>6</v>
      </c>
      <c r="K67">
        <v>15</v>
      </c>
      <c r="L67">
        <v>2023</v>
      </c>
      <c r="N67" t="s">
        <v>47</v>
      </c>
      <c r="O67" t="s">
        <v>47</v>
      </c>
      <c r="P67" t="s">
        <v>9193</v>
      </c>
      <c r="Q67" s="57"/>
      <c r="R67" t="str">
        <f t="shared" ref="R67:R130" si="1">IF(ISERROR(INDEX(MONDAY_ITEMID,MATCH(S67,MONDAY_ITEMS,0))),"",INDEX(MONDAY_ITEMID,MATCH(S67,MONDAY_ITEMS,0)))</f>
        <v/>
      </c>
    </row>
    <row r="68" spans="1:18" x14ac:dyDescent="0.3">
      <c r="A68" t="s">
        <v>8981</v>
      </c>
      <c r="B68" s="57"/>
      <c r="C68">
        <v>30</v>
      </c>
      <c r="D68" t="s">
        <v>3777</v>
      </c>
      <c r="E68" t="s">
        <v>9127</v>
      </c>
      <c r="F68" s="43">
        <v>45240</v>
      </c>
      <c r="G68" s="43">
        <v>45331</v>
      </c>
      <c r="H68">
        <v>9</v>
      </c>
      <c r="I68">
        <v>30</v>
      </c>
      <c r="J68">
        <v>10</v>
      </c>
      <c r="K68">
        <v>0</v>
      </c>
      <c r="L68">
        <v>2023</v>
      </c>
      <c r="N68" t="s">
        <v>8223</v>
      </c>
      <c r="O68" t="s">
        <v>8224</v>
      </c>
      <c r="P68" t="s">
        <v>9132</v>
      </c>
      <c r="Q68" s="57"/>
      <c r="R68" t="str">
        <f t="shared" si="1"/>
        <v/>
      </c>
    </row>
    <row r="69" spans="1:18" x14ac:dyDescent="0.3">
      <c r="A69" t="s">
        <v>9130</v>
      </c>
      <c r="B69" s="56" t="s">
        <v>222</v>
      </c>
      <c r="C69">
        <v>30</v>
      </c>
      <c r="D69" t="s">
        <v>256</v>
      </c>
      <c r="E69" t="s">
        <v>6623</v>
      </c>
      <c r="F69" s="1">
        <v>45236</v>
      </c>
      <c r="G69" s="1">
        <v>45404</v>
      </c>
      <c r="H69">
        <v>9</v>
      </c>
      <c r="I69">
        <v>30</v>
      </c>
      <c r="J69">
        <v>10</v>
      </c>
      <c r="K69">
        <v>0</v>
      </c>
      <c r="L69">
        <v>2023</v>
      </c>
      <c r="N69" t="s">
        <v>9197</v>
      </c>
      <c r="O69" t="s">
        <v>47</v>
      </c>
      <c r="P69" t="s">
        <v>9131</v>
      </c>
      <c r="Q69" s="57"/>
      <c r="R69" t="str">
        <f t="shared" si="1"/>
        <v/>
      </c>
    </row>
    <row r="70" spans="1:18" ht="57.6" x14ac:dyDescent="0.3">
      <c r="A70" t="s">
        <v>9128</v>
      </c>
      <c r="B70" s="57"/>
      <c r="C70">
        <v>30</v>
      </c>
      <c r="D70" t="s">
        <v>256</v>
      </c>
      <c r="E70" s="44" t="s">
        <v>501</v>
      </c>
      <c r="F70" s="43">
        <v>45233</v>
      </c>
      <c r="G70" s="43">
        <v>45401</v>
      </c>
      <c r="H70">
        <v>9</v>
      </c>
      <c r="I70">
        <v>0</v>
      </c>
      <c r="J70">
        <v>9</v>
      </c>
      <c r="K70">
        <v>30</v>
      </c>
      <c r="L70">
        <v>2023</v>
      </c>
      <c r="N70" t="s">
        <v>1849</v>
      </c>
      <c r="O70" t="s">
        <v>47</v>
      </c>
      <c r="P70" t="s">
        <v>9129</v>
      </c>
      <c r="Q70" s="57"/>
      <c r="R70" t="str">
        <f t="shared" si="1"/>
        <v/>
      </c>
    </row>
    <row r="71" spans="1:18" x14ac:dyDescent="0.3">
      <c r="A71" t="s">
        <v>9124</v>
      </c>
      <c r="B71" s="57"/>
      <c r="C71">
        <v>30</v>
      </c>
      <c r="D71" t="s">
        <v>3777</v>
      </c>
      <c r="E71" t="s">
        <v>93</v>
      </c>
      <c r="F71" s="43">
        <v>45208</v>
      </c>
      <c r="G71" s="43">
        <v>45292</v>
      </c>
      <c r="H71">
        <v>14</v>
      </c>
      <c r="I71">
        <v>0</v>
      </c>
      <c r="J71">
        <v>14</v>
      </c>
      <c r="K71">
        <v>30</v>
      </c>
      <c r="L71">
        <v>2023</v>
      </c>
      <c r="N71" t="s">
        <v>9125</v>
      </c>
      <c r="O71" t="s">
        <v>47</v>
      </c>
      <c r="P71" t="s">
        <v>9126</v>
      </c>
      <c r="Q71" s="57"/>
      <c r="R71" t="str">
        <f t="shared" si="1"/>
        <v/>
      </c>
    </row>
    <row r="72" spans="1:18" x14ac:dyDescent="0.3">
      <c r="A72" t="s">
        <v>9118</v>
      </c>
      <c r="B72" s="57"/>
      <c r="C72">
        <v>60</v>
      </c>
      <c r="D72" t="s">
        <v>256</v>
      </c>
      <c r="F72" s="43">
        <v>45128</v>
      </c>
      <c r="G72" s="43">
        <v>949997.9993055556</v>
      </c>
      <c r="H72">
        <v>7</v>
      </c>
      <c r="I72">
        <v>30</v>
      </c>
      <c r="J72">
        <v>8</v>
      </c>
      <c r="K72">
        <v>30</v>
      </c>
      <c r="L72">
        <v>2023</v>
      </c>
      <c r="N72" t="s">
        <v>1134</v>
      </c>
      <c r="O72" t="s">
        <v>47</v>
      </c>
      <c r="P72" t="s">
        <v>9119</v>
      </c>
      <c r="Q72" s="57"/>
      <c r="R72" t="str">
        <f t="shared" si="1"/>
        <v/>
      </c>
    </row>
    <row r="73" spans="1:18" x14ac:dyDescent="0.3">
      <c r="A73" t="s">
        <v>8469</v>
      </c>
      <c r="B73" s="38" t="s">
        <v>6</v>
      </c>
      <c r="C73">
        <v>30</v>
      </c>
      <c r="D73" t="s">
        <v>256</v>
      </c>
      <c r="E73" t="s">
        <v>501</v>
      </c>
      <c r="F73" s="1">
        <v>45058</v>
      </c>
      <c r="G73" s="1">
        <v>45365</v>
      </c>
      <c r="H73">
        <v>6</v>
      </c>
      <c r="I73">
        <v>30</v>
      </c>
      <c r="J73">
        <v>7</v>
      </c>
      <c r="K73">
        <v>0</v>
      </c>
      <c r="L73">
        <v>2023</v>
      </c>
      <c r="N73" t="s">
        <v>5198</v>
      </c>
      <c r="O73" t="s">
        <v>47</v>
      </c>
      <c r="P73" t="s">
        <v>8470</v>
      </c>
      <c r="Q73" s="57"/>
      <c r="R73" t="str">
        <f t="shared" si="1"/>
        <v/>
      </c>
    </row>
    <row r="74" spans="1:18" x14ac:dyDescent="0.3">
      <c r="A74" t="s">
        <v>3582</v>
      </c>
      <c r="B74" s="38" t="s">
        <v>6</v>
      </c>
      <c r="C74">
        <v>30</v>
      </c>
      <c r="D74" t="s">
        <v>256</v>
      </c>
      <c r="E74" t="s">
        <v>3583</v>
      </c>
      <c r="F74" s="43">
        <v>44866</v>
      </c>
      <c r="G74" s="43">
        <v>949997.9993055556</v>
      </c>
      <c r="H74">
        <v>9</v>
      </c>
      <c r="I74">
        <v>0</v>
      </c>
      <c r="J74">
        <v>9</v>
      </c>
      <c r="K74">
        <v>30</v>
      </c>
      <c r="L74">
        <v>2022</v>
      </c>
      <c r="N74" t="s">
        <v>9121</v>
      </c>
      <c r="O74" t="s">
        <v>47</v>
      </c>
      <c r="P74" t="s">
        <v>3585</v>
      </c>
      <c r="Q74" s="57"/>
      <c r="R74" t="str">
        <f t="shared" si="1"/>
        <v/>
      </c>
    </row>
    <row r="75" spans="1:18" x14ac:dyDescent="0.3">
      <c r="A75" t="s">
        <v>5167</v>
      </c>
      <c r="B75" s="52" t="s">
        <v>20</v>
      </c>
      <c r="C75">
        <v>30</v>
      </c>
      <c r="D75" t="s">
        <v>256</v>
      </c>
      <c r="E75" t="s">
        <v>501</v>
      </c>
      <c r="F75" s="43">
        <v>44848</v>
      </c>
      <c r="G75" s="43">
        <v>949997.9993055556</v>
      </c>
      <c r="H75">
        <v>8</v>
      </c>
      <c r="I75">
        <v>0</v>
      </c>
      <c r="J75">
        <v>8</v>
      </c>
      <c r="K75">
        <v>30</v>
      </c>
      <c r="L75">
        <v>2022</v>
      </c>
      <c r="N75" t="s">
        <v>2348</v>
      </c>
      <c r="O75" t="s">
        <v>47</v>
      </c>
      <c r="P75" t="s">
        <v>5168</v>
      </c>
      <c r="Q75" s="57"/>
      <c r="R75" t="str">
        <f t="shared" si="1"/>
        <v/>
      </c>
    </row>
    <row r="76" spans="1:18" x14ac:dyDescent="0.3">
      <c r="A76" t="s">
        <v>4492</v>
      </c>
      <c r="B76" s="57"/>
      <c r="C76">
        <v>30</v>
      </c>
      <c r="D76" t="s">
        <v>256</v>
      </c>
      <c r="E76" t="s">
        <v>21</v>
      </c>
      <c r="F76" s="43">
        <v>44813</v>
      </c>
      <c r="G76" s="43">
        <v>949997.9993055556</v>
      </c>
      <c r="H76">
        <v>9</v>
      </c>
      <c r="I76">
        <v>30</v>
      </c>
      <c r="J76">
        <v>10</v>
      </c>
      <c r="K76">
        <v>0</v>
      </c>
      <c r="L76">
        <v>2022</v>
      </c>
      <c r="M76" t="s">
        <v>33</v>
      </c>
      <c r="N76" t="s">
        <v>4493</v>
      </c>
      <c r="O76" t="s">
        <v>50</v>
      </c>
      <c r="P76" t="s">
        <v>4494</v>
      </c>
      <c r="Q76" s="57"/>
      <c r="R76" t="str">
        <f t="shared" si="1"/>
        <v/>
      </c>
    </row>
    <row r="77" spans="1:18" x14ac:dyDescent="0.3">
      <c r="A77" t="s">
        <v>5203</v>
      </c>
      <c r="B77" s="52" t="s">
        <v>20</v>
      </c>
      <c r="C77">
        <v>30</v>
      </c>
      <c r="D77" t="s">
        <v>256</v>
      </c>
      <c r="E77" t="s">
        <v>5</v>
      </c>
      <c r="F77" s="43">
        <v>44763</v>
      </c>
      <c r="G77" s="43">
        <v>949997.9993055556</v>
      </c>
      <c r="H77">
        <v>11</v>
      </c>
      <c r="I77">
        <v>0</v>
      </c>
      <c r="J77">
        <v>11</v>
      </c>
      <c r="K77">
        <v>30</v>
      </c>
      <c r="L77">
        <v>2022</v>
      </c>
      <c r="N77" t="s">
        <v>1399</v>
      </c>
      <c r="O77" t="s">
        <v>1241</v>
      </c>
      <c r="P77" t="s">
        <v>9120</v>
      </c>
      <c r="Q77" s="57"/>
      <c r="R77" t="str">
        <f t="shared" si="1"/>
        <v/>
      </c>
    </row>
    <row r="78" spans="1:18" x14ac:dyDescent="0.3">
      <c r="A78" t="s">
        <v>1994</v>
      </c>
      <c r="B78" s="38" t="s">
        <v>6</v>
      </c>
      <c r="C78">
        <v>45</v>
      </c>
      <c r="E78" t="s">
        <v>21</v>
      </c>
      <c r="F78" s="43">
        <v>44690</v>
      </c>
      <c r="G78" s="43">
        <v>949997.9993055556</v>
      </c>
      <c r="H78">
        <v>11</v>
      </c>
      <c r="I78">
        <v>30</v>
      </c>
      <c r="J78">
        <v>12</v>
      </c>
      <c r="K78">
        <v>15</v>
      </c>
      <c r="L78">
        <v>2022</v>
      </c>
      <c r="N78" t="s">
        <v>55</v>
      </c>
      <c r="O78" t="s">
        <v>50</v>
      </c>
      <c r="P78" t="s">
        <v>1995</v>
      </c>
      <c r="Q78" s="57"/>
      <c r="R78" t="str">
        <f t="shared" si="1"/>
        <v/>
      </c>
    </row>
    <row r="79" spans="1:18" x14ac:dyDescent="0.3">
      <c r="A79" t="s">
        <v>3088</v>
      </c>
      <c r="B79" s="38" t="s">
        <v>6</v>
      </c>
      <c r="C79">
        <v>30</v>
      </c>
      <c r="D79" t="s">
        <v>256</v>
      </c>
      <c r="E79" t="s">
        <v>2807</v>
      </c>
      <c r="F79" s="43">
        <v>44616</v>
      </c>
      <c r="G79" s="43">
        <v>949997.9993055556</v>
      </c>
      <c r="H79">
        <v>10</v>
      </c>
      <c r="I79">
        <v>30</v>
      </c>
      <c r="J79">
        <v>11</v>
      </c>
      <c r="K79">
        <v>0</v>
      </c>
      <c r="L79">
        <v>2022</v>
      </c>
      <c r="N79" t="s">
        <v>3089</v>
      </c>
      <c r="O79" t="s">
        <v>47</v>
      </c>
      <c r="P79" t="s">
        <v>3090</v>
      </c>
      <c r="Q79" s="57"/>
      <c r="R79" t="str">
        <f t="shared" si="1"/>
        <v/>
      </c>
    </row>
    <row r="80" spans="1:18" x14ac:dyDescent="0.3">
      <c r="A80" t="s">
        <v>3638</v>
      </c>
      <c r="B80" s="52" t="s">
        <v>20</v>
      </c>
      <c r="C80">
        <v>30</v>
      </c>
      <c r="D80" t="s">
        <v>256</v>
      </c>
      <c r="E80" t="s">
        <v>3639</v>
      </c>
      <c r="F80" s="43">
        <v>44582</v>
      </c>
      <c r="G80" s="43">
        <v>949997.9993055556</v>
      </c>
      <c r="H80">
        <v>11</v>
      </c>
      <c r="I80">
        <v>30</v>
      </c>
      <c r="J80">
        <v>12</v>
      </c>
      <c r="K80">
        <v>0</v>
      </c>
      <c r="L80">
        <v>2022</v>
      </c>
      <c r="N80" t="s">
        <v>47</v>
      </c>
      <c r="O80" t="s">
        <v>3640</v>
      </c>
      <c r="P80" t="s">
        <v>3641</v>
      </c>
      <c r="Q80" s="57"/>
      <c r="R80" t="str">
        <f t="shared" si="1"/>
        <v/>
      </c>
    </row>
    <row r="81" spans="2:18" x14ac:dyDescent="0.3">
      <c r="B81" s="57"/>
      <c r="F81" s="43"/>
      <c r="G81" s="43"/>
      <c r="Q81" s="57"/>
      <c r="R81" t="str">
        <f t="shared" si="1"/>
        <v/>
      </c>
    </row>
    <row r="82" spans="2:18" x14ac:dyDescent="0.3">
      <c r="B82" s="57"/>
      <c r="F82" s="43"/>
      <c r="G82" s="43"/>
      <c r="Q82" s="57"/>
      <c r="R82" t="str">
        <f t="shared" si="1"/>
        <v/>
      </c>
    </row>
    <row r="83" spans="2:18" x14ac:dyDescent="0.3">
      <c r="B83" s="57"/>
      <c r="F83" s="43"/>
      <c r="G83" s="43"/>
      <c r="Q83" s="57"/>
      <c r="R83" t="str">
        <f t="shared" si="1"/>
        <v/>
      </c>
    </row>
    <row r="84" spans="2:18" x14ac:dyDescent="0.3">
      <c r="B84" s="57"/>
      <c r="F84" s="43"/>
      <c r="G84" s="43"/>
      <c r="Q84" s="57"/>
      <c r="R84" t="str">
        <f t="shared" si="1"/>
        <v/>
      </c>
    </row>
    <row r="85" spans="2:18" x14ac:dyDescent="0.3">
      <c r="B85" s="57"/>
      <c r="F85" s="43"/>
      <c r="G85" s="43"/>
      <c r="Q85" s="57"/>
      <c r="R85" t="str">
        <f t="shared" si="1"/>
        <v/>
      </c>
    </row>
    <row r="86" spans="2:18" x14ac:dyDescent="0.3">
      <c r="B86" s="57"/>
      <c r="F86" s="43"/>
      <c r="G86" s="43"/>
      <c r="Q86" s="57"/>
      <c r="R86" t="str">
        <f t="shared" si="1"/>
        <v/>
      </c>
    </row>
    <row r="87" spans="2:18" x14ac:dyDescent="0.3">
      <c r="B87" s="57"/>
      <c r="F87" s="43"/>
      <c r="G87" s="43"/>
      <c r="Q87" s="57"/>
      <c r="R87" t="str">
        <f t="shared" si="1"/>
        <v/>
      </c>
    </row>
    <row r="88" spans="2:18" x14ac:dyDescent="0.3">
      <c r="B88" s="57"/>
      <c r="F88" s="43"/>
      <c r="G88" s="43"/>
      <c r="Q88" s="57"/>
      <c r="R88" t="str">
        <f t="shared" si="1"/>
        <v/>
      </c>
    </row>
    <row r="89" spans="2:18" x14ac:dyDescent="0.3">
      <c r="B89" s="57"/>
      <c r="F89" s="43"/>
      <c r="G89" s="43"/>
      <c r="Q89" s="57"/>
      <c r="R89" t="str">
        <f t="shared" si="1"/>
        <v/>
      </c>
    </row>
    <row r="90" spans="2:18" x14ac:dyDescent="0.3">
      <c r="B90" s="57"/>
      <c r="F90" s="43"/>
      <c r="G90" s="43"/>
      <c r="Q90" s="57"/>
      <c r="R90" t="str">
        <f t="shared" si="1"/>
        <v/>
      </c>
    </row>
    <row r="91" spans="2:18" x14ac:dyDescent="0.3">
      <c r="B91" s="57"/>
      <c r="F91" s="43"/>
      <c r="G91" s="43"/>
      <c r="Q91" s="57"/>
      <c r="R91" t="str">
        <f t="shared" si="1"/>
        <v/>
      </c>
    </row>
    <row r="92" spans="2:18" x14ac:dyDescent="0.3">
      <c r="B92" s="57"/>
      <c r="F92" s="43"/>
      <c r="G92" s="43"/>
      <c r="Q92" s="57"/>
      <c r="R92" t="str">
        <f t="shared" si="1"/>
        <v/>
      </c>
    </row>
    <row r="93" spans="2:18" x14ac:dyDescent="0.3">
      <c r="B93" s="57"/>
      <c r="F93" s="43"/>
      <c r="G93" s="43"/>
      <c r="Q93" s="57"/>
      <c r="R93" t="str">
        <f t="shared" si="1"/>
        <v/>
      </c>
    </row>
    <row r="94" spans="2:18" x14ac:dyDescent="0.3">
      <c r="B94" s="57"/>
      <c r="F94" s="43"/>
      <c r="G94" s="43"/>
      <c r="Q94" s="57"/>
      <c r="R94" t="str">
        <f t="shared" si="1"/>
        <v/>
      </c>
    </row>
    <row r="95" spans="2:18" x14ac:dyDescent="0.3">
      <c r="B95" s="57"/>
      <c r="F95" s="43"/>
      <c r="G95" s="43"/>
      <c r="Q95" s="57"/>
      <c r="R95" t="str">
        <f t="shared" si="1"/>
        <v/>
      </c>
    </row>
    <row r="96" spans="2:18" x14ac:dyDescent="0.3">
      <c r="B96" s="57"/>
      <c r="F96" s="43"/>
      <c r="G96" s="43"/>
      <c r="Q96" s="57"/>
      <c r="R96" t="str">
        <f t="shared" si="1"/>
        <v/>
      </c>
    </row>
    <row r="97" spans="2:18" x14ac:dyDescent="0.3">
      <c r="B97" s="57"/>
      <c r="F97" s="43"/>
      <c r="G97" s="43"/>
      <c r="Q97" s="57"/>
      <c r="R97" t="str">
        <f t="shared" si="1"/>
        <v/>
      </c>
    </row>
    <row r="98" spans="2:18" x14ac:dyDescent="0.3">
      <c r="B98" s="57"/>
      <c r="F98" s="43"/>
      <c r="G98" s="43"/>
      <c r="Q98" s="57"/>
      <c r="R98" t="str">
        <f t="shared" si="1"/>
        <v/>
      </c>
    </row>
    <row r="99" spans="2:18" x14ac:dyDescent="0.3">
      <c r="B99" s="57"/>
      <c r="F99" s="43"/>
      <c r="G99" s="43"/>
      <c r="Q99" s="57"/>
      <c r="R99" t="str">
        <f t="shared" si="1"/>
        <v/>
      </c>
    </row>
    <row r="100" spans="2:18" x14ac:dyDescent="0.3">
      <c r="B100" s="57"/>
      <c r="F100" s="43"/>
      <c r="G100" s="43"/>
      <c r="Q100" s="57"/>
      <c r="R100" t="str">
        <f t="shared" si="1"/>
        <v/>
      </c>
    </row>
    <row r="101" spans="2:18" x14ac:dyDescent="0.3">
      <c r="B101" s="57"/>
      <c r="F101" s="43"/>
      <c r="G101" s="43"/>
      <c r="Q101" s="57"/>
      <c r="R101" t="str">
        <f t="shared" si="1"/>
        <v/>
      </c>
    </row>
    <row r="102" spans="2:18" x14ac:dyDescent="0.3">
      <c r="B102" s="57"/>
      <c r="F102" s="43"/>
      <c r="G102" s="43"/>
      <c r="Q102" s="57"/>
      <c r="R102" t="str">
        <f t="shared" si="1"/>
        <v/>
      </c>
    </row>
    <row r="103" spans="2:18" x14ac:dyDescent="0.3">
      <c r="B103" s="57"/>
      <c r="F103" s="43"/>
      <c r="G103" s="43"/>
      <c r="Q103" s="57"/>
      <c r="R103" t="str">
        <f t="shared" si="1"/>
        <v/>
      </c>
    </row>
    <row r="104" spans="2:18" x14ac:dyDescent="0.3">
      <c r="B104" s="57"/>
      <c r="F104" s="43"/>
      <c r="G104" s="43"/>
      <c r="Q104" s="57"/>
      <c r="R104" t="str">
        <f t="shared" si="1"/>
        <v/>
      </c>
    </row>
    <row r="105" spans="2:18" x14ac:dyDescent="0.3">
      <c r="B105" s="57"/>
      <c r="F105" s="43"/>
      <c r="G105" s="43"/>
      <c r="Q105" s="57"/>
      <c r="R105" t="str">
        <f t="shared" si="1"/>
        <v/>
      </c>
    </row>
    <row r="106" spans="2:18" x14ac:dyDescent="0.3">
      <c r="B106" s="57"/>
      <c r="F106" s="43"/>
      <c r="G106" s="43"/>
      <c r="Q106" s="57"/>
      <c r="R106" t="str">
        <f t="shared" si="1"/>
        <v/>
      </c>
    </row>
    <row r="107" spans="2:18" x14ac:dyDescent="0.3">
      <c r="B107" s="57"/>
      <c r="F107" s="43"/>
      <c r="G107" s="43"/>
      <c r="Q107" s="57"/>
      <c r="R107" t="str">
        <f t="shared" si="1"/>
        <v/>
      </c>
    </row>
    <row r="108" spans="2:18" x14ac:dyDescent="0.3">
      <c r="B108" s="57"/>
      <c r="F108" s="43"/>
      <c r="G108" s="43"/>
      <c r="Q108" s="57"/>
      <c r="R108" t="str">
        <f t="shared" si="1"/>
        <v/>
      </c>
    </row>
    <row r="109" spans="2:18" x14ac:dyDescent="0.3">
      <c r="B109" s="57"/>
      <c r="F109" s="43"/>
      <c r="G109" s="43"/>
      <c r="Q109" s="57"/>
      <c r="R109" t="str">
        <f t="shared" si="1"/>
        <v/>
      </c>
    </row>
    <row r="110" spans="2:18" x14ac:dyDescent="0.3">
      <c r="B110" s="57"/>
      <c r="F110" s="43"/>
      <c r="G110" s="43"/>
      <c r="Q110" s="57"/>
      <c r="R110" t="str">
        <f t="shared" si="1"/>
        <v/>
      </c>
    </row>
    <row r="111" spans="2:18" x14ac:dyDescent="0.3">
      <c r="B111" s="57"/>
      <c r="F111" s="43"/>
      <c r="G111" s="43"/>
      <c r="Q111" s="57"/>
      <c r="R111" t="str">
        <f t="shared" si="1"/>
        <v/>
      </c>
    </row>
    <row r="112" spans="2:18" x14ac:dyDescent="0.3">
      <c r="B112" s="57"/>
      <c r="F112" s="43"/>
      <c r="G112" s="43"/>
      <c r="Q112" s="57"/>
      <c r="R112" t="str">
        <f t="shared" si="1"/>
        <v/>
      </c>
    </row>
    <row r="113" spans="2:18" x14ac:dyDescent="0.3">
      <c r="B113" s="57"/>
      <c r="F113" s="43"/>
      <c r="G113" s="43"/>
      <c r="Q113" s="57"/>
      <c r="R113" t="str">
        <f t="shared" si="1"/>
        <v/>
      </c>
    </row>
    <row r="114" spans="2:18" x14ac:dyDescent="0.3">
      <c r="B114" s="57"/>
      <c r="F114" s="43"/>
      <c r="G114" s="43"/>
      <c r="Q114" s="57"/>
      <c r="R114" t="str">
        <f t="shared" si="1"/>
        <v/>
      </c>
    </row>
    <row r="115" spans="2:18" x14ac:dyDescent="0.3">
      <c r="B115" s="57"/>
      <c r="F115" s="43"/>
      <c r="G115" s="43"/>
      <c r="Q115" s="57"/>
      <c r="R115" t="str">
        <f t="shared" si="1"/>
        <v/>
      </c>
    </row>
    <row r="116" spans="2:18" x14ac:dyDescent="0.3">
      <c r="B116" s="57"/>
      <c r="F116" s="43"/>
      <c r="G116" s="43"/>
      <c r="Q116" s="57"/>
      <c r="R116" t="str">
        <f t="shared" si="1"/>
        <v/>
      </c>
    </row>
    <row r="117" spans="2:18" x14ac:dyDescent="0.3">
      <c r="B117" s="57"/>
      <c r="F117" s="43"/>
      <c r="G117" s="43"/>
      <c r="Q117" s="57"/>
      <c r="R117" t="str">
        <f t="shared" si="1"/>
        <v/>
      </c>
    </row>
    <row r="118" spans="2:18" x14ac:dyDescent="0.3">
      <c r="B118" s="57"/>
      <c r="F118" s="43"/>
      <c r="G118" s="43"/>
      <c r="Q118" s="57"/>
      <c r="R118" t="str">
        <f t="shared" si="1"/>
        <v/>
      </c>
    </row>
    <row r="119" spans="2:18" x14ac:dyDescent="0.3">
      <c r="B119" s="57"/>
      <c r="F119" s="43"/>
      <c r="G119" s="43"/>
      <c r="Q119" s="57"/>
      <c r="R119" t="str">
        <f t="shared" si="1"/>
        <v/>
      </c>
    </row>
    <row r="120" spans="2:18" x14ac:dyDescent="0.3">
      <c r="B120" s="57"/>
      <c r="F120" s="43"/>
      <c r="G120" s="43"/>
      <c r="Q120" s="57"/>
      <c r="R120" t="str">
        <f t="shared" si="1"/>
        <v/>
      </c>
    </row>
    <row r="121" spans="2:18" x14ac:dyDescent="0.3">
      <c r="B121" s="57"/>
      <c r="F121" s="43"/>
      <c r="G121" s="43"/>
      <c r="Q121" s="57"/>
      <c r="R121" t="str">
        <f t="shared" si="1"/>
        <v/>
      </c>
    </row>
    <row r="122" spans="2:18" x14ac:dyDescent="0.3">
      <c r="B122" s="57"/>
      <c r="F122" s="43"/>
      <c r="G122" s="43"/>
      <c r="Q122" s="57"/>
      <c r="R122" t="str">
        <f t="shared" si="1"/>
        <v/>
      </c>
    </row>
    <row r="123" spans="2:18" x14ac:dyDescent="0.3">
      <c r="B123" s="57"/>
      <c r="F123" s="43"/>
      <c r="G123" s="43"/>
      <c r="Q123" s="57"/>
      <c r="R123" t="str">
        <f t="shared" si="1"/>
        <v/>
      </c>
    </row>
    <row r="124" spans="2:18" x14ac:dyDescent="0.3">
      <c r="B124" s="57"/>
      <c r="F124" s="43"/>
      <c r="G124" s="43"/>
      <c r="Q124" s="57"/>
      <c r="R124" t="str">
        <f t="shared" si="1"/>
        <v/>
      </c>
    </row>
    <row r="125" spans="2:18" x14ac:dyDescent="0.3">
      <c r="B125" s="57"/>
      <c r="F125" s="43"/>
      <c r="G125" s="43"/>
      <c r="Q125" s="57"/>
      <c r="R125" t="str">
        <f t="shared" si="1"/>
        <v/>
      </c>
    </row>
    <row r="126" spans="2:18" x14ac:dyDescent="0.3">
      <c r="B126" s="57"/>
      <c r="F126" s="43"/>
      <c r="G126" s="43"/>
      <c r="Q126" s="57"/>
      <c r="R126" t="str">
        <f t="shared" si="1"/>
        <v/>
      </c>
    </row>
    <row r="127" spans="2:18" x14ac:dyDescent="0.3">
      <c r="B127" s="57"/>
      <c r="F127" s="43"/>
      <c r="G127" s="43"/>
      <c r="Q127" s="57"/>
      <c r="R127" t="str">
        <f t="shared" si="1"/>
        <v/>
      </c>
    </row>
    <row r="128" spans="2:18" x14ac:dyDescent="0.3">
      <c r="B128" s="57"/>
      <c r="F128" s="43"/>
      <c r="G128" s="43"/>
      <c r="Q128" s="57"/>
      <c r="R128" t="str">
        <f t="shared" si="1"/>
        <v/>
      </c>
    </row>
    <row r="129" spans="2:18" x14ac:dyDescent="0.3">
      <c r="B129" s="57"/>
      <c r="F129" s="43"/>
      <c r="G129" s="43"/>
      <c r="Q129" s="57"/>
      <c r="R129" t="str">
        <f t="shared" si="1"/>
        <v/>
      </c>
    </row>
    <row r="130" spans="2:18" x14ac:dyDescent="0.3">
      <c r="B130" s="57"/>
      <c r="F130" s="43"/>
      <c r="G130" s="43"/>
      <c r="Q130" s="57"/>
      <c r="R130" t="str">
        <f t="shared" si="1"/>
        <v/>
      </c>
    </row>
    <row r="131" spans="2:18" x14ac:dyDescent="0.3">
      <c r="B131" s="57"/>
      <c r="F131" s="43"/>
      <c r="G131" s="43"/>
      <c r="Q131" s="57"/>
      <c r="R131" t="str">
        <f t="shared" ref="R131:R194" si="2">IF(ISERROR(INDEX(MONDAY_ITEMID,MATCH(S131,MONDAY_ITEMS,0))),"",INDEX(MONDAY_ITEMID,MATCH(S131,MONDAY_ITEMS,0)))</f>
        <v/>
      </c>
    </row>
    <row r="132" spans="2:18" x14ac:dyDescent="0.3">
      <c r="B132" s="57"/>
      <c r="F132" s="43"/>
      <c r="G132" s="43"/>
      <c r="Q132" s="57"/>
      <c r="R132" t="str">
        <f t="shared" si="2"/>
        <v/>
      </c>
    </row>
    <row r="133" spans="2:18" x14ac:dyDescent="0.3">
      <c r="B133" s="57"/>
      <c r="F133" s="43"/>
      <c r="G133" s="43"/>
      <c r="Q133" s="57"/>
      <c r="R133" t="str">
        <f t="shared" si="2"/>
        <v/>
      </c>
    </row>
    <row r="134" spans="2:18" x14ac:dyDescent="0.3">
      <c r="B134" s="57"/>
      <c r="F134" s="43"/>
      <c r="G134" s="43"/>
      <c r="Q134" s="57"/>
      <c r="R134" t="str">
        <f t="shared" si="2"/>
        <v/>
      </c>
    </row>
    <row r="135" spans="2:18" x14ac:dyDescent="0.3">
      <c r="B135" s="57"/>
      <c r="F135" s="43"/>
      <c r="G135" s="43"/>
      <c r="Q135" s="57"/>
      <c r="R135" t="str">
        <f t="shared" si="2"/>
        <v/>
      </c>
    </row>
    <row r="136" spans="2:18" x14ac:dyDescent="0.3">
      <c r="B136" s="57"/>
      <c r="F136" s="43"/>
      <c r="G136" s="43"/>
      <c r="Q136" s="57"/>
      <c r="R136" t="str">
        <f t="shared" si="2"/>
        <v/>
      </c>
    </row>
    <row r="137" spans="2:18" x14ac:dyDescent="0.3">
      <c r="B137" s="57"/>
      <c r="F137" s="43"/>
      <c r="G137" s="43"/>
      <c r="Q137" s="57"/>
      <c r="R137" t="str">
        <f t="shared" si="2"/>
        <v/>
      </c>
    </row>
    <row r="138" spans="2:18" x14ac:dyDescent="0.3">
      <c r="B138" s="57"/>
      <c r="F138" s="43"/>
      <c r="G138" s="43"/>
      <c r="Q138" s="57"/>
      <c r="R138" t="str">
        <f t="shared" si="2"/>
        <v/>
      </c>
    </row>
    <row r="139" spans="2:18" x14ac:dyDescent="0.3">
      <c r="B139" s="57"/>
      <c r="F139" s="43"/>
      <c r="G139" s="43"/>
      <c r="Q139" s="57"/>
      <c r="R139" t="str">
        <f t="shared" si="2"/>
        <v/>
      </c>
    </row>
    <row r="140" spans="2:18" x14ac:dyDescent="0.3">
      <c r="B140" s="57"/>
      <c r="F140" s="43"/>
      <c r="G140" s="43"/>
      <c r="Q140" s="57"/>
      <c r="R140" t="str">
        <f t="shared" si="2"/>
        <v/>
      </c>
    </row>
    <row r="141" spans="2:18" x14ac:dyDescent="0.3">
      <c r="B141" s="57"/>
      <c r="F141" s="43"/>
      <c r="G141" s="43"/>
      <c r="Q141" s="57"/>
      <c r="R141" t="str">
        <f t="shared" si="2"/>
        <v/>
      </c>
    </row>
    <row r="142" spans="2:18" x14ac:dyDescent="0.3">
      <c r="B142" s="57"/>
      <c r="F142" s="43"/>
      <c r="G142" s="43"/>
      <c r="Q142" s="57"/>
      <c r="R142" t="str">
        <f t="shared" si="2"/>
        <v/>
      </c>
    </row>
    <row r="143" spans="2:18" x14ac:dyDescent="0.3">
      <c r="B143" s="57"/>
      <c r="F143" s="43"/>
      <c r="G143" s="43"/>
      <c r="Q143" s="57"/>
      <c r="R143" t="str">
        <f t="shared" si="2"/>
        <v/>
      </c>
    </row>
    <row r="144" spans="2:18" x14ac:dyDescent="0.3">
      <c r="B144" s="57"/>
      <c r="F144" s="43"/>
      <c r="G144" s="43"/>
      <c r="Q144" s="57"/>
      <c r="R144" t="str">
        <f t="shared" si="2"/>
        <v/>
      </c>
    </row>
    <row r="145" spans="2:18" x14ac:dyDescent="0.3">
      <c r="B145" s="57"/>
      <c r="F145" s="43"/>
      <c r="G145" s="43"/>
      <c r="Q145" s="57"/>
      <c r="R145" t="str">
        <f t="shared" si="2"/>
        <v/>
      </c>
    </row>
    <row r="146" spans="2:18" x14ac:dyDescent="0.3">
      <c r="B146" s="57"/>
      <c r="F146" s="43"/>
      <c r="G146" s="43"/>
      <c r="Q146" s="57"/>
      <c r="R146" t="str">
        <f t="shared" si="2"/>
        <v/>
      </c>
    </row>
    <row r="147" spans="2:18" x14ac:dyDescent="0.3">
      <c r="B147" s="57"/>
      <c r="F147" s="43"/>
      <c r="G147" s="43"/>
      <c r="Q147" s="57"/>
      <c r="R147" t="str">
        <f t="shared" si="2"/>
        <v/>
      </c>
    </row>
    <row r="148" spans="2:18" x14ac:dyDescent="0.3">
      <c r="B148" s="57"/>
      <c r="F148" s="43"/>
      <c r="G148" s="43"/>
      <c r="Q148" s="57"/>
      <c r="R148" t="str">
        <f t="shared" si="2"/>
        <v/>
      </c>
    </row>
    <row r="149" spans="2:18" x14ac:dyDescent="0.3">
      <c r="B149" s="57"/>
      <c r="F149" s="43"/>
      <c r="G149" s="43"/>
      <c r="Q149" s="57"/>
      <c r="R149" t="str">
        <f t="shared" si="2"/>
        <v/>
      </c>
    </row>
    <row r="150" spans="2:18" x14ac:dyDescent="0.3">
      <c r="B150" s="57"/>
      <c r="F150" s="43"/>
      <c r="G150" s="43"/>
      <c r="Q150" s="57"/>
      <c r="R150" t="str">
        <f t="shared" si="2"/>
        <v/>
      </c>
    </row>
    <row r="151" spans="2:18" x14ac:dyDescent="0.3">
      <c r="B151" s="57"/>
      <c r="F151" s="1"/>
      <c r="G151" s="43"/>
      <c r="Q151" s="57"/>
      <c r="R151" t="str">
        <f t="shared" si="2"/>
        <v/>
      </c>
    </row>
    <row r="152" spans="2:18" x14ac:dyDescent="0.3">
      <c r="B152" s="57"/>
      <c r="F152" s="43"/>
      <c r="G152" s="43"/>
      <c r="Q152" s="57"/>
      <c r="R152" t="str">
        <f t="shared" si="2"/>
        <v/>
      </c>
    </row>
    <row r="153" spans="2:18" x14ac:dyDescent="0.3">
      <c r="B153" s="57"/>
      <c r="F153" s="43"/>
      <c r="G153" s="43"/>
      <c r="Q153" s="57"/>
      <c r="R153" t="str">
        <f t="shared" si="2"/>
        <v/>
      </c>
    </row>
    <row r="154" spans="2:18" x14ac:dyDescent="0.3">
      <c r="B154" s="57"/>
      <c r="F154" s="43"/>
      <c r="G154" s="43"/>
      <c r="Q154" s="57"/>
      <c r="R154" t="str">
        <f t="shared" si="2"/>
        <v/>
      </c>
    </row>
    <row r="155" spans="2:18" x14ac:dyDescent="0.3">
      <c r="B155" s="57"/>
      <c r="F155" s="43"/>
      <c r="G155" s="43"/>
      <c r="Q155" s="57"/>
      <c r="R155" t="str">
        <f t="shared" si="2"/>
        <v/>
      </c>
    </row>
    <row r="156" spans="2:18" x14ac:dyDescent="0.3">
      <c r="B156" s="57"/>
      <c r="E156" s="44"/>
      <c r="F156" s="43"/>
      <c r="G156" s="43"/>
      <c r="Q156" s="57"/>
      <c r="R156" t="str">
        <f t="shared" si="2"/>
        <v/>
      </c>
    </row>
    <row r="157" spans="2:18" x14ac:dyDescent="0.3">
      <c r="B157" s="57"/>
      <c r="F157" s="43"/>
      <c r="G157" s="43"/>
      <c r="Q157" s="57"/>
      <c r="R157" t="str">
        <f t="shared" si="2"/>
        <v/>
      </c>
    </row>
    <row r="158" spans="2:18" x14ac:dyDescent="0.3">
      <c r="B158" s="57"/>
      <c r="F158" s="43"/>
      <c r="G158" s="43"/>
      <c r="Q158" s="57"/>
      <c r="R158" t="str">
        <f t="shared" si="2"/>
        <v/>
      </c>
    </row>
    <row r="159" spans="2:18" x14ac:dyDescent="0.3">
      <c r="B159" s="57"/>
      <c r="F159" s="43"/>
      <c r="G159" s="43"/>
      <c r="Q159" s="57"/>
      <c r="R159" t="str">
        <f t="shared" si="2"/>
        <v/>
      </c>
    </row>
    <row r="160" spans="2:18" x14ac:dyDescent="0.3">
      <c r="B160" s="57"/>
      <c r="F160" s="43"/>
      <c r="G160" s="43"/>
      <c r="Q160" s="57"/>
      <c r="R160" t="str">
        <f t="shared" si="2"/>
        <v/>
      </c>
    </row>
    <row r="161" spans="2:18" x14ac:dyDescent="0.3">
      <c r="B161" s="57"/>
      <c r="F161" s="43"/>
      <c r="G161" s="43"/>
      <c r="Q161" s="57"/>
      <c r="R161" t="str">
        <f t="shared" si="2"/>
        <v/>
      </c>
    </row>
    <row r="162" spans="2:18" x14ac:dyDescent="0.3">
      <c r="B162" s="57"/>
      <c r="F162" s="43"/>
      <c r="G162" s="43"/>
      <c r="Q162" s="57"/>
      <c r="R162" t="str">
        <f t="shared" si="2"/>
        <v/>
      </c>
    </row>
    <row r="163" spans="2:18" x14ac:dyDescent="0.3">
      <c r="B163" s="57"/>
      <c r="F163" s="43"/>
      <c r="G163" s="43"/>
      <c r="Q163" s="57"/>
      <c r="R163" t="str">
        <f t="shared" si="2"/>
        <v/>
      </c>
    </row>
    <row r="164" spans="2:18" x14ac:dyDescent="0.3">
      <c r="B164" s="57"/>
      <c r="F164" s="43"/>
      <c r="G164" s="43"/>
      <c r="Q164" s="57"/>
      <c r="R164" t="str">
        <f t="shared" si="2"/>
        <v/>
      </c>
    </row>
    <row r="165" spans="2:18" x14ac:dyDescent="0.3">
      <c r="B165" s="57"/>
      <c r="F165" s="43"/>
      <c r="G165" s="43"/>
      <c r="Q165" s="57"/>
      <c r="R165" t="str">
        <f t="shared" si="2"/>
        <v/>
      </c>
    </row>
    <row r="166" spans="2:18" x14ac:dyDescent="0.3">
      <c r="B166" s="57"/>
      <c r="F166" s="43"/>
      <c r="G166" s="43"/>
      <c r="Q166" s="57"/>
      <c r="R166" t="str">
        <f t="shared" si="2"/>
        <v/>
      </c>
    </row>
    <row r="167" spans="2:18" x14ac:dyDescent="0.3">
      <c r="B167" s="57"/>
      <c r="F167" s="43"/>
      <c r="G167" s="43"/>
      <c r="Q167" s="57"/>
      <c r="R167" t="str">
        <f t="shared" si="2"/>
        <v/>
      </c>
    </row>
    <row r="168" spans="2:18" x14ac:dyDescent="0.3">
      <c r="B168" s="57"/>
      <c r="F168" s="43"/>
      <c r="G168" s="43"/>
      <c r="Q168" s="57"/>
      <c r="R168" t="str">
        <f t="shared" si="2"/>
        <v/>
      </c>
    </row>
    <row r="169" spans="2:18" x14ac:dyDescent="0.3">
      <c r="B169" s="57"/>
      <c r="F169" s="43"/>
      <c r="G169" s="43"/>
      <c r="Q169" s="57"/>
      <c r="R169" t="str">
        <f t="shared" si="2"/>
        <v/>
      </c>
    </row>
    <row r="170" spans="2:18" x14ac:dyDescent="0.3">
      <c r="B170" s="57"/>
      <c r="F170" s="43"/>
      <c r="G170" s="43"/>
      <c r="Q170" s="57"/>
      <c r="R170" t="str">
        <f t="shared" si="2"/>
        <v/>
      </c>
    </row>
    <row r="171" spans="2:18" x14ac:dyDescent="0.3">
      <c r="B171" s="57"/>
      <c r="F171" s="43"/>
      <c r="G171" s="43"/>
      <c r="Q171" s="57"/>
      <c r="R171" t="str">
        <f t="shared" si="2"/>
        <v/>
      </c>
    </row>
    <row r="172" spans="2:18" x14ac:dyDescent="0.3">
      <c r="B172" s="57"/>
      <c r="F172" s="43"/>
      <c r="G172" s="43"/>
      <c r="Q172" s="57"/>
      <c r="R172" t="str">
        <f t="shared" si="2"/>
        <v/>
      </c>
    </row>
    <row r="173" spans="2:18" x14ac:dyDescent="0.3">
      <c r="B173" s="57"/>
      <c r="F173" s="43"/>
      <c r="G173" s="43"/>
      <c r="Q173" s="57"/>
      <c r="R173" t="str">
        <f t="shared" si="2"/>
        <v/>
      </c>
    </row>
    <row r="174" spans="2:18" x14ac:dyDescent="0.3">
      <c r="B174" s="57"/>
      <c r="F174" s="43"/>
      <c r="G174" s="43"/>
      <c r="Q174" s="57"/>
      <c r="R174" t="str">
        <f t="shared" si="2"/>
        <v/>
      </c>
    </row>
    <row r="175" spans="2:18" x14ac:dyDescent="0.3">
      <c r="B175" s="57"/>
      <c r="F175" s="43"/>
      <c r="G175" s="43"/>
      <c r="Q175" s="57"/>
      <c r="R175" t="str">
        <f t="shared" si="2"/>
        <v/>
      </c>
    </row>
    <row r="176" spans="2:18" x14ac:dyDescent="0.3">
      <c r="B176" s="57"/>
      <c r="F176" s="43"/>
      <c r="G176" s="43"/>
      <c r="Q176" s="57"/>
      <c r="R176" t="str">
        <f t="shared" si="2"/>
        <v/>
      </c>
    </row>
    <row r="177" spans="2:18" x14ac:dyDescent="0.3">
      <c r="B177" s="57"/>
      <c r="F177" s="43"/>
      <c r="G177" s="43"/>
      <c r="Q177" s="57"/>
      <c r="R177" t="str">
        <f t="shared" si="2"/>
        <v/>
      </c>
    </row>
    <row r="178" spans="2:18" x14ac:dyDescent="0.3">
      <c r="B178" s="57"/>
      <c r="F178" s="43"/>
      <c r="G178" s="43"/>
      <c r="Q178" s="57"/>
      <c r="R178" t="str">
        <f t="shared" si="2"/>
        <v/>
      </c>
    </row>
    <row r="179" spans="2:18" x14ac:dyDescent="0.3">
      <c r="B179" s="57"/>
      <c r="F179" s="43"/>
      <c r="G179" s="43"/>
      <c r="Q179" s="57"/>
      <c r="R179" t="str">
        <f t="shared" si="2"/>
        <v/>
      </c>
    </row>
    <row r="180" spans="2:18" x14ac:dyDescent="0.3">
      <c r="B180" s="57"/>
      <c r="F180" s="43"/>
      <c r="G180" s="43"/>
      <c r="Q180" s="57"/>
      <c r="R180" t="str">
        <f t="shared" si="2"/>
        <v/>
      </c>
    </row>
    <row r="181" spans="2:18" x14ac:dyDescent="0.3">
      <c r="B181" s="57"/>
      <c r="F181" s="43"/>
      <c r="G181" s="43"/>
      <c r="Q181" s="57"/>
      <c r="R181" t="str">
        <f t="shared" si="2"/>
        <v/>
      </c>
    </row>
    <row r="182" spans="2:18" x14ac:dyDescent="0.3">
      <c r="B182" s="57"/>
      <c r="F182" s="43"/>
      <c r="G182" s="43"/>
      <c r="Q182" s="57"/>
      <c r="R182" t="str">
        <f t="shared" si="2"/>
        <v/>
      </c>
    </row>
    <row r="183" spans="2:18" x14ac:dyDescent="0.3">
      <c r="B183" s="57"/>
      <c r="F183" s="43"/>
      <c r="G183" s="43"/>
      <c r="Q183" s="57"/>
      <c r="R183" t="str">
        <f t="shared" si="2"/>
        <v/>
      </c>
    </row>
    <row r="184" spans="2:18" x14ac:dyDescent="0.3">
      <c r="B184" s="57"/>
      <c r="F184" s="43"/>
      <c r="G184" s="43"/>
      <c r="Q184" s="57"/>
      <c r="R184" t="str">
        <f t="shared" si="2"/>
        <v/>
      </c>
    </row>
    <row r="185" spans="2:18" x14ac:dyDescent="0.3">
      <c r="B185" s="57"/>
      <c r="F185" s="43"/>
      <c r="G185" s="43"/>
      <c r="Q185" s="57"/>
      <c r="R185" t="str">
        <f t="shared" si="2"/>
        <v/>
      </c>
    </row>
    <row r="186" spans="2:18" x14ac:dyDescent="0.3">
      <c r="B186" s="57"/>
      <c r="F186" s="43"/>
      <c r="G186" s="43"/>
      <c r="Q186" s="57"/>
      <c r="R186" t="str">
        <f t="shared" si="2"/>
        <v/>
      </c>
    </row>
    <row r="187" spans="2:18" x14ac:dyDescent="0.3">
      <c r="B187" s="57"/>
      <c r="F187" s="43"/>
      <c r="G187" s="43"/>
      <c r="Q187" s="57"/>
      <c r="R187" t="str">
        <f t="shared" si="2"/>
        <v/>
      </c>
    </row>
    <row r="188" spans="2:18" x14ac:dyDescent="0.3">
      <c r="B188" s="57"/>
      <c r="F188" s="43"/>
      <c r="G188" s="43"/>
      <c r="Q188" s="57"/>
      <c r="R188" t="str">
        <f t="shared" si="2"/>
        <v/>
      </c>
    </row>
    <row r="189" spans="2:18" x14ac:dyDescent="0.3">
      <c r="B189" s="57"/>
      <c r="F189" s="43"/>
      <c r="G189" s="43"/>
      <c r="Q189" s="57"/>
      <c r="R189" t="str">
        <f t="shared" si="2"/>
        <v/>
      </c>
    </row>
    <row r="190" spans="2:18" x14ac:dyDescent="0.3">
      <c r="B190" s="57"/>
      <c r="F190" s="43"/>
      <c r="G190" s="43"/>
      <c r="Q190" s="57"/>
      <c r="R190" t="str">
        <f t="shared" si="2"/>
        <v/>
      </c>
    </row>
    <row r="191" spans="2:18" x14ac:dyDescent="0.3">
      <c r="B191" s="57"/>
      <c r="F191" s="43"/>
      <c r="G191" s="43"/>
      <c r="Q191" s="57"/>
      <c r="R191" t="str">
        <f t="shared" si="2"/>
        <v/>
      </c>
    </row>
    <row r="192" spans="2:18" x14ac:dyDescent="0.3">
      <c r="B192" s="57"/>
      <c r="F192" s="43"/>
      <c r="G192" s="43"/>
      <c r="Q192" s="57"/>
      <c r="R192" t="str">
        <f t="shared" si="2"/>
        <v/>
      </c>
    </row>
    <row r="193" spans="2:18" x14ac:dyDescent="0.3">
      <c r="B193" s="57"/>
      <c r="F193" s="43"/>
      <c r="G193" s="43"/>
      <c r="Q193" s="57"/>
      <c r="R193" t="str">
        <f t="shared" si="2"/>
        <v/>
      </c>
    </row>
    <row r="194" spans="2:18" x14ac:dyDescent="0.3">
      <c r="B194" s="57"/>
      <c r="F194" s="43"/>
      <c r="G194" s="43"/>
      <c r="Q194" s="57"/>
      <c r="R194" t="str">
        <f t="shared" si="2"/>
        <v/>
      </c>
    </row>
    <row r="195" spans="2:18" x14ac:dyDescent="0.3">
      <c r="B195" s="57"/>
      <c r="F195" s="43"/>
      <c r="G195" s="43"/>
      <c r="Q195" s="57"/>
      <c r="R195" t="str">
        <f t="shared" ref="R195:R258" si="3">IF(ISERROR(INDEX(MONDAY_ITEMID,MATCH(S195,MONDAY_ITEMS,0))),"",INDEX(MONDAY_ITEMID,MATCH(S195,MONDAY_ITEMS,0)))</f>
        <v/>
      </c>
    </row>
    <row r="196" spans="2:18" x14ac:dyDescent="0.3">
      <c r="B196" s="57"/>
      <c r="F196" s="43"/>
      <c r="G196" s="43"/>
      <c r="Q196" s="57"/>
      <c r="R196" t="str">
        <f t="shared" si="3"/>
        <v/>
      </c>
    </row>
    <row r="197" spans="2:18" x14ac:dyDescent="0.3">
      <c r="B197" s="57"/>
      <c r="F197" s="43"/>
      <c r="G197" s="43"/>
      <c r="Q197" s="57"/>
      <c r="R197" t="str">
        <f t="shared" si="3"/>
        <v/>
      </c>
    </row>
    <row r="198" spans="2:18" x14ac:dyDescent="0.3">
      <c r="B198" s="57"/>
      <c r="F198" s="43"/>
      <c r="G198" s="43"/>
      <c r="Q198" s="57"/>
      <c r="R198" t="str">
        <f t="shared" si="3"/>
        <v/>
      </c>
    </row>
    <row r="199" spans="2:18" x14ac:dyDescent="0.3">
      <c r="B199" s="57"/>
      <c r="F199" s="43"/>
      <c r="G199" s="43"/>
      <c r="Q199" s="57"/>
      <c r="R199" t="str">
        <f t="shared" si="3"/>
        <v/>
      </c>
    </row>
    <row r="200" spans="2:18" x14ac:dyDescent="0.3">
      <c r="B200" s="57"/>
      <c r="F200" s="43"/>
      <c r="G200" s="43"/>
      <c r="Q200" s="57"/>
      <c r="R200" t="str">
        <f t="shared" si="3"/>
        <v/>
      </c>
    </row>
    <row r="201" spans="2:18" x14ac:dyDescent="0.3">
      <c r="F201" s="43"/>
      <c r="G201" s="43"/>
      <c r="R201" t="str">
        <f t="shared" si="3"/>
        <v/>
      </c>
    </row>
    <row r="202" spans="2:18" x14ac:dyDescent="0.3">
      <c r="F202" s="43"/>
      <c r="G202" s="43"/>
      <c r="R202" t="str">
        <f t="shared" si="3"/>
        <v/>
      </c>
    </row>
    <row r="203" spans="2:18" x14ac:dyDescent="0.3">
      <c r="F203" s="43"/>
      <c r="G203" s="43"/>
      <c r="R203" t="str">
        <f t="shared" si="3"/>
        <v/>
      </c>
    </row>
    <row r="204" spans="2:18" x14ac:dyDescent="0.3">
      <c r="F204" s="43"/>
      <c r="G204" s="43"/>
      <c r="R204" t="str">
        <f t="shared" si="3"/>
        <v/>
      </c>
    </row>
    <row r="205" spans="2:18" x14ac:dyDescent="0.3">
      <c r="F205" s="43"/>
      <c r="G205" s="43"/>
      <c r="R205" t="str">
        <f t="shared" si="3"/>
        <v/>
      </c>
    </row>
    <row r="206" spans="2:18" x14ac:dyDescent="0.3">
      <c r="F206" s="43"/>
      <c r="G206" s="43"/>
      <c r="R206" t="str">
        <f t="shared" si="3"/>
        <v/>
      </c>
    </row>
    <row r="207" spans="2:18" x14ac:dyDescent="0.3">
      <c r="F207" s="43"/>
      <c r="G207" s="43"/>
      <c r="R207" t="str">
        <f t="shared" si="3"/>
        <v/>
      </c>
    </row>
    <row r="208" spans="2:18" x14ac:dyDescent="0.3">
      <c r="F208" s="43"/>
      <c r="G208" s="43"/>
      <c r="R208" t="str">
        <f t="shared" si="3"/>
        <v/>
      </c>
    </row>
    <row r="209" spans="6:18" x14ac:dyDescent="0.3">
      <c r="F209" s="43"/>
      <c r="G209" s="43"/>
      <c r="R209" t="str">
        <f t="shared" si="3"/>
        <v/>
      </c>
    </row>
    <row r="210" spans="6:18" x14ac:dyDescent="0.3">
      <c r="F210" s="43"/>
      <c r="G210" s="43"/>
      <c r="R210" t="str">
        <f t="shared" si="3"/>
        <v/>
      </c>
    </row>
    <row r="211" spans="6:18" x14ac:dyDescent="0.3">
      <c r="F211" s="43"/>
      <c r="G211" s="43"/>
      <c r="R211" t="str">
        <f t="shared" si="3"/>
        <v/>
      </c>
    </row>
    <row r="212" spans="6:18" x14ac:dyDescent="0.3">
      <c r="F212" s="43"/>
      <c r="G212" s="43"/>
      <c r="R212" t="str">
        <f t="shared" si="3"/>
        <v/>
      </c>
    </row>
    <row r="213" spans="6:18" x14ac:dyDescent="0.3">
      <c r="F213" s="43"/>
      <c r="G213" s="43"/>
      <c r="R213" t="str">
        <f t="shared" si="3"/>
        <v/>
      </c>
    </row>
    <row r="214" spans="6:18" x14ac:dyDescent="0.3">
      <c r="F214" s="43"/>
      <c r="G214" s="43"/>
      <c r="R214" t="str">
        <f t="shared" si="3"/>
        <v/>
      </c>
    </row>
    <row r="215" spans="6:18" x14ac:dyDescent="0.3">
      <c r="F215" s="43"/>
      <c r="G215" s="43"/>
      <c r="R215" t="str">
        <f t="shared" si="3"/>
        <v/>
      </c>
    </row>
    <row r="216" spans="6:18" x14ac:dyDescent="0.3">
      <c r="F216" s="43"/>
      <c r="G216" s="43"/>
      <c r="R216" t="str">
        <f t="shared" si="3"/>
        <v/>
      </c>
    </row>
    <row r="217" spans="6:18" x14ac:dyDescent="0.3">
      <c r="F217" s="43"/>
      <c r="G217" s="43"/>
      <c r="R217" t="str">
        <f t="shared" si="3"/>
        <v/>
      </c>
    </row>
    <row r="218" spans="6:18" x14ac:dyDescent="0.3">
      <c r="F218" s="43"/>
      <c r="G218" s="43"/>
      <c r="R218" t="str">
        <f t="shared" si="3"/>
        <v/>
      </c>
    </row>
    <row r="219" spans="6:18" x14ac:dyDescent="0.3">
      <c r="F219" s="43"/>
      <c r="G219" s="43"/>
      <c r="R219" t="str">
        <f t="shared" si="3"/>
        <v/>
      </c>
    </row>
    <row r="220" spans="6:18" x14ac:dyDescent="0.3">
      <c r="F220" s="43"/>
      <c r="G220" s="43"/>
      <c r="R220" t="str">
        <f t="shared" si="3"/>
        <v/>
      </c>
    </row>
    <row r="221" spans="6:18" x14ac:dyDescent="0.3">
      <c r="F221" s="43"/>
      <c r="G221" s="43"/>
      <c r="R221" t="str">
        <f t="shared" si="3"/>
        <v/>
      </c>
    </row>
    <row r="222" spans="6:18" x14ac:dyDescent="0.3">
      <c r="F222" s="43"/>
      <c r="G222" s="43"/>
      <c r="R222" t="str">
        <f t="shared" si="3"/>
        <v/>
      </c>
    </row>
    <row r="223" spans="6:18" x14ac:dyDescent="0.3">
      <c r="F223" s="43"/>
      <c r="G223" s="43"/>
      <c r="R223" t="str">
        <f t="shared" si="3"/>
        <v/>
      </c>
    </row>
    <row r="224" spans="6:18" x14ac:dyDescent="0.3">
      <c r="F224" s="43"/>
      <c r="G224" s="43"/>
      <c r="R224" t="str">
        <f t="shared" si="3"/>
        <v/>
      </c>
    </row>
    <row r="225" spans="6:18" x14ac:dyDescent="0.3">
      <c r="F225" s="43"/>
      <c r="G225" s="43"/>
      <c r="R225" t="str">
        <f t="shared" si="3"/>
        <v/>
      </c>
    </row>
    <row r="226" spans="6:18" x14ac:dyDescent="0.3">
      <c r="F226" s="43"/>
      <c r="G226" s="43"/>
      <c r="R226" t="str">
        <f t="shared" si="3"/>
        <v/>
      </c>
    </row>
    <row r="227" spans="6:18" x14ac:dyDescent="0.3">
      <c r="F227" s="43"/>
      <c r="G227" s="43"/>
      <c r="R227" t="str">
        <f t="shared" si="3"/>
        <v/>
      </c>
    </row>
    <row r="228" spans="6:18" x14ac:dyDescent="0.3">
      <c r="F228" s="43"/>
      <c r="G228" s="43"/>
      <c r="R228" t="str">
        <f t="shared" si="3"/>
        <v/>
      </c>
    </row>
    <row r="229" spans="6:18" x14ac:dyDescent="0.3">
      <c r="F229" s="43"/>
      <c r="G229" s="43"/>
      <c r="R229" t="str">
        <f t="shared" si="3"/>
        <v/>
      </c>
    </row>
    <row r="230" spans="6:18" x14ac:dyDescent="0.3">
      <c r="F230" s="43"/>
      <c r="G230" s="43"/>
      <c r="R230" t="str">
        <f t="shared" si="3"/>
        <v/>
      </c>
    </row>
    <row r="231" spans="6:18" x14ac:dyDescent="0.3">
      <c r="F231" s="43"/>
      <c r="G231" s="43"/>
      <c r="R231" t="str">
        <f t="shared" si="3"/>
        <v/>
      </c>
    </row>
    <row r="232" spans="6:18" x14ac:dyDescent="0.3">
      <c r="F232" s="43"/>
      <c r="G232" s="43"/>
      <c r="R232" t="str">
        <f t="shared" si="3"/>
        <v/>
      </c>
    </row>
    <row r="233" spans="6:18" x14ac:dyDescent="0.3">
      <c r="F233" s="43"/>
      <c r="G233" s="43"/>
      <c r="R233" t="str">
        <f t="shared" si="3"/>
        <v/>
      </c>
    </row>
    <row r="234" spans="6:18" x14ac:dyDescent="0.3">
      <c r="F234" s="43"/>
      <c r="G234" s="43"/>
      <c r="R234" t="str">
        <f t="shared" si="3"/>
        <v/>
      </c>
    </row>
    <row r="235" spans="6:18" x14ac:dyDescent="0.3">
      <c r="F235" s="43"/>
      <c r="G235" s="43"/>
      <c r="R235" t="str">
        <f t="shared" si="3"/>
        <v/>
      </c>
    </row>
    <row r="236" spans="6:18" x14ac:dyDescent="0.3">
      <c r="F236" s="43"/>
      <c r="G236" s="43"/>
      <c r="R236" t="str">
        <f t="shared" si="3"/>
        <v/>
      </c>
    </row>
    <row r="237" spans="6:18" x14ac:dyDescent="0.3">
      <c r="F237" s="43"/>
      <c r="G237" s="43"/>
      <c r="R237" t="str">
        <f t="shared" si="3"/>
        <v/>
      </c>
    </row>
    <row r="238" spans="6:18" x14ac:dyDescent="0.3">
      <c r="F238" s="43"/>
      <c r="G238" s="43"/>
      <c r="R238" t="str">
        <f t="shared" si="3"/>
        <v/>
      </c>
    </row>
    <row r="239" spans="6:18" x14ac:dyDescent="0.3">
      <c r="F239" s="43"/>
      <c r="G239" s="43"/>
      <c r="R239" t="str">
        <f t="shared" si="3"/>
        <v/>
      </c>
    </row>
    <row r="240" spans="6:18" x14ac:dyDescent="0.3">
      <c r="F240" s="43"/>
      <c r="G240" s="43"/>
      <c r="R240" t="str">
        <f t="shared" si="3"/>
        <v/>
      </c>
    </row>
    <row r="241" spans="6:18" x14ac:dyDescent="0.3">
      <c r="F241" s="43"/>
      <c r="G241" s="43"/>
      <c r="R241" t="str">
        <f t="shared" si="3"/>
        <v/>
      </c>
    </row>
    <row r="242" spans="6:18" x14ac:dyDescent="0.3">
      <c r="F242" s="43"/>
      <c r="G242" s="43"/>
      <c r="R242" t="str">
        <f t="shared" si="3"/>
        <v/>
      </c>
    </row>
    <row r="243" spans="6:18" x14ac:dyDescent="0.3">
      <c r="F243" s="43"/>
      <c r="G243" s="43"/>
      <c r="R243" t="str">
        <f t="shared" si="3"/>
        <v/>
      </c>
    </row>
    <row r="244" spans="6:18" x14ac:dyDescent="0.3">
      <c r="F244" s="43"/>
      <c r="G244" s="43"/>
      <c r="R244" t="str">
        <f t="shared" si="3"/>
        <v/>
      </c>
    </row>
    <row r="245" spans="6:18" x14ac:dyDescent="0.3">
      <c r="F245" s="43"/>
      <c r="G245" s="43"/>
      <c r="R245" t="str">
        <f t="shared" si="3"/>
        <v/>
      </c>
    </row>
    <row r="246" spans="6:18" x14ac:dyDescent="0.3">
      <c r="F246" s="43"/>
      <c r="G246" s="43"/>
      <c r="R246" t="str">
        <f t="shared" si="3"/>
        <v/>
      </c>
    </row>
    <row r="247" spans="6:18" x14ac:dyDescent="0.3">
      <c r="F247" s="43"/>
      <c r="G247" s="43"/>
      <c r="R247" t="str">
        <f t="shared" si="3"/>
        <v/>
      </c>
    </row>
    <row r="248" spans="6:18" x14ac:dyDescent="0.3">
      <c r="F248" s="43"/>
      <c r="G248" s="43"/>
      <c r="R248" t="str">
        <f t="shared" si="3"/>
        <v/>
      </c>
    </row>
    <row r="249" spans="6:18" x14ac:dyDescent="0.3">
      <c r="F249" s="43"/>
      <c r="G249" s="43"/>
      <c r="R249" t="str">
        <f t="shared" si="3"/>
        <v/>
      </c>
    </row>
    <row r="250" spans="6:18" x14ac:dyDescent="0.3">
      <c r="F250" s="43"/>
      <c r="G250" s="43"/>
      <c r="R250" t="str">
        <f t="shared" si="3"/>
        <v/>
      </c>
    </row>
    <row r="251" spans="6:18" x14ac:dyDescent="0.3">
      <c r="F251" s="43"/>
      <c r="G251" s="43"/>
      <c r="R251" t="str">
        <f t="shared" si="3"/>
        <v/>
      </c>
    </row>
    <row r="252" spans="6:18" x14ac:dyDescent="0.3">
      <c r="F252" s="43"/>
      <c r="G252" s="43"/>
      <c r="R252" t="str">
        <f t="shared" si="3"/>
        <v/>
      </c>
    </row>
    <row r="253" spans="6:18" x14ac:dyDescent="0.3">
      <c r="F253" s="43"/>
      <c r="G253" s="43"/>
      <c r="R253" t="str">
        <f t="shared" si="3"/>
        <v/>
      </c>
    </row>
    <row r="254" spans="6:18" x14ac:dyDescent="0.3">
      <c r="F254" s="43"/>
      <c r="G254" s="43"/>
      <c r="R254" t="str">
        <f t="shared" si="3"/>
        <v/>
      </c>
    </row>
    <row r="255" spans="6:18" x14ac:dyDescent="0.3">
      <c r="F255" s="43"/>
      <c r="G255" s="43"/>
      <c r="R255" t="str">
        <f t="shared" si="3"/>
        <v/>
      </c>
    </row>
    <row r="256" spans="6:18" x14ac:dyDescent="0.3">
      <c r="F256" s="43"/>
      <c r="G256" s="43"/>
      <c r="R256" t="str">
        <f t="shared" si="3"/>
        <v/>
      </c>
    </row>
    <row r="257" spans="6:18" x14ac:dyDescent="0.3">
      <c r="F257" s="43"/>
      <c r="G257" s="43"/>
      <c r="R257" t="str">
        <f t="shared" si="3"/>
        <v/>
      </c>
    </row>
    <row r="258" spans="6:18" x14ac:dyDescent="0.3">
      <c r="F258" s="43"/>
      <c r="G258" s="43"/>
      <c r="R258" t="str">
        <f t="shared" si="3"/>
        <v/>
      </c>
    </row>
    <row r="259" spans="6:18" x14ac:dyDescent="0.3">
      <c r="F259" s="43"/>
      <c r="G259" s="43"/>
      <c r="R259" t="str">
        <f t="shared" ref="R259:R322" si="4">IF(ISERROR(INDEX(MONDAY_ITEMID,MATCH(S259,MONDAY_ITEMS,0))),"",INDEX(MONDAY_ITEMID,MATCH(S259,MONDAY_ITEMS,0)))</f>
        <v/>
      </c>
    </row>
    <row r="260" spans="6:18" x14ac:dyDescent="0.3">
      <c r="F260" s="43"/>
      <c r="G260" s="43"/>
      <c r="R260" t="str">
        <f t="shared" si="4"/>
        <v/>
      </c>
    </row>
    <row r="261" spans="6:18" x14ac:dyDescent="0.3">
      <c r="F261" s="43"/>
      <c r="G261" s="43"/>
      <c r="R261" t="str">
        <f t="shared" si="4"/>
        <v/>
      </c>
    </row>
    <row r="262" spans="6:18" x14ac:dyDescent="0.3">
      <c r="F262" s="43"/>
      <c r="G262" s="43"/>
      <c r="R262" t="str">
        <f t="shared" si="4"/>
        <v/>
      </c>
    </row>
    <row r="263" spans="6:18" x14ac:dyDescent="0.3">
      <c r="F263" s="43"/>
      <c r="G263" s="43"/>
      <c r="R263" t="str">
        <f t="shared" si="4"/>
        <v/>
      </c>
    </row>
    <row r="264" spans="6:18" x14ac:dyDescent="0.3">
      <c r="F264" s="43"/>
      <c r="G264" s="43"/>
      <c r="R264" t="str">
        <f t="shared" si="4"/>
        <v/>
      </c>
    </row>
    <row r="265" spans="6:18" x14ac:dyDescent="0.3">
      <c r="F265" s="43"/>
      <c r="G265" s="43"/>
      <c r="R265" t="str">
        <f t="shared" si="4"/>
        <v/>
      </c>
    </row>
    <row r="266" spans="6:18" x14ac:dyDescent="0.3">
      <c r="F266" s="43"/>
      <c r="G266" s="43"/>
      <c r="R266" t="str">
        <f t="shared" si="4"/>
        <v/>
      </c>
    </row>
    <row r="267" spans="6:18" x14ac:dyDescent="0.3">
      <c r="F267" s="43"/>
      <c r="G267" s="43"/>
      <c r="R267" t="str">
        <f t="shared" si="4"/>
        <v/>
      </c>
    </row>
    <row r="268" spans="6:18" x14ac:dyDescent="0.3">
      <c r="F268" s="43"/>
      <c r="G268" s="43"/>
      <c r="R268" t="str">
        <f t="shared" si="4"/>
        <v/>
      </c>
    </row>
    <row r="269" spans="6:18" x14ac:dyDescent="0.3">
      <c r="F269" s="43"/>
      <c r="G269" s="43"/>
      <c r="R269" t="str">
        <f t="shared" si="4"/>
        <v/>
      </c>
    </row>
    <row r="270" spans="6:18" x14ac:dyDescent="0.3">
      <c r="F270" s="43"/>
      <c r="G270" s="43"/>
      <c r="R270" t="str">
        <f t="shared" si="4"/>
        <v/>
      </c>
    </row>
    <row r="271" spans="6:18" x14ac:dyDescent="0.3">
      <c r="F271" s="43"/>
      <c r="G271" s="43"/>
      <c r="R271" t="str">
        <f t="shared" si="4"/>
        <v/>
      </c>
    </row>
    <row r="272" spans="6:18" x14ac:dyDescent="0.3">
      <c r="F272" s="43"/>
      <c r="G272" s="43"/>
      <c r="R272" t="str">
        <f t="shared" si="4"/>
        <v/>
      </c>
    </row>
    <row r="273" spans="6:18" x14ac:dyDescent="0.3">
      <c r="F273" s="43"/>
      <c r="G273" s="43"/>
      <c r="R273" t="str">
        <f t="shared" si="4"/>
        <v/>
      </c>
    </row>
    <row r="274" spans="6:18" x14ac:dyDescent="0.3">
      <c r="F274" s="43"/>
      <c r="G274" s="43"/>
      <c r="R274" t="str">
        <f t="shared" si="4"/>
        <v/>
      </c>
    </row>
    <row r="275" spans="6:18" x14ac:dyDescent="0.3">
      <c r="F275" s="43"/>
      <c r="G275" s="43"/>
      <c r="R275" t="str">
        <f t="shared" si="4"/>
        <v/>
      </c>
    </row>
    <row r="276" spans="6:18" x14ac:dyDescent="0.3">
      <c r="F276" s="43"/>
      <c r="G276" s="43"/>
      <c r="R276" t="str">
        <f t="shared" si="4"/>
        <v/>
      </c>
    </row>
    <row r="277" spans="6:18" x14ac:dyDescent="0.3">
      <c r="F277" s="43"/>
      <c r="G277" s="43"/>
      <c r="R277" t="str">
        <f t="shared" si="4"/>
        <v/>
      </c>
    </row>
    <row r="278" spans="6:18" x14ac:dyDescent="0.3">
      <c r="F278" s="43"/>
      <c r="G278" s="43"/>
      <c r="R278" t="str">
        <f t="shared" si="4"/>
        <v/>
      </c>
    </row>
    <row r="279" spans="6:18" x14ac:dyDescent="0.3">
      <c r="F279" s="43"/>
      <c r="G279" s="43"/>
      <c r="R279" t="str">
        <f t="shared" si="4"/>
        <v/>
      </c>
    </row>
    <row r="280" spans="6:18" x14ac:dyDescent="0.3">
      <c r="F280" s="43"/>
      <c r="G280" s="43"/>
      <c r="R280" t="str">
        <f t="shared" si="4"/>
        <v/>
      </c>
    </row>
    <row r="281" spans="6:18" x14ac:dyDescent="0.3">
      <c r="F281" s="43"/>
      <c r="G281" s="43"/>
      <c r="R281" t="str">
        <f t="shared" si="4"/>
        <v/>
      </c>
    </row>
    <row r="282" spans="6:18" x14ac:dyDescent="0.3">
      <c r="F282" s="43"/>
      <c r="G282" s="43"/>
      <c r="R282" t="str">
        <f t="shared" si="4"/>
        <v/>
      </c>
    </row>
    <row r="283" spans="6:18" x14ac:dyDescent="0.3">
      <c r="F283" s="43"/>
      <c r="G283" s="43"/>
      <c r="R283" t="str">
        <f t="shared" si="4"/>
        <v/>
      </c>
    </row>
    <row r="284" spans="6:18" x14ac:dyDescent="0.3">
      <c r="F284" s="43"/>
      <c r="G284" s="43"/>
      <c r="R284" t="str">
        <f t="shared" si="4"/>
        <v/>
      </c>
    </row>
    <row r="285" spans="6:18" x14ac:dyDescent="0.3">
      <c r="F285" s="43"/>
      <c r="G285" s="43"/>
      <c r="R285" t="str">
        <f t="shared" si="4"/>
        <v/>
      </c>
    </row>
    <row r="286" spans="6:18" x14ac:dyDescent="0.3">
      <c r="F286" s="43"/>
      <c r="G286" s="43"/>
      <c r="R286" t="str">
        <f t="shared" si="4"/>
        <v/>
      </c>
    </row>
    <row r="287" spans="6:18" x14ac:dyDescent="0.3">
      <c r="F287" s="43"/>
      <c r="G287" s="43"/>
      <c r="R287" t="str">
        <f t="shared" si="4"/>
        <v/>
      </c>
    </row>
    <row r="288" spans="6:18" x14ac:dyDescent="0.3">
      <c r="F288" s="43"/>
      <c r="G288" s="43"/>
      <c r="R288" t="str">
        <f t="shared" si="4"/>
        <v/>
      </c>
    </row>
    <row r="289" spans="6:18" x14ac:dyDescent="0.3">
      <c r="F289" s="43"/>
      <c r="G289" s="43"/>
      <c r="R289" t="str">
        <f t="shared" si="4"/>
        <v/>
      </c>
    </row>
    <row r="290" spans="6:18" x14ac:dyDescent="0.3">
      <c r="F290" s="43"/>
      <c r="G290" s="43"/>
      <c r="R290" t="str">
        <f t="shared" si="4"/>
        <v/>
      </c>
    </row>
    <row r="291" spans="6:18" x14ac:dyDescent="0.3">
      <c r="F291" s="43"/>
      <c r="G291" s="43"/>
      <c r="R291" t="str">
        <f t="shared" si="4"/>
        <v/>
      </c>
    </row>
    <row r="292" spans="6:18" x14ac:dyDescent="0.3">
      <c r="F292" s="43"/>
      <c r="G292" s="43"/>
      <c r="R292" t="str">
        <f t="shared" si="4"/>
        <v/>
      </c>
    </row>
    <row r="293" spans="6:18" x14ac:dyDescent="0.3">
      <c r="F293" s="43"/>
      <c r="G293" s="43"/>
      <c r="R293" t="str">
        <f t="shared" si="4"/>
        <v/>
      </c>
    </row>
    <row r="294" spans="6:18" x14ac:dyDescent="0.3">
      <c r="F294" s="43"/>
      <c r="G294" s="43"/>
      <c r="R294" t="str">
        <f t="shared" si="4"/>
        <v/>
      </c>
    </row>
    <row r="295" spans="6:18" x14ac:dyDescent="0.3">
      <c r="F295" s="43"/>
      <c r="G295" s="43"/>
      <c r="R295" t="str">
        <f t="shared" si="4"/>
        <v/>
      </c>
    </row>
    <row r="296" spans="6:18" x14ac:dyDescent="0.3">
      <c r="F296" s="43"/>
      <c r="G296" s="43"/>
      <c r="R296" t="str">
        <f t="shared" si="4"/>
        <v/>
      </c>
    </row>
    <row r="297" spans="6:18" x14ac:dyDescent="0.3">
      <c r="F297" s="43"/>
      <c r="G297" s="43"/>
      <c r="R297" t="str">
        <f t="shared" si="4"/>
        <v/>
      </c>
    </row>
    <row r="298" spans="6:18" x14ac:dyDescent="0.3">
      <c r="F298" s="43"/>
      <c r="G298" s="43"/>
      <c r="R298" t="str">
        <f t="shared" si="4"/>
        <v/>
      </c>
    </row>
    <row r="299" spans="6:18" x14ac:dyDescent="0.3">
      <c r="F299" s="43"/>
      <c r="G299" s="43"/>
      <c r="R299" t="str">
        <f t="shared" si="4"/>
        <v/>
      </c>
    </row>
    <row r="300" spans="6:18" x14ac:dyDescent="0.3">
      <c r="F300" s="43"/>
      <c r="G300" s="43"/>
      <c r="R300" t="str">
        <f t="shared" si="4"/>
        <v/>
      </c>
    </row>
    <row r="301" spans="6:18" x14ac:dyDescent="0.3">
      <c r="F301" s="43"/>
      <c r="G301" s="43"/>
      <c r="R301" t="str">
        <f t="shared" si="4"/>
        <v/>
      </c>
    </row>
    <row r="302" spans="6:18" x14ac:dyDescent="0.3">
      <c r="F302" s="43"/>
      <c r="G302" s="43"/>
      <c r="R302" t="str">
        <f t="shared" si="4"/>
        <v/>
      </c>
    </row>
    <row r="303" spans="6:18" x14ac:dyDescent="0.3">
      <c r="F303" s="43"/>
      <c r="G303" s="43"/>
      <c r="R303" t="str">
        <f t="shared" si="4"/>
        <v/>
      </c>
    </row>
    <row r="304" spans="6:18" x14ac:dyDescent="0.3">
      <c r="F304" s="43"/>
      <c r="G304" s="43"/>
      <c r="R304" t="str">
        <f t="shared" si="4"/>
        <v/>
      </c>
    </row>
    <row r="305" spans="6:18" x14ac:dyDescent="0.3">
      <c r="F305" s="43"/>
      <c r="G305" s="43"/>
      <c r="R305" t="str">
        <f t="shared" si="4"/>
        <v/>
      </c>
    </row>
    <row r="306" spans="6:18" x14ac:dyDescent="0.3">
      <c r="F306" s="43"/>
      <c r="G306" s="43"/>
      <c r="R306" t="str">
        <f t="shared" si="4"/>
        <v/>
      </c>
    </row>
    <row r="307" spans="6:18" x14ac:dyDescent="0.3">
      <c r="F307" s="43"/>
      <c r="G307" s="43"/>
      <c r="R307" t="str">
        <f t="shared" si="4"/>
        <v/>
      </c>
    </row>
    <row r="308" spans="6:18" x14ac:dyDescent="0.3">
      <c r="F308" s="43"/>
      <c r="G308" s="43"/>
      <c r="R308" t="str">
        <f t="shared" si="4"/>
        <v/>
      </c>
    </row>
    <row r="309" spans="6:18" x14ac:dyDescent="0.3">
      <c r="F309" s="43"/>
      <c r="G309" s="43"/>
      <c r="R309" t="str">
        <f t="shared" si="4"/>
        <v/>
      </c>
    </row>
    <row r="310" spans="6:18" x14ac:dyDescent="0.3">
      <c r="F310" s="43"/>
      <c r="G310" s="43"/>
      <c r="R310" t="str">
        <f t="shared" si="4"/>
        <v/>
      </c>
    </row>
    <row r="311" spans="6:18" x14ac:dyDescent="0.3">
      <c r="F311" s="43"/>
      <c r="G311" s="43"/>
      <c r="R311" t="str">
        <f t="shared" si="4"/>
        <v/>
      </c>
    </row>
    <row r="312" spans="6:18" x14ac:dyDescent="0.3">
      <c r="F312" s="43"/>
      <c r="G312" s="43"/>
      <c r="R312" t="str">
        <f t="shared" si="4"/>
        <v/>
      </c>
    </row>
    <row r="313" spans="6:18" x14ac:dyDescent="0.3">
      <c r="F313" s="43"/>
      <c r="G313" s="43"/>
      <c r="R313" t="str">
        <f t="shared" si="4"/>
        <v/>
      </c>
    </row>
    <row r="314" spans="6:18" x14ac:dyDescent="0.3">
      <c r="F314" s="43"/>
      <c r="G314" s="43"/>
      <c r="R314" t="str">
        <f t="shared" si="4"/>
        <v/>
      </c>
    </row>
    <row r="315" spans="6:18" x14ac:dyDescent="0.3">
      <c r="F315" s="43"/>
      <c r="G315" s="43"/>
      <c r="R315" t="str">
        <f t="shared" si="4"/>
        <v/>
      </c>
    </row>
    <row r="316" spans="6:18" x14ac:dyDescent="0.3">
      <c r="F316" s="43"/>
      <c r="G316" s="43"/>
      <c r="R316" t="str">
        <f t="shared" si="4"/>
        <v/>
      </c>
    </row>
    <row r="317" spans="6:18" x14ac:dyDescent="0.3">
      <c r="F317" s="43"/>
      <c r="G317" s="43"/>
      <c r="R317" t="str">
        <f t="shared" si="4"/>
        <v/>
      </c>
    </row>
    <row r="318" spans="6:18" x14ac:dyDescent="0.3">
      <c r="F318" s="43"/>
      <c r="G318" s="43"/>
      <c r="R318" t="str">
        <f t="shared" si="4"/>
        <v/>
      </c>
    </row>
    <row r="319" spans="6:18" x14ac:dyDescent="0.3">
      <c r="F319" s="43"/>
      <c r="G319" s="43"/>
      <c r="R319" t="str">
        <f t="shared" si="4"/>
        <v/>
      </c>
    </row>
    <row r="320" spans="6:18" x14ac:dyDescent="0.3">
      <c r="F320" s="43"/>
      <c r="G320" s="43"/>
      <c r="R320" t="str">
        <f t="shared" si="4"/>
        <v/>
      </c>
    </row>
    <row r="321" spans="5:18" x14ac:dyDescent="0.3">
      <c r="F321" s="43"/>
      <c r="G321" s="43"/>
      <c r="R321" t="str">
        <f t="shared" si="4"/>
        <v/>
      </c>
    </row>
    <row r="322" spans="5:18" x14ac:dyDescent="0.3">
      <c r="F322" s="43"/>
      <c r="G322" s="43"/>
      <c r="R322" t="str">
        <f t="shared" si="4"/>
        <v/>
      </c>
    </row>
    <row r="323" spans="5:18" x14ac:dyDescent="0.3">
      <c r="F323" s="43"/>
      <c r="G323" s="43"/>
      <c r="R323" t="str">
        <f t="shared" ref="R323:R386" si="5">IF(ISERROR(INDEX(MONDAY_ITEMID,MATCH(S323,MONDAY_ITEMS,0))),"",INDEX(MONDAY_ITEMID,MATCH(S323,MONDAY_ITEMS,0)))</f>
        <v/>
      </c>
    </row>
    <row r="324" spans="5:18" x14ac:dyDescent="0.3">
      <c r="F324" s="43"/>
      <c r="G324" s="43"/>
      <c r="R324" t="str">
        <f t="shared" si="5"/>
        <v/>
      </c>
    </row>
    <row r="325" spans="5:18" x14ac:dyDescent="0.3">
      <c r="F325" s="43"/>
      <c r="G325" s="43"/>
      <c r="R325" t="str">
        <f t="shared" si="5"/>
        <v/>
      </c>
    </row>
    <row r="326" spans="5:18" x14ac:dyDescent="0.3">
      <c r="F326" s="43"/>
      <c r="G326" s="43"/>
      <c r="R326" t="str">
        <f t="shared" si="5"/>
        <v/>
      </c>
    </row>
    <row r="327" spans="5:18" x14ac:dyDescent="0.3">
      <c r="F327" s="43"/>
      <c r="G327" s="43"/>
      <c r="R327" t="str">
        <f t="shared" si="5"/>
        <v/>
      </c>
    </row>
    <row r="328" spans="5:18" x14ac:dyDescent="0.3">
      <c r="F328" s="43"/>
      <c r="G328" s="43"/>
      <c r="R328" t="str">
        <f t="shared" si="5"/>
        <v/>
      </c>
    </row>
    <row r="329" spans="5:18" x14ac:dyDescent="0.3">
      <c r="F329" s="43"/>
      <c r="G329" s="43"/>
      <c r="R329" t="str">
        <f t="shared" si="5"/>
        <v/>
      </c>
    </row>
    <row r="330" spans="5:18" x14ac:dyDescent="0.3">
      <c r="F330" s="43"/>
      <c r="G330" s="43"/>
      <c r="R330" t="str">
        <f t="shared" si="5"/>
        <v/>
      </c>
    </row>
    <row r="331" spans="5:18" x14ac:dyDescent="0.3">
      <c r="F331" s="43"/>
      <c r="G331" s="43"/>
      <c r="R331" t="str">
        <f t="shared" si="5"/>
        <v/>
      </c>
    </row>
    <row r="332" spans="5:18" x14ac:dyDescent="0.3">
      <c r="F332" s="43"/>
      <c r="G332" s="43"/>
      <c r="R332" t="str">
        <f t="shared" si="5"/>
        <v/>
      </c>
    </row>
    <row r="333" spans="5:18" x14ac:dyDescent="0.3">
      <c r="E333" s="44"/>
      <c r="F333" s="43"/>
      <c r="G333" s="43"/>
      <c r="R333" t="str">
        <f t="shared" si="5"/>
        <v/>
      </c>
    </row>
    <row r="334" spans="5:18" x14ac:dyDescent="0.3">
      <c r="F334" s="43"/>
      <c r="G334" s="43"/>
      <c r="R334" t="str">
        <f t="shared" si="5"/>
        <v/>
      </c>
    </row>
    <row r="335" spans="5:18" x14ac:dyDescent="0.3">
      <c r="F335" s="43"/>
      <c r="G335" s="43"/>
      <c r="R335" t="str">
        <f t="shared" si="5"/>
        <v/>
      </c>
    </row>
    <row r="336" spans="5:18" x14ac:dyDescent="0.3">
      <c r="F336" s="43"/>
      <c r="G336" s="43"/>
      <c r="R336" t="str">
        <f t="shared" si="5"/>
        <v/>
      </c>
    </row>
    <row r="337" spans="6:18" x14ac:dyDescent="0.3">
      <c r="F337" s="43"/>
      <c r="G337" s="43"/>
      <c r="R337" t="str">
        <f t="shared" si="5"/>
        <v/>
      </c>
    </row>
    <row r="338" spans="6:18" x14ac:dyDescent="0.3">
      <c r="F338" s="43"/>
      <c r="G338" s="43"/>
      <c r="R338" t="str">
        <f t="shared" si="5"/>
        <v/>
      </c>
    </row>
    <row r="339" spans="6:18" x14ac:dyDescent="0.3">
      <c r="F339" s="43"/>
      <c r="G339" s="43"/>
      <c r="R339" t="str">
        <f t="shared" si="5"/>
        <v/>
      </c>
    </row>
    <row r="340" spans="6:18" x14ac:dyDescent="0.3">
      <c r="F340" s="43"/>
      <c r="G340" s="43"/>
      <c r="R340" t="str">
        <f t="shared" si="5"/>
        <v/>
      </c>
    </row>
    <row r="341" spans="6:18" x14ac:dyDescent="0.3">
      <c r="F341" s="43"/>
      <c r="G341" s="43"/>
      <c r="R341" t="str">
        <f t="shared" si="5"/>
        <v/>
      </c>
    </row>
    <row r="342" spans="6:18" x14ac:dyDescent="0.3">
      <c r="F342" s="43"/>
      <c r="G342" s="43"/>
      <c r="R342" t="str">
        <f t="shared" si="5"/>
        <v/>
      </c>
    </row>
    <row r="343" spans="6:18" x14ac:dyDescent="0.3">
      <c r="F343" s="43"/>
      <c r="G343" s="43"/>
      <c r="R343" t="str">
        <f t="shared" si="5"/>
        <v/>
      </c>
    </row>
    <row r="344" spans="6:18" x14ac:dyDescent="0.3">
      <c r="F344" s="43"/>
      <c r="G344" s="43"/>
      <c r="R344" t="str">
        <f t="shared" si="5"/>
        <v/>
      </c>
    </row>
    <row r="345" spans="6:18" x14ac:dyDescent="0.3">
      <c r="F345" s="43"/>
      <c r="G345" s="43"/>
      <c r="R345" t="str">
        <f t="shared" si="5"/>
        <v/>
      </c>
    </row>
    <row r="346" spans="6:18" x14ac:dyDescent="0.3">
      <c r="F346" s="43"/>
      <c r="G346" s="43"/>
      <c r="R346" t="str">
        <f t="shared" si="5"/>
        <v/>
      </c>
    </row>
    <row r="347" spans="6:18" x14ac:dyDescent="0.3">
      <c r="F347" s="43"/>
      <c r="G347" s="43"/>
      <c r="R347" t="str">
        <f t="shared" si="5"/>
        <v/>
      </c>
    </row>
    <row r="348" spans="6:18" x14ac:dyDescent="0.3">
      <c r="F348" s="43"/>
      <c r="G348" s="43"/>
      <c r="R348" t="str">
        <f t="shared" si="5"/>
        <v/>
      </c>
    </row>
    <row r="349" spans="6:18" x14ac:dyDescent="0.3">
      <c r="F349" s="43"/>
      <c r="G349" s="43"/>
      <c r="R349" t="str">
        <f t="shared" si="5"/>
        <v/>
      </c>
    </row>
    <row r="350" spans="6:18" x14ac:dyDescent="0.3">
      <c r="F350" s="43"/>
      <c r="G350" s="43"/>
      <c r="R350" t="str">
        <f t="shared" si="5"/>
        <v/>
      </c>
    </row>
    <row r="351" spans="6:18" x14ac:dyDescent="0.3">
      <c r="F351" s="43"/>
      <c r="G351" s="43"/>
      <c r="R351" t="str">
        <f t="shared" si="5"/>
        <v/>
      </c>
    </row>
    <row r="352" spans="6:18" x14ac:dyDescent="0.3">
      <c r="F352" s="43"/>
      <c r="G352" s="43"/>
      <c r="R352" t="str">
        <f t="shared" si="5"/>
        <v/>
      </c>
    </row>
    <row r="353" spans="6:18" x14ac:dyDescent="0.3">
      <c r="F353" s="43"/>
      <c r="G353" s="43"/>
      <c r="R353" t="str">
        <f t="shared" si="5"/>
        <v/>
      </c>
    </row>
    <row r="354" spans="6:18" x14ac:dyDescent="0.3">
      <c r="F354" s="43"/>
      <c r="G354" s="43"/>
      <c r="R354" t="str">
        <f t="shared" si="5"/>
        <v/>
      </c>
    </row>
    <row r="355" spans="6:18" x14ac:dyDescent="0.3">
      <c r="F355" s="43"/>
      <c r="G355" s="43"/>
      <c r="R355" t="str">
        <f t="shared" si="5"/>
        <v/>
      </c>
    </row>
    <row r="356" spans="6:18" x14ac:dyDescent="0.3">
      <c r="F356" s="43"/>
      <c r="G356" s="43"/>
      <c r="R356" t="str">
        <f t="shared" si="5"/>
        <v/>
      </c>
    </row>
    <row r="357" spans="6:18" x14ac:dyDescent="0.3">
      <c r="F357" s="43"/>
      <c r="G357" s="43"/>
      <c r="R357" t="str">
        <f t="shared" si="5"/>
        <v/>
      </c>
    </row>
    <row r="358" spans="6:18" x14ac:dyDescent="0.3">
      <c r="F358" s="43"/>
      <c r="G358" s="43"/>
      <c r="R358" t="str">
        <f t="shared" si="5"/>
        <v/>
      </c>
    </row>
    <row r="359" spans="6:18" x14ac:dyDescent="0.3">
      <c r="F359" s="43"/>
      <c r="G359" s="43"/>
      <c r="R359" t="str">
        <f t="shared" si="5"/>
        <v/>
      </c>
    </row>
    <row r="360" spans="6:18" x14ac:dyDescent="0.3">
      <c r="F360" s="43"/>
      <c r="G360" s="43"/>
      <c r="R360" t="str">
        <f t="shared" si="5"/>
        <v/>
      </c>
    </row>
    <row r="361" spans="6:18" x14ac:dyDescent="0.3">
      <c r="F361" s="43"/>
      <c r="G361" s="43"/>
      <c r="R361" t="str">
        <f t="shared" si="5"/>
        <v/>
      </c>
    </row>
    <row r="362" spans="6:18" x14ac:dyDescent="0.3">
      <c r="F362" s="43"/>
      <c r="G362" s="43"/>
      <c r="R362" t="str">
        <f t="shared" si="5"/>
        <v/>
      </c>
    </row>
    <row r="363" spans="6:18" x14ac:dyDescent="0.3">
      <c r="F363" s="43"/>
      <c r="G363" s="43"/>
      <c r="R363" t="str">
        <f t="shared" si="5"/>
        <v/>
      </c>
    </row>
    <row r="364" spans="6:18" x14ac:dyDescent="0.3">
      <c r="F364" s="43"/>
      <c r="G364" s="43"/>
      <c r="R364" t="str">
        <f t="shared" si="5"/>
        <v/>
      </c>
    </row>
    <row r="365" spans="6:18" x14ac:dyDescent="0.3">
      <c r="F365" s="43"/>
      <c r="G365" s="43"/>
      <c r="R365" t="str">
        <f t="shared" si="5"/>
        <v/>
      </c>
    </row>
    <row r="366" spans="6:18" x14ac:dyDescent="0.3">
      <c r="F366" s="43"/>
      <c r="G366" s="43"/>
      <c r="R366" t="str">
        <f t="shared" si="5"/>
        <v/>
      </c>
    </row>
    <row r="367" spans="6:18" x14ac:dyDescent="0.3">
      <c r="F367" s="43"/>
      <c r="G367" s="43"/>
      <c r="R367" t="str">
        <f t="shared" si="5"/>
        <v/>
      </c>
    </row>
    <row r="368" spans="6:18" x14ac:dyDescent="0.3">
      <c r="F368" s="43"/>
      <c r="G368" s="43"/>
      <c r="R368" t="str">
        <f t="shared" si="5"/>
        <v/>
      </c>
    </row>
    <row r="369" spans="6:18" x14ac:dyDescent="0.3">
      <c r="F369" s="43"/>
      <c r="G369" s="43"/>
      <c r="R369" t="str">
        <f t="shared" si="5"/>
        <v/>
      </c>
    </row>
    <row r="370" spans="6:18" x14ac:dyDescent="0.3">
      <c r="F370" s="43"/>
      <c r="G370" s="43"/>
      <c r="R370" t="str">
        <f t="shared" si="5"/>
        <v/>
      </c>
    </row>
    <row r="371" spans="6:18" x14ac:dyDescent="0.3">
      <c r="F371" s="43"/>
      <c r="G371" s="43"/>
      <c r="R371" t="str">
        <f t="shared" si="5"/>
        <v/>
      </c>
    </row>
    <row r="372" spans="6:18" x14ac:dyDescent="0.3">
      <c r="F372" s="43"/>
      <c r="G372" s="43"/>
      <c r="R372" t="str">
        <f t="shared" si="5"/>
        <v/>
      </c>
    </row>
    <row r="373" spans="6:18" x14ac:dyDescent="0.3">
      <c r="F373" s="43"/>
      <c r="G373" s="43"/>
      <c r="R373" t="str">
        <f t="shared" si="5"/>
        <v/>
      </c>
    </row>
    <row r="374" spans="6:18" x14ac:dyDescent="0.3">
      <c r="F374" s="43"/>
      <c r="G374" s="43"/>
      <c r="R374" t="str">
        <f t="shared" si="5"/>
        <v/>
      </c>
    </row>
    <row r="375" spans="6:18" x14ac:dyDescent="0.3">
      <c r="F375" s="43"/>
      <c r="G375" s="43"/>
      <c r="R375" t="str">
        <f t="shared" si="5"/>
        <v/>
      </c>
    </row>
    <row r="376" spans="6:18" x14ac:dyDescent="0.3">
      <c r="F376" s="43"/>
      <c r="G376" s="43"/>
      <c r="R376" t="str">
        <f t="shared" si="5"/>
        <v/>
      </c>
    </row>
    <row r="377" spans="6:18" x14ac:dyDescent="0.3">
      <c r="F377" s="43"/>
      <c r="G377" s="43"/>
      <c r="R377" t="str">
        <f t="shared" si="5"/>
        <v/>
      </c>
    </row>
    <row r="378" spans="6:18" x14ac:dyDescent="0.3">
      <c r="F378" s="43"/>
      <c r="G378" s="43"/>
      <c r="R378" t="str">
        <f t="shared" si="5"/>
        <v/>
      </c>
    </row>
    <row r="379" spans="6:18" x14ac:dyDescent="0.3">
      <c r="F379" s="43"/>
      <c r="G379" s="43"/>
      <c r="R379" t="str">
        <f t="shared" si="5"/>
        <v/>
      </c>
    </row>
    <row r="380" spans="6:18" x14ac:dyDescent="0.3">
      <c r="F380" s="43"/>
      <c r="G380" s="43"/>
      <c r="R380" t="str">
        <f t="shared" si="5"/>
        <v/>
      </c>
    </row>
    <row r="381" spans="6:18" x14ac:dyDescent="0.3">
      <c r="F381" s="43"/>
      <c r="G381" s="43"/>
      <c r="R381" t="str">
        <f t="shared" si="5"/>
        <v/>
      </c>
    </row>
    <row r="382" spans="6:18" x14ac:dyDescent="0.3">
      <c r="F382" s="43"/>
      <c r="G382" s="43"/>
      <c r="R382" t="str">
        <f t="shared" si="5"/>
        <v/>
      </c>
    </row>
    <row r="383" spans="6:18" x14ac:dyDescent="0.3">
      <c r="F383" s="43"/>
      <c r="G383" s="43"/>
      <c r="R383" t="str">
        <f t="shared" si="5"/>
        <v/>
      </c>
    </row>
    <row r="384" spans="6:18" x14ac:dyDescent="0.3">
      <c r="F384" s="43"/>
      <c r="G384" s="43"/>
      <c r="R384" t="str">
        <f t="shared" si="5"/>
        <v/>
      </c>
    </row>
    <row r="385" spans="6:18" x14ac:dyDescent="0.3">
      <c r="F385" s="43"/>
      <c r="G385" s="43"/>
      <c r="R385" t="str">
        <f t="shared" si="5"/>
        <v/>
      </c>
    </row>
    <row r="386" spans="6:18" x14ac:dyDescent="0.3">
      <c r="F386" s="43"/>
      <c r="G386" s="43"/>
      <c r="R386" t="str">
        <f t="shared" si="5"/>
        <v/>
      </c>
    </row>
    <row r="387" spans="6:18" x14ac:dyDescent="0.3">
      <c r="F387" s="43"/>
      <c r="G387" s="43"/>
      <c r="R387" t="str">
        <f t="shared" ref="R387:R450" si="6">IF(ISERROR(INDEX(MONDAY_ITEMID,MATCH(S387,MONDAY_ITEMS,0))),"",INDEX(MONDAY_ITEMID,MATCH(S387,MONDAY_ITEMS,0)))</f>
        <v/>
      </c>
    </row>
    <row r="388" spans="6:18" x14ac:dyDescent="0.3">
      <c r="F388" s="43"/>
      <c r="G388" s="43"/>
      <c r="R388" t="str">
        <f t="shared" si="6"/>
        <v/>
      </c>
    </row>
    <row r="389" spans="6:18" x14ac:dyDescent="0.3">
      <c r="F389" s="43"/>
      <c r="G389" s="43"/>
      <c r="R389" t="str">
        <f t="shared" si="6"/>
        <v/>
      </c>
    </row>
    <row r="390" spans="6:18" x14ac:dyDescent="0.3">
      <c r="F390" s="43"/>
      <c r="G390" s="43"/>
      <c r="R390" t="str">
        <f t="shared" si="6"/>
        <v/>
      </c>
    </row>
    <row r="391" spans="6:18" x14ac:dyDescent="0.3">
      <c r="F391" s="43"/>
      <c r="G391" s="43"/>
      <c r="R391" t="str">
        <f t="shared" si="6"/>
        <v/>
      </c>
    </row>
    <row r="392" spans="6:18" x14ac:dyDescent="0.3">
      <c r="F392" s="43"/>
      <c r="G392" s="43"/>
      <c r="R392" t="str">
        <f t="shared" si="6"/>
        <v/>
      </c>
    </row>
    <row r="393" spans="6:18" x14ac:dyDescent="0.3">
      <c r="F393" s="43"/>
      <c r="G393" s="43"/>
      <c r="R393" t="str">
        <f t="shared" si="6"/>
        <v/>
      </c>
    </row>
    <row r="394" spans="6:18" x14ac:dyDescent="0.3">
      <c r="F394" s="43"/>
      <c r="G394" s="43"/>
      <c r="R394" t="str">
        <f t="shared" si="6"/>
        <v/>
      </c>
    </row>
    <row r="395" spans="6:18" x14ac:dyDescent="0.3">
      <c r="F395" s="43"/>
      <c r="G395" s="43"/>
      <c r="R395" t="str">
        <f t="shared" si="6"/>
        <v/>
      </c>
    </row>
    <row r="396" spans="6:18" x14ac:dyDescent="0.3">
      <c r="F396" s="43"/>
      <c r="G396" s="43"/>
      <c r="R396" t="str">
        <f t="shared" si="6"/>
        <v/>
      </c>
    </row>
    <row r="397" spans="6:18" x14ac:dyDescent="0.3">
      <c r="F397" s="43"/>
      <c r="G397" s="43"/>
      <c r="R397" t="str">
        <f t="shared" si="6"/>
        <v/>
      </c>
    </row>
    <row r="398" spans="6:18" x14ac:dyDescent="0.3">
      <c r="F398" s="43"/>
      <c r="G398" s="43"/>
      <c r="R398" t="str">
        <f t="shared" si="6"/>
        <v/>
      </c>
    </row>
    <row r="399" spans="6:18" x14ac:dyDescent="0.3">
      <c r="F399" s="43"/>
      <c r="G399" s="43"/>
      <c r="R399" t="str">
        <f t="shared" si="6"/>
        <v/>
      </c>
    </row>
    <row r="400" spans="6:18" x14ac:dyDescent="0.3">
      <c r="F400" s="43"/>
      <c r="G400" s="43"/>
      <c r="R400" t="str">
        <f t="shared" si="6"/>
        <v/>
      </c>
    </row>
    <row r="401" spans="6:18" x14ac:dyDescent="0.3">
      <c r="F401" s="43"/>
      <c r="G401" s="43"/>
      <c r="R401" t="str">
        <f t="shared" si="6"/>
        <v/>
      </c>
    </row>
    <row r="402" spans="6:18" x14ac:dyDescent="0.3">
      <c r="F402" s="43"/>
      <c r="G402" s="43"/>
      <c r="R402" t="str">
        <f t="shared" si="6"/>
        <v/>
      </c>
    </row>
    <row r="403" spans="6:18" x14ac:dyDescent="0.3">
      <c r="F403" s="43"/>
      <c r="G403" s="43"/>
      <c r="R403" t="str">
        <f t="shared" si="6"/>
        <v/>
      </c>
    </row>
    <row r="404" spans="6:18" x14ac:dyDescent="0.3">
      <c r="F404" s="43"/>
      <c r="G404" s="43"/>
      <c r="R404" t="str">
        <f t="shared" si="6"/>
        <v/>
      </c>
    </row>
    <row r="405" spans="6:18" x14ac:dyDescent="0.3">
      <c r="F405" s="43"/>
      <c r="G405" s="43"/>
      <c r="R405" t="str">
        <f t="shared" si="6"/>
        <v/>
      </c>
    </row>
    <row r="406" spans="6:18" x14ac:dyDescent="0.3">
      <c r="F406" s="43"/>
      <c r="G406" s="43"/>
      <c r="R406" t="str">
        <f t="shared" si="6"/>
        <v/>
      </c>
    </row>
    <row r="407" spans="6:18" x14ac:dyDescent="0.3">
      <c r="F407" s="43"/>
      <c r="G407" s="43"/>
      <c r="R407" t="str">
        <f t="shared" si="6"/>
        <v/>
      </c>
    </row>
    <row r="408" spans="6:18" x14ac:dyDescent="0.3">
      <c r="F408" s="1"/>
      <c r="G408" s="43"/>
      <c r="R408" t="str">
        <f t="shared" si="6"/>
        <v/>
      </c>
    </row>
    <row r="409" spans="6:18" x14ac:dyDescent="0.3">
      <c r="F409" s="43"/>
      <c r="G409" s="43"/>
      <c r="R409" t="str">
        <f t="shared" si="6"/>
        <v/>
      </c>
    </row>
    <row r="410" spans="6:18" x14ac:dyDescent="0.3">
      <c r="F410" s="43"/>
      <c r="G410" s="43"/>
      <c r="R410" t="str">
        <f t="shared" si="6"/>
        <v/>
      </c>
    </row>
    <row r="411" spans="6:18" x14ac:dyDescent="0.3">
      <c r="F411" s="43"/>
      <c r="G411" s="43"/>
      <c r="R411" t="str">
        <f t="shared" si="6"/>
        <v/>
      </c>
    </row>
    <row r="412" spans="6:18" x14ac:dyDescent="0.3">
      <c r="F412" s="43"/>
      <c r="G412" s="43"/>
      <c r="R412" t="str">
        <f t="shared" si="6"/>
        <v/>
      </c>
    </row>
    <row r="413" spans="6:18" x14ac:dyDescent="0.3">
      <c r="F413" s="43"/>
      <c r="G413" s="43"/>
      <c r="R413" t="str">
        <f t="shared" si="6"/>
        <v/>
      </c>
    </row>
    <row r="414" spans="6:18" x14ac:dyDescent="0.3">
      <c r="F414" s="43"/>
      <c r="G414" s="43"/>
      <c r="R414" t="str">
        <f t="shared" si="6"/>
        <v/>
      </c>
    </row>
    <row r="415" spans="6:18" x14ac:dyDescent="0.3">
      <c r="F415" s="43"/>
      <c r="G415" s="43"/>
      <c r="R415" t="str">
        <f t="shared" si="6"/>
        <v/>
      </c>
    </row>
    <row r="416" spans="6:18" x14ac:dyDescent="0.3">
      <c r="F416" s="43"/>
      <c r="G416" s="43"/>
      <c r="R416" t="str">
        <f t="shared" si="6"/>
        <v/>
      </c>
    </row>
    <row r="417" spans="1:18" x14ac:dyDescent="0.3">
      <c r="F417" s="43"/>
      <c r="G417" s="43"/>
      <c r="R417" t="str">
        <f t="shared" si="6"/>
        <v/>
      </c>
    </row>
    <row r="418" spans="1:18" x14ac:dyDescent="0.3">
      <c r="F418" s="43"/>
      <c r="G418" s="43"/>
      <c r="R418" t="str">
        <f t="shared" si="6"/>
        <v/>
      </c>
    </row>
    <row r="419" spans="1:18" x14ac:dyDescent="0.3">
      <c r="F419" s="43"/>
      <c r="G419" s="43"/>
      <c r="R419" t="str">
        <f t="shared" si="6"/>
        <v/>
      </c>
    </row>
    <row r="420" spans="1:18" x14ac:dyDescent="0.3">
      <c r="F420" s="43"/>
      <c r="G420" s="43"/>
      <c r="R420" t="str">
        <f t="shared" si="6"/>
        <v/>
      </c>
    </row>
    <row r="421" spans="1:18" x14ac:dyDescent="0.3">
      <c r="A421" t="s">
        <v>3088</v>
      </c>
      <c r="B421" t="s">
        <v>6</v>
      </c>
      <c r="C421">
        <v>30</v>
      </c>
      <c r="D421" t="s">
        <v>256</v>
      </c>
      <c r="E421" t="s">
        <v>2807</v>
      </c>
      <c r="F421" s="43">
        <v>44616</v>
      </c>
      <c r="G421" s="43">
        <v>949997.9993055556</v>
      </c>
      <c r="H421">
        <v>10</v>
      </c>
      <c r="I421">
        <v>30</v>
      </c>
      <c r="J421">
        <v>11</v>
      </c>
      <c r="K421">
        <v>0</v>
      </c>
      <c r="L421">
        <v>2022</v>
      </c>
      <c r="N421" t="s">
        <v>3089</v>
      </c>
      <c r="O421" t="s">
        <v>47</v>
      </c>
      <c r="P421" t="s">
        <v>3090</v>
      </c>
      <c r="R421" t="str">
        <f t="shared" si="6"/>
        <v/>
      </c>
    </row>
    <row r="422" spans="1:18" x14ac:dyDescent="0.3">
      <c r="A422" t="s">
        <v>3638</v>
      </c>
      <c r="B422" t="s">
        <v>20</v>
      </c>
      <c r="C422">
        <v>30</v>
      </c>
      <c r="D422" t="s">
        <v>256</v>
      </c>
      <c r="E422" t="s">
        <v>3639</v>
      </c>
      <c r="F422" s="43">
        <v>44582</v>
      </c>
      <c r="G422" s="43">
        <v>949997.9993055556</v>
      </c>
      <c r="H422">
        <v>11</v>
      </c>
      <c r="I422">
        <v>30</v>
      </c>
      <c r="J422">
        <v>12</v>
      </c>
      <c r="K422">
        <v>0</v>
      </c>
      <c r="L422">
        <v>2022</v>
      </c>
      <c r="N422" t="s">
        <v>47</v>
      </c>
      <c r="O422" t="s">
        <v>3640</v>
      </c>
      <c r="P422" t="s">
        <v>3641</v>
      </c>
      <c r="R422" t="str">
        <f t="shared" si="6"/>
        <v/>
      </c>
    </row>
    <row r="423" spans="1:18" x14ac:dyDescent="0.3">
      <c r="F423" s="43"/>
      <c r="G423" s="43"/>
      <c r="R423" t="str">
        <f t="shared" si="6"/>
        <v/>
      </c>
    </row>
    <row r="424" spans="1:18" x14ac:dyDescent="0.3">
      <c r="F424" s="43"/>
      <c r="G424" s="43"/>
      <c r="R424" t="str">
        <f t="shared" si="6"/>
        <v/>
      </c>
    </row>
    <row r="425" spans="1:18" x14ac:dyDescent="0.3">
      <c r="F425" s="43"/>
      <c r="G425" s="43"/>
      <c r="R425" t="str">
        <f t="shared" si="6"/>
        <v/>
      </c>
    </row>
    <row r="426" spans="1:18" x14ac:dyDescent="0.3">
      <c r="F426" s="43"/>
      <c r="G426" s="43"/>
      <c r="R426" t="str">
        <f t="shared" si="6"/>
        <v/>
      </c>
    </row>
    <row r="427" spans="1:18" x14ac:dyDescent="0.3">
      <c r="F427" s="43"/>
      <c r="G427" s="43"/>
      <c r="R427" t="str">
        <f t="shared" si="6"/>
        <v/>
      </c>
    </row>
    <row r="428" spans="1:18" x14ac:dyDescent="0.3">
      <c r="F428" s="43"/>
      <c r="G428" s="43"/>
      <c r="R428" t="str">
        <f t="shared" si="6"/>
        <v/>
      </c>
    </row>
    <row r="429" spans="1:18" x14ac:dyDescent="0.3">
      <c r="F429" s="43"/>
      <c r="G429" s="43"/>
      <c r="R429" t="str">
        <f t="shared" si="6"/>
        <v/>
      </c>
    </row>
    <row r="430" spans="1:18" x14ac:dyDescent="0.3">
      <c r="F430" s="43"/>
      <c r="G430" s="43"/>
      <c r="R430" t="str">
        <f t="shared" si="6"/>
        <v/>
      </c>
    </row>
    <row r="431" spans="1:18" x14ac:dyDescent="0.3">
      <c r="F431" s="43"/>
      <c r="G431" s="43"/>
      <c r="R431" t="str">
        <f t="shared" si="6"/>
        <v/>
      </c>
    </row>
    <row r="432" spans="1:18" x14ac:dyDescent="0.3">
      <c r="F432" s="43"/>
      <c r="G432" s="43"/>
      <c r="R432" t="str">
        <f t="shared" si="6"/>
        <v/>
      </c>
    </row>
    <row r="433" spans="6:18" x14ac:dyDescent="0.3">
      <c r="F433" s="43"/>
      <c r="G433" s="43"/>
      <c r="R433" t="str">
        <f t="shared" si="6"/>
        <v/>
      </c>
    </row>
    <row r="434" spans="6:18" x14ac:dyDescent="0.3">
      <c r="F434" s="43"/>
      <c r="G434" s="43"/>
      <c r="R434" t="str">
        <f t="shared" si="6"/>
        <v/>
      </c>
    </row>
    <row r="435" spans="6:18" x14ac:dyDescent="0.3">
      <c r="F435" s="43"/>
      <c r="G435" s="43"/>
      <c r="R435" t="str">
        <f t="shared" si="6"/>
        <v/>
      </c>
    </row>
    <row r="436" spans="6:18" x14ac:dyDescent="0.3">
      <c r="F436" s="43"/>
      <c r="G436" s="43"/>
      <c r="R436" t="str">
        <f t="shared" si="6"/>
        <v/>
      </c>
    </row>
    <row r="437" spans="6:18" x14ac:dyDescent="0.3">
      <c r="F437" s="43"/>
      <c r="G437" s="43"/>
      <c r="R437" t="str">
        <f t="shared" si="6"/>
        <v/>
      </c>
    </row>
    <row r="438" spans="6:18" x14ac:dyDescent="0.3">
      <c r="F438" s="43"/>
      <c r="G438" s="43"/>
      <c r="R438" t="str">
        <f t="shared" si="6"/>
        <v/>
      </c>
    </row>
    <row r="439" spans="6:18" x14ac:dyDescent="0.3">
      <c r="F439" s="43"/>
      <c r="G439" s="43"/>
      <c r="R439" t="str">
        <f t="shared" si="6"/>
        <v/>
      </c>
    </row>
    <row r="440" spans="6:18" x14ac:dyDescent="0.3">
      <c r="F440" s="43"/>
      <c r="G440" s="43"/>
      <c r="R440" t="str">
        <f t="shared" si="6"/>
        <v/>
      </c>
    </row>
    <row r="441" spans="6:18" x14ac:dyDescent="0.3">
      <c r="F441" s="43"/>
      <c r="G441" s="43"/>
      <c r="R441" t="str">
        <f t="shared" si="6"/>
        <v/>
      </c>
    </row>
    <row r="442" spans="6:18" x14ac:dyDescent="0.3">
      <c r="F442" s="43"/>
      <c r="G442" s="43"/>
      <c r="R442" t="str">
        <f t="shared" si="6"/>
        <v/>
      </c>
    </row>
    <row r="443" spans="6:18" x14ac:dyDescent="0.3">
      <c r="F443" s="43"/>
      <c r="G443" s="43"/>
      <c r="R443" t="str">
        <f t="shared" si="6"/>
        <v/>
      </c>
    </row>
    <row r="444" spans="6:18" x14ac:dyDescent="0.3">
      <c r="F444" s="43"/>
      <c r="G444" s="43"/>
      <c r="R444" t="str">
        <f t="shared" si="6"/>
        <v/>
      </c>
    </row>
    <row r="445" spans="6:18" x14ac:dyDescent="0.3">
      <c r="F445" s="43"/>
      <c r="G445" s="43"/>
      <c r="R445" t="str">
        <f t="shared" si="6"/>
        <v/>
      </c>
    </row>
    <row r="446" spans="6:18" x14ac:dyDescent="0.3">
      <c r="F446" s="43"/>
      <c r="G446" s="43"/>
      <c r="R446" t="str">
        <f t="shared" si="6"/>
        <v/>
      </c>
    </row>
    <row r="447" spans="6:18" x14ac:dyDescent="0.3">
      <c r="F447" s="43"/>
      <c r="G447" s="43"/>
      <c r="R447" t="str">
        <f t="shared" si="6"/>
        <v/>
      </c>
    </row>
    <row r="448" spans="6:18" x14ac:dyDescent="0.3">
      <c r="F448" s="43"/>
      <c r="G448" s="43"/>
      <c r="R448" t="str">
        <f t="shared" si="6"/>
        <v/>
      </c>
    </row>
    <row r="449" spans="6:18" x14ac:dyDescent="0.3">
      <c r="F449" s="43"/>
      <c r="G449" s="43"/>
      <c r="R449" t="str">
        <f t="shared" si="6"/>
        <v/>
      </c>
    </row>
    <row r="450" spans="6:18" x14ac:dyDescent="0.3">
      <c r="F450" s="43"/>
      <c r="G450" s="43"/>
      <c r="R450" t="str">
        <f t="shared" si="6"/>
        <v/>
      </c>
    </row>
    <row r="451" spans="6:18" x14ac:dyDescent="0.3">
      <c r="F451" s="43"/>
      <c r="G451" s="43"/>
      <c r="R451" t="str">
        <f t="shared" ref="R451:R514" si="7">IF(ISERROR(INDEX(MONDAY_ITEMID,MATCH(S451,MONDAY_ITEMS,0))),"",INDEX(MONDAY_ITEMID,MATCH(S451,MONDAY_ITEMS,0)))</f>
        <v/>
      </c>
    </row>
    <row r="452" spans="6:18" x14ac:dyDescent="0.3">
      <c r="F452" s="43"/>
      <c r="G452" s="43"/>
      <c r="R452" t="str">
        <f t="shared" si="7"/>
        <v/>
      </c>
    </row>
    <row r="453" spans="6:18" x14ac:dyDescent="0.3">
      <c r="F453" s="43"/>
      <c r="G453" s="43"/>
      <c r="R453" t="str">
        <f t="shared" si="7"/>
        <v/>
      </c>
    </row>
    <row r="454" spans="6:18" x14ac:dyDescent="0.3">
      <c r="F454" s="43"/>
      <c r="G454" s="43"/>
      <c r="R454" t="str">
        <f t="shared" si="7"/>
        <v/>
      </c>
    </row>
    <row r="455" spans="6:18" x14ac:dyDescent="0.3">
      <c r="F455" s="43"/>
      <c r="G455" s="43"/>
      <c r="R455" t="str">
        <f t="shared" si="7"/>
        <v/>
      </c>
    </row>
    <row r="456" spans="6:18" x14ac:dyDescent="0.3">
      <c r="F456" s="43"/>
      <c r="G456" s="43"/>
      <c r="R456" t="str">
        <f t="shared" si="7"/>
        <v/>
      </c>
    </row>
    <row r="457" spans="6:18" x14ac:dyDescent="0.3">
      <c r="F457" s="43"/>
      <c r="G457" s="43"/>
      <c r="R457" t="str">
        <f t="shared" si="7"/>
        <v/>
      </c>
    </row>
    <row r="458" spans="6:18" x14ac:dyDescent="0.3">
      <c r="F458" s="43"/>
      <c r="G458" s="43"/>
      <c r="R458" t="str">
        <f t="shared" si="7"/>
        <v/>
      </c>
    </row>
    <row r="459" spans="6:18" x14ac:dyDescent="0.3">
      <c r="F459" s="43"/>
      <c r="G459" s="43"/>
      <c r="R459" t="str">
        <f t="shared" si="7"/>
        <v/>
      </c>
    </row>
    <row r="460" spans="6:18" x14ac:dyDescent="0.3">
      <c r="F460" s="43"/>
      <c r="G460" s="43"/>
      <c r="R460" t="str">
        <f t="shared" si="7"/>
        <v/>
      </c>
    </row>
    <row r="461" spans="6:18" x14ac:dyDescent="0.3">
      <c r="F461" s="43"/>
      <c r="G461" s="43"/>
      <c r="R461" t="str">
        <f t="shared" si="7"/>
        <v/>
      </c>
    </row>
    <row r="462" spans="6:18" x14ac:dyDescent="0.3">
      <c r="F462" s="43"/>
      <c r="G462" s="43"/>
      <c r="R462" t="str">
        <f t="shared" si="7"/>
        <v/>
      </c>
    </row>
    <row r="463" spans="6:18" x14ac:dyDescent="0.3">
      <c r="F463" s="43"/>
      <c r="G463" s="43"/>
      <c r="R463" t="str">
        <f t="shared" si="7"/>
        <v/>
      </c>
    </row>
    <row r="464" spans="6:18" x14ac:dyDescent="0.3">
      <c r="F464" s="43"/>
      <c r="G464" s="43"/>
      <c r="R464" t="str">
        <f t="shared" si="7"/>
        <v/>
      </c>
    </row>
    <row r="465" spans="6:18" x14ac:dyDescent="0.3">
      <c r="F465" s="43"/>
      <c r="G465" s="43"/>
      <c r="R465" t="str">
        <f t="shared" si="7"/>
        <v/>
      </c>
    </row>
    <row r="466" spans="6:18" x14ac:dyDescent="0.3">
      <c r="F466" s="43"/>
      <c r="G466" s="43"/>
      <c r="R466" t="str">
        <f t="shared" si="7"/>
        <v/>
      </c>
    </row>
    <row r="467" spans="6:18" x14ac:dyDescent="0.3">
      <c r="F467" s="43"/>
      <c r="G467" s="43"/>
      <c r="R467" t="str">
        <f t="shared" si="7"/>
        <v/>
      </c>
    </row>
    <row r="468" spans="6:18" x14ac:dyDescent="0.3">
      <c r="F468" s="43"/>
      <c r="G468" s="43"/>
      <c r="R468" t="str">
        <f t="shared" si="7"/>
        <v/>
      </c>
    </row>
    <row r="469" spans="6:18" x14ac:dyDescent="0.3">
      <c r="F469" s="43"/>
      <c r="G469" s="43"/>
      <c r="R469" t="str">
        <f t="shared" si="7"/>
        <v/>
      </c>
    </row>
    <row r="470" spans="6:18" x14ac:dyDescent="0.3">
      <c r="F470" s="43"/>
      <c r="G470" s="43"/>
      <c r="R470" t="str">
        <f t="shared" si="7"/>
        <v/>
      </c>
    </row>
    <row r="471" spans="6:18" x14ac:dyDescent="0.3">
      <c r="F471" s="43"/>
      <c r="G471" s="43"/>
      <c r="R471" t="str">
        <f t="shared" si="7"/>
        <v/>
      </c>
    </row>
    <row r="472" spans="6:18" x14ac:dyDescent="0.3">
      <c r="F472" s="43"/>
      <c r="G472" s="43"/>
      <c r="R472" t="str">
        <f t="shared" si="7"/>
        <v/>
      </c>
    </row>
    <row r="473" spans="6:18" x14ac:dyDescent="0.3">
      <c r="F473" s="43"/>
      <c r="G473" s="43"/>
      <c r="R473" t="str">
        <f t="shared" si="7"/>
        <v/>
      </c>
    </row>
    <row r="474" spans="6:18" x14ac:dyDescent="0.3">
      <c r="F474" s="43"/>
      <c r="G474" s="43"/>
      <c r="R474" t="str">
        <f t="shared" si="7"/>
        <v/>
      </c>
    </row>
    <row r="475" spans="6:18" x14ac:dyDescent="0.3">
      <c r="F475" s="43"/>
      <c r="G475" s="43"/>
      <c r="R475" t="str">
        <f t="shared" si="7"/>
        <v/>
      </c>
    </row>
    <row r="476" spans="6:18" x14ac:dyDescent="0.3">
      <c r="F476" s="43"/>
      <c r="G476" s="43"/>
      <c r="R476" t="str">
        <f t="shared" si="7"/>
        <v/>
      </c>
    </row>
    <row r="477" spans="6:18" x14ac:dyDescent="0.3">
      <c r="F477" s="43"/>
      <c r="G477" s="43"/>
      <c r="R477" t="str">
        <f t="shared" si="7"/>
        <v/>
      </c>
    </row>
    <row r="478" spans="6:18" x14ac:dyDescent="0.3">
      <c r="F478" s="43"/>
      <c r="G478" s="43"/>
      <c r="R478" t="str">
        <f t="shared" si="7"/>
        <v/>
      </c>
    </row>
    <row r="479" spans="6:18" x14ac:dyDescent="0.3">
      <c r="F479" s="43"/>
      <c r="G479" s="43"/>
      <c r="R479" t="str">
        <f t="shared" si="7"/>
        <v/>
      </c>
    </row>
    <row r="480" spans="6:18" x14ac:dyDescent="0.3">
      <c r="F480" s="43"/>
      <c r="G480" s="43"/>
      <c r="R480" t="str">
        <f t="shared" si="7"/>
        <v/>
      </c>
    </row>
    <row r="481" spans="6:18" x14ac:dyDescent="0.3">
      <c r="F481" s="43"/>
      <c r="G481" s="43"/>
      <c r="R481" t="str">
        <f t="shared" si="7"/>
        <v/>
      </c>
    </row>
    <row r="482" spans="6:18" x14ac:dyDescent="0.3">
      <c r="F482" s="43"/>
      <c r="G482" s="43"/>
      <c r="R482" t="str">
        <f t="shared" si="7"/>
        <v/>
      </c>
    </row>
    <row r="483" spans="6:18" x14ac:dyDescent="0.3">
      <c r="F483" s="43"/>
      <c r="G483" s="43"/>
      <c r="R483" t="str">
        <f t="shared" si="7"/>
        <v/>
      </c>
    </row>
    <row r="484" spans="6:18" x14ac:dyDescent="0.3">
      <c r="F484" s="43"/>
      <c r="G484" s="43"/>
      <c r="R484" t="str">
        <f t="shared" si="7"/>
        <v/>
      </c>
    </row>
    <row r="485" spans="6:18" x14ac:dyDescent="0.3">
      <c r="F485" s="43"/>
      <c r="G485" s="43"/>
      <c r="R485" t="str">
        <f t="shared" si="7"/>
        <v/>
      </c>
    </row>
    <row r="486" spans="6:18" x14ac:dyDescent="0.3">
      <c r="F486" s="43"/>
      <c r="G486" s="43"/>
      <c r="R486" t="str">
        <f t="shared" si="7"/>
        <v/>
      </c>
    </row>
    <row r="487" spans="6:18" x14ac:dyDescent="0.3">
      <c r="F487" s="43"/>
      <c r="G487" s="43"/>
      <c r="R487" t="str">
        <f t="shared" si="7"/>
        <v/>
      </c>
    </row>
    <row r="488" spans="6:18" x14ac:dyDescent="0.3">
      <c r="F488" s="43"/>
      <c r="G488" s="43"/>
      <c r="R488" t="str">
        <f t="shared" si="7"/>
        <v/>
      </c>
    </row>
    <row r="489" spans="6:18" x14ac:dyDescent="0.3">
      <c r="F489" s="43"/>
      <c r="G489" s="43"/>
      <c r="R489" t="str">
        <f t="shared" si="7"/>
        <v/>
      </c>
    </row>
    <row r="490" spans="6:18" x14ac:dyDescent="0.3">
      <c r="F490" s="43"/>
      <c r="G490" s="43"/>
      <c r="R490" t="str">
        <f t="shared" si="7"/>
        <v/>
      </c>
    </row>
    <row r="491" spans="6:18" x14ac:dyDescent="0.3">
      <c r="F491" s="43"/>
      <c r="G491" s="43"/>
      <c r="R491" t="str">
        <f t="shared" si="7"/>
        <v/>
      </c>
    </row>
    <row r="492" spans="6:18" x14ac:dyDescent="0.3">
      <c r="F492" s="43"/>
      <c r="G492" s="43"/>
      <c r="R492" t="str">
        <f t="shared" si="7"/>
        <v/>
      </c>
    </row>
    <row r="493" spans="6:18" x14ac:dyDescent="0.3">
      <c r="F493" s="43"/>
      <c r="G493" s="43"/>
      <c r="R493" t="str">
        <f t="shared" si="7"/>
        <v/>
      </c>
    </row>
    <row r="494" spans="6:18" x14ac:dyDescent="0.3">
      <c r="F494" s="43"/>
      <c r="G494" s="43"/>
      <c r="R494" t="str">
        <f t="shared" si="7"/>
        <v/>
      </c>
    </row>
    <row r="495" spans="6:18" x14ac:dyDescent="0.3">
      <c r="F495" s="43"/>
      <c r="G495" s="43"/>
      <c r="R495" t="str">
        <f t="shared" si="7"/>
        <v/>
      </c>
    </row>
    <row r="496" spans="6:18" x14ac:dyDescent="0.3">
      <c r="F496" s="43"/>
      <c r="G496" s="43"/>
      <c r="R496" t="str">
        <f t="shared" si="7"/>
        <v/>
      </c>
    </row>
    <row r="497" spans="6:18" x14ac:dyDescent="0.3">
      <c r="F497" s="43"/>
      <c r="G497" s="43"/>
      <c r="R497" t="str">
        <f t="shared" si="7"/>
        <v/>
      </c>
    </row>
    <row r="498" spans="6:18" x14ac:dyDescent="0.3">
      <c r="F498" s="43"/>
      <c r="G498" s="43"/>
      <c r="R498" t="str">
        <f t="shared" si="7"/>
        <v/>
      </c>
    </row>
    <row r="499" spans="6:18" x14ac:dyDescent="0.3">
      <c r="F499" s="43"/>
      <c r="G499" s="43"/>
      <c r="R499" t="str">
        <f t="shared" si="7"/>
        <v/>
      </c>
    </row>
    <row r="500" spans="6:18" x14ac:dyDescent="0.3">
      <c r="F500" s="43"/>
      <c r="G500" s="43"/>
      <c r="R500" t="str">
        <f t="shared" si="7"/>
        <v/>
      </c>
    </row>
    <row r="501" spans="6:18" x14ac:dyDescent="0.3">
      <c r="F501" s="43"/>
      <c r="G501" s="43"/>
      <c r="R501" t="str">
        <f t="shared" si="7"/>
        <v/>
      </c>
    </row>
    <row r="502" spans="6:18" x14ac:dyDescent="0.3">
      <c r="F502" s="43"/>
      <c r="G502" s="43"/>
      <c r="R502" t="str">
        <f t="shared" si="7"/>
        <v/>
      </c>
    </row>
    <row r="503" spans="6:18" x14ac:dyDescent="0.3">
      <c r="F503" s="43"/>
      <c r="G503" s="43"/>
      <c r="R503" t="str">
        <f t="shared" si="7"/>
        <v/>
      </c>
    </row>
    <row r="504" spans="6:18" x14ac:dyDescent="0.3">
      <c r="F504" s="43"/>
      <c r="G504" s="43"/>
      <c r="R504" t="str">
        <f t="shared" si="7"/>
        <v/>
      </c>
    </row>
    <row r="505" spans="6:18" x14ac:dyDescent="0.3">
      <c r="F505" s="43"/>
      <c r="G505" s="43"/>
      <c r="R505" t="str">
        <f t="shared" si="7"/>
        <v/>
      </c>
    </row>
    <row r="506" spans="6:18" x14ac:dyDescent="0.3">
      <c r="F506" s="43"/>
      <c r="G506" s="43"/>
      <c r="R506" t="str">
        <f t="shared" si="7"/>
        <v/>
      </c>
    </row>
    <row r="507" spans="6:18" x14ac:dyDescent="0.3">
      <c r="F507" s="43"/>
      <c r="G507" s="43"/>
      <c r="R507" t="str">
        <f t="shared" si="7"/>
        <v/>
      </c>
    </row>
    <row r="508" spans="6:18" x14ac:dyDescent="0.3">
      <c r="F508" s="43"/>
      <c r="G508" s="43"/>
      <c r="R508" t="str">
        <f t="shared" si="7"/>
        <v/>
      </c>
    </row>
    <row r="509" spans="6:18" x14ac:dyDescent="0.3">
      <c r="F509" s="43"/>
      <c r="G509" s="43"/>
      <c r="R509" t="str">
        <f t="shared" si="7"/>
        <v/>
      </c>
    </row>
    <row r="510" spans="6:18" x14ac:dyDescent="0.3">
      <c r="F510" s="43"/>
      <c r="G510" s="43"/>
      <c r="R510" t="str">
        <f t="shared" si="7"/>
        <v/>
      </c>
    </row>
    <row r="511" spans="6:18" x14ac:dyDescent="0.3">
      <c r="F511" s="43"/>
      <c r="G511" s="43"/>
      <c r="R511" t="str">
        <f t="shared" si="7"/>
        <v/>
      </c>
    </row>
    <row r="512" spans="6:18" x14ac:dyDescent="0.3">
      <c r="F512" s="43"/>
      <c r="G512" s="43"/>
      <c r="R512" t="str">
        <f t="shared" si="7"/>
        <v/>
      </c>
    </row>
    <row r="513" spans="6:18" x14ac:dyDescent="0.3">
      <c r="F513" s="43"/>
      <c r="G513" s="43"/>
      <c r="R513" t="str">
        <f t="shared" si="7"/>
        <v/>
      </c>
    </row>
    <row r="514" spans="6:18" x14ac:dyDescent="0.3">
      <c r="F514" s="43"/>
      <c r="G514" s="43"/>
      <c r="R514" t="str">
        <f t="shared" si="7"/>
        <v/>
      </c>
    </row>
    <row r="515" spans="6:18" x14ac:dyDescent="0.3">
      <c r="F515" s="43"/>
      <c r="G515" s="43"/>
      <c r="R515" t="str">
        <f t="shared" ref="R515:R536" si="8">IF(ISERROR(INDEX(MONDAY_ITEMID,MATCH(S515,MONDAY_ITEMS,0))),"",INDEX(MONDAY_ITEMID,MATCH(S515,MONDAY_ITEMS,0)))</f>
        <v/>
      </c>
    </row>
    <row r="516" spans="6:18" x14ac:dyDescent="0.3">
      <c r="F516" s="43"/>
      <c r="G516" s="43"/>
      <c r="R516" t="str">
        <f t="shared" si="8"/>
        <v/>
      </c>
    </row>
    <row r="517" spans="6:18" x14ac:dyDescent="0.3">
      <c r="F517" s="43"/>
      <c r="G517" s="43"/>
      <c r="R517" t="str">
        <f t="shared" si="8"/>
        <v/>
      </c>
    </row>
    <row r="518" spans="6:18" x14ac:dyDescent="0.3">
      <c r="F518" s="43"/>
      <c r="G518" s="43"/>
      <c r="R518" t="str">
        <f t="shared" si="8"/>
        <v/>
      </c>
    </row>
    <row r="519" spans="6:18" x14ac:dyDescent="0.3">
      <c r="F519" s="43"/>
      <c r="G519" s="43"/>
      <c r="R519" t="str">
        <f t="shared" si="8"/>
        <v/>
      </c>
    </row>
    <row r="520" spans="6:18" x14ac:dyDescent="0.3">
      <c r="F520" s="43"/>
      <c r="G520" s="43"/>
      <c r="R520" t="str">
        <f t="shared" si="8"/>
        <v/>
      </c>
    </row>
    <row r="521" spans="6:18" x14ac:dyDescent="0.3">
      <c r="F521" s="43"/>
      <c r="G521" s="43"/>
      <c r="R521" t="str">
        <f t="shared" si="8"/>
        <v/>
      </c>
    </row>
    <row r="522" spans="6:18" x14ac:dyDescent="0.3">
      <c r="F522" s="43"/>
      <c r="G522" s="43"/>
      <c r="R522" t="str">
        <f t="shared" si="8"/>
        <v/>
      </c>
    </row>
    <row r="523" spans="6:18" x14ac:dyDescent="0.3">
      <c r="F523" s="43"/>
      <c r="G523" s="43"/>
      <c r="R523" t="str">
        <f t="shared" si="8"/>
        <v/>
      </c>
    </row>
    <row r="524" spans="6:18" x14ac:dyDescent="0.3">
      <c r="F524" s="43"/>
      <c r="G524" s="43"/>
      <c r="R524" t="str">
        <f t="shared" si="8"/>
        <v/>
      </c>
    </row>
    <row r="525" spans="6:18" x14ac:dyDescent="0.3">
      <c r="F525" s="43"/>
      <c r="G525" s="43"/>
      <c r="R525" t="str">
        <f t="shared" si="8"/>
        <v/>
      </c>
    </row>
    <row r="526" spans="6:18" x14ac:dyDescent="0.3">
      <c r="F526" s="43"/>
      <c r="G526" s="43"/>
      <c r="R526" t="str">
        <f t="shared" si="8"/>
        <v/>
      </c>
    </row>
    <row r="527" spans="6:18" x14ac:dyDescent="0.3">
      <c r="F527" s="43"/>
      <c r="G527" s="43"/>
      <c r="R527" t="str">
        <f t="shared" si="8"/>
        <v/>
      </c>
    </row>
    <row r="528" spans="6:18" x14ac:dyDescent="0.3">
      <c r="F528" s="43"/>
      <c r="G528" s="43"/>
      <c r="R528" t="str">
        <f t="shared" si="8"/>
        <v/>
      </c>
    </row>
    <row r="529" spans="6:18" x14ac:dyDescent="0.3">
      <c r="F529" s="43"/>
      <c r="G529" s="43"/>
      <c r="R529" t="str">
        <f t="shared" si="8"/>
        <v/>
      </c>
    </row>
    <row r="530" spans="6:18" x14ac:dyDescent="0.3">
      <c r="F530" s="43"/>
      <c r="G530" s="43"/>
      <c r="R530" t="str">
        <f t="shared" si="8"/>
        <v/>
      </c>
    </row>
    <row r="531" spans="6:18" x14ac:dyDescent="0.3">
      <c r="F531" s="43"/>
      <c r="G531" s="43"/>
      <c r="R531" t="str">
        <f t="shared" si="8"/>
        <v/>
      </c>
    </row>
    <row r="532" spans="6:18" x14ac:dyDescent="0.3">
      <c r="F532" s="43"/>
      <c r="G532" s="43"/>
      <c r="R532" t="str">
        <f t="shared" si="8"/>
        <v/>
      </c>
    </row>
    <row r="533" spans="6:18" x14ac:dyDescent="0.3">
      <c r="F533" s="43"/>
      <c r="G533" s="43"/>
      <c r="R533" t="str">
        <f t="shared" si="8"/>
        <v/>
      </c>
    </row>
    <row r="534" spans="6:18" x14ac:dyDescent="0.3">
      <c r="F534" s="43"/>
      <c r="G534" s="43"/>
      <c r="R534" t="str">
        <f t="shared" si="8"/>
        <v/>
      </c>
    </row>
    <row r="535" spans="6:18" x14ac:dyDescent="0.3">
      <c r="F535" s="43"/>
      <c r="G535" s="43"/>
      <c r="R535" t="str">
        <f t="shared" si="8"/>
        <v/>
      </c>
    </row>
    <row r="536" spans="6:18" x14ac:dyDescent="0.3">
      <c r="F536" s="43"/>
      <c r="G536" s="43"/>
      <c r="R536" t="str">
        <f t="shared" si="8"/>
        <v/>
      </c>
    </row>
    <row r="537" spans="6:18" x14ac:dyDescent="0.3">
      <c r="F537" s="43"/>
      <c r="G537" s="43"/>
    </row>
    <row r="538" spans="6:18" x14ac:dyDescent="0.3">
      <c r="F538" s="43"/>
      <c r="G538" s="43"/>
    </row>
    <row r="539" spans="6:18" x14ac:dyDescent="0.3">
      <c r="F539" s="43"/>
      <c r="G539" s="43"/>
    </row>
    <row r="540" spans="6:18" x14ac:dyDescent="0.3">
      <c r="F540" s="43"/>
      <c r="G540" s="43"/>
    </row>
    <row r="541" spans="6:18" x14ac:dyDescent="0.3">
      <c r="F541" s="43"/>
      <c r="G541" s="43"/>
    </row>
    <row r="542" spans="6:18" x14ac:dyDescent="0.3">
      <c r="F542" s="43"/>
      <c r="G542" s="43"/>
    </row>
    <row r="543" spans="6:18" x14ac:dyDescent="0.3">
      <c r="F543" s="43"/>
      <c r="G543" s="43"/>
    </row>
    <row r="544" spans="6:18" x14ac:dyDescent="0.3">
      <c r="F544" s="43"/>
      <c r="G544" s="43"/>
    </row>
    <row r="545" spans="6:7" x14ac:dyDescent="0.3">
      <c r="F545" s="43"/>
      <c r="G545" s="43"/>
    </row>
    <row r="546" spans="6:7" x14ac:dyDescent="0.3">
      <c r="F546" s="43"/>
      <c r="G546" s="43"/>
    </row>
    <row r="547" spans="6:7" x14ac:dyDescent="0.3">
      <c r="F547" s="43"/>
      <c r="G547" s="43"/>
    </row>
    <row r="548" spans="6:7" x14ac:dyDescent="0.3">
      <c r="F548" s="43"/>
      <c r="G548" s="43"/>
    </row>
    <row r="549" spans="6:7" x14ac:dyDescent="0.3">
      <c r="F549" s="43"/>
      <c r="G549" s="43"/>
    </row>
    <row r="550" spans="6:7" x14ac:dyDescent="0.3">
      <c r="F550" s="43"/>
      <c r="G550" s="43"/>
    </row>
    <row r="551" spans="6:7" x14ac:dyDescent="0.3">
      <c r="F551" s="43"/>
      <c r="G551" s="43"/>
    </row>
    <row r="552" spans="6:7" x14ac:dyDescent="0.3">
      <c r="F552" s="43"/>
      <c r="G552" s="43"/>
    </row>
    <row r="553" spans="6:7" x14ac:dyDescent="0.3">
      <c r="F553" s="43"/>
      <c r="G553" s="43"/>
    </row>
    <row r="554" spans="6:7" x14ac:dyDescent="0.3">
      <c r="F554" s="43"/>
      <c r="G554" s="43"/>
    </row>
    <row r="555" spans="6:7" x14ac:dyDescent="0.3">
      <c r="F555" s="43"/>
      <c r="G555" s="43"/>
    </row>
    <row r="556" spans="6:7" x14ac:dyDescent="0.3">
      <c r="F556" s="43"/>
      <c r="G556" s="43"/>
    </row>
    <row r="557" spans="6:7" x14ac:dyDescent="0.3">
      <c r="F557" s="43"/>
      <c r="G557" s="43"/>
    </row>
    <row r="558" spans="6:7" x14ac:dyDescent="0.3">
      <c r="F558" s="43"/>
      <c r="G558" s="43"/>
    </row>
    <row r="559" spans="6:7" x14ac:dyDescent="0.3">
      <c r="F559" s="43"/>
      <c r="G559" s="43"/>
    </row>
    <row r="560" spans="6:7" x14ac:dyDescent="0.3">
      <c r="F560" s="43"/>
      <c r="G560" s="43"/>
    </row>
    <row r="561" spans="5:7" x14ac:dyDescent="0.3">
      <c r="F561" s="43"/>
      <c r="G561" s="43"/>
    </row>
    <row r="562" spans="5:7" x14ac:dyDescent="0.3">
      <c r="F562" s="43"/>
      <c r="G562" s="43"/>
    </row>
    <row r="563" spans="5:7" x14ac:dyDescent="0.3">
      <c r="F563" s="43"/>
      <c r="G563" s="43"/>
    </row>
    <row r="564" spans="5:7" x14ac:dyDescent="0.3">
      <c r="F564" s="1"/>
      <c r="G564" s="1"/>
    </row>
    <row r="565" spans="5:7" x14ac:dyDescent="0.3">
      <c r="F565" s="43"/>
      <c r="G565" s="43"/>
    </row>
    <row r="566" spans="5:7" x14ac:dyDescent="0.3">
      <c r="F566" s="43"/>
      <c r="G566" s="43"/>
    </row>
    <row r="567" spans="5:7" x14ac:dyDescent="0.3">
      <c r="F567" s="43"/>
      <c r="G567" s="43"/>
    </row>
    <row r="568" spans="5:7" x14ac:dyDescent="0.3">
      <c r="F568" s="43"/>
      <c r="G568" s="43"/>
    </row>
    <row r="569" spans="5:7" x14ac:dyDescent="0.3">
      <c r="F569" s="43"/>
      <c r="G569" s="43"/>
    </row>
    <row r="570" spans="5:7" x14ac:dyDescent="0.3">
      <c r="F570" s="43"/>
      <c r="G570" s="43"/>
    </row>
    <row r="571" spans="5:7" x14ac:dyDescent="0.3">
      <c r="F571" s="43"/>
      <c r="G571" s="43"/>
    </row>
    <row r="572" spans="5:7" x14ac:dyDescent="0.3">
      <c r="E572" s="44"/>
      <c r="F572" s="43"/>
      <c r="G572" s="43"/>
    </row>
    <row r="573" spans="5:7" x14ac:dyDescent="0.3">
      <c r="F573" s="43"/>
      <c r="G573" s="43"/>
    </row>
    <row r="574" spans="5:7" x14ac:dyDescent="0.3">
      <c r="F574" s="43"/>
      <c r="G574" s="43"/>
    </row>
    <row r="575" spans="5:7" x14ac:dyDescent="0.3">
      <c r="F575" s="43"/>
      <c r="G575" s="43"/>
    </row>
    <row r="576" spans="5:7" x14ac:dyDescent="0.3">
      <c r="F576" s="43"/>
      <c r="G576" s="43"/>
    </row>
    <row r="577" spans="6:7" x14ac:dyDescent="0.3">
      <c r="F577" s="43"/>
      <c r="G577" s="43"/>
    </row>
    <row r="578" spans="6:7" x14ac:dyDescent="0.3">
      <c r="F578" s="43"/>
      <c r="G578" s="43"/>
    </row>
    <row r="579" spans="6:7" x14ac:dyDescent="0.3">
      <c r="F579" s="43"/>
      <c r="G579" s="43"/>
    </row>
    <row r="580" spans="6:7" x14ac:dyDescent="0.3">
      <c r="F580" s="43"/>
      <c r="G580" s="43"/>
    </row>
    <row r="581" spans="6:7" x14ac:dyDescent="0.3">
      <c r="F581" s="43"/>
      <c r="G581" s="43"/>
    </row>
    <row r="582" spans="6:7" x14ac:dyDescent="0.3">
      <c r="F582" s="43"/>
      <c r="G582" s="43"/>
    </row>
    <row r="583" spans="6:7" x14ac:dyDescent="0.3">
      <c r="F583" s="43"/>
      <c r="G583" s="43"/>
    </row>
    <row r="584" spans="6:7" x14ac:dyDescent="0.3">
      <c r="F584" s="43"/>
      <c r="G584" s="43"/>
    </row>
    <row r="585" spans="6:7" x14ac:dyDescent="0.3">
      <c r="F585" s="43"/>
      <c r="G585" s="43"/>
    </row>
    <row r="586" spans="6:7" x14ac:dyDescent="0.3">
      <c r="F586" s="43"/>
      <c r="G586" s="43"/>
    </row>
    <row r="587" spans="6:7" x14ac:dyDescent="0.3">
      <c r="F587" s="43"/>
      <c r="G587" s="43"/>
    </row>
    <row r="588" spans="6:7" x14ac:dyDescent="0.3">
      <c r="F588" s="43"/>
      <c r="G588" s="43"/>
    </row>
    <row r="589" spans="6:7" x14ac:dyDescent="0.3">
      <c r="F589" s="43"/>
      <c r="G589" s="43"/>
    </row>
    <row r="590" spans="6:7" x14ac:dyDescent="0.3">
      <c r="F590" s="43"/>
      <c r="G590" s="43"/>
    </row>
    <row r="591" spans="6:7" x14ac:dyDescent="0.3">
      <c r="F591" s="43"/>
      <c r="G591" s="43"/>
    </row>
    <row r="592" spans="6:7" x14ac:dyDescent="0.3">
      <c r="F592" s="43"/>
      <c r="G592" s="43"/>
    </row>
    <row r="593" spans="6:7" x14ac:dyDescent="0.3">
      <c r="F593" s="43"/>
      <c r="G593" s="43"/>
    </row>
    <row r="594" spans="6:7" x14ac:dyDescent="0.3">
      <c r="F594" s="43"/>
      <c r="G594" s="43"/>
    </row>
    <row r="595" spans="6:7" x14ac:dyDescent="0.3">
      <c r="F595" s="43"/>
      <c r="G595" s="43"/>
    </row>
    <row r="596" spans="6:7" x14ac:dyDescent="0.3">
      <c r="F596" s="43"/>
      <c r="G596" s="43"/>
    </row>
    <row r="597" spans="6:7" x14ac:dyDescent="0.3">
      <c r="F597" s="43"/>
      <c r="G597" s="43"/>
    </row>
    <row r="598" spans="6:7" x14ac:dyDescent="0.3">
      <c r="F598" s="43"/>
      <c r="G598" s="43"/>
    </row>
    <row r="599" spans="6:7" x14ac:dyDescent="0.3">
      <c r="F599" s="43"/>
      <c r="G599" s="43"/>
    </row>
    <row r="600" spans="6:7" x14ac:dyDescent="0.3">
      <c r="F600" s="43"/>
      <c r="G600" s="43"/>
    </row>
    <row r="601" spans="6:7" x14ac:dyDescent="0.3">
      <c r="F601" s="43"/>
      <c r="G601" s="43"/>
    </row>
    <row r="602" spans="6:7" x14ac:dyDescent="0.3">
      <c r="F602" s="43"/>
      <c r="G602" s="43"/>
    </row>
    <row r="603" spans="6:7" x14ac:dyDescent="0.3">
      <c r="F603" s="43"/>
      <c r="G603" s="43"/>
    </row>
    <row r="604" spans="6:7" x14ac:dyDescent="0.3">
      <c r="F604" s="43"/>
      <c r="G604" s="43"/>
    </row>
    <row r="605" spans="6:7" x14ac:dyDescent="0.3">
      <c r="F605" s="1"/>
      <c r="G605" s="1"/>
    </row>
    <row r="606" spans="6:7" x14ac:dyDescent="0.3">
      <c r="F606" s="1"/>
      <c r="G606" s="43"/>
    </row>
    <row r="607" spans="6:7" x14ac:dyDescent="0.3">
      <c r="F607" s="1"/>
      <c r="G607" s="1"/>
    </row>
    <row r="608" spans="6:7" x14ac:dyDescent="0.3">
      <c r="F608" s="1"/>
      <c r="G608" s="1"/>
    </row>
    <row r="609" spans="6:7" x14ac:dyDescent="0.3">
      <c r="F609" s="43"/>
      <c r="G609" s="43"/>
    </row>
    <row r="610" spans="6:7" x14ac:dyDescent="0.3">
      <c r="F610" s="43"/>
      <c r="G610" s="43"/>
    </row>
    <row r="611" spans="6:7" x14ac:dyDescent="0.3">
      <c r="F611" s="43"/>
      <c r="G611" s="43"/>
    </row>
    <row r="612" spans="6:7" x14ac:dyDescent="0.3">
      <c r="F612" s="1"/>
      <c r="G612" s="1"/>
    </row>
    <row r="613" spans="6:7" x14ac:dyDescent="0.3">
      <c r="F613" s="43"/>
      <c r="G613" s="43"/>
    </row>
    <row r="614" spans="6:7" x14ac:dyDescent="0.3">
      <c r="F614" s="43"/>
      <c r="G614" s="43"/>
    </row>
    <row r="615" spans="6:7" x14ac:dyDescent="0.3">
      <c r="F615" s="43"/>
      <c r="G615" s="43"/>
    </row>
    <row r="616" spans="6:7" x14ac:dyDescent="0.3">
      <c r="F616" s="43"/>
      <c r="G616" s="43"/>
    </row>
    <row r="617" spans="6:7" x14ac:dyDescent="0.3">
      <c r="F617" s="43"/>
      <c r="G617" s="43"/>
    </row>
    <row r="618" spans="6:7" x14ac:dyDescent="0.3">
      <c r="F618" s="43"/>
      <c r="G618" s="43"/>
    </row>
    <row r="619" spans="6:7" x14ac:dyDescent="0.3">
      <c r="F619" s="43"/>
      <c r="G619" s="43"/>
    </row>
    <row r="620" spans="6:7" x14ac:dyDescent="0.3">
      <c r="F620" s="43"/>
      <c r="G620" s="43"/>
    </row>
    <row r="621" spans="6:7" x14ac:dyDescent="0.3">
      <c r="F621" s="43"/>
      <c r="G621" s="43"/>
    </row>
    <row r="622" spans="6:7" x14ac:dyDescent="0.3">
      <c r="F622" s="43"/>
      <c r="G622" s="43"/>
    </row>
    <row r="623" spans="6:7" x14ac:dyDescent="0.3">
      <c r="F623" s="43"/>
      <c r="G623" s="43"/>
    </row>
    <row r="624" spans="6:7" x14ac:dyDescent="0.3">
      <c r="F624" s="43"/>
      <c r="G624" s="43"/>
    </row>
    <row r="625" spans="6:7" x14ac:dyDescent="0.3">
      <c r="F625" s="43"/>
      <c r="G625" s="43"/>
    </row>
    <row r="626" spans="6:7" x14ac:dyDescent="0.3">
      <c r="F626" s="43"/>
      <c r="G626" s="43"/>
    </row>
    <row r="627" spans="6:7" x14ac:dyDescent="0.3">
      <c r="F627" s="43"/>
      <c r="G627" s="43"/>
    </row>
    <row r="628" spans="6:7" x14ac:dyDescent="0.3">
      <c r="F628" s="43"/>
      <c r="G628" s="43"/>
    </row>
    <row r="629" spans="6:7" x14ac:dyDescent="0.3">
      <c r="F629" s="43"/>
      <c r="G629" s="43"/>
    </row>
    <row r="630" spans="6:7" x14ac:dyDescent="0.3">
      <c r="F630" s="43"/>
      <c r="G630" s="43"/>
    </row>
    <row r="631" spans="6:7" x14ac:dyDescent="0.3">
      <c r="F631" s="43"/>
      <c r="G631" s="43"/>
    </row>
    <row r="632" spans="6:7" x14ac:dyDescent="0.3">
      <c r="F632" s="43"/>
      <c r="G632" s="43"/>
    </row>
    <row r="633" spans="6:7" x14ac:dyDescent="0.3">
      <c r="F633" s="43"/>
      <c r="G633" s="43"/>
    </row>
    <row r="634" spans="6:7" x14ac:dyDescent="0.3">
      <c r="F634" s="43"/>
      <c r="G634" s="43"/>
    </row>
    <row r="635" spans="6:7" x14ac:dyDescent="0.3">
      <c r="F635" s="43"/>
      <c r="G635" s="43"/>
    </row>
    <row r="636" spans="6:7" x14ac:dyDescent="0.3">
      <c r="F636" s="43"/>
      <c r="G636" s="43"/>
    </row>
    <row r="637" spans="6:7" x14ac:dyDescent="0.3">
      <c r="F637" s="43"/>
      <c r="G637" s="43"/>
    </row>
    <row r="638" spans="6:7" x14ac:dyDescent="0.3">
      <c r="F638" s="43"/>
      <c r="G638" s="43"/>
    </row>
    <row r="639" spans="6:7" x14ac:dyDescent="0.3">
      <c r="F639" s="43"/>
      <c r="G639" s="43"/>
    </row>
    <row r="640" spans="6:7" x14ac:dyDescent="0.3">
      <c r="F640" s="43"/>
      <c r="G640" s="43"/>
    </row>
    <row r="641" spans="6:7" x14ac:dyDescent="0.3">
      <c r="F641" s="43"/>
      <c r="G641" s="43"/>
    </row>
    <row r="642" spans="6:7" x14ac:dyDescent="0.3">
      <c r="F642" s="43"/>
      <c r="G642" s="43"/>
    </row>
    <row r="643" spans="6:7" x14ac:dyDescent="0.3">
      <c r="F643" s="43"/>
      <c r="G643" s="43"/>
    </row>
    <row r="644" spans="6:7" x14ac:dyDescent="0.3">
      <c r="F644" s="43"/>
      <c r="G644" s="43"/>
    </row>
    <row r="645" spans="6:7" x14ac:dyDescent="0.3">
      <c r="F645" s="43"/>
      <c r="G645" s="43"/>
    </row>
    <row r="646" spans="6:7" x14ac:dyDescent="0.3">
      <c r="F646" s="43"/>
      <c r="G646" s="43"/>
    </row>
    <row r="647" spans="6:7" x14ac:dyDescent="0.3">
      <c r="F647" s="43"/>
      <c r="G647" s="43"/>
    </row>
    <row r="648" spans="6:7" x14ac:dyDescent="0.3">
      <c r="F648" s="43"/>
      <c r="G648" s="43"/>
    </row>
    <row r="649" spans="6:7" x14ac:dyDescent="0.3">
      <c r="F649" s="43"/>
      <c r="G649" s="43"/>
    </row>
    <row r="650" spans="6:7" x14ac:dyDescent="0.3">
      <c r="F650" s="43"/>
      <c r="G650" s="43"/>
    </row>
    <row r="651" spans="6:7" x14ac:dyDescent="0.3">
      <c r="F651" s="43"/>
      <c r="G651" s="43"/>
    </row>
    <row r="652" spans="6:7" x14ac:dyDescent="0.3">
      <c r="F652" s="43"/>
      <c r="G652" s="43"/>
    </row>
    <row r="653" spans="6:7" x14ac:dyDescent="0.3">
      <c r="F653" s="43"/>
      <c r="G653" s="43"/>
    </row>
    <row r="654" spans="6:7" x14ac:dyDescent="0.3">
      <c r="F654" s="43"/>
      <c r="G654" s="43"/>
    </row>
    <row r="655" spans="6:7" x14ac:dyDescent="0.3">
      <c r="F655" s="43"/>
      <c r="G655" s="43"/>
    </row>
    <row r="656" spans="6:7" x14ac:dyDescent="0.3">
      <c r="F656" s="43"/>
      <c r="G656" s="43"/>
    </row>
    <row r="657" spans="6:7" x14ac:dyDescent="0.3">
      <c r="F657" s="43"/>
      <c r="G657" s="43"/>
    </row>
    <row r="658" spans="6:7" x14ac:dyDescent="0.3">
      <c r="F658" s="43"/>
      <c r="G658" s="43"/>
    </row>
    <row r="659" spans="6:7" x14ac:dyDescent="0.3">
      <c r="F659" s="43"/>
      <c r="G659" s="43"/>
    </row>
    <row r="660" spans="6:7" x14ac:dyDescent="0.3">
      <c r="F660" s="43"/>
      <c r="G660" s="43"/>
    </row>
    <row r="661" spans="6:7" x14ac:dyDescent="0.3">
      <c r="F661" s="43"/>
      <c r="G661" s="43"/>
    </row>
    <row r="662" spans="6:7" x14ac:dyDescent="0.3">
      <c r="F662" s="43"/>
      <c r="G662" s="43"/>
    </row>
    <row r="663" spans="6:7" x14ac:dyDescent="0.3">
      <c r="F663" s="43"/>
      <c r="G663" s="43"/>
    </row>
    <row r="664" spans="6:7" x14ac:dyDescent="0.3">
      <c r="F664" s="43"/>
      <c r="G664" s="43"/>
    </row>
    <row r="665" spans="6:7" x14ac:dyDescent="0.3">
      <c r="F665" s="43"/>
      <c r="G665" s="43"/>
    </row>
    <row r="666" spans="6:7" x14ac:dyDescent="0.3">
      <c r="F666" s="43"/>
      <c r="G666" s="43"/>
    </row>
    <row r="667" spans="6:7" x14ac:dyDescent="0.3">
      <c r="F667" s="43"/>
      <c r="G667" s="43"/>
    </row>
    <row r="668" spans="6:7" x14ac:dyDescent="0.3">
      <c r="F668" s="43"/>
      <c r="G668" s="43"/>
    </row>
    <row r="669" spans="6:7" x14ac:dyDescent="0.3">
      <c r="F669" s="43"/>
      <c r="G669" s="43"/>
    </row>
    <row r="670" spans="6:7" x14ac:dyDescent="0.3">
      <c r="F670" s="43"/>
      <c r="G670" s="43"/>
    </row>
    <row r="671" spans="6:7" x14ac:dyDescent="0.3">
      <c r="F671" s="43"/>
      <c r="G671" s="43"/>
    </row>
    <row r="672" spans="6:7" x14ac:dyDescent="0.3">
      <c r="F672" s="43"/>
      <c r="G672" s="43"/>
    </row>
    <row r="673" spans="6:7" x14ac:dyDescent="0.3">
      <c r="F673" s="43"/>
      <c r="G673" s="43"/>
    </row>
    <row r="674" spans="6:7" x14ac:dyDescent="0.3">
      <c r="F674" s="43"/>
      <c r="G674" s="43"/>
    </row>
    <row r="675" spans="6:7" x14ac:dyDescent="0.3">
      <c r="F675" s="43"/>
      <c r="G675" s="43"/>
    </row>
    <row r="676" spans="6:7" x14ac:dyDescent="0.3">
      <c r="F676" s="43"/>
      <c r="G676" s="43"/>
    </row>
    <row r="677" spans="6:7" x14ac:dyDescent="0.3">
      <c r="F677" s="43"/>
      <c r="G677" s="43"/>
    </row>
    <row r="678" spans="6:7" x14ac:dyDescent="0.3">
      <c r="F678" s="43"/>
      <c r="G678" s="43"/>
    </row>
    <row r="679" spans="6:7" x14ac:dyDescent="0.3">
      <c r="F679" s="43"/>
      <c r="G679" s="43"/>
    </row>
    <row r="680" spans="6:7" x14ac:dyDescent="0.3">
      <c r="F680" s="43"/>
      <c r="G680" s="43"/>
    </row>
    <row r="681" spans="6:7" x14ac:dyDescent="0.3">
      <c r="F681" s="43"/>
      <c r="G681" s="43"/>
    </row>
    <row r="682" spans="6:7" x14ac:dyDescent="0.3">
      <c r="F682" s="43"/>
      <c r="G682" s="43"/>
    </row>
    <row r="683" spans="6:7" x14ac:dyDescent="0.3">
      <c r="F683" s="43"/>
      <c r="G683" s="43"/>
    </row>
    <row r="684" spans="6:7" x14ac:dyDescent="0.3">
      <c r="F684" s="43"/>
      <c r="G684" s="43"/>
    </row>
    <row r="685" spans="6:7" x14ac:dyDescent="0.3">
      <c r="F685" s="43"/>
      <c r="G685" s="43"/>
    </row>
    <row r="686" spans="6:7" x14ac:dyDescent="0.3">
      <c r="F686" s="43"/>
      <c r="G686" s="43"/>
    </row>
    <row r="687" spans="6:7" x14ac:dyDescent="0.3">
      <c r="F687" s="43"/>
      <c r="G687" s="43"/>
    </row>
    <row r="688" spans="6:7" x14ac:dyDescent="0.3">
      <c r="F688" s="43"/>
      <c r="G688" s="43"/>
    </row>
    <row r="689" spans="6:7" x14ac:dyDescent="0.3">
      <c r="F689" s="43"/>
      <c r="G689" s="43"/>
    </row>
    <row r="690" spans="6:7" x14ac:dyDescent="0.3">
      <c r="F690" s="43"/>
      <c r="G690" s="43"/>
    </row>
    <row r="691" spans="6:7" x14ac:dyDescent="0.3">
      <c r="F691" s="43"/>
      <c r="G691" s="43"/>
    </row>
    <row r="692" spans="6:7" x14ac:dyDescent="0.3">
      <c r="F692" s="43"/>
      <c r="G692" s="43"/>
    </row>
    <row r="693" spans="6:7" x14ac:dyDescent="0.3">
      <c r="F693" s="43"/>
      <c r="G693" s="43"/>
    </row>
    <row r="694" spans="6:7" x14ac:dyDescent="0.3">
      <c r="F694" s="43"/>
      <c r="G694" s="43"/>
    </row>
    <row r="695" spans="6:7" x14ac:dyDescent="0.3">
      <c r="F695" s="43"/>
      <c r="G695" s="43"/>
    </row>
    <row r="696" spans="6:7" x14ac:dyDescent="0.3">
      <c r="F696" s="43"/>
      <c r="G696" s="43"/>
    </row>
    <row r="697" spans="6:7" x14ac:dyDescent="0.3">
      <c r="F697" s="43"/>
      <c r="G697" s="43"/>
    </row>
    <row r="698" spans="6:7" x14ac:dyDescent="0.3">
      <c r="F698" s="43"/>
      <c r="G698" s="43"/>
    </row>
    <row r="699" spans="6:7" x14ac:dyDescent="0.3">
      <c r="F699" s="43"/>
      <c r="G699" s="43"/>
    </row>
    <row r="700" spans="6:7" x14ac:dyDescent="0.3">
      <c r="F700" s="43"/>
      <c r="G700" s="43"/>
    </row>
    <row r="701" spans="6:7" x14ac:dyDescent="0.3">
      <c r="F701" s="43"/>
      <c r="G701" s="43"/>
    </row>
    <row r="702" spans="6:7" x14ac:dyDescent="0.3">
      <c r="F702" s="43"/>
      <c r="G702" s="43"/>
    </row>
    <row r="703" spans="6:7" x14ac:dyDescent="0.3">
      <c r="F703" s="43"/>
      <c r="G703" s="43"/>
    </row>
    <row r="704" spans="6:7" x14ac:dyDescent="0.3">
      <c r="F704" s="43"/>
      <c r="G704" s="43"/>
    </row>
    <row r="705" spans="6:7" x14ac:dyDescent="0.3">
      <c r="F705" s="43"/>
      <c r="G705" s="43"/>
    </row>
    <row r="706" spans="6:7" x14ac:dyDescent="0.3">
      <c r="F706" s="43"/>
      <c r="G706" s="43"/>
    </row>
    <row r="707" spans="6:7" x14ac:dyDescent="0.3">
      <c r="F707" s="43"/>
      <c r="G707" s="43"/>
    </row>
    <row r="708" spans="6:7" x14ac:dyDescent="0.3">
      <c r="F708" s="43"/>
      <c r="G708" s="43"/>
    </row>
    <row r="709" spans="6:7" x14ac:dyDescent="0.3">
      <c r="F709" s="43"/>
      <c r="G709" s="43"/>
    </row>
    <row r="710" spans="6:7" x14ac:dyDescent="0.3">
      <c r="F710" s="43"/>
      <c r="G710" s="43"/>
    </row>
    <row r="711" spans="6:7" x14ac:dyDescent="0.3">
      <c r="F711" s="43"/>
      <c r="G711" s="43"/>
    </row>
    <row r="712" spans="6:7" x14ac:dyDescent="0.3">
      <c r="F712" s="43"/>
      <c r="G712" s="43"/>
    </row>
    <row r="713" spans="6:7" x14ac:dyDescent="0.3">
      <c r="F713" s="43"/>
      <c r="G713" s="43"/>
    </row>
    <row r="714" spans="6:7" x14ac:dyDescent="0.3">
      <c r="F714" s="43"/>
      <c r="G714" s="43"/>
    </row>
    <row r="715" spans="6:7" x14ac:dyDescent="0.3">
      <c r="F715" s="43"/>
      <c r="G715" s="43"/>
    </row>
    <row r="716" spans="6:7" x14ac:dyDescent="0.3">
      <c r="F716" s="43"/>
      <c r="G716" s="43"/>
    </row>
    <row r="717" spans="6:7" x14ac:dyDescent="0.3">
      <c r="F717" s="43"/>
      <c r="G717" s="43"/>
    </row>
    <row r="718" spans="6:7" x14ac:dyDescent="0.3">
      <c r="F718" s="43"/>
      <c r="G718" s="43"/>
    </row>
    <row r="719" spans="6:7" x14ac:dyDescent="0.3">
      <c r="F719" s="43"/>
      <c r="G719" s="43"/>
    </row>
    <row r="720" spans="6:7" x14ac:dyDescent="0.3">
      <c r="F720" s="43"/>
      <c r="G720" s="43"/>
    </row>
    <row r="721" spans="6:7" x14ac:dyDescent="0.3">
      <c r="F721" s="43"/>
      <c r="G721" s="43"/>
    </row>
    <row r="722" spans="6:7" x14ac:dyDescent="0.3">
      <c r="F722" s="43"/>
      <c r="G722" s="43"/>
    </row>
    <row r="723" spans="6:7" x14ac:dyDescent="0.3">
      <c r="F723" s="43"/>
      <c r="G723" s="43"/>
    </row>
    <row r="724" spans="6:7" x14ac:dyDescent="0.3">
      <c r="F724" s="43"/>
      <c r="G724" s="43"/>
    </row>
    <row r="725" spans="6:7" x14ac:dyDescent="0.3">
      <c r="F725" s="43"/>
      <c r="G725" s="43"/>
    </row>
    <row r="726" spans="6:7" x14ac:dyDescent="0.3">
      <c r="F726" s="43"/>
      <c r="G726" s="43"/>
    </row>
    <row r="727" spans="6:7" x14ac:dyDescent="0.3">
      <c r="F727" s="43"/>
      <c r="G727" s="43"/>
    </row>
    <row r="728" spans="6:7" x14ac:dyDescent="0.3">
      <c r="F728" s="43"/>
      <c r="G728" s="43"/>
    </row>
    <row r="729" spans="6:7" x14ac:dyDescent="0.3">
      <c r="F729" s="43"/>
      <c r="G729" s="43"/>
    </row>
    <row r="730" spans="6:7" x14ac:dyDescent="0.3">
      <c r="F730" s="43"/>
      <c r="G730" s="43"/>
    </row>
    <row r="731" spans="6:7" x14ac:dyDescent="0.3">
      <c r="F731" s="43"/>
      <c r="G731" s="43"/>
    </row>
    <row r="732" spans="6:7" x14ac:dyDescent="0.3">
      <c r="F732" s="43"/>
      <c r="G732" s="43"/>
    </row>
    <row r="733" spans="6:7" x14ac:dyDescent="0.3">
      <c r="F733" s="43"/>
      <c r="G733" s="43"/>
    </row>
    <row r="734" spans="6:7" x14ac:dyDescent="0.3">
      <c r="F734" s="43"/>
      <c r="G734" s="43"/>
    </row>
    <row r="735" spans="6:7" x14ac:dyDescent="0.3">
      <c r="F735" s="43"/>
      <c r="G735" s="43"/>
    </row>
    <row r="736" spans="6:7" x14ac:dyDescent="0.3">
      <c r="F736" s="1"/>
      <c r="G736" s="43"/>
    </row>
    <row r="737" spans="6:7" x14ac:dyDescent="0.3">
      <c r="F737" s="43"/>
      <c r="G737" s="43"/>
    </row>
    <row r="738" spans="6:7" x14ac:dyDescent="0.3">
      <c r="F738" s="43"/>
      <c r="G738" s="43"/>
    </row>
    <row r="739" spans="6:7" x14ac:dyDescent="0.3">
      <c r="F739" s="43"/>
      <c r="G739" s="43"/>
    </row>
    <row r="740" spans="6:7" x14ac:dyDescent="0.3">
      <c r="F740" s="43"/>
      <c r="G740" s="43"/>
    </row>
    <row r="741" spans="6:7" x14ac:dyDescent="0.3">
      <c r="F741" s="43"/>
      <c r="G741" s="43"/>
    </row>
    <row r="742" spans="6:7" x14ac:dyDescent="0.3">
      <c r="F742" s="43"/>
      <c r="G742" s="43"/>
    </row>
    <row r="743" spans="6:7" x14ac:dyDescent="0.3">
      <c r="F743" s="43"/>
      <c r="G743" s="43"/>
    </row>
    <row r="744" spans="6:7" x14ac:dyDescent="0.3">
      <c r="F744" s="43"/>
      <c r="G744" s="43"/>
    </row>
    <row r="745" spans="6:7" x14ac:dyDescent="0.3">
      <c r="F745" s="43"/>
      <c r="G745" s="43"/>
    </row>
    <row r="746" spans="6:7" x14ac:dyDescent="0.3">
      <c r="F746" s="43"/>
      <c r="G746" s="43"/>
    </row>
    <row r="747" spans="6:7" x14ac:dyDescent="0.3">
      <c r="F747" s="43"/>
      <c r="G747" s="43"/>
    </row>
    <row r="748" spans="6:7" x14ac:dyDescent="0.3">
      <c r="F748" s="43"/>
      <c r="G748" s="43"/>
    </row>
    <row r="749" spans="6:7" x14ac:dyDescent="0.3">
      <c r="F749" s="43"/>
      <c r="G749" s="43"/>
    </row>
    <row r="750" spans="6:7" x14ac:dyDescent="0.3">
      <c r="F750" s="43"/>
      <c r="G750" s="43"/>
    </row>
    <row r="751" spans="6:7" x14ac:dyDescent="0.3">
      <c r="F751" s="43"/>
      <c r="G751" s="43"/>
    </row>
    <row r="752" spans="6:7" x14ac:dyDescent="0.3">
      <c r="F752" s="43"/>
      <c r="G752" s="43"/>
    </row>
    <row r="753" spans="6:7" x14ac:dyDescent="0.3">
      <c r="F753" s="43"/>
      <c r="G753" s="43"/>
    </row>
    <row r="754" spans="6:7" x14ac:dyDescent="0.3">
      <c r="F754" s="43"/>
      <c r="G754" s="43"/>
    </row>
    <row r="755" spans="6:7" x14ac:dyDescent="0.3">
      <c r="F755" s="43"/>
      <c r="G755" s="43"/>
    </row>
    <row r="756" spans="6:7" x14ac:dyDescent="0.3">
      <c r="F756" s="43"/>
      <c r="G756" s="43"/>
    </row>
    <row r="757" spans="6:7" x14ac:dyDescent="0.3">
      <c r="F757" s="43"/>
      <c r="G757" s="43"/>
    </row>
    <row r="758" spans="6:7" x14ac:dyDescent="0.3">
      <c r="F758" s="43"/>
      <c r="G758" s="43"/>
    </row>
    <row r="759" spans="6:7" x14ac:dyDescent="0.3">
      <c r="F759" s="43"/>
      <c r="G759" s="43"/>
    </row>
    <row r="760" spans="6:7" x14ac:dyDescent="0.3">
      <c r="F760" s="43"/>
      <c r="G760" s="43"/>
    </row>
    <row r="761" spans="6:7" x14ac:dyDescent="0.3">
      <c r="F761" s="43"/>
      <c r="G761" s="43"/>
    </row>
    <row r="762" spans="6:7" x14ac:dyDescent="0.3">
      <c r="F762" s="43"/>
      <c r="G762" s="43"/>
    </row>
    <row r="763" spans="6:7" x14ac:dyDescent="0.3">
      <c r="F763" s="43"/>
      <c r="G763" s="43"/>
    </row>
    <row r="764" spans="6:7" x14ac:dyDescent="0.3">
      <c r="F764" s="43"/>
      <c r="G764" s="43"/>
    </row>
    <row r="765" spans="6:7" x14ac:dyDescent="0.3">
      <c r="F765" s="43"/>
      <c r="G765" s="43"/>
    </row>
    <row r="766" spans="6:7" x14ac:dyDescent="0.3">
      <c r="F766" s="43"/>
      <c r="G766" s="43"/>
    </row>
    <row r="767" spans="6:7" x14ac:dyDescent="0.3">
      <c r="F767" s="43"/>
      <c r="G767" s="43"/>
    </row>
    <row r="768" spans="6:7" x14ac:dyDescent="0.3">
      <c r="F768" s="43"/>
      <c r="G768" s="43"/>
    </row>
    <row r="769" spans="6:7" x14ac:dyDescent="0.3">
      <c r="F769" s="1"/>
      <c r="G769" s="1"/>
    </row>
    <row r="770" spans="6:7" x14ac:dyDescent="0.3">
      <c r="F770" s="43"/>
      <c r="G770" s="43"/>
    </row>
    <row r="771" spans="6:7" x14ac:dyDescent="0.3">
      <c r="F771" s="43"/>
      <c r="G771" s="43"/>
    </row>
    <row r="772" spans="6:7" x14ac:dyDescent="0.3">
      <c r="F772" s="43"/>
      <c r="G772" s="43"/>
    </row>
    <row r="773" spans="6:7" x14ac:dyDescent="0.3">
      <c r="F773" s="43"/>
      <c r="G773" s="43"/>
    </row>
    <row r="774" spans="6:7" x14ac:dyDescent="0.3">
      <c r="F774" s="43"/>
      <c r="G774" s="43"/>
    </row>
    <row r="775" spans="6:7" x14ac:dyDescent="0.3">
      <c r="F775" s="43"/>
      <c r="G775" s="43"/>
    </row>
    <row r="776" spans="6:7" x14ac:dyDescent="0.3">
      <c r="F776" s="43"/>
      <c r="G776" s="43"/>
    </row>
    <row r="777" spans="6:7" x14ac:dyDescent="0.3">
      <c r="F777" s="43"/>
      <c r="G777" s="43"/>
    </row>
    <row r="778" spans="6:7" x14ac:dyDescent="0.3">
      <c r="F778" s="43"/>
      <c r="G778" s="43"/>
    </row>
    <row r="779" spans="6:7" x14ac:dyDescent="0.3">
      <c r="F779" s="43"/>
      <c r="G779" s="43"/>
    </row>
    <row r="780" spans="6:7" x14ac:dyDescent="0.3">
      <c r="F780" s="43"/>
      <c r="G780" s="43"/>
    </row>
    <row r="781" spans="6:7" x14ac:dyDescent="0.3">
      <c r="F781" s="43"/>
      <c r="G781" s="43"/>
    </row>
    <row r="782" spans="6:7" x14ac:dyDescent="0.3">
      <c r="F782" s="43"/>
      <c r="G782" s="43"/>
    </row>
    <row r="783" spans="6:7" x14ac:dyDescent="0.3">
      <c r="F783" s="43"/>
      <c r="G783" s="43"/>
    </row>
    <row r="784" spans="6:7" x14ac:dyDescent="0.3">
      <c r="F784" s="43"/>
      <c r="G784" s="43"/>
    </row>
    <row r="785" spans="6:18" x14ac:dyDescent="0.3">
      <c r="F785" s="43"/>
      <c r="G785" s="43"/>
    </row>
    <row r="786" spans="6:18" x14ac:dyDescent="0.3">
      <c r="F786" s="43"/>
      <c r="G786" s="43"/>
    </row>
    <row r="787" spans="6:18" x14ac:dyDescent="0.3">
      <c r="F787" s="43"/>
      <c r="G787" s="43"/>
    </row>
    <row r="788" spans="6:18" x14ac:dyDescent="0.3">
      <c r="F788" s="43"/>
      <c r="G788" s="43"/>
    </row>
    <row r="789" spans="6:18" x14ac:dyDescent="0.3">
      <c r="F789" s="43"/>
      <c r="G789" s="43"/>
    </row>
    <row r="790" spans="6:18" x14ac:dyDescent="0.3">
      <c r="F790" s="43"/>
      <c r="G790" s="43"/>
    </row>
    <row r="791" spans="6:18" x14ac:dyDescent="0.3">
      <c r="F791" s="43"/>
      <c r="G791" s="43"/>
    </row>
    <row r="792" spans="6:18" x14ac:dyDescent="0.3">
      <c r="F792" s="43"/>
      <c r="G792" s="43"/>
    </row>
    <row r="793" spans="6:18" x14ac:dyDescent="0.3">
      <c r="F793" s="43"/>
      <c r="G793" s="43"/>
    </row>
    <row r="794" spans="6:18" x14ac:dyDescent="0.3">
      <c r="F794" s="43"/>
      <c r="G794" s="43"/>
    </row>
    <row r="795" spans="6:18" x14ac:dyDescent="0.3">
      <c r="F795" s="43"/>
      <c r="G795" s="43"/>
      <c r="R795" s="50"/>
    </row>
    <row r="796" spans="6:18" x14ac:dyDescent="0.3">
      <c r="F796" s="43"/>
      <c r="G796" s="43"/>
    </row>
    <row r="797" spans="6:18" x14ac:dyDescent="0.3">
      <c r="F797" s="43"/>
      <c r="G797" s="43"/>
    </row>
    <row r="798" spans="6:18" x14ac:dyDescent="0.3">
      <c r="F798" s="43"/>
      <c r="G798" s="43"/>
    </row>
    <row r="799" spans="6:18" x14ac:dyDescent="0.3">
      <c r="F799" s="43"/>
      <c r="G799" s="43"/>
    </row>
    <row r="800" spans="6:18" x14ac:dyDescent="0.3">
      <c r="F800" s="43"/>
      <c r="G800" s="43"/>
    </row>
    <row r="801" spans="6:7" x14ac:dyDescent="0.3">
      <c r="F801" s="43"/>
      <c r="G801" s="43"/>
    </row>
    <row r="802" spans="6:7" x14ac:dyDescent="0.3">
      <c r="F802" s="43"/>
      <c r="G802" s="43"/>
    </row>
    <row r="803" spans="6:7" x14ac:dyDescent="0.3">
      <c r="F803" s="43"/>
      <c r="G803" s="43"/>
    </row>
    <row r="804" spans="6:7" x14ac:dyDescent="0.3">
      <c r="F804" s="43"/>
      <c r="G804" s="43"/>
    </row>
    <row r="805" spans="6:7" x14ac:dyDescent="0.3">
      <c r="F805" s="43"/>
      <c r="G805" s="43"/>
    </row>
    <row r="806" spans="6:7" x14ac:dyDescent="0.3">
      <c r="F806" s="43"/>
      <c r="G806" s="43"/>
    </row>
    <row r="807" spans="6:7" x14ac:dyDescent="0.3">
      <c r="F807" s="43"/>
      <c r="G807" s="43"/>
    </row>
    <row r="808" spans="6:7" x14ac:dyDescent="0.3">
      <c r="F808" s="43"/>
      <c r="G808" s="43"/>
    </row>
    <row r="809" spans="6:7" x14ac:dyDescent="0.3">
      <c r="F809" s="43"/>
      <c r="G809" s="43"/>
    </row>
    <row r="810" spans="6:7" x14ac:dyDescent="0.3">
      <c r="F810" s="43"/>
      <c r="G810" s="43"/>
    </row>
    <row r="811" spans="6:7" x14ac:dyDescent="0.3">
      <c r="F811" s="43"/>
      <c r="G811" s="43"/>
    </row>
    <row r="812" spans="6:7" x14ac:dyDescent="0.3">
      <c r="F812" s="43"/>
      <c r="G812" s="43"/>
    </row>
    <row r="813" spans="6:7" x14ac:dyDescent="0.3">
      <c r="F813" s="43"/>
      <c r="G813" s="43"/>
    </row>
    <row r="814" spans="6:7" x14ac:dyDescent="0.3">
      <c r="F814" s="43"/>
      <c r="G814" s="43"/>
    </row>
    <row r="815" spans="6:7" x14ac:dyDescent="0.3">
      <c r="F815" s="1"/>
      <c r="G815" s="1"/>
    </row>
    <row r="816" spans="6:7" x14ac:dyDescent="0.3">
      <c r="F816" s="43"/>
      <c r="G816" s="43"/>
    </row>
    <row r="817" spans="6:7" x14ac:dyDescent="0.3">
      <c r="F817" s="43"/>
      <c r="G817" s="43"/>
    </row>
    <row r="818" spans="6:7" x14ac:dyDescent="0.3">
      <c r="F818" s="43"/>
      <c r="G818" s="43"/>
    </row>
    <row r="819" spans="6:7" x14ac:dyDescent="0.3">
      <c r="F819" s="43"/>
      <c r="G819" s="43"/>
    </row>
    <row r="820" spans="6:7" x14ac:dyDescent="0.3">
      <c r="F820" s="43"/>
      <c r="G820" s="43"/>
    </row>
    <row r="821" spans="6:7" x14ac:dyDescent="0.3">
      <c r="F821" s="43"/>
      <c r="G821" s="43"/>
    </row>
    <row r="822" spans="6:7" x14ac:dyDescent="0.3">
      <c r="F822" s="43"/>
      <c r="G822" s="43"/>
    </row>
    <row r="823" spans="6:7" x14ac:dyDescent="0.3">
      <c r="F823" s="43"/>
      <c r="G823" s="43"/>
    </row>
    <row r="824" spans="6:7" x14ac:dyDescent="0.3">
      <c r="F824" s="43"/>
      <c r="G824" s="43"/>
    </row>
    <row r="825" spans="6:7" x14ac:dyDescent="0.3">
      <c r="F825" s="43"/>
      <c r="G825" s="43"/>
    </row>
    <row r="826" spans="6:7" x14ac:dyDescent="0.3">
      <c r="F826" s="43"/>
      <c r="G826" s="43"/>
    </row>
    <row r="827" spans="6:7" x14ac:dyDescent="0.3">
      <c r="F827" s="43"/>
      <c r="G827" s="43"/>
    </row>
    <row r="828" spans="6:7" x14ac:dyDescent="0.3">
      <c r="F828" s="43"/>
      <c r="G828" s="43"/>
    </row>
    <row r="829" spans="6:7" x14ac:dyDescent="0.3">
      <c r="F829" s="43"/>
      <c r="G829" s="43"/>
    </row>
    <row r="830" spans="6:7" x14ac:dyDescent="0.3">
      <c r="F830" s="43"/>
      <c r="G830" s="43"/>
    </row>
    <row r="831" spans="6:7" x14ac:dyDescent="0.3">
      <c r="F831" s="1"/>
      <c r="G831" s="1"/>
    </row>
    <row r="832" spans="6:7" x14ac:dyDescent="0.3">
      <c r="F832" s="43"/>
      <c r="G832" s="43"/>
    </row>
    <row r="833" spans="6:7" x14ac:dyDescent="0.3">
      <c r="F833" s="43"/>
      <c r="G833" s="43"/>
    </row>
    <row r="834" spans="6:7" x14ac:dyDescent="0.3">
      <c r="F834" s="43"/>
      <c r="G834" s="43"/>
    </row>
    <row r="835" spans="6:7" x14ac:dyDescent="0.3">
      <c r="F835" s="43"/>
      <c r="G835" s="43"/>
    </row>
    <row r="836" spans="6:7" x14ac:dyDescent="0.3">
      <c r="F836" s="43"/>
      <c r="G836" s="43"/>
    </row>
    <row r="837" spans="6:7" x14ac:dyDescent="0.3">
      <c r="F837" s="43"/>
      <c r="G837" s="43"/>
    </row>
    <row r="838" spans="6:7" x14ac:dyDescent="0.3">
      <c r="F838" s="43"/>
      <c r="G838" s="43"/>
    </row>
    <row r="839" spans="6:7" x14ac:dyDescent="0.3">
      <c r="F839" s="43"/>
      <c r="G839" s="43"/>
    </row>
    <row r="840" spans="6:7" x14ac:dyDescent="0.3">
      <c r="F840" s="43"/>
      <c r="G840" s="43"/>
    </row>
    <row r="841" spans="6:7" x14ac:dyDescent="0.3">
      <c r="F841" s="43"/>
      <c r="G841" s="43"/>
    </row>
    <row r="842" spans="6:7" x14ac:dyDescent="0.3">
      <c r="F842" s="43"/>
      <c r="G842" s="43"/>
    </row>
    <row r="843" spans="6:7" x14ac:dyDescent="0.3">
      <c r="F843" s="43"/>
      <c r="G843" s="43"/>
    </row>
    <row r="844" spans="6:7" x14ac:dyDescent="0.3">
      <c r="F844" s="43"/>
      <c r="G844" s="43"/>
    </row>
    <row r="845" spans="6:7" x14ac:dyDescent="0.3">
      <c r="F845" s="43"/>
      <c r="G845" s="43"/>
    </row>
    <row r="846" spans="6:7" x14ac:dyDescent="0.3">
      <c r="F846" s="43"/>
      <c r="G846" s="43"/>
    </row>
    <row r="847" spans="6:7" x14ac:dyDescent="0.3">
      <c r="F847" s="43"/>
      <c r="G847" s="43"/>
    </row>
    <row r="848" spans="6:7" x14ac:dyDescent="0.3">
      <c r="F848" s="43"/>
      <c r="G848" s="43"/>
    </row>
    <row r="849" spans="5:7" x14ac:dyDescent="0.3">
      <c r="E849" s="44"/>
      <c r="F849" s="43"/>
      <c r="G849" s="43"/>
    </row>
    <row r="850" spans="5:7" x14ac:dyDescent="0.3">
      <c r="F850" s="43"/>
      <c r="G850" s="43"/>
    </row>
    <row r="851" spans="5:7" x14ac:dyDescent="0.3">
      <c r="F851" s="43"/>
      <c r="G851" s="43"/>
    </row>
    <row r="852" spans="5:7" x14ac:dyDescent="0.3">
      <c r="F852" s="43"/>
      <c r="G852" s="43"/>
    </row>
    <row r="853" spans="5:7" x14ac:dyDescent="0.3">
      <c r="F853" s="43"/>
      <c r="G853" s="43"/>
    </row>
    <row r="854" spans="5:7" x14ac:dyDescent="0.3">
      <c r="F854" s="43"/>
      <c r="G854" s="43"/>
    </row>
    <row r="855" spans="5:7" x14ac:dyDescent="0.3">
      <c r="F855" s="43"/>
      <c r="G855" s="43"/>
    </row>
    <row r="856" spans="5:7" x14ac:dyDescent="0.3">
      <c r="F856" s="43"/>
      <c r="G856" s="43"/>
    </row>
    <row r="857" spans="5:7" x14ac:dyDescent="0.3">
      <c r="F857" s="43"/>
      <c r="G857" s="43"/>
    </row>
    <row r="858" spans="5:7" x14ac:dyDescent="0.3">
      <c r="F858" s="43"/>
      <c r="G858" s="43"/>
    </row>
    <row r="859" spans="5:7" x14ac:dyDescent="0.3">
      <c r="F859" s="43"/>
      <c r="G859" s="43"/>
    </row>
    <row r="860" spans="5:7" x14ac:dyDescent="0.3">
      <c r="F860" s="43"/>
      <c r="G860" s="43"/>
    </row>
    <row r="861" spans="5:7" x14ac:dyDescent="0.3">
      <c r="F861" s="43"/>
      <c r="G861" s="43"/>
    </row>
    <row r="862" spans="5:7" x14ac:dyDescent="0.3">
      <c r="F862" s="43"/>
      <c r="G862" s="43"/>
    </row>
    <row r="863" spans="5:7" x14ac:dyDescent="0.3">
      <c r="F863" s="43"/>
      <c r="G863" s="43"/>
    </row>
    <row r="864" spans="5:7" x14ac:dyDescent="0.3">
      <c r="F864" s="43"/>
      <c r="G864" s="43"/>
    </row>
    <row r="865" spans="6:7" x14ac:dyDescent="0.3">
      <c r="F865" s="43"/>
      <c r="G865" s="43"/>
    </row>
    <row r="866" spans="6:7" x14ac:dyDescent="0.3">
      <c r="F866" s="43"/>
      <c r="G866" s="43"/>
    </row>
    <row r="867" spans="6:7" x14ac:dyDescent="0.3">
      <c r="F867" s="43"/>
      <c r="G867" s="43"/>
    </row>
    <row r="868" spans="6:7" x14ac:dyDescent="0.3">
      <c r="F868" s="43"/>
      <c r="G868" s="43"/>
    </row>
    <row r="869" spans="6:7" x14ac:dyDescent="0.3">
      <c r="F869" s="43"/>
      <c r="G869" s="43"/>
    </row>
    <row r="870" spans="6:7" x14ac:dyDescent="0.3">
      <c r="F870" s="43"/>
      <c r="G870" s="43"/>
    </row>
    <row r="871" spans="6:7" x14ac:dyDescent="0.3">
      <c r="F871" s="1"/>
      <c r="G871" s="1"/>
    </row>
    <row r="872" spans="6:7" x14ac:dyDescent="0.3">
      <c r="F872" s="43"/>
      <c r="G872" s="43"/>
    </row>
    <row r="873" spans="6:7" x14ac:dyDescent="0.3">
      <c r="F873" s="43"/>
      <c r="G873" s="43"/>
    </row>
    <row r="874" spans="6:7" x14ac:dyDescent="0.3">
      <c r="F874" s="43"/>
      <c r="G874" s="43"/>
    </row>
    <row r="875" spans="6:7" x14ac:dyDescent="0.3">
      <c r="F875" s="43"/>
      <c r="G875" s="43"/>
    </row>
    <row r="876" spans="6:7" x14ac:dyDescent="0.3">
      <c r="F876" s="43"/>
      <c r="G876" s="43"/>
    </row>
    <row r="877" spans="6:7" x14ac:dyDescent="0.3">
      <c r="F877" s="43"/>
      <c r="G877" s="43"/>
    </row>
    <row r="878" spans="6:7" x14ac:dyDescent="0.3">
      <c r="F878" s="43"/>
      <c r="G878" s="43"/>
    </row>
    <row r="879" spans="6:7" x14ac:dyDescent="0.3">
      <c r="F879" s="43"/>
      <c r="G879" s="43"/>
    </row>
    <row r="880" spans="6:7" x14ac:dyDescent="0.3">
      <c r="F880" s="43"/>
      <c r="G880" s="43"/>
    </row>
    <row r="881" spans="6:7" x14ac:dyDescent="0.3">
      <c r="F881" s="43"/>
      <c r="G881" s="43"/>
    </row>
    <row r="882" spans="6:7" x14ac:dyDescent="0.3">
      <c r="F882" s="43"/>
      <c r="G882" s="43"/>
    </row>
    <row r="883" spans="6:7" x14ac:dyDescent="0.3">
      <c r="F883" s="43"/>
      <c r="G883" s="43"/>
    </row>
    <row r="884" spans="6:7" x14ac:dyDescent="0.3">
      <c r="F884" s="43"/>
      <c r="G884" s="43"/>
    </row>
    <row r="885" spans="6:7" x14ac:dyDescent="0.3">
      <c r="F885" s="43"/>
      <c r="G885" s="43"/>
    </row>
    <row r="886" spans="6:7" x14ac:dyDescent="0.3">
      <c r="F886" s="43"/>
      <c r="G886" s="43"/>
    </row>
    <row r="887" spans="6:7" x14ac:dyDescent="0.3">
      <c r="F887" s="43"/>
      <c r="G887" s="43"/>
    </row>
    <row r="888" spans="6:7" x14ac:dyDescent="0.3">
      <c r="F888" s="43"/>
      <c r="G888" s="43"/>
    </row>
    <row r="889" spans="6:7" x14ac:dyDescent="0.3">
      <c r="F889" s="43"/>
      <c r="G889" s="43"/>
    </row>
    <row r="890" spans="6:7" x14ac:dyDescent="0.3">
      <c r="F890" s="43"/>
      <c r="G890" s="43"/>
    </row>
    <row r="891" spans="6:7" x14ac:dyDescent="0.3">
      <c r="F891" s="43"/>
      <c r="G891" s="43"/>
    </row>
    <row r="892" spans="6:7" x14ac:dyDescent="0.3">
      <c r="F892" s="43"/>
      <c r="G892" s="43"/>
    </row>
    <row r="893" spans="6:7" x14ac:dyDescent="0.3">
      <c r="F893" s="43"/>
      <c r="G893" s="43"/>
    </row>
    <row r="894" spans="6:7" x14ac:dyDescent="0.3">
      <c r="F894" s="43"/>
      <c r="G894" s="43"/>
    </row>
    <row r="895" spans="6:7" x14ac:dyDescent="0.3">
      <c r="F895" s="43"/>
      <c r="G895" s="43"/>
    </row>
    <row r="896" spans="6:7" x14ac:dyDescent="0.3">
      <c r="F896" s="43"/>
      <c r="G896" s="43"/>
    </row>
    <row r="897" spans="6:7" x14ac:dyDescent="0.3">
      <c r="F897" s="43"/>
      <c r="G897" s="43"/>
    </row>
    <row r="898" spans="6:7" x14ac:dyDescent="0.3">
      <c r="F898" s="43"/>
      <c r="G898" s="43"/>
    </row>
    <row r="899" spans="6:7" x14ac:dyDescent="0.3">
      <c r="F899" s="43"/>
      <c r="G899" s="43"/>
    </row>
    <row r="900" spans="6:7" x14ac:dyDescent="0.3">
      <c r="F900" s="43"/>
      <c r="G900" s="43"/>
    </row>
    <row r="901" spans="6:7" x14ac:dyDescent="0.3">
      <c r="F901" s="43"/>
      <c r="G901" s="43"/>
    </row>
    <row r="902" spans="6:7" x14ac:dyDescent="0.3">
      <c r="F902" s="43"/>
      <c r="G902" s="43"/>
    </row>
    <row r="903" spans="6:7" x14ac:dyDescent="0.3">
      <c r="F903" s="43"/>
      <c r="G903" s="43"/>
    </row>
    <row r="904" spans="6:7" x14ac:dyDescent="0.3">
      <c r="F904" s="43"/>
      <c r="G904" s="43"/>
    </row>
    <row r="905" spans="6:7" x14ac:dyDescent="0.3">
      <c r="F905" s="43"/>
      <c r="G905" s="43"/>
    </row>
    <row r="906" spans="6:7" x14ac:dyDescent="0.3">
      <c r="F906" s="43"/>
      <c r="G906" s="43"/>
    </row>
    <row r="907" spans="6:7" x14ac:dyDescent="0.3">
      <c r="F907" s="43"/>
      <c r="G907" s="43"/>
    </row>
    <row r="908" spans="6:7" x14ac:dyDescent="0.3">
      <c r="F908" s="43"/>
      <c r="G908" s="43"/>
    </row>
    <row r="909" spans="6:7" x14ac:dyDescent="0.3">
      <c r="F909" s="43"/>
      <c r="G909" s="43"/>
    </row>
    <row r="910" spans="6:7" x14ac:dyDescent="0.3">
      <c r="F910" s="43"/>
      <c r="G910" s="43"/>
    </row>
    <row r="911" spans="6:7" x14ac:dyDescent="0.3">
      <c r="F911" s="43"/>
      <c r="G911" s="43"/>
    </row>
    <row r="912" spans="6:7" x14ac:dyDescent="0.3">
      <c r="F912" s="43"/>
      <c r="G912" s="43"/>
    </row>
    <row r="913" spans="6:7" x14ac:dyDescent="0.3">
      <c r="F913" s="43"/>
      <c r="G913" s="43"/>
    </row>
    <row r="914" spans="6:7" x14ac:dyDescent="0.3">
      <c r="F914" s="43"/>
      <c r="G914" s="43"/>
    </row>
    <row r="915" spans="6:7" x14ac:dyDescent="0.3">
      <c r="F915" s="43"/>
      <c r="G915" s="43"/>
    </row>
    <row r="916" spans="6:7" x14ac:dyDescent="0.3">
      <c r="F916" s="43"/>
      <c r="G916" s="43"/>
    </row>
    <row r="917" spans="6:7" x14ac:dyDescent="0.3">
      <c r="F917" s="43"/>
      <c r="G917" s="43"/>
    </row>
    <row r="918" spans="6:7" x14ac:dyDescent="0.3">
      <c r="F918" s="43"/>
      <c r="G918" s="43"/>
    </row>
    <row r="919" spans="6:7" x14ac:dyDescent="0.3">
      <c r="F919" s="43"/>
      <c r="G919" s="43"/>
    </row>
    <row r="920" spans="6:7" x14ac:dyDescent="0.3">
      <c r="F920" s="43"/>
      <c r="G920" s="43"/>
    </row>
    <row r="921" spans="6:7" x14ac:dyDescent="0.3">
      <c r="F921" s="43"/>
      <c r="G921" s="43"/>
    </row>
    <row r="922" spans="6:7" x14ac:dyDescent="0.3">
      <c r="F922" s="43"/>
      <c r="G922" s="43"/>
    </row>
    <row r="923" spans="6:7" x14ac:dyDescent="0.3">
      <c r="F923" s="43"/>
      <c r="G923" s="43"/>
    </row>
    <row r="924" spans="6:7" x14ac:dyDescent="0.3">
      <c r="F924" s="43"/>
      <c r="G924" s="43"/>
    </row>
    <row r="925" spans="6:7" x14ac:dyDescent="0.3">
      <c r="F925" s="43"/>
      <c r="G925" s="43"/>
    </row>
    <row r="926" spans="6:7" x14ac:dyDescent="0.3">
      <c r="F926" s="43"/>
      <c r="G926" s="43"/>
    </row>
    <row r="927" spans="6:7" x14ac:dyDescent="0.3">
      <c r="F927" s="43"/>
      <c r="G927" s="43"/>
    </row>
    <row r="928" spans="6:7" x14ac:dyDescent="0.3">
      <c r="F928" s="43"/>
      <c r="G928" s="43"/>
    </row>
    <row r="929" spans="6:7" x14ac:dyDescent="0.3">
      <c r="F929" s="43"/>
      <c r="G929" s="43"/>
    </row>
    <row r="930" spans="6:7" x14ac:dyDescent="0.3">
      <c r="F930" s="43"/>
      <c r="G930" s="43"/>
    </row>
    <row r="931" spans="6:7" x14ac:dyDescent="0.3">
      <c r="F931" s="43"/>
      <c r="G931" s="43"/>
    </row>
    <row r="932" spans="6:7" x14ac:dyDescent="0.3">
      <c r="F932" s="43"/>
      <c r="G932" s="43"/>
    </row>
    <row r="933" spans="6:7" x14ac:dyDescent="0.3">
      <c r="F933" s="43"/>
      <c r="G933" s="43"/>
    </row>
    <row r="934" spans="6:7" x14ac:dyDescent="0.3">
      <c r="F934" s="43"/>
      <c r="G934" s="43"/>
    </row>
    <row r="935" spans="6:7" x14ac:dyDescent="0.3">
      <c r="F935" s="43"/>
      <c r="G935" s="43"/>
    </row>
    <row r="936" spans="6:7" x14ac:dyDescent="0.3">
      <c r="F936" s="43"/>
      <c r="G936" s="43"/>
    </row>
    <row r="937" spans="6:7" x14ac:dyDescent="0.3">
      <c r="F937" s="43"/>
      <c r="G937" s="43"/>
    </row>
    <row r="938" spans="6:7" x14ac:dyDescent="0.3">
      <c r="F938" s="43"/>
      <c r="G938" s="43"/>
    </row>
    <row r="939" spans="6:7" x14ac:dyDescent="0.3">
      <c r="F939" s="43"/>
      <c r="G939" s="43"/>
    </row>
    <row r="940" spans="6:7" x14ac:dyDescent="0.3">
      <c r="F940" s="43"/>
      <c r="G940" s="43"/>
    </row>
    <row r="941" spans="6:7" x14ac:dyDescent="0.3">
      <c r="F941" s="43"/>
      <c r="G941" s="43"/>
    </row>
    <row r="942" spans="6:7" x14ac:dyDescent="0.3">
      <c r="F942" s="43"/>
      <c r="G942" s="43"/>
    </row>
    <row r="943" spans="6:7" x14ac:dyDescent="0.3">
      <c r="F943" s="43"/>
      <c r="G943" s="43"/>
    </row>
    <row r="944" spans="6:7" x14ac:dyDescent="0.3">
      <c r="F944" s="43"/>
      <c r="G944" s="43"/>
    </row>
    <row r="945" spans="6:7" x14ac:dyDescent="0.3">
      <c r="F945" s="43"/>
      <c r="G945" s="43"/>
    </row>
    <row r="946" spans="6:7" x14ac:dyDescent="0.3">
      <c r="F946" s="43"/>
      <c r="G946" s="43"/>
    </row>
    <row r="947" spans="6:7" x14ac:dyDescent="0.3">
      <c r="F947" s="43"/>
      <c r="G947" s="43"/>
    </row>
    <row r="948" spans="6:7" x14ac:dyDescent="0.3">
      <c r="F948" s="43"/>
      <c r="G948" s="43"/>
    </row>
    <row r="949" spans="6:7" x14ac:dyDescent="0.3">
      <c r="F949" s="43"/>
      <c r="G949" s="43"/>
    </row>
    <row r="950" spans="6:7" x14ac:dyDescent="0.3">
      <c r="F950" s="43"/>
      <c r="G950" s="43"/>
    </row>
    <row r="951" spans="6:7" x14ac:dyDescent="0.3">
      <c r="F951" s="43"/>
      <c r="G951" s="43"/>
    </row>
    <row r="952" spans="6:7" x14ac:dyDescent="0.3">
      <c r="F952" s="43"/>
      <c r="G952" s="43"/>
    </row>
    <row r="953" spans="6:7" x14ac:dyDescent="0.3">
      <c r="F953" s="43"/>
      <c r="G953" s="43"/>
    </row>
    <row r="954" spans="6:7" x14ac:dyDescent="0.3">
      <c r="F954" s="43"/>
      <c r="G954" s="43"/>
    </row>
    <row r="955" spans="6:7" x14ac:dyDescent="0.3">
      <c r="F955" s="1"/>
      <c r="G955" s="1"/>
    </row>
    <row r="956" spans="6:7" x14ac:dyDescent="0.3">
      <c r="F956" s="43"/>
      <c r="G956" s="43"/>
    </row>
    <row r="957" spans="6:7" x14ac:dyDescent="0.3">
      <c r="F957" s="43"/>
      <c r="G957" s="43"/>
    </row>
    <row r="958" spans="6:7" x14ac:dyDescent="0.3">
      <c r="F958" s="43"/>
      <c r="G958" s="43"/>
    </row>
    <row r="959" spans="6:7" x14ac:dyDescent="0.3">
      <c r="F959" s="43"/>
      <c r="G959" s="43"/>
    </row>
    <row r="960" spans="6:7" x14ac:dyDescent="0.3">
      <c r="F960" s="43"/>
      <c r="G960" s="43"/>
    </row>
    <row r="961" spans="6:7" x14ac:dyDescent="0.3">
      <c r="F961" s="43"/>
      <c r="G961" s="43"/>
    </row>
    <row r="962" spans="6:7" x14ac:dyDescent="0.3">
      <c r="F962" s="43"/>
      <c r="G962" s="43"/>
    </row>
    <row r="963" spans="6:7" x14ac:dyDescent="0.3">
      <c r="F963" s="43"/>
      <c r="G963" s="43"/>
    </row>
    <row r="964" spans="6:7" x14ac:dyDescent="0.3">
      <c r="F964" s="43"/>
      <c r="G964" s="43"/>
    </row>
    <row r="965" spans="6:7" x14ac:dyDescent="0.3">
      <c r="F965" s="1"/>
      <c r="G965" s="1"/>
    </row>
    <row r="966" spans="6:7" x14ac:dyDescent="0.3">
      <c r="F966" s="43"/>
      <c r="G966" s="43"/>
    </row>
    <row r="967" spans="6:7" x14ac:dyDescent="0.3">
      <c r="F967" s="43"/>
      <c r="G967" s="43"/>
    </row>
    <row r="968" spans="6:7" x14ac:dyDescent="0.3">
      <c r="F968" s="43"/>
      <c r="G968" s="43"/>
    </row>
    <row r="969" spans="6:7" x14ac:dyDescent="0.3">
      <c r="F969" s="43"/>
      <c r="G969" s="43"/>
    </row>
    <row r="970" spans="6:7" x14ac:dyDescent="0.3">
      <c r="F970" s="43"/>
      <c r="G970" s="43"/>
    </row>
    <row r="971" spans="6:7" x14ac:dyDescent="0.3">
      <c r="F971" s="43"/>
      <c r="G971" s="43"/>
    </row>
    <row r="972" spans="6:7" x14ac:dyDescent="0.3">
      <c r="F972" s="43"/>
      <c r="G972" s="43"/>
    </row>
    <row r="973" spans="6:7" x14ac:dyDescent="0.3">
      <c r="F973" s="43"/>
      <c r="G973" s="43"/>
    </row>
    <row r="974" spans="6:7" x14ac:dyDescent="0.3">
      <c r="F974" s="43"/>
      <c r="G974" s="43"/>
    </row>
    <row r="975" spans="6:7" x14ac:dyDescent="0.3">
      <c r="F975" s="43"/>
      <c r="G975" s="43"/>
    </row>
    <row r="976" spans="6:7" x14ac:dyDescent="0.3">
      <c r="F976" s="43"/>
      <c r="G976" s="43"/>
    </row>
    <row r="977" spans="6:7" x14ac:dyDescent="0.3">
      <c r="F977" s="43"/>
      <c r="G977" s="43"/>
    </row>
    <row r="978" spans="6:7" x14ac:dyDescent="0.3">
      <c r="F978" s="43"/>
      <c r="G978" s="43"/>
    </row>
    <row r="979" spans="6:7" x14ac:dyDescent="0.3">
      <c r="F979" s="43"/>
      <c r="G979" s="43"/>
    </row>
    <row r="980" spans="6:7" x14ac:dyDescent="0.3">
      <c r="F980" s="43"/>
      <c r="G980" s="43"/>
    </row>
    <row r="981" spans="6:7" x14ac:dyDescent="0.3">
      <c r="F981" s="43"/>
      <c r="G981" s="43"/>
    </row>
    <row r="982" spans="6:7" x14ac:dyDescent="0.3">
      <c r="F982" s="43"/>
      <c r="G982" s="43"/>
    </row>
    <row r="983" spans="6:7" x14ac:dyDescent="0.3">
      <c r="F983" s="43"/>
      <c r="G983" s="43"/>
    </row>
    <row r="984" spans="6:7" x14ac:dyDescent="0.3">
      <c r="F984" s="43"/>
      <c r="G984" s="43"/>
    </row>
    <row r="985" spans="6:7" x14ac:dyDescent="0.3">
      <c r="F985" s="43"/>
      <c r="G985" s="43"/>
    </row>
    <row r="986" spans="6:7" x14ac:dyDescent="0.3">
      <c r="F986" s="43"/>
      <c r="G986" s="43"/>
    </row>
    <row r="987" spans="6:7" x14ac:dyDescent="0.3">
      <c r="F987" s="43"/>
      <c r="G987" s="43"/>
    </row>
    <row r="988" spans="6:7" x14ac:dyDescent="0.3">
      <c r="F988" s="43"/>
      <c r="G988" s="43"/>
    </row>
    <row r="989" spans="6:7" x14ac:dyDescent="0.3">
      <c r="F989" s="43"/>
      <c r="G989" s="43"/>
    </row>
    <row r="990" spans="6:7" x14ac:dyDescent="0.3">
      <c r="F990" s="43"/>
      <c r="G990" s="43"/>
    </row>
    <row r="991" spans="6:7" x14ac:dyDescent="0.3">
      <c r="F991" s="43"/>
      <c r="G991" s="43"/>
    </row>
    <row r="992" spans="6:7" x14ac:dyDescent="0.3">
      <c r="F992" s="43"/>
      <c r="G992" s="43"/>
    </row>
    <row r="993" spans="6:7" x14ac:dyDescent="0.3">
      <c r="F993" s="43"/>
      <c r="G993" s="43"/>
    </row>
    <row r="994" spans="6:7" x14ac:dyDescent="0.3">
      <c r="F994" s="43"/>
      <c r="G994" s="43"/>
    </row>
    <row r="995" spans="6:7" x14ac:dyDescent="0.3">
      <c r="F995" s="43"/>
      <c r="G995" s="43"/>
    </row>
    <row r="996" spans="6:7" x14ac:dyDescent="0.3">
      <c r="F996" s="43"/>
      <c r="G996" s="43"/>
    </row>
    <row r="997" spans="6:7" x14ac:dyDescent="0.3">
      <c r="F997" s="43"/>
      <c r="G997" s="43"/>
    </row>
    <row r="998" spans="6:7" x14ac:dyDescent="0.3">
      <c r="F998" s="43"/>
      <c r="G998" s="43"/>
    </row>
    <row r="999" spans="6:7" x14ac:dyDescent="0.3">
      <c r="F999" s="43"/>
      <c r="G999" s="43"/>
    </row>
    <row r="1000" spans="6:7" x14ac:dyDescent="0.3">
      <c r="F1000" s="43"/>
      <c r="G1000" s="43"/>
    </row>
    <row r="1001" spans="6:7" x14ac:dyDescent="0.3">
      <c r="F1001" s="43"/>
      <c r="G1001" s="43"/>
    </row>
    <row r="1002" spans="6:7" x14ac:dyDescent="0.3">
      <c r="F1002" s="43"/>
      <c r="G1002" s="43"/>
    </row>
    <row r="1003" spans="6:7" x14ac:dyDescent="0.3">
      <c r="F1003" s="43"/>
      <c r="G1003" s="43"/>
    </row>
    <row r="1004" spans="6:7" x14ac:dyDescent="0.3">
      <c r="F1004" s="43"/>
      <c r="G1004" s="43"/>
    </row>
    <row r="1005" spans="6:7" x14ac:dyDescent="0.3">
      <c r="F1005" s="43"/>
      <c r="G1005" s="43"/>
    </row>
    <row r="1006" spans="6:7" x14ac:dyDescent="0.3">
      <c r="F1006" s="43"/>
      <c r="G1006" s="43"/>
    </row>
    <row r="1007" spans="6:7" x14ac:dyDescent="0.3">
      <c r="F1007" s="43"/>
      <c r="G1007" s="43"/>
    </row>
    <row r="1008" spans="6:7" x14ac:dyDescent="0.3">
      <c r="F1008" s="43"/>
      <c r="G1008" s="43"/>
    </row>
    <row r="1009" spans="6:7" x14ac:dyDescent="0.3">
      <c r="F1009" s="43"/>
      <c r="G1009" s="43"/>
    </row>
    <row r="1010" spans="6:7" x14ac:dyDescent="0.3">
      <c r="F1010" s="43"/>
      <c r="G1010" s="43"/>
    </row>
    <row r="1011" spans="6:7" x14ac:dyDescent="0.3">
      <c r="F1011" s="43"/>
      <c r="G1011" s="43"/>
    </row>
    <row r="1012" spans="6:7" x14ac:dyDescent="0.3">
      <c r="F1012" s="43"/>
      <c r="G1012" s="43"/>
    </row>
    <row r="1013" spans="6:7" x14ac:dyDescent="0.3">
      <c r="F1013" s="43"/>
      <c r="G1013" s="43"/>
    </row>
    <row r="1014" spans="6:7" x14ac:dyDescent="0.3">
      <c r="F1014" s="43"/>
      <c r="G1014" s="43"/>
    </row>
    <row r="1015" spans="6:7" x14ac:dyDescent="0.3">
      <c r="F1015" s="43"/>
      <c r="G1015" s="43"/>
    </row>
    <row r="1016" spans="6:7" x14ac:dyDescent="0.3">
      <c r="F1016" s="43"/>
      <c r="G1016" s="43"/>
    </row>
    <row r="1017" spans="6:7" x14ac:dyDescent="0.3">
      <c r="F1017" s="43"/>
      <c r="G1017" s="43"/>
    </row>
    <row r="1018" spans="6:7" x14ac:dyDescent="0.3">
      <c r="F1018" s="43"/>
      <c r="G1018" s="43"/>
    </row>
    <row r="1019" spans="6:7" x14ac:dyDescent="0.3">
      <c r="F1019" s="43"/>
      <c r="G1019" s="43"/>
    </row>
    <row r="1020" spans="6:7" x14ac:dyDescent="0.3">
      <c r="F1020" s="43"/>
      <c r="G1020" s="43"/>
    </row>
    <row r="1021" spans="6:7" x14ac:dyDescent="0.3">
      <c r="F1021" s="43"/>
      <c r="G1021" s="43"/>
    </row>
    <row r="1022" spans="6:7" x14ac:dyDescent="0.3">
      <c r="F1022" s="43"/>
      <c r="G1022" s="43"/>
    </row>
    <row r="1023" spans="6:7" x14ac:dyDescent="0.3">
      <c r="F1023" s="43"/>
      <c r="G1023" s="43"/>
    </row>
    <row r="1024" spans="6:7" x14ac:dyDescent="0.3">
      <c r="F1024" s="43"/>
      <c r="G1024" s="43"/>
    </row>
    <row r="1025" spans="6:7" x14ac:dyDescent="0.3">
      <c r="F1025" s="43"/>
      <c r="G1025" s="43"/>
    </row>
    <row r="1026" spans="6:7" x14ac:dyDescent="0.3">
      <c r="F1026" s="43"/>
      <c r="G1026" s="43"/>
    </row>
    <row r="1027" spans="6:7" x14ac:dyDescent="0.3">
      <c r="F1027" s="43"/>
      <c r="G1027" s="43"/>
    </row>
    <row r="1028" spans="6:7" x14ac:dyDescent="0.3">
      <c r="F1028" s="43"/>
      <c r="G1028" s="43"/>
    </row>
    <row r="1029" spans="6:7" x14ac:dyDescent="0.3">
      <c r="F1029" s="43"/>
      <c r="G1029" s="43"/>
    </row>
    <row r="1030" spans="6:7" x14ac:dyDescent="0.3">
      <c r="F1030" s="43"/>
      <c r="G1030" s="43"/>
    </row>
    <row r="1031" spans="6:7" x14ac:dyDescent="0.3">
      <c r="F1031" s="43"/>
      <c r="G1031" s="43"/>
    </row>
    <row r="1032" spans="6:7" x14ac:dyDescent="0.3">
      <c r="F1032" s="43"/>
      <c r="G1032" s="43"/>
    </row>
    <row r="1033" spans="6:7" x14ac:dyDescent="0.3">
      <c r="F1033" s="43"/>
      <c r="G1033" s="43"/>
    </row>
    <row r="1034" spans="6:7" x14ac:dyDescent="0.3">
      <c r="F1034" s="43"/>
      <c r="G1034" s="43"/>
    </row>
    <row r="1035" spans="6:7" x14ac:dyDescent="0.3">
      <c r="F1035" s="43"/>
      <c r="G1035" s="43"/>
    </row>
    <row r="1036" spans="6:7" x14ac:dyDescent="0.3">
      <c r="F1036" s="43"/>
      <c r="G1036" s="43"/>
    </row>
    <row r="1037" spans="6:7" x14ac:dyDescent="0.3">
      <c r="F1037" s="43"/>
      <c r="G1037" s="43"/>
    </row>
    <row r="1038" spans="6:7" x14ac:dyDescent="0.3">
      <c r="F1038" s="43"/>
      <c r="G1038" s="43"/>
    </row>
    <row r="1039" spans="6:7" x14ac:dyDescent="0.3">
      <c r="F1039" s="43"/>
      <c r="G1039" s="43"/>
    </row>
    <row r="1040" spans="6:7" x14ac:dyDescent="0.3">
      <c r="F1040" s="43"/>
      <c r="G1040" s="43"/>
    </row>
    <row r="1041" spans="6:7" x14ac:dyDescent="0.3">
      <c r="F1041" s="43"/>
      <c r="G1041" s="43"/>
    </row>
    <row r="1042" spans="6:7" x14ac:dyDescent="0.3">
      <c r="F1042" s="43"/>
      <c r="G1042" s="43"/>
    </row>
    <row r="1043" spans="6:7" x14ac:dyDescent="0.3">
      <c r="F1043" s="43"/>
      <c r="G1043" s="43"/>
    </row>
    <row r="1044" spans="6:7" x14ac:dyDescent="0.3">
      <c r="F1044" s="43"/>
      <c r="G1044" s="43"/>
    </row>
    <row r="1045" spans="6:7" x14ac:dyDescent="0.3">
      <c r="F1045" s="43"/>
      <c r="G1045" s="43"/>
    </row>
    <row r="1046" spans="6:7" x14ac:dyDescent="0.3">
      <c r="F1046" s="43"/>
      <c r="G1046" s="43"/>
    </row>
    <row r="1047" spans="6:7" x14ac:dyDescent="0.3">
      <c r="F1047" s="43"/>
      <c r="G1047" s="43"/>
    </row>
    <row r="1048" spans="6:7" x14ac:dyDescent="0.3">
      <c r="F1048" s="43"/>
      <c r="G1048" s="43"/>
    </row>
    <row r="1049" spans="6:7" x14ac:dyDescent="0.3">
      <c r="F1049" s="43"/>
      <c r="G1049" s="43"/>
    </row>
    <row r="1050" spans="6:7" x14ac:dyDescent="0.3">
      <c r="F1050" s="43"/>
      <c r="G1050" s="43"/>
    </row>
    <row r="1051" spans="6:7" x14ac:dyDescent="0.3">
      <c r="F1051" s="43"/>
      <c r="G1051" s="43"/>
    </row>
    <row r="1052" spans="6:7" x14ac:dyDescent="0.3">
      <c r="F1052" s="43"/>
      <c r="G1052" s="43"/>
    </row>
    <row r="1053" spans="6:7" x14ac:dyDescent="0.3">
      <c r="F1053" s="43"/>
      <c r="G1053" s="43"/>
    </row>
    <row r="1054" spans="6:7" x14ac:dyDescent="0.3">
      <c r="F1054" s="43"/>
      <c r="G1054" s="43"/>
    </row>
    <row r="1055" spans="6:7" x14ac:dyDescent="0.3">
      <c r="F1055" s="43"/>
      <c r="G1055" s="43"/>
    </row>
    <row r="1056" spans="6:7" x14ac:dyDescent="0.3">
      <c r="F1056" s="43"/>
      <c r="G1056" s="43"/>
    </row>
    <row r="1057" spans="6:7" x14ac:dyDescent="0.3">
      <c r="F1057" s="43"/>
      <c r="G1057" s="43"/>
    </row>
    <row r="1058" spans="6:7" x14ac:dyDescent="0.3">
      <c r="F1058" s="43"/>
      <c r="G1058" s="43"/>
    </row>
    <row r="1059" spans="6:7" x14ac:dyDescent="0.3">
      <c r="F1059" s="43"/>
      <c r="G1059" s="43"/>
    </row>
    <row r="1060" spans="6:7" x14ac:dyDescent="0.3">
      <c r="F1060" s="43"/>
      <c r="G1060" s="43"/>
    </row>
    <row r="1061" spans="6:7" x14ac:dyDescent="0.3">
      <c r="F1061" s="43"/>
      <c r="G1061" s="43"/>
    </row>
    <row r="1062" spans="6:7" x14ac:dyDescent="0.3">
      <c r="F1062" s="43"/>
      <c r="G1062" s="43"/>
    </row>
    <row r="1063" spans="6:7" x14ac:dyDescent="0.3">
      <c r="F1063" s="43"/>
      <c r="G1063" s="43"/>
    </row>
    <row r="1064" spans="6:7" x14ac:dyDescent="0.3">
      <c r="F1064" s="43"/>
      <c r="G1064" s="43"/>
    </row>
    <row r="1065" spans="6:7" x14ac:dyDescent="0.3">
      <c r="F1065" s="43"/>
      <c r="G1065" s="43"/>
    </row>
    <row r="1066" spans="6:7" x14ac:dyDescent="0.3">
      <c r="F1066" s="43"/>
      <c r="G1066" s="43"/>
    </row>
    <row r="1067" spans="6:7" x14ac:dyDescent="0.3">
      <c r="F1067" s="43"/>
      <c r="G1067" s="43"/>
    </row>
    <row r="1068" spans="6:7" x14ac:dyDescent="0.3">
      <c r="F1068" s="43"/>
      <c r="G1068" s="43"/>
    </row>
    <row r="1069" spans="6:7" x14ac:dyDescent="0.3">
      <c r="F1069" s="43"/>
      <c r="G1069" s="43"/>
    </row>
    <row r="1070" spans="6:7" x14ac:dyDescent="0.3">
      <c r="F1070" s="43"/>
      <c r="G1070" s="43"/>
    </row>
    <row r="1071" spans="6:7" x14ac:dyDescent="0.3">
      <c r="F1071" s="43"/>
      <c r="G1071" s="43"/>
    </row>
    <row r="1072" spans="6:7" x14ac:dyDescent="0.3">
      <c r="F1072" s="43"/>
      <c r="G1072" s="43"/>
    </row>
    <row r="1073" spans="5:7" x14ac:dyDescent="0.3">
      <c r="F1073" s="43"/>
      <c r="G1073" s="43"/>
    </row>
    <row r="1074" spans="5:7" x14ac:dyDescent="0.3">
      <c r="F1074" s="43"/>
      <c r="G1074" s="43"/>
    </row>
    <row r="1075" spans="5:7" x14ac:dyDescent="0.3">
      <c r="F1075" s="1"/>
      <c r="G1075" s="1"/>
    </row>
    <row r="1076" spans="5:7" x14ac:dyDescent="0.3">
      <c r="F1076" s="43"/>
      <c r="G1076" s="43"/>
    </row>
    <row r="1077" spans="5:7" x14ac:dyDescent="0.3">
      <c r="F1077" s="43"/>
      <c r="G1077" s="43"/>
    </row>
    <row r="1078" spans="5:7" x14ac:dyDescent="0.3">
      <c r="F1078" s="43"/>
      <c r="G1078" s="43"/>
    </row>
    <row r="1079" spans="5:7" x14ac:dyDescent="0.3">
      <c r="E1079" s="47"/>
      <c r="F1079" s="43"/>
      <c r="G1079" s="43"/>
    </row>
    <row r="1080" spans="5:7" x14ac:dyDescent="0.3">
      <c r="F1080" s="43"/>
      <c r="G1080" s="43"/>
    </row>
    <row r="1081" spans="5:7" x14ac:dyDescent="0.3">
      <c r="F1081" s="43"/>
      <c r="G1081" s="43"/>
    </row>
    <row r="1082" spans="5:7" x14ac:dyDescent="0.3">
      <c r="F1082" s="43"/>
      <c r="G1082" s="43"/>
    </row>
    <row r="1083" spans="5:7" x14ac:dyDescent="0.3">
      <c r="F1083" s="43"/>
      <c r="G1083" s="43"/>
    </row>
    <row r="1084" spans="5:7" x14ac:dyDescent="0.3">
      <c r="F1084" s="43"/>
      <c r="G1084" s="43"/>
    </row>
    <row r="1085" spans="5:7" x14ac:dyDescent="0.3">
      <c r="F1085" s="43"/>
      <c r="G1085" s="43"/>
    </row>
    <row r="1086" spans="5:7" x14ac:dyDescent="0.3">
      <c r="F1086" s="43"/>
      <c r="G1086" s="43"/>
    </row>
    <row r="1087" spans="5:7" x14ac:dyDescent="0.3">
      <c r="F1087" s="43"/>
      <c r="G1087" s="43"/>
    </row>
    <row r="1088" spans="5:7" x14ac:dyDescent="0.3">
      <c r="F1088" s="43"/>
      <c r="G1088" s="43"/>
    </row>
    <row r="1089" spans="6:7" x14ac:dyDescent="0.3">
      <c r="F1089" s="43"/>
      <c r="G1089" s="43"/>
    </row>
    <row r="1090" spans="6:7" x14ac:dyDescent="0.3">
      <c r="F1090" s="43"/>
      <c r="G1090" s="43"/>
    </row>
    <row r="1091" spans="6:7" x14ac:dyDescent="0.3">
      <c r="F1091" s="43"/>
      <c r="G1091" s="43"/>
    </row>
    <row r="1092" spans="6:7" x14ac:dyDescent="0.3">
      <c r="F1092" s="43"/>
      <c r="G1092" s="43"/>
    </row>
    <row r="1093" spans="6:7" x14ac:dyDescent="0.3">
      <c r="F1093" s="43"/>
      <c r="G1093" s="43"/>
    </row>
    <row r="1094" spans="6:7" x14ac:dyDescent="0.3">
      <c r="F1094" s="1"/>
      <c r="G1094" s="1"/>
    </row>
    <row r="1095" spans="6:7" x14ac:dyDescent="0.3">
      <c r="F1095" s="43"/>
      <c r="G1095" s="43"/>
    </row>
    <row r="1096" spans="6:7" x14ac:dyDescent="0.3">
      <c r="F1096" s="43"/>
      <c r="G1096" s="43"/>
    </row>
    <row r="1097" spans="6:7" x14ac:dyDescent="0.3">
      <c r="F1097" s="43"/>
      <c r="G1097" s="43"/>
    </row>
    <row r="1098" spans="6:7" x14ac:dyDescent="0.3">
      <c r="F1098" s="43"/>
      <c r="G1098" s="43"/>
    </row>
    <row r="1099" spans="6:7" x14ac:dyDescent="0.3">
      <c r="F1099" s="43"/>
      <c r="G1099" s="43"/>
    </row>
    <row r="1100" spans="6:7" x14ac:dyDescent="0.3">
      <c r="F1100" s="43"/>
      <c r="G1100" s="43"/>
    </row>
    <row r="1101" spans="6:7" x14ac:dyDescent="0.3">
      <c r="F1101" s="43"/>
      <c r="G1101" s="43"/>
    </row>
    <row r="1102" spans="6:7" x14ac:dyDescent="0.3">
      <c r="F1102" s="43"/>
      <c r="G1102" s="43"/>
    </row>
    <row r="1103" spans="6:7" x14ac:dyDescent="0.3">
      <c r="F1103" s="43"/>
      <c r="G1103" s="43"/>
    </row>
    <row r="1104" spans="6:7" x14ac:dyDescent="0.3">
      <c r="F1104" s="43"/>
      <c r="G1104" s="43"/>
    </row>
    <row r="1105" spans="6:7" x14ac:dyDescent="0.3">
      <c r="F1105" s="43"/>
      <c r="G1105" s="43"/>
    </row>
    <row r="1106" spans="6:7" x14ac:dyDescent="0.3">
      <c r="F1106" s="43"/>
      <c r="G1106" s="43"/>
    </row>
    <row r="1107" spans="6:7" x14ac:dyDescent="0.3">
      <c r="F1107" s="43"/>
      <c r="G1107" s="43"/>
    </row>
    <row r="1108" spans="6:7" x14ac:dyDescent="0.3">
      <c r="F1108" s="43"/>
      <c r="G1108" s="43"/>
    </row>
    <row r="1109" spans="6:7" x14ac:dyDescent="0.3">
      <c r="F1109" s="43"/>
      <c r="G1109" s="43"/>
    </row>
    <row r="1110" spans="6:7" x14ac:dyDescent="0.3">
      <c r="F1110" s="43"/>
      <c r="G1110" s="43"/>
    </row>
    <row r="1111" spans="6:7" x14ac:dyDescent="0.3">
      <c r="F1111" s="43"/>
      <c r="G1111" s="43"/>
    </row>
    <row r="1112" spans="6:7" x14ac:dyDescent="0.3">
      <c r="F1112" s="43"/>
      <c r="G1112" s="43"/>
    </row>
    <row r="1113" spans="6:7" x14ac:dyDescent="0.3">
      <c r="F1113" s="43"/>
      <c r="G1113" s="43"/>
    </row>
    <row r="1114" spans="6:7" x14ac:dyDescent="0.3">
      <c r="F1114" s="43"/>
      <c r="G1114" s="43"/>
    </row>
    <row r="1115" spans="6:7" x14ac:dyDescent="0.3">
      <c r="F1115" s="1"/>
      <c r="G1115" s="1"/>
    </row>
    <row r="1116" spans="6:7" x14ac:dyDescent="0.3">
      <c r="F1116" s="43"/>
      <c r="G1116" s="43"/>
    </row>
    <row r="1117" spans="6:7" x14ac:dyDescent="0.3">
      <c r="F1117" s="43"/>
      <c r="G1117" s="43"/>
    </row>
    <row r="1118" spans="6:7" x14ac:dyDescent="0.3">
      <c r="F1118" s="43"/>
      <c r="G1118" s="43"/>
    </row>
    <row r="1119" spans="6:7" x14ac:dyDescent="0.3">
      <c r="F1119" s="43"/>
      <c r="G1119" s="43"/>
    </row>
    <row r="1120" spans="6:7" x14ac:dyDescent="0.3">
      <c r="F1120" s="43"/>
      <c r="G1120" s="43"/>
    </row>
    <row r="1121" spans="6:7" x14ac:dyDescent="0.3">
      <c r="F1121" s="43"/>
      <c r="G1121" s="43"/>
    </row>
    <row r="1122" spans="6:7" x14ac:dyDescent="0.3">
      <c r="F1122" s="43"/>
      <c r="G1122" s="43"/>
    </row>
    <row r="1123" spans="6:7" x14ac:dyDescent="0.3">
      <c r="F1123" s="43"/>
      <c r="G1123" s="43"/>
    </row>
    <row r="1124" spans="6:7" x14ac:dyDescent="0.3">
      <c r="F1124" s="43"/>
      <c r="G1124" s="43"/>
    </row>
    <row r="1125" spans="6:7" x14ac:dyDescent="0.3">
      <c r="F1125" s="43"/>
      <c r="G1125" s="43"/>
    </row>
    <row r="1126" spans="6:7" x14ac:dyDescent="0.3">
      <c r="F1126" s="43"/>
      <c r="G1126" s="43"/>
    </row>
    <row r="1127" spans="6:7" x14ac:dyDescent="0.3">
      <c r="F1127" s="43"/>
      <c r="G1127" s="43"/>
    </row>
    <row r="1128" spans="6:7" x14ac:dyDescent="0.3">
      <c r="F1128" s="43"/>
      <c r="G1128" s="43"/>
    </row>
    <row r="1129" spans="6:7" x14ac:dyDescent="0.3">
      <c r="F1129" s="43"/>
      <c r="G1129" s="43"/>
    </row>
    <row r="1130" spans="6:7" x14ac:dyDescent="0.3">
      <c r="F1130" s="43"/>
      <c r="G1130" s="43"/>
    </row>
    <row r="1131" spans="6:7" x14ac:dyDescent="0.3">
      <c r="F1131" s="43"/>
      <c r="G1131" s="43"/>
    </row>
    <row r="1132" spans="6:7" x14ac:dyDescent="0.3">
      <c r="F1132" s="43"/>
      <c r="G1132" s="43"/>
    </row>
    <row r="1133" spans="6:7" x14ac:dyDescent="0.3">
      <c r="F1133" s="43"/>
      <c r="G1133" s="43"/>
    </row>
    <row r="1134" spans="6:7" x14ac:dyDescent="0.3">
      <c r="F1134" s="43"/>
      <c r="G1134" s="43"/>
    </row>
    <row r="1135" spans="6:7" x14ac:dyDescent="0.3">
      <c r="F1135" s="43"/>
      <c r="G1135" s="43"/>
    </row>
    <row r="1136" spans="6:7" x14ac:dyDescent="0.3">
      <c r="F1136" s="1"/>
      <c r="G1136" s="43"/>
    </row>
    <row r="1137" spans="6:7" x14ac:dyDescent="0.3">
      <c r="F1137" s="43"/>
      <c r="G1137" s="43"/>
    </row>
    <row r="1138" spans="6:7" x14ac:dyDescent="0.3">
      <c r="F1138" s="43"/>
      <c r="G1138" s="43"/>
    </row>
    <row r="1139" spans="6:7" x14ac:dyDescent="0.3">
      <c r="F1139" s="43"/>
      <c r="G1139" s="43"/>
    </row>
    <row r="1140" spans="6:7" x14ac:dyDescent="0.3">
      <c r="F1140" s="43"/>
      <c r="G1140" s="43"/>
    </row>
    <row r="1141" spans="6:7" x14ac:dyDescent="0.3">
      <c r="F1141" s="43"/>
      <c r="G1141" s="43"/>
    </row>
    <row r="1142" spans="6:7" x14ac:dyDescent="0.3">
      <c r="F1142" s="43"/>
      <c r="G1142" s="43"/>
    </row>
    <row r="1143" spans="6:7" x14ac:dyDescent="0.3">
      <c r="F1143" s="43"/>
      <c r="G1143" s="43"/>
    </row>
    <row r="1144" spans="6:7" x14ac:dyDescent="0.3">
      <c r="F1144" s="43"/>
      <c r="G1144" s="43"/>
    </row>
    <row r="1145" spans="6:7" x14ac:dyDescent="0.3">
      <c r="F1145" s="43"/>
      <c r="G1145" s="43"/>
    </row>
    <row r="1146" spans="6:7" x14ac:dyDescent="0.3">
      <c r="F1146" s="43"/>
      <c r="G1146" s="43"/>
    </row>
    <row r="1147" spans="6:7" x14ac:dyDescent="0.3">
      <c r="F1147" s="43"/>
      <c r="G1147" s="43"/>
    </row>
    <row r="1148" spans="6:7" x14ac:dyDescent="0.3">
      <c r="F1148" s="43"/>
      <c r="G1148" s="43"/>
    </row>
    <row r="1149" spans="6:7" x14ac:dyDescent="0.3">
      <c r="F1149" s="43"/>
      <c r="G1149" s="43"/>
    </row>
    <row r="1150" spans="6:7" x14ac:dyDescent="0.3">
      <c r="F1150" s="43"/>
      <c r="G1150" s="43"/>
    </row>
    <row r="1151" spans="6:7" x14ac:dyDescent="0.3">
      <c r="F1151" s="43"/>
      <c r="G1151" s="43"/>
    </row>
    <row r="1152" spans="6:7" x14ac:dyDescent="0.3">
      <c r="F1152" s="43"/>
      <c r="G1152" s="43"/>
    </row>
    <row r="1153" spans="6:7" x14ac:dyDescent="0.3">
      <c r="F1153" s="43"/>
      <c r="G1153" s="43"/>
    </row>
    <row r="1154" spans="6:7" x14ac:dyDescent="0.3">
      <c r="F1154" s="43"/>
      <c r="G1154" s="43"/>
    </row>
    <row r="1155" spans="6:7" x14ac:dyDescent="0.3">
      <c r="F1155" s="43"/>
      <c r="G1155" s="43"/>
    </row>
    <row r="1156" spans="6:7" x14ac:dyDescent="0.3">
      <c r="F1156" s="43"/>
      <c r="G1156" s="43"/>
    </row>
    <row r="1157" spans="6:7" x14ac:dyDescent="0.3">
      <c r="F1157" s="43"/>
      <c r="G1157" s="43"/>
    </row>
    <row r="1158" spans="6:7" x14ac:dyDescent="0.3">
      <c r="F1158" s="43"/>
      <c r="G1158" s="43"/>
    </row>
    <row r="1159" spans="6:7" x14ac:dyDescent="0.3">
      <c r="F1159" s="43"/>
      <c r="G1159" s="43"/>
    </row>
    <row r="1160" spans="6:7" x14ac:dyDescent="0.3">
      <c r="F1160" s="43"/>
      <c r="G1160" s="43"/>
    </row>
    <row r="1161" spans="6:7" x14ac:dyDescent="0.3">
      <c r="F1161" s="43"/>
      <c r="G1161" s="43"/>
    </row>
    <row r="1162" spans="6:7" x14ac:dyDescent="0.3">
      <c r="F1162" s="43"/>
      <c r="G1162" s="43"/>
    </row>
    <row r="1163" spans="6:7" x14ac:dyDescent="0.3">
      <c r="F1163" s="43"/>
      <c r="G1163" s="43"/>
    </row>
    <row r="1164" spans="6:7" x14ac:dyDescent="0.3">
      <c r="F1164" s="43"/>
      <c r="G1164" s="43"/>
    </row>
    <row r="1165" spans="6:7" x14ac:dyDescent="0.3">
      <c r="F1165" s="43"/>
      <c r="G1165" s="43"/>
    </row>
    <row r="1166" spans="6:7" x14ac:dyDescent="0.3">
      <c r="F1166" s="43"/>
      <c r="G1166" s="43"/>
    </row>
    <row r="1167" spans="6:7" x14ac:dyDescent="0.3">
      <c r="F1167" s="43"/>
      <c r="G1167" s="43"/>
    </row>
    <row r="1168" spans="6:7" x14ac:dyDescent="0.3">
      <c r="F1168" s="43"/>
      <c r="G1168" s="43"/>
    </row>
    <row r="1169" spans="6:7" x14ac:dyDescent="0.3">
      <c r="F1169" s="43"/>
      <c r="G1169" s="43"/>
    </row>
    <row r="1170" spans="6:7" x14ac:dyDescent="0.3">
      <c r="F1170" s="43"/>
      <c r="G1170" s="43"/>
    </row>
    <row r="1171" spans="6:7" x14ac:dyDescent="0.3">
      <c r="F1171" s="43"/>
      <c r="G1171" s="43"/>
    </row>
    <row r="1172" spans="6:7" x14ac:dyDescent="0.3">
      <c r="F1172" s="43"/>
      <c r="G1172" s="43"/>
    </row>
    <row r="1173" spans="6:7" x14ac:dyDescent="0.3">
      <c r="F1173" s="43"/>
      <c r="G1173" s="43"/>
    </row>
    <row r="1174" spans="6:7" x14ac:dyDescent="0.3">
      <c r="F1174" s="43"/>
      <c r="G1174" s="43"/>
    </row>
    <row r="1175" spans="6:7" x14ac:dyDescent="0.3">
      <c r="F1175" s="43"/>
      <c r="G1175" s="43"/>
    </row>
    <row r="1176" spans="6:7" x14ac:dyDescent="0.3">
      <c r="F1176" s="43"/>
      <c r="G1176" s="43"/>
    </row>
    <row r="1177" spans="6:7" x14ac:dyDescent="0.3">
      <c r="F1177" s="43"/>
      <c r="G1177" s="43"/>
    </row>
    <row r="1178" spans="6:7" x14ac:dyDescent="0.3">
      <c r="F1178" s="43"/>
      <c r="G1178" s="43"/>
    </row>
    <row r="1179" spans="6:7" x14ac:dyDescent="0.3">
      <c r="F1179" s="43"/>
      <c r="G1179" s="43"/>
    </row>
    <row r="1180" spans="6:7" x14ac:dyDescent="0.3">
      <c r="F1180" s="43"/>
      <c r="G1180" s="43"/>
    </row>
    <row r="1181" spans="6:7" x14ac:dyDescent="0.3">
      <c r="F1181" s="43"/>
      <c r="G1181" s="43"/>
    </row>
    <row r="1182" spans="6:7" x14ac:dyDescent="0.3">
      <c r="F1182" s="43"/>
      <c r="G1182" s="43"/>
    </row>
    <row r="1183" spans="6:7" x14ac:dyDescent="0.3">
      <c r="F1183" s="43"/>
      <c r="G1183" s="43"/>
    </row>
    <row r="1184" spans="6:7" x14ac:dyDescent="0.3">
      <c r="F1184" s="43"/>
      <c r="G1184" s="43"/>
    </row>
    <row r="1185" spans="6:7" x14ac:dyDescent="0.3">
      <c r="F1185" s="43"/>
      <c r="G1185" s="43"/>
    </row>
    <row r="1186" spans="6:7" x14ac:dyDescent="0.3">
      <c r="F1186" s="43"/>
      <c r="G1186" s="43"/>
    </row>
    <row r="1187" spans="6:7" x14ac:dyDescent="0.3">
      <c r="F1187" s="43"/>
      <c r="G1187" s="43"/>
    </row>
    <row r="1188" spans="6:7" x14ac:dyDescent="0.3">
      <c r="F1188" s="43"/>
      <c r="G1188" s="43"/>
    </row>
    <row r="1189" spans="6:7" x14ac:dyDescent="0.3">
      <c r="F1189" s="43"/>
      <c r="G1189" s="43"/>
    </row>
    <row r="1190" spans="6:7" x14ac:dyDescent="0.3">
      <c r="F1190" s="43"/>
      <c r="G1190" s="43"/>
    </row>
    <row r="1191" spans="6:7" x14ac:dyDescent="0.3">
      <c r="F1191" s="43"/>
      <c r="G1191" s="43"/>
    </row>
    <row r="1192" spans="6:7" x14ac:dyDescent="0.3">
      <c r="F1192" s="43"/>
      <c r="G1192" s="43"/>
    </row>
    <row r="1193" spans="6:7" x14ac:dyDescent="0.3">
      <c r="F1193" s="43"/>
      <c r="G1193" s="43"/>
    </row>
    <row r="1194" spans="6:7" x14ac:dyDescent="0.3">
      <c r="F1194" s="43"/>
      <c r="G1194" s="43"/>
    </row>
    <row r="1195" spans="6:7" x14ac:dyDescent="0.3">
      <c r="F1195" s="43"/>
      <c r="G1195" s="43"/>
    </row>
    <row r="1196" spans="6:7" x14ac:dyDescent="0.3">
      <c r="F1196" s="43"/>
      <c r="G1196" s="43"/>
    </row>
    <row r="1197" spans="6:7" x14ac:dyDescent="0.3">
      <c r="F1197" s="43"/>
      <c r="G1197" s="43"/>
    </row>
    <row r="1198" spans="6:7" x14ac:dyDescent="0.3">
      <c r="F1198" s="43"/>
      <c r="G1198" s="43"/>
    </row>
    <row r="1199" spans="6:7" x14ac:dyDescent="0.3">
      <c r="F1199" s="43"/>
      <c r="G1199" s="43"/>
    </row>
    <row r="1200" spans="6:7" x14ac:dyDescent="0.3">
      <c r="F1200" s="43"/>
      <c r="G1200" s="43"/>
    </row>
    <row r="1201" spans="6:7" x14ac:dyDescent="0.3">
      <c r="F1201" s="43"/>
      <c r="G1201" s="43"/>
    </row>
    <row r="1202" spans="6:7" x14ac:dyDescent="0.3">
      <c r="F1202" s="43"/>
      <c r="G1202" s="43"/>
    </row>
    <row r="1203" spans="6:7" x14ac:dyDescent="0.3">
      <c r="F1203" s="43"/>
      <c r="G1203" s="43"/>
    </row>
    <row r="1204" spans="6:7" x14ac:dyDescent="0.3">
      <c r="F1204" s="43"/>
      <c r="G1204" s="43"/>
    </row>
    <row r="1205" spans="6:7" x14ac:dyDescent="0.3">
      <c r="F1205" s="43"/>
      <c r="G1205" s="43"/>
    </row>
    <row r="1206" spans="6:7" x14ac:dyDescent="0.3">
      <c r="F1206" s="43"/>
      <c r="G1206" s="43"/>
    </row>
    <row r="1207" spans="6:7" x14ac:dyDescent="0.3">
      <c r="F1207" s="43"/>
      <c r="G1207" s="43"/>
    </row>
    <row r="1208" spans="6:7" x14ac:dyDescent="0.3">
      <c r="F1208" s="43"/>
      <c r="G1208" s="43"/>
    </row>
    <row r="1209" spans="6:7" x14ac:dyDescent="0.3">
      <c r="F1209" s="43"/>
      <c r="G1209" s="43"/>
    </row>
    <row r="1210" spans="6:7" x14ac:dyDescent="0.3">
      <c r="F1210" s="43"/>
      <c r="G1210" s="43"/>
    </row>
    <row r="1211" spans="6:7" x14ac:dyDescent="0.3">
      <c r="F1211" s="43"/>
      <c r="G1211" s="43"/>
    </row>
    <row r="1212" spans="6:7" x14ac:dyDescent="0.3">
      <c r="F1212" s="43"/>
      <c r="G1212" s="43"/>
    </row>
    <row r="1213" spans="6:7" x14ac:dyDescent="0.3">
      <c r="F1213" s="43"/>
      <c r="G1213" s="43"/>
    </row>
    <row r="1214" spans="6:7" x14ac:dyDescent="0.3">
      <c r="F1214" s="43"/>
      <c r="G1214" s="43"/>
    </row>
    <row r="1215" spans="6:7" x14ac:dyDescent="0.3">
      <c r="F1215" s="43"/>
      <c r="G1215" s="43"/>
    </row>
    <row r="1216" spans="6:7" x14ac:dyDescent="0.3">
      <c r="F1216" s="43"/>
      <c r="G1216" s="43"/>
    </row>
    <row r="1217" spans="5:7" x14ac:dyDescent="0.3">
      <c r="E1217" s="44"/>
      <c r="F1217" s="43"/>
      <c r="G1217" s="43"/>
    </row>
    <row r="1218" spans="5:7" x14ac:dyDescent="0.3">
      <c r="F1218" s="43"/>
      <c r="G1218" s="43"/>
    </row>
    <row r="1219" spans="5:7" x14ac:dyDescent="0.3">
      <c r="F1219" s="43"/>
      <c r="G1219" s="43"/>
    </row>
    <row r="1220" spans="5:7" x14ac:dyDescent="0.3">
      <c r="F1220" s="43"/>
      <c r="G1220" s="43"/>
    </row>
    <row r="1221" spans="5:7" x14ac:dyDescent="0.3">
      <c r="F1221" s="43"/>
      <c r="G1221" s="43"/>
    </row>
    <row r="1222" spans="5:7" x14ac:dyDescent="0.3">
      <c r="F1222" s="43"/>
      <c r="G1222" s="43"/>
    </row>
    <row r="1223" spans="5:7" x14ac:dyDescent="0.3">
      <c r="F1223" s="43"/>
      <c r="G1223" s="43"/>
    </row>
    <row r="1224" spans="5:7" x14ac:dyDescent="0.3">
      <c r="F1224" s="43"/>
      <c r="G1224" s="43"/>
    </row>
    <row r="1225" spans="5:7" x14ac:dyDescent="0.3">
      <c r="F1225" s="43"/>
      <c r="G1225" s="43"/>
    </row>
    <row r="1226" spans="5:7" x14ac:dyDescent="0.3">
      <c r="F1226" s="43"/>
      <c r="G1226" s="43"/>
    </row>
    <row r="1227" spans="5:7" x14ac:dyDescent="0.3">
      <c r="F1227" s="43"/>
      <c r="G1227" s="43"/>
    </row>
    <row r="1228" spans="5:7" x14ac:dyDescent="0.3">
      <c r="F1228" s="43"/>
      <c r="G1228" s="43"/>
    </row>
    <row r="1229" spans="5:7" x14ac:dyDescent="0.3">
      <c r="F1229" s="43"/>
      <c r="G1229" s="43"/>
    </row>
    <row r="1230" spans="5:7" x14ac:dyDescent="0.3">
      <c r="F1230" s="43"/>
      <c r="G1230" s="43"/>
    </row>
    <row r="1231" spans="5:7" x14ac:dyDescent="0.3">
      <c r="F1231" s="43"/>
      <c r="G1231" s="43"/>
    </row>
    <row r="1232" spans="5:7" x14ac:dyDescent="0.3">
      <c r="F1232" s="43"/>
      <c r="G1232" s="43"/>
    </row>
    <row r="1233" spans="6:7" x14ac:dyDescent="0.3">
      <c r="F1233" s="43"/>
      <c r="G1233" s="43"/>
    </row>
    <row r="1234" spans="6:7" x14ac:dyDescent="0.3">
      <c r="F1234" s="43"/>
      <c r="G1234" s="43"/>
    </row>
    <row r="1235" spans="6:7" x14ac:dyDescent="0.3">
      <c r="F1235" s="43"/>
      <c r="G1235" s="43"/>
    </row>
    <row r="1236" spans="6:7" x14ac:dyDescent="0.3">
      <c r="F1236" s="43"/>
      <c r="G1236" s="43"/>
    </row>
    <row r="1237" spans="6:7" x14ac:dyDescent="0.3">
      <c r="F1237" s="43"/>
      <c r="G1237" s="43"/>
    </row>
    <row r="1238" spans="6:7" x14ac:dyDescent="0.3">
      <c r="F1238" s="43"/>
      <c r="G1238" s="43"/>
    </row>
    <row r="1239" spans="6:7" x14ac:dyDescent="0.3">
      <c r="F1239" s="43"/>
      <c r="G1239" s="43"/>
    </row>
    <row r="1240" spans="6:7" x14ac:dyDescent="0.3">
      <c r="F1240" s="43"/>
      <c r="G1240" s="43"/>
    </row>
    <row r="1241" spans="6:7" x14ac:dyDescent="0.3">
      <c r="F1241" s="43"/>
      <c r="G1241" s="43"/>
    </row>
    <row r="1242" spans="6:7" x14ac:dyDescent="0.3">
      <c r="F1242" s="43"/>
      <c r="G1242" s="43"/>
    </row>
    <row r="1243" spans="6:7" x14ac:dyDescent="0.3">
      <c r="F1243" s="43"/>
      <c r="G1243" s="43"/>
    </row>
    <row r="1244" spans="6:7" x14ac:dyDescent="0.3">
      <c r="F1244" s="43"/>
      <c r="G1244" s="43"/>
    </row>
    <row r="1245" spans="6:7" x14ac:dyDescent="0.3">
      <c r="F1245" s="43"/>
      <c r="G1245" s="43"/>
    </row>
    <row r="1246" spans="6:7" x14ac:dyDescent="0.3">
      <c r="F1246" s="43"/>
      <c r="G1246" s="43"/>
    </row>
    <row r="1247" spans="6:7" x14ac:dyDescent="0.3">
      <c r="F1247" s="43"/>
      <c r="G1247" s="43"/>
    </row>
    <row r="1248" spans="6:7" x14ac:dyDescent="0.3">
      <c r="F1248" s="43"/>
      <c r="G1248" s="43"/>
    </row>
    <row r="1249" spans="6:7" x14ac:dyDescent="0.3">
      <c r="F1249" s="43"/>
      <c r="G1249" s="43"/>
    </row>
    <row r="1250" spans="6:7" x14ac:dyDescent="0.3">
      <c r="F1250" s="43"/>
      <c r="G1250" s="43"/>
    </row>
    <row r="1251" spans="6:7" x14ac:dyDescent="0.3">
      <c r="F1251" s="43"/>
      <c r="G1251" s="43"/>
    </row>
    <row r="1252" spans="6:7" x14ac:dyDescent="0.3">
      <c r="F1252" s="43"/>
      <c r="G1252" s="43"/>
    </row>
    <row r="1253" spans="6:7" x14ac:dyDescent="0.3">
      <c r="F1253" s="43"/>
      <c r="G1253" s="43"/>
    </row>
    <row r="1254" spans="6:7" x14ac:dyDescent="0.3">
      <c r="F1254" s="43"/>
      <c r="G1254" s="43"/>
    </row>
    <row r="1255" spans="6:7" x14ac:dyDescent="0.3">
      <c r="F1255" s="43"/>
      <c r="G1255" s="43"/>
    </row>
    <row r="1256" spans="6:7" x14ac:dyDescent="0.3">
      <c r="F1256" s="43"/>
      <c r="G1256" s="43"/>
    </row>
    <row r="1257" spans="6:7" x14ac:dyDescent="0.3">
      <c r="F1257" s="43"/>
      <c r="G1257" s="43"/>
    </row>
    <row r="1258" spans="6:7" x14ac:dyDescent="0.3">
      <c r="F1258" s="43"/>
      <c r="G1258" s="43"/>
    </row>
    <row r="1259" spans="6:7" x14ac:dyDescent="0.3">
      <c r="F1259" s="43"/>
      <c r="G1259" s="43"/>
    </row>
    <row r="1260" spans="6:7" x14ac:dyDescent="0.3">
      <c r="F1260" s="43"/>
      <c r="G1260" s="43"/>
    </row>
    <row r="1261" spans="6:7" x14ac:dyDescent="0.3">
      <c r="F1261" s="43"/>
      <c r="G1261" s="43"/>
    </row>
    <row r="1262" spans="6:7" x14ac:dyDescent="0.3">
      <c r="F1262" s="43"/>
      <c r="G1262" s="43"/>
    </row>
    <row r="1263" spans="6:7" x14ac:dyDescent="0.3">
      <c r="F1263" s="43"/>
      <c r="G1263" s="43"/>
    </row>
    <row r="1264" spans="6:7" x14ac:dyDescent="0.3">
      <c r="F1264" s="43"/>
      <c r="G1264" s="43"/>
    </row>
    <row r="1265" spans="6:7" x14ac:dyDescent="0.3">
      <c r="F1265" s="43"/>
      <c r="G1265" s="43"/>
    </row>
    <row r="1266" spans="6:7" x14ac:dyDescent="0.3">
      <c r="F1266" s="43"/>
      <c r="G1266" s="43"/>
    </row>
    <row r="1267" spans="6:7" x14ac:dyDescent="0.3">
      <c r="F1267" s="43"/>
      <c r="G1267" s="43"/>
    </row>
    <row r="1268" spans="6:7" x14ac:dyDescent="0.3">
      <c r="F1268" s="43"/>
      <c r="G1268" s="43"/>
    </row>
    <row r="1269" spans="6:7" x14ac:dyDescent="0.3">
      <c r="F1269" s="43"/>
      <c r="G1269" s="43"/>
    </row>
    <row r="1270" spans="6:7" x14ac:dyDescent="0.3">
      <c r="F1270" s="43"/>
      <c r="G1270" s="43"/>
    </row>
    <row r="1271" spans="6:7" x14ac:dyDescent="0.3">
      <c r="F1271" s="43"/>
      <c r="G1271" s="43"/>
    </row>
    <row r="1272" spans="6:7" x14ac:dyDescent="0.3">
      <c r="F1272" s="43"/>
      <c r="G1272" s="43"/>
    </row>
    <row r="1273" spans="6:7" x14ac:dyDescent="0.3">
      <c r="F1273" s="43"/>
      <c r="G1273" s="43"/>
    </row>
    <row r="1274" spans="6:7" x14ac:dyDescent="0.3">
      <c r="F1274" s="43"/>
      <c r="G1274" s="43"/>
    </row>
    <row r="1275" spans="6:7" x14ac:dyDescent="0.3">
      <c r="F1275" s="1"/>
      <c r="G1275" s="1"/>
    </row>
    <row r="1276" spans="6:7" x14ac:dyDescent="0.3">
      <c r="F1276" s="43"/>
      <c r="G1276" s="43"/>
    </row>
    <row r="1277" spans="6:7" x14ac:dyDescent="0.3">
      <c r="F1277" s="1"/>
      <c r="G1277" s="1"/>
    </row>
    <row r="1278" spans="6:7" x14ac:dyDescent="0.3">
      <c r="F1278" s="43"/>
      <c r="G1278" s="43"/>
    </row>
    <row r="1279" spans="6:7" x14ac:dyDescent="0.3">
      <c r="F1279" s="43"/>
      <c r="G1279" s="43"/>
    </row>
    <row r="1280" spans="6:7" x14ac:dyDescent="0.3">
      <c r="F1280" s="43"/>
      <c r="G1280" s="43"/>
    </row>
    <row r="1281" spans="6:7" x14ac:dyDescent="0.3">
      <c r="F1281" s="43"/>
      <c r="G1281" s="43"/>
    </row>
    <row r="1282" spans="6:7" x14ac:dyDescent="0.3">
      <c r="F1282" s="43"/>
      <c r="G1282" s="43"/>
    </row>
    <row r="1283" spans="6:7" x14ac:dyDescent="0.3">
      <c r="F1283" s="43"/>
      <c r="G1283" s="43"/>
    </row>
    <row r="1284" spans="6:7" x14ac:dyDescent="0.3">
      <c r="F1284" s="43"/>
      <c r="G1284" s="43"/>
    </row>
    <row r="1285" spans="6:7" x14ac:dyDescent="0.3">
      <c r="F1285" s="43"/>
      <c r="G1285" s="43"/>
    </row>
    <row r="1286" spans="6:7" x14ac:dyDescent="0.3">
      <c r="F1286" s="43"/>
      <c r="G1286" s="43"/>
    </row>
    <row r="1287" spans="6:7" x14ac:dyDescent="0.3">
      <c r="F1287" s="43"/>
      <c r="G1287" s="43"/>
    </row>
    <row r="1288" spans="6:7" x14ac:dyDescent="0.3">
      <c r="F1288" s="43"/>
      <c r="G1288" s="43"/>
    </row>
    <row r="1289" spans="6:7" x14ac:dyDescent="0.3">
      <c r="F1289" s="43"/>
      <c r="G1289" s="43"/>
    </row>
    <row r="1290" spans="6:7" x14ac:dyDescent="0.3">
      <c r="F1290" s="43"/>
      <c r="G1290" s="43"/>
    </row>
    <row r="1291" spans="6:7" x14ac:dyDescent="0.3">
      <c r="F1291" s="43"/>
      <c r="G1291" s="43"/>
    </row>
    <row r="1292" spans="6:7" x14ac:dyDescent="0.3">
      <c r="F1292" s="43"/>
      <c r="G1292" s="43"/>
    </row>
    <row r="1293" spans="6:7" x14ac:dyDescent="0.3">
      <c r="F1293" s="43"/>
      <c r="G1293" s="43"/>
    </row>
    <row r="1294" spans="6:7" x14ac:dyDescent="0.3">
      <c r="F1294" s="43"/>
      <c r="G1294" s="43"/>
    </row>
    <row r="1295" spans="6:7" x14ac:dyDescent="0.3">
      <c r="F1295" s="43"/>
      <c r="G1295" s="43"/>
    </row>
    <row r="1296" spans="6:7" x14ac:dyDescent="0.3">
      <c r="F1296" s="1"/>
      <c r="G1296" s="1"/>
    </row>
    <row r="1297" spans="6:18" x14ac:dyDescent="0.3">
      <c r="F1297" s="43"/>
      <c r="G1297" s="43"/>
    </row>
    <row r="1298" spans="6:18" x14ac:dyDescent="0.3">
      <c r="F1298" s="43"/>
      <c r="G1298" s="43"/>
    </row>
    <row r="1299" spans="6:18" x14ac:dyDescent="0.3">
      <c r="F1299" s="43"/>
      <c r="G1299" s="43"/>
    </row>
    <row r="1300" spans="6:18" x14ac:dyDescent="0.3">
      <c r="F1300" s="43"/>
      <c r="G1300" s="43"/>
    </row>
    <row r="1301" spans="6:18" x14ac:dyDescent="0.3">
      <c r="F1301" s="43"/>
      <c r="G1301" s="43"/>
      <c r="R1301" s="50"/>
    </row>
    <row r="1302" spans="6:18" x14ac:dyDescent="0.3">
      <c r="F1302" s="43"/>
      <c r="G1302" s="43"/>
    </row>
    <row r="1303" spans="6:18" x14ac:dyDescent="0.3">
      <c r="F1303" s="43"/>
      <c r="G1303" s="43"/>
    </row>
    <row r="1304" spans="6:18" x14ac:dyDescent="0.3">
      <c r="F1304" s="43"/>
      <c r="G1304" s="43"/>
    </row>
    <row r="1305" spans="6:18" x14ac:dyDescent="0.3">
      <c r="F1305" s="43"/>
      <c r="G1305" s="43"/>
    </row>
    <row r="1306" spans="6:18" x14ac:dyDescent="0.3">
      <c r="F1306" s="43"/>
      <c r="G1306" s="43"/>
    </row>
    <row r="1307" spans="6:18" x14ac:dyDescent="0.3">
      <c r="F1307" s="43"/>
      <c r="G1307" s="43"/>
    </row>
    <row r="1308" spans="6:18" x14ac:dyDescent="0.3">
      <c r="F1308" s="43"/>
      <c r="G1308" s="43"/>
    </row>
    <row r="1309" spans="6:18" x14ac:dyDescent="0.3">
      <c r="F1309" s="43"/>
      <c r="G1309" s="43"/>
    </row>
    <row r="1310" spans="6:18" x14ac:dyDescent="0.3">
      <c r="F1310" s="43"/>
      <c r="G1310" s="43"/>
    </row>
    <row r="1311" spans="6:18" x14ac:dyDescent="0.3">
      <c r="F1311" s="43"/>
      <c r="G1311" s="43"/>
    </row>
    <row r="1312" spans="6:18" x14ac:dyDescent="0.3">
      <c r="F1312" s="43"/>
      <c r="G1312" s="43"/>
    </row>
    <row r="1313" spans="6:7" x14ac:dyDescent="0.3">
      <c r="F1313" s="43"/>
      <c r="G1313" s="43"/>
    </row>
    <row r="1314" spans="6:7" x14ac:dyDescent="0.3">
      <c r="F1314" s="43"/>
      <c r="G1314" s="43"/>
    </row>
    <row r="1315" spans="6:7" x14ac:dyDescent="0.3">
      <c r="F1315" s="43"/>
      <c r="G1315" s="43"/>
    </row>
    <row r="1316" spans="6:7" x14ac:dyDescent="0.3">
      <c r="F1316" s="43"/>
      <c r="G1316" s="43"/>
    </row>
    <row r="1317" spans="6:7" x14ac:dyDescent="0.3">
      <c r="F1317" s="43"/>
      <c r="G1317" s="43"/>
    </row>
    <row r="1318" spans="6:7" x14ac:dyDescent="0.3">
      <c r="F1318" s="43"/>
      <c r="G1318" s="43"/>
    </row>
    <row r="1319" spans="6:7" x14ac:dyDescent="0.3">
      <c r="F1319" s="43"/>
      <c r="G1319" s="43"/>
    </row>
    <row r="1320" spans="6:7" x14ac:dyDescent="0.3">
      <c r="F1320" s="43"/>
      <c r="G1320" s="43"/>
    </row>
    <row r="1321" spans="6:7" x14ac:dyDescent="0.3">
      <c r="F1321" s="43"/>
      <c r="G1321" s="43"/>
    </row>
    <row r="1322" spans="6:7" x14ac:dyDescent="0.3">
      <c r="F1322" s="43"/>
      <c r="G1322" s="43"/>
    </row>
    <row r="1323" spans="6:7" x14ac:dyDescent="0.3">
      <c r="F1323" s="43"/>
      <c r="G1323" s="43"/>
    </row>
    <row r="1324" spans="6:7" x14ac:dyDescent="0.3">
      <c r="F1324" s="43"/>
      <c r="G1324" s="43"/>
    </row>
    <row r="1325" spans="6:7" x14ac:dyDescent="0.3">
      <c r="F1325" s="43"/>
      <c r="G1325" s="43"/>
    </row>
    <row r="1326" spans="6:7" x14ac:dyDescent="0.3">
      <c r="F1326" s="43"/>
      <c r="G1326" s="43"/>
    </row>
    <row r="1327" spans="6:7" x14ac:dyDescent="0.3">
      <c r="F1327" s="43"/>
      <c r="G1327" s="43"/>
    </row>
    <row r="1328" spans="6:7" x14ac:dyDescent="0.3">
      <c r="F1328" s="43"/>
      <c r="G1328" s="43"/>
    </row>
    <row r="1329" spans="6:7" x14ac:dyDescent="0.3">
      <c r="F1329" s="43"/>
      <c r="G1329" s="43"/>
    </row>
    <row r="1330" spans="6:7" x14ac:dyDescent="0.3">
      <c r="F1330" s="43"/>
      <c r="G1330" s="43"/>
    </row>
    <row r="1331" spans="6:7" x14ac:dyDescent="0.3">
      <c r="F1331" s="43"/>
      <c r="G1331" s="43"/>
    </row>
    <row r="1332" spans="6:7" x14ac:dyDescent="0.3">
      <c r="F1332" s="43"/>
      <c r="G1332" s="43"/>
    </row>
    <row r="1333" spans="6:7" x14ac:dyDescent="0.3">
      <c r="F1333" s="43"/>
      <c r="G1333" s="43"/>
    </row>
    <row r="1334" spans="6:7" x14ac:dyDescent="0.3">
      <c r="F1334" s="43"/>
      <c r="G1334" s="43"/>
    </row>
    <row r="1335" spans="6:7" x14ac:dyDescent="0.3">
      <c r="F1335" s="43"/>
      <c r="G1335" s="43"/>
    </row>
    <row r="1336" spans="6:7" x14ac:dyDescent="0.3">
      <c r="F1336" s="43"/>
      <c r="G1336" s="43"/>
    </row>
    <row r="1337" spans="6:7" x14ac:dyDescent="0.3">
      <c r="F1337" s="43"/>
      <c r="G1337" s="43"/>
    </row>
    <row r="1338" spans="6:7" x14ac:dyDescent="0.3">
      <c r="F1338" s="43"/>
      <c r="G1338" s="43"/>
    </row>
    <row r="1339" spans="6:7" x14ac:dyDescent="0.3">
      <c r="F1339" s="43"/>
      <c r="G1339" s="43"/>
    </row>
    <row r="1340" spans="6:7" x14ac:dyDescent="0.3">
      <c r="F1340" s="43"/>
      <c r="G1340" s="43"/>
    </row>
    <row r="1341" spans="6:7" x14ac:dyDescent="0.3">
      <c r="F1341" s="43"/>
      <c r="G1341" s="43"/>
    </row>
    <row r="1342" spans="6:7" x14ac:dyDescent="0.3">
      <c r="F1342" s="43"/>
      <c r="G1342" s="43"/>
    </row>
    <row r="1343" spans="6:7" x14ac:dyDescent="0.3">
      <c r="F1343" s="43"/>
      <c r="G1343" s="43"/>
    </row>
    <row r="1344" spans="6:7" x14ac:dyDescent="0.3">
      <c r="F1344" s="43"/>
      <c r="G1344" s="43"/>
    </row>
    <row r="1345" spans="6:7" x14ac:dyDescent="0.3">
      <c r="F1345" s="43"/>
      <c r="G1345" s="43"/>
    </row>
    <row r="1346" spans="6:7" x14ac:dyDescent="0.3">
      <c r="F1346" s="43"/>
      <c r="G1346" s="43"/>
    </row>
    <row r="1347" spans="6:7" x14ac:dyDescent="0.3">
      <c r="F1347" s="43"/>
      <c r="G1347" s="43"/>
    </row>
    <row r="1348" spans="6:7" x14ac:dyDescent="0.3">
      <c r="F1348" s="43"/>
      <c r="G1348" s="43"/>
    </row>
    <row r="1349" spans="6:7" x14ac:dyDescent="0.3">
      <c r="F1349" s="43"/>
      <c r="G1349" s="43"/>
    </row>
    <row r="1350" spans="6:7" x14ac:dyDescent="0.3">
      <c r="F1350" s="43"/>
      <c r="G1350" s="43"/>
    </row>
    <row r="1351" spans="6:7" x14ac:dyDescent="0.3">
      <c r="F1351" s="43"/>
      <c r="G1351" s="43"/>
    </row>
    <row r="1352" spans="6:7" x14ac:dyDescent="0.3">
      <c r="F1352" s="43"/>
      <c r="G1352" s="43"/>
    </row>
    <row r="1353" spans="6:7" x14ac:dyDescent="0.3">
      <c r="F1353" s="43"/>
      <c r="G1353" s="43"/>
    </row>
    <row r="1354" spans="6:7" x14ac:dyDescent="0.3">
      <c r="F1354" s="43"/>
      <c r="G1354" s="43"/>
    </row>
    <row r="1355" spans="6:7" x14ac:dyDescent="0.3">
      <c r="F1355" s="43"/>
      <c r="G1355" s="43"/>
    </row>
    <row r="1356" spans="6:7" x14ac:dyDescent="0.3">
      <c r="F1356" s="43"/>
      <c r="G1356" s="43"/>
    </row>
    <row r="1357" spans="6:7" x14ac:dyDescent="0.3">
      <c r="F1357" s="43"/>
      <c r="G1357" s="43"/>
    </row>
    <row r="1358" spans="6:7" x14ac:dyDescent="0.3">
      <c r="F1358" s="43"/>
      <c r="G1358" s="43"/>
    </row>
    <row r="1359" spans="6:7" x14ac:dyDescent="0.3">
      <c r="F1359" s="43"/>
      <c r="G1359" s="43"/>
    </row>
    <row r="1360" spans="6:7" x14ac:dyDescent="0.3">
      <c r="F1360" s="43"/>
      <c r="G1360" s="43"/>
    </row>
    <row r="1361" spans="6:7" x14ac:dyDescent="0.3">
      <c r="F1361" s="43"/>
      <c r="G1361" s="43"/>
    </row>
    <row r="1362" spans="6:7" x14ac:dyDescent="0.3">
      <c r="F1362" s="43"/>
      <c r="G1362" s="43"/>
    </row>
    <row r="1363" spans="6:7" x14ac:dyDescent="0.3">
      <c r="F1363" s="43"/>
      <c r="G1363" s="43"/>
    </row>
    <row r="1364" spans="6:7" x14ac:dyDescent="0.3">
      <c r="F1364" s="43"/>
      <c r="G1364" s="43"/>
    </row>
    <row r="1365" spans="6:7" x14ac:dyDescent="0.3">
      <c r="F1365" s="43"/>
      <c r="G1365" s="43"/>
    </row>
    <row r="1366" spans="6:7" x14ac:dyDescent="0.3">
      <c r="F1366" s="43"/>
      <c r="G1366" s="43"/>
    </row>
    <row r="1367" spans="6:7" x14ac:dyDescent="0.3">
      <c r="F1367" s="43"/>
      <c r="G1367" s="43"/>
    </row>
    <row r="1368" spans="6:7" x14ac:dyDescent="0.3">
      <c r="F1368" s="43"/>
      <c r="G1368" s="43"/>
    </row>
    <row r="1369" spans="6:7" x14ac:dyDescent="0.3">
      <c r="F1369" s="43"/>
      <c r="G1369" s="43"/>
    </row>
    <row r="1370" spans="6:7" x14ac:dyDescent="0.3">
      <c r="F1370" s="43"/>
      <c r="G1370" s="43"/>
    </row>
    <row r="1371" spans="6:7" x14ac:dyDescent="0.3">
      <c r="F1371" s="43"/>
      <c r="G1371" s="43"/>
    </row>
    <row r="1372" spans="6:7" x14ac:dyDescent="0.3">
      <c r="F1372" s="43"/>
      <c r="G1372" s="43"/>
    </row>
    <row r="1373" spans="6:7" x14ac:dyDescent="0.3">
      <c r="F1373" s="43"/>
      <c r="G1373" s="43"/>
    </row>
    <row r="1374" spans="6:7" x14ac:dyDescent="0.3">
      <c r="F1374" s="43"/>
      <c r="G1374" s="43"/>
    </row>
    <row r="1375" spans="6:7" x14ac:dyDescent="0.3">
      <c r="F1375" s="43"/>
      <c r="G1375" s="43"/>
    </row>
    <row r="1376" spans="6:7" x14ac:dyDescent="0.3">
      <c r="F1376" s="43"/>
      <c r="G1376" s="43"/>
    </row>
    <row r="1377" spans="6:7" x14ac:dyDescent="0.3">
      <c r="F1377" s="43"/>
      <c r="G1377" s="43"/>
    </row>
    <row r="1378" spans="6:7" x14ac:dyDescent="0.3">
      <c r="F1378" s="43"/>
      <c r="G1378" s="43"/>
    </row>
    <row r="1379" spans="6:7" x14ac:dyDescent="0.3">
      <c r="F1379" s="43"/>
      <c r="G1379" s="43"/>
    </row>
    <row r="1380" spans="6:7" x14ac:dyDescent="0.3">
      <c r="F1380" s="43"/>
      <c r="G1380" s="43"/>
    </row>
    <row r="1381" spans="6:7" x14ac:dyDescent="0.3">
      <c r="F1381" s="43"/>
      <c r="G1381" s="43"/>
    </row>
    <row r="1382" spans="6:7" x14ac:dyDescent="0.3">
      <c r="F1382" s="43"/>
      <c r="G1382" s="43"/>
    </row>
    <row r="1383" spans="6:7" x14ac:dyDescent="0.3">
      <c r="F1383" s="43"/>
      <c r="G1383" s="43"/>
    </row>
    <row r="1384" spans="6:7" x14ac:dyDescent="0.3">
      <c r="F1384" s="43"/>
      <c r="G1384" s="43"/>
    </row>
    <row r="1385" spans="6:7" x14ac:dyDescent="0.3">
      <c r="F1385" s="43"/>
      <c r="G1385" s="43"/>
    </row>
    <row r="1386" spans="6:7" x14ac:dyDescent="0.3">
      <c r="F1386" s="43"/>
      <c r="G1386" s="43"/>
    </row>
    <row r="1387" spans="6:7" x14ac:dyDescent="0.3">
      <c r="F1387" s="43"/>
      <c r="G1387" s="43"/>
    </row>
    <row r="1388" spans="6:7" x14ac:dyDescent="0.3">
      <c r="F1388" s="43"/>
      <c r="G1388" s="43"/>
    </row>
    <row r="1389" spans="6:7" x14ac:dyDescent="0.3">
      <c r="F1389" s="43"/>
      <c r="G1389" s="43"/>
    </row>
    <row r="1390" spans="6:7" x14ac:dyDescent="0.3">
      <c r="F1390" s="43"/>
      <c r="G1390" s="43"/>
    </row>
    <row r="1391" spans="6:7" x14ac:dyDescent="0.3">
      <c r="F1391" s="43"/>
      <c r="G1391" s="43"/>
    </row>
    <row r="1392" spans="6:7" x14ac:dyDescent="0.3">
      <c r="F1392" s="43"/>
      <c r="G1392" s="43"/>
    </row>
    <row r="1393" spans="6:7" x14ac:dyDescent="0.3">
      <c r="F1393" s="43"/>
      <c r="G1393" s="43"/>
    </row>
    <row r="1394" spans="6:7" x14ac:dyDescent="0.3">
      <c r="F1394" s="43"/>
      <c r="G1394" s="43"/>
    </row>
    <row r="1395" spans="6:7" x14ac:dyDescent="0.3">
      <c r="F1395" s="43"/>
      <c r="G1395" s="43"/>
    </row>
    <row r="1396" spans="6:7" x14ac:dyDescent="0.3">
      <c r="F1396" s="43"/>
      <c r="G1396" s="43"/>
    </row>
    <row r="1397" spans="6:7" x14ac:dyDescent="0.3">
      <c r="F1397" s="43"/>
      <c r="G1397" s="43"/>
    </row>
    <row r="1398" spans="6:7" x14ac:dyDescent="0.3">
      <c r="F1398" s="43"/>
      <c r="G1398" s="43"/>
    </row>
    <row r="1399" spans="6:7" x14ac:dyDescent="0.3">
      <c r="F1399" s="43"/>
      <c r="G1399" s="43"/>
    </row>
    <row r="1400" spans="6:7" x14ac:dyDescent="0.3">
      <c r="F1400" s="43"/>
      <c r="G1400" s="43"/>
    </row>
    <row r="1401" spans="6:7" x14ac:dyDescent="0.3">
      <c r="F1401" s="43"/>
      <c r="G1401" s="43"/>
    </row>
    <row r="1402" spans="6:7" x14ac:dyDescent="0.3">
      <c r="F1402" s="43"/>
      <c r="G1402" s="43"/>
    </row>
    <row r="1403" spans="6:7" x14ac:dyDescent="0.3">
      <c r="F1403" s="43"/>
      <c r="G1403" s="43"/>
    </row>
    <row r="1404" spans="6:7" x14ac:dyDescent="0.3">
      <c r="F1404" s="43"/>
      <c r="G1404" s="43"/>
    </row>
    <row r="1405" spans="6:7" x14ac:dyDescent="0.3">
      <c r="F1405" s="43"/>
      <c r="G1405" s="43"/>
    </row>
    <row r="1406" spans="6:7" x14ac:dyDescent="0.3">
      <c r="F1406" s="43"/>
      <c r="G1406" s="43"/>
    </row>
    <row r="1407" spans="6:7" x14ac:dyDescent="0.3">
      <c r="F1407" s="43"/>
      <c r="G1407" s="43"/>
    </row>
    <row r="1408" spans="6:7" x14ac:dyDescent="0.3">
      <c r="F1408" s="43"/>
      <c r="G1408" s="43"/>
    </row>
    <row r="1409" spans="6:7" x14ac:dyDescent="0.3">
      <c r="F1409" s="43"/>
      <c r="G1409" s="43"/>
    </row>
    <row r="1410" spans="6:7" x14ac:dyDescent="0.3">
      <c r="F1410" s="43"/>
      <c r="G1410" s="43"/>
    </row>
    <row r="1411" spans="6:7" x14ac:dyDescent="0.3">
      <c r="F1411" s="43"/>
      <c r="G1411" s="43"/>
    </row>
    <row r="1412" spans="6:7" x14ac:dyDescent="0.3">
      <c r="F1412" s="43"/>
      <c r="G1412" s="43"/>
    </row>
    <row r="1413" spans="6:7" x14ac:dyDescent="0.3">
      <c r="F1413" s="1"/>
      <c r="G1413" s="1"/>
    </row>
    <row r="1414" spans="6:7" x14ac:dyDescent="0.3">
      <c r="F1414" s="43"/>
      <c r="G1414" s="43"/>
    </row>
    <row r="1415" spans="6:7" x14ac:dyDescent="0.3">
      <c r="F1415" s="43"/>
      <c r="G1415" s="43"/>
    </row>
    <row r="1416" spans="6:7" x14ac:dyDescent="0.3">
      <c r="F1416" s="43"/>
      <c r="G1416" s="43"/>
    </row>
    <row r="1417" spans="6:7" x14ac:dyDescent="0.3">
      <c r="F1417" s="43"/>
      <c r="G1417" s="43"/>
    </row>
    <row r="1418" spans="6:7" x14ac:dyDescent="0.3">
      <c r="F1418" s="43"/>
      <c r="G1418" s="43"/>
    </row>
    <row r="1419" spans="6:7" x14ac:dyDescent="0.3">
      <c r="F1419" s="43"/>
      <c r="G1419" s="43"/>
    </row>
    <row r="1420" spans="6:7" x14ac:dyDescent="0.3">
      <c r="F1420" s="43"/>
      <c r="G1420" s="43"/>
    </row>
    <row r="1421" spans="6:7" x14ac:dyDescent="0.3">
      <c r="F1421" s="43"/>
      <c r="G1421" s="43"/>
    </row>
    <row r="1422" spans="6:7" x14ac:dyDescent="0.3">
      <c r="F1422" s="43"/>
      <c r="G1422" s="43"/>
    </row>
    <row r="1423" spans="6:7" x14ac:dyDescent="0.3">
      <c r="F1423" s="43"/>
      <c r="G1423" s="43"/>
    </row>
    <row r="1424" spans="6:7" x14ac:dyDescent="0.3">
      <c r="F1424" s="43"/>
      <c r="G1424" s="43"/>
    </row>
    <row r="1425" spans="6:7" x14ac:dyDescent="0.3">
      <c r="F1425" s="43"/>
      <c r="G1425" s="43"/>
    </row>
    <row r="1426" spans="6:7" x14ac:dyDescent="0.3">
      <c r="F1426" s="43"/>
      <c r="G1426" s="43"/>
    </row>
    <row r="1427" spans="6:7" x14ac:dyDescent="0.3">
      <c r="F1427" s="43"/>
      <c r="G1427" s="43"/>
    </row>
    <row r="1428" spans="6:7" x14ac:dyDescent="0.3">
      <c r="F1428" s="43"/>
      <c r="G1428" s="43"/>
    </row>
    <row r="1429" spans="6:7" x14ac:dyDescent="0.3">
      <c r="F1429" s="43"/>
      <c r="G1429" s="43"/>
    </row>
    <row r="1430" spans="6:7" x14ac:dyDescent="0.3">
      <c r="F1430" s="43"/>
      <c r="G1430" s="43"/>
    </row>
    <row r="1431" spans="6:7" x14ac:dyDescent="0.3">
      <c r="F1431" s="43"/>
      <c r="G1431" s="43"/>
    </row>
    <row r="1432" spans="6:7" x14ac:dyDescent="0.3">
      <c r="F1432" s="43"/>
      <c r="G1432" s="43"/>
    </row>
    <row r="1433" spans="6:7" x14ac:dyDescent="0.3">
      <c r="F1433" s="43"/>
      <c r="G1433" s="43"/>
    </row>
    <row r="1434" spans="6:7" x14ac:dyDescent="0.3">
      <c r="F1434" s="43"/>
      <c r="G1434" s="43"/>
    </row>
    <row r="1435" spans="6:7" x14ac:dyDescent="0.3">
      <c r="F1435" s="43"/>
      <c r="G1435" s="43"/>
    </row>
    <row r="1436" spans="6:7" x14ac:dyDescent="0.3">
      <c r="F1436" s="43"/>
      <c r="G1436" s="43"/>
    </row>
    <row r="1437" spans="6:7" x14ac:dyDescent="0.3">
      <c r="F1437" s="43"/>
      <c r="G1437" s="43"/>
    </row>
    <row r="1438" spans="6:7" x14ac:dyDescent="0.3">
      <c r="F1438" s="43"/>
      <c r="G1438" s="43"/>
    </row>
    <row r="1439" spans="6:7" x14ac:dyDescent="0.3">
      <c r="F1439" s="43"/>
      <c r="G1439" s="43"/>
    </row>
    <row r="1440" spans="6:7" x14ac:dyDescent="0.3">
      <c r="F1440" s="43"/>
      <c r="G1440" s="43"/>
    </row>
    <row r="1441" spans="6:7" x14ac:dyDescent="0.3">
      <c r="F1441" s="43"/>
      <c r="G1441" s="43"/>
    </row>
    <row r="1442" spans="6:7" x14ac:dyDescent="0.3">
      <c r="F1442" s="43"/>
      <c r="G1442" s="43"/>
    </row>
    <row r="1443" spans="6:7" x14ac:dyDescent="0.3">
      <c r="F1443" s="43"/>
      <c r="G1443" s="43"/>
    </row>
    <row r="1444" spans="6:7" x14ac:dyDescent="0.3">
      <c r="F1444" s="43"/>
      <c r="G1444" s="43"/>
    </row>
    <row r="1445" spans="6:7" x14ac:dyDescent="0.3">
      <c r="F1445" s="43"/>
      <c r="G1445" s="43"/>
    </row>
    <row r="1446" spans="6:7" x14ac:dyDescent="0.3">
      <c r="F1446" s="43"/>
      <c r="G1446" s="43"/>
    </row>
    <row r="1447" spans="6:7" x14ac:dyDescent="0.3">
      <c r="F1447" s="43"/>
      <c r="G1447" s="43"/>
    </row>
    <row r="1448" spans="6:7" x14ac:dyDescent="0.3">
      <c r="F1448" s="43"/>
      <c r="G1448" s="43"/>
    </row>
    <row r="1449" spans="6:7" x14ac:dyDescent="0.3">
      <c r="F1449" s="43"/>
      <c r="G1449" s="43"/>
    </row>
    <row r="1450" spans="6:7" x14ac:dyDescent="0.3">
      <c r="F1450" s="43"/>
      <c r="G1450" s="43"/>
    </row>
    <row r="1451" spans="6:7" x14ac:dyDescent="0.3">
      <c r="F1451" s="43"/>
      <c r="G1451" s="43"/>
    </row>
    <row r="1452" spans="6:7" x14ac:dyDescent="0.3">
      <c r="F1452" s="43"/>
      <c r="G1452" s="43"/>
    </row>
    <row r="1453" spans="6:7" x14ac:dyDescent="0.3">
      <c r="F1453" s="43"/>
      <c r="G1453" s="43"/>
    </row>
    <row r="1454" spans="6:7" x14ac:dyDescent="0.3">
      <c r="F1454" s="43"/>
      <c r="G1454" s="43"/>
    </row>
    <row r="1455" spans="6:7" x14ac:dyDescent="0.3">
      <c r="F1455" s="43"/>
      <c r="G1455" s="43"/>
    </row>
    <row r="1456" spans="6:7" x14ac:dyDescent="0.3">
      <c r="F1456" s="43"/>
      <c r="G1456" s="43"/>
    </row>
    <row r="1457" spans="6:7" x14ac:dyDescent="0.3">
      <c r="F1457" s="43"/>
      <c r="G1457" s="43"/>
    </row>
    <row r="1458" spans="6:7" x14ac:dyDescent="0.3">
      <c r="F1458" s="43"/>
      <c r="G1458" s="43"/>
    </row>
    <row r="1459" spans="6:7" x14ac:dyDescent="0.3">
      <c r="F1459" s="43"/>
      <c r="G1459" s="43"/>
    </row>
    <row r="1460" spans="6:7" x14ac:dyDescent="0.3">
      <c r="F1460" s="43"/>
      <c r="G1460" s="43"/>
    </row>
    <row r="1461" spans="6:7" x14ac:dyDescent="0.3">
      <c r="F1461" s="43"/>
      <c r="G1461" s="43"/>
    </row>
    <row r="1462" spans="6:7" x14ac:dyDescent="0.3">
      <c r="F1462" s="43"/>
      <c r="G1462" s="43"/>
    </row>
    <row r="1463" spans="6:7" x14ac:dyDescent="0.3">
      <c r="F1463" s="43"/>
      <c r="G1463" s="43"/>
    </row>
    <row r="1464" spans="6:7" x14ac:dyDescent="0.3">
      <c r="F1464" s="43"/>
      <c r="G1464" s="43"/>
    </row>
    <row r="1465" spans="6:7" x14ac:dyDescent="0.3">
      <c r="F1465" s="43"/>
      <c r="G1465" s="43"/>
    </row>
    <row r="1466" spans="6:7" x14ac:dyDescent="0.3">
      <c r="F1466" s="43"/>
      <c r="G1466" s="43"/>
    </row>
    <row r="1467" spans="6:7" x14ac:dyDescent="0.3">
      <c r="F1467" s="43"/>
      <c r="G1467" s="43"/>
    </row>
    <row r="1468" spans="6:7" x14ac:dyDescent="0.3">
      <c r="F1468" s="43"/>
      <c r="G1468" s="43"/>
    </row>
    <row r="1469" spans="6:7" x14ac:dyDescent="0.3">
      <c r="F1469" s="43"/>
      <c r="G1469" s="43"/>
    </row>
    <row r="1470" spans="6:7" x14ac:dyDescent="0.3">
      <c r="F1470" s="43"/>
      <c r="G1470" s="43"/>
    </row>
    <row r="1471" spans="6:7" x14ac:dyDescent="0.3">
      <c r="F1471" s="1"/>
      <c r="G1471" s="1"/>
    </row>
    <row r="1472" spans="6:7" x14ac:dyDescent="0.3">
      <c r="F1472" s="43"/>
      <c r="G1472" s="43"/>
    </row>
    <row r="1473" spans="6:7" x14ac:dyDescent="0.3">
      <c r="F1473" s="43"/>
      <c r="G1473" s="43"/>
    </row>
    <row r="1474" spans="6:7" x14ac:dyDescent="0.3">
      <c r="F1474" s="43"/>
      <c r="G1474" s="43"/>
    </row>
    <row r="1475" spans="6:7" x14ac:dyDescent="0.3">
      <c r="F1475" s="43"/>
      <c r="G1475" s="43"/>
    </row>
    <row r="1476" spans="6:7" x14ac:dyDescent="0.3">
      <c r="F1476" s="43"/>
      <c r="G1476" s="43"/>
    </row>
    <row r="1477" spans="6:7" x14ac:dyDescent="0.3">
      <c r="F1477" s="43"/>
      <c r="G1477" s="43"/>
    </row>
    <row r="1478" spans="6:7" x14ac:dyDescent="0.3">
      <c r="F1478" s="43"/>
      <c r="G1478" s="43"/>
    </row>
    <row r="1479" spans="6:7" x14ac:dyDescent="0.3">
      <c r="F1479" s="43"/>
      <c r="G1479" s="43"/>
    </row>
    <row r="1480" spans="6:7" x14ac:dyDescent="0.3">
      <c r="F1480" s="43"/>
      <c r="G1480" s="43"/>
    </row>
    <row r="1481" spans="6:7" x14ac:dyDescent="0.3">
      <c r="F1481" s="43"/>
      <c r="G1481" s="43"/>
    </row>
    <row r="1482" spans="6:7" x14ac:dyDescent="0.3">
      <c r="F1482" s="43"/>
      <c r="G1482" s="43"/>
    </row>
    <row r="1483" spans="6:7" x14ac:dyDescent="0.3">
      <c r="F1483" s="43"/>
      <c r="G1483" s="43"/>
    </row>
    <row r="1484" spans="6:7" x14ac:dyDescent="0.3">
      <c r="F1484" s="43"/>
      <c r="G1484" s="43"/>
    </row>
    <row r="1485" spans="6:7" x14ac:dyDescent="0.3">
      <c r="F1485" s="43"/>
      <c r="G1485" s="43"/>
    </row>
    <row r="1486" spans="6:7" x14ac:dyDescent="0.3">
      <c r="F1486" s="43"/>
      <c r="G1486" s="43"/>
    </row>
    <row r="1487" spans="6:7" x14ac:dyDescent="0.3">
      <c r="F1487" s="43"/>
      <c r="G1487" s="43"/>
    </row>
    <row r="1488" spans="6:7" x14ac:dyDescent="0.3">
      <c r="F1488" s="43"/>
      <c r="G1488" s="43"/>
    </row>
    <row r="1489" spans="6:7" x14ac:dyDescent="0.3">
      <c r="F1489" s="43"/>
      <c r="G1489" s="43"/>
    </row>
    <row r="1490" spans="6:7" x14ac:dyDescent="0.3">
      <c r="F1490" s="43"/>
      <c r="G1490" s="43"/>
    </row>
    <row r="1491" spans="6:7" x14ac:dyDescent="0.3">
      <c r="F1491" s="43"/>
      <c r="G1491" s="43"/>
    </row>
    <row r="1492" spans="6:7" x14ac:dyDescent="0.3">
      <c r="F1492" s="1"/>
      <c r="G1492" s="1"/>
    </row>
    <row r="1493" spans="6:7" x14ac:dyDescent="0.3">
      <c r="F1493" s="43"/>
      <c r="G1493" s="43"/>
    </row>
    <row r="1494" spans="6:7" x14ac:dyDescent="0.3">
      <c r="F1494" s="43"/>
      <c r="G1494" s="43"/>
    </row>
    <row r="1495" spans="6:7" x14ac:dyDescent="0.3">
      <c r="F1495" s="43"/>
      <c r="G1495" s="43"/>
    </row>
    <row r="1496" spans="6:7" x14ac:dyDescent="0.3">
      <c r="F1496" s="43"/>
      <c r="G1496" s="43"/>
    </row>
    <row r="1497" spans="6:7" x14ac:dyDescent="0.3">
      <c r="F1497" s="43"/>
      <c r="G1497" s="43"/>
    </row>
    <row r="1498" spans="6:7" x14ac:dyDescent="0.3">
      <c r="F1498" s="43"/>
      <c r="G1498" s="43"/>
    </row>
    <row r="1499" spans="6:7" x14ac:dyDescent="0.3">
      <c r="F1499" s="43"/>
      <c r="G1499" s="43"/>
    </row>
    <row r="1500" spans="6:7" x14ac:dyDescent="0.3">
      <c r="F1500" s="43"/>
      <c r="G1500" s="43"/>
    </row>
    <row r="1501" spans="6:7" x14ac:dyDescent="0.3">
      <c r="F1501" s="43"/>
      <c r="G1501" s="43"/>
    </row>
    <row r="1502" spans="6:7" x14ac:dyDescent="0.3">
      <c r="F1502" s="43"/>
      <c r="G1502" s="43"/>
    </row>
    <row r="1503" spans="6:7" x14ac:dyDescent="0.3">
      <c r="F1503" s="43"/>
      <c r="G1503" s="43"/>
    </row>
    <row r="1504" spans="6:7" x14ac:dyDescent="0.3">
      <c r="F1504" s="43"/>
      <c r="G1504" s="43"/>
    </row>
    <row r="1505" spans="6:7" x14ac:dyDescent="0.3">
      <c r="F1505" s="43"/>
      <c r="G1505" s="43"/>
    </row>
    <row r="1506" spans="6:7" x14ac:dyDescent="0.3">
      <c r="F1506" s="43"/>
      <c r="G1506" s="43"/>
    </row>
    <row r="1507" spans="6:7" x14ac:dyDescent="0.3">
      <c r="F1507" s="43"/>
      <c r="G1507" s="43"/>
    </row>
    <row r="1508" spans="6:7" x14ac:dyDescent="0.3">
      <c r="F1508" s="43"/>
      <c r="G1508" s="43"/>
    </row>
    <row r="1509" spans="6:7" x14ac:dyDescent="0.3">
      <c r="F1509" s="43"/>
      <c r="G1509" s="43"/>
    </row>
    <row r="1510" spans="6:7" x14ac:dyDescent="0.3">
      <c r="F1510" s="43"/>
      <c r="G1510" s="43"/>
    </row>
    <row r="1511" spans="6:7" x14ac:dyDescent="0.3">
      <c r="F1511" s="43"/>
      <c r="G1511" s="43"/>
    </row>
    <row r="1512" spans="6:7" x14ac:dyDescent="0.3">
      <c r="F1512" s="43"/>
      <c r="G1512" s="43"/>
    </row>
    <row r="1513" spans="6:7" x14ac:dyDescent="0.3">
      <c r="F1513" s="43"/>
      <c r="G1513" s="43"/>
    </row>
    <row r="1514" spans="6:7" x14ac:dyDescent="0.3">
      <c r="F1514" s="43"/>
      <c r="G1514" s="43"/>
    </row>
    <row r="1515" spans="6:7" x14ac:dyDescent="0.3">
      <c r="F1515" s="43"/>
      <c r="G1515" s="43"/>
    </row>
    <row r="1516" spans="6:7" x14ac:dyDescent="0.3">
      <c r="F1516" s="43"/>
      <c r="G1516" s="43"/>
    </row>
    <row r="1517" spans="6:7" x14ac:dyDescent="0.3">
      <c r="F1517" s="43"/>
      <c r="G1517" s="43"/>
    </row>
    <row r="1518" spans="6:7" x14ac:dyDescent="0.3">
      <c r="F1518" s="43"/>
      <c r="G1518" s="43"/>
    </row>
    <row r="1519" spans="6:7" x14ac:dyDescent="0.3">
      <c r="F1519" s="1"/>
      <c r="G1519" s="43"/>
    </row>
    <row r="1520" spans="6:7" x14ac:dyDescent="0.3">
      <c r="F1520" s="43"/>
      <c r="G1520" s="43"/>
    </row>
    <row r="1521" spans="6:7" x14ac:dyDescent="0.3">
      <c r="F1521" s="43"/>
      <c r="G1521" s="43"/>
    </row>
    <row r="1522" spans="6:7" x14ac:dyDescent="0.3">
      <c r="F1522" s="43"/>
      <c r="G1522" s="43"/>
    </row>
    <row r="1523" spans="6:7" x14ac:dyDescent="0.3">
      <c r="F1523" s="43"/>
      <c r="G1523" s="43"/>
    </row>
    <row r="1524" spans="6:7" x14ac:dyDescent="0.3">
      <c r="F1524" s="43"/>
      <c r="G1524" s="43"/>
    </row>
    <row r="1525" spans="6:7" x14ac:dyDescent="0.3">
      <c r="F1525" s="43"/>
      <c r="G1525" s="43"/>
    </row>
    <row r="1526" spans="6:7" x14ac:dyDescent="0.3">
      <c r="F1526" s="43"/>
      <c r="G1526" s="43"/>
    </row>
    <row r="1527" spans="6:7" x14ac:dyDescent="0.3">
      <c r="F1527" s="43"/>
      <c r="G1527" s="43"/>
    </row>
    <row r="1528" spans="6:7" x14ac:dyDescent="0.3">
      <c r="F1528" s="43"/>
      <c r="G1528" s="43"/>
    </row>
    <row r="1529" spans="6:7" x14ac:dyDescent="0.3">
      <c r="F1529" s="43"/>
      <c r="G1529" s="43"/>
    </row>
    <row r="1530" spans="6:7" x14ac:dyDescent="0.3">
      <c r="F1530" s="43"/>
      <c r="G1530" s="43"/>
    </row>
    <row r="1531" spans="6:7" x14ac:dyDescent="0.3">
      <c r="F1531" s="43"/>
      <c r="G1531" s="43"/>
    </row>
    <row r="1532" spans="6:7" x14ac:dyDescent="0.3">
      <c r="F1532" s="43"/>
      <c r="G1532" s="43"/>
    </row>
    <row r="1533" spans="6:7" x14ac:dyDescent="0.3">
      <c r="F1533" s="43"/>
      <c r="G1533" s="43"/>
    </row>
    <row r="1534" spans="6:7" x14ac:dyDescent="0.3">
      <c r="F1534" s="43"/>
      <c r="G1534" s="43"/>
    </row>
    <row r="1535" spans="6:7" x14ac:dyDescent="0.3">
      <c r="F1535" s="43"/>
      <c r="G1535" s="43"/>
    </row>
    <row r="1536" spans="6:7" x14ac:dyDescent="0.3">
      <c r="F1536" s="43"/>
      <c r="G1536" s="43"/>
    </row>
    <row r="1537" spans="6:7" x14ac:dyDescent="0.3">
      <c r="F1537" s="43"/>
      <c r="G1537" s="43"/>
    </row>
    <row r="1538" spans="6:7" x14ac:dyDescent="0.3">
      <c r="F1538" s="43"/>
      <c r="G1538" s="43"/>
    </row>
    <row r="1539" spans="6:7" x14ac:dyDescent="0.3">
      <c r="F1539" s="43"/>
      <c r="G1539" s="43"/>
    </row>
    <row r="1540" spans="6:7" x14ac:dyDescent="0.3">
      <c r="F1540" s="43"/>
      <c r="G1540" s="43"/>
    </row>
    <row r="1541" spans="6:7" x14ac:dyDescent="0.3">
      <c r="F1541" s="43"/>
      <c r="G1541" s="43"/>
    </row>
    <row r="1542" spans="6:7" x14ac:dyDescent="0.3">
      <c r="F1542" s="43"/>
      <c r="G1542" s="43"/>
    </row>
    <row r="1543" spans="6:7" x14ac:dyDescent="0.3">
      <c r="F1543" s="43"/>
      <c r="G1543" s="43"/>
    </row>
    <row r="1544" spans="6:7" x14ac:dyDescent="0.3">
      <c r="F1544" s="43"/>
      <c r="G1544" s="43"/>
    </row>
    <row r="1545" spans="6:7" x14ac:dyDescent="0.3">
      <c r="F1545" s="43"/>
      <c r="G1545" s="43"/>
    </row>
    <row r="1546" spans="6:7" x14ac:dyDescent="0.3">
      <c r="F1546" s="43"/>
      <c r="G1546" s="43"/>
    </row>
    <row r="1547" spans="6:7" x14ac:dyDescent="0.3">
      <c r="F1547" s="43"/>
      <c r="G1547" s="43"/>
    </row>
    <row r="1548" spans="6:7" x14ac:dyDescent="0.3">
      <c r="F1548" s="43"/>
      <c r="G1548" s="43"/>
    </row>
    <row r="1549" spans="6:7" x14ac:dyDescent="0.3">
      <c r="F1549" s="43"/>
      <c r="G1549" s="43"/>
    </row>
    <row r="1550" spans="6:7" x14ac:dyDescent="0.3">
      <c r="F1550" s="43"/>
      <c r="G1550" s="43"/>
    </row>
    <row r="1551" spans="6:7" x14ac:dyDescent="0.3">
      <c r="F1551" s="43"/>
      <c r="G1551" s="43"/>
    </row>
    <row r="1552" spans="6:7" x14ac:dyDescent="0.3">
      <c r="F1552" s="43"/>
      <c r="G1552" s="43"/>
    </row>
    <row r="1553" spans="6:7" x14ac:dyDescent="0.3">
      <c r="F1553" s="43"/>
      <c r="G1553" s="43"/>
    </row>
    <row r="1554" spans="6:7" x14ac:dyDescent="0.3">
      <c r="F1554" s="43"/>
      <c r="G1554" s="43"/>
    </row>
    <row r="1555" spans="6:7" x14ac:dyDescent="0.3">
      <c r="F1555" s="43"/>
      <c r="G1555" s="43"/>
    </row>
    <row r="1556" spans="6:7" x14ac:dyDescent="0.3">
      <c r="F1556" s="43"/>
      <c r="G1556" s="43"/>
    </row>
    <row r="1557" spans="6:7" x14ac:dyDescent="0.3">
      <c r="F1557" s="43"/>
      <c r="G1557" s="43"/>
    </row>
    <row r="1558" spans="6:7" x14ac:dyDescent="0.3">
      <c r="F1558" s="43"/>
      <c r="G1558" s="43"/>
    </row>
    <row r="1559" spans="6:7" x14ac:dyDescent="0.3">
      <c r="F1559" s="43"/>
      <c r="G1559" s="43"/>
    </row>
    <row r="1560" spans="6:7" x14ac:dyDescent="0.3">
      <c r="F1560" s="43"/>
      <c r="G1560" s="43"/>
    </row>
    <row r="1561" spans="6:7" x14ac:dyDescent="0.3">
      <c r="F1561" s="43"/>
      <c r="G1561" s="43"/>
    </row>
    <row r="1562" spans="6:7" x14ac:dyDescent="0.3">
      <c r="F1562" s="43"/>
      <c r="G1562" s="43"/>
    </row>
    <row r="1563" spans="6:7" x14ac:dyDescent="0.3">
      <c r="F1563" s="43"/>
      <c r="G1563" s="43"/>
    </row>
    <row r="1564" spans="6:7" x14ac:dyDescent="0.3">
      <c r="F1564" s="43"/>
      <c r="G1564" s="43"/>
    </row>
    <row r="1565" spans="6:7" x14ac:dyDescent="0.3">
      <c r="F1565" s="43"/>
      <c r="G1565" s="43"/>
    </row>
    <row r="1566" spans="6:7" x14ac:dyDescent="0.3">
      <c r="F1566" s="43"/>
      <c r="G1566" s="43"/>
    </row>
    <row r="1567" spans="6:7" x14ac:dyDescent="0.3">
      <c r="F1567" s="43"/>
      <c r="G1567" s="43"/>
    </row>
    <row r="1568" spans="6:7" x14ac:dyDescent="0.3">
      <c r="F1568" s="43"/>
      <c r="G1568" s="43"/>
    </row>
    <row r="1569" spans="6:7" x14ac:dyDescent="0.3">
      <c r="F1569" s="43"/>
      <c r="G1569" s="43"/>
    </row>
    <row r="1570" spans="6:7" x14ac:dyDescent="0.3">
      <c r="F1570" s="43"/>
      <c r="G1570" s="43"/>
    </row>
    <row r="1571" spans="6:7" x14ac:dyDescent="0.3">
      <c r="F1571" s="43"/>
      <c r="G1571" s="43"/>
    </row>
    <row r="1572" spans="6:7" x14ac:dyDescent="0.3">
      <c r="F1572" s="43"/>
      <c r="G1572" s="43"/>
    </row>
    <row r="1573" spans="6:7" x14ac:dyDescent="0.3">
      <c r="F1573" s="43"/>
      <c r="G1573" s="43"/>
    </row>
    <row r="1574" spans="6:7" x14ac:dyDescent="0.3">
      <c r="F1574" s="43"/>
      <c r="G1574" s="43"/>
    </row>
    <row r="1575" spans="6:7" x14ac:dyDescent="0.3">
      <c r="F1575" s="43"/>
      <c r="G1575" s="43"/>
    </row>
    <row r="1576" spans="6:7" x14ac:dyDescent="0.3">
      <c r="F1576" s="43"/>
      <c r="G1576" s="43"/>
    </row>
    <row r="1577" spans="6:7" x14ac:dyDescent="0.3">
      <c r="F1577" s="43"/>
      <c r="G1577" s="43"/>
    </row>
    <row r="1578" spans="6:7" x14ac:dyDescent="0.3">
      <c r="F1578" s="43"/>
      <c r="G1578" s="43"/>
    </row>
    <row r="1579" spans="6:7" x14ac:dyDescent="0.3">
      <c r="F1579" s="43"/>
      <c r="G1579" s="43"/>
    </row>
    <row r="1580" spans="6:7" x14ac:dyDescent="0.3">
      <c r="F1580" s="43"/>
      <c r="G1580" s="43"/>
    </row>
    <row r="1581" spans="6:7" x14ac:dyDescent="0.3">
      <c r="F1581" s="43"/>
      <c r="G1581" s="43"/>
    </row>
    <row r="1582" spans="6:7" x14ac:dyDescent="0.3">
      <c r="F1582" s="43"/>
      <c r="G1582" s="43"/>
    </row>
    <row r="1583" spans="6:7" x14ac:dyDescent="0.3">
      <c r="F1583" s="43"/>
      <c r="G1583" s="43"/>
    </row>
    <row r="1584" spans="6:7" x14ac:dyDescent="0.3">
      <c r="F1584" s="43"/>
      <c r="G1584" s="43"/>
    </row>
    <row r="1585" spans="6:7" x14ac:dyDescent="0.3">
      <c r="F1585" s="43"/>
      <c r="G1585" s="43"/>
    </row>
    <row r="1586" spans="6:7" x14ac:dyDescent="0.3">
      <c r="F1586" s="43"/>
      <c r="G1586" s="43"/>
    </row>
    <row r="1587" spans="6:7" x14ac:dyDescent="0.3">
      <c r="F1587" s="43"/>
      <c r="G1587" s="43"/>
    </row>
    <row r="1588" spans="6:7" x14ac:dyDescent="0.3">
      <c r="F1588" s="43"/>
      <c r="G1588" s="43"/>
    </row>
    <row r="1589" spans="6:7" x14ac:dyDescent="0.3">
      <c r="F1589" s="43"/>
      <c r="G1589" s="43"/>
    </row>
    <row r="1590" spans="6:7" x14ac:dyDescent="0.3">
      <c r="F1590" s="43"/>
      <c r="G1590" s="43"/>
    </row>
    <row r="1591" spans="6:7" x14ac:dyDescent="0.3">
      <c r="F1591" s="43"/>
      <c r="G1591" s="43"/>
    </row>
    <row r="1592" spans="6:7" x14ac:dyDescent="0.3">
      <c r="F1592" s="43"/>
      <c r="G1592" s="43"/>
    </row>
    <row r="1593" spans="6:7" x14ac:dyDescent="0.3">
      <c r="F1593" s="43"/>
      <c r="G1593" s="43"/>
    </row>
    <row r="1594" spans="6:7" x14ac:dyDescent="0.3">
      <c r="F1594" s="43"/>
      <c r="G1594" s="43"/>
    </row>
    <row r="1595" spans="6:7" x14ac:dyDescent="0.3">
      <c r="F1595" s="43"/>
      <c r="G1595" s="43"/>
    </row>
    <row r="1596" spans="6:7" x14ac:dyDescent="0.3">
      <c r="F1596" s="43"/>
      <c r="G1596" s="43"/>
    </row>
    <row r="1597" spans="6:7" x14ac:dyDescent="0.3">
      <c r="F1597" s="43"/>
      <c r="G1597" s="43"/>
    </row>
    <row r="1598" spans="6:7" x14ac:dyDescent="0.3">
      <c r="F1598" s="43"/>
      <c r="G1598" s="43"/>
    </row>
    <row r="1599" spans="6:7" x14ac:dyDescent="0.3">
      <c r="F1599" s="43"/>
      <c r="G1599" s="43"/>
    </row>
    <row r="1600" spans="6:7" x14ac:dyDescent="0.3">
      <c r="F1600" s="43"/>
      <c r="G1600" s="43"/>
    </row>
    <row r="1601" spans="6:7" x14ac:dyDescent="0.3">
      <c r="F1601" s="43"/>
      <c r="G1601" s="43"/>
    </row>
    <row r="1602" spans="6:7" x14ac:dyDescent="0.3">
      <c r="F1602" s="43"/>
      <c r="G1602" s="43"/>
    </row>
    <row r="1603" spans="6:7" x14ac:dyDescent="0.3">
      <c r="F1603" s="43"/>
      <c r="G1603" s="43"/>
    </row>
    <row r="1604" spans="6:7" x14ac:dyDescent="0.3">
      <c r="F1604" s="43"/>
      <c r="G1604" s="43"/>
    </row>
    <row r="1605" spans="6:7" x14ac:dyDescent="0.3">
      <c r="F1605" s="43"/>
      <c r="G1605" s="43"/>
    </row>
    <row r="1606" spans="6:7" x14ac:dyDescent="0.3">
      <c r="F1606" s="43"/>
      <c r="G1606" s="43"/>
    </row>
    <row r="1607" spans="6:7" x14ac:dyDescent="0.3">
      <c r="F1607" s="43"/>
      <c r="G1607" s="43"/>
    </row>
    <row r="1608" spans="6:7" x14ac:dyDescent="0.3">
      <c r="F1608" s="43"/>
      <c r="G1608" s="43"/>
    </row>
    <row r="1609" spans="6:7" x14ac:dyDescent="0.3">
      <c r="F1609" s="43"/>
      <c r="G1609" s="43"/>
    </row>
    <row r="1610" spans="6:7" x14ac:dyDescent="0.3">
      <c r="F1610" s="43"/>
      <c r="G1610" s="43"/>
    </row>
    <row r="1611" spans="6:7" x14ac:dyDescent="0.3">
      <c r="F1611" s="43"/>
      <c r="G1611" s="43"/>
    </row>
    <row r="1612" spans="6:7" x14ac:dyDescent="0.3">
      <c r="F1612" s="43"/>
      <c r="G1612" s="43"/>
    </row>
    <row r="1613" spans="6:7" x14ac:dyDescent="0.3">
      <c r="F1613" s="43"/>
      <c r="G1613" s="43"/>
    </row>
    <row r="1614" spans="6:7" x14ac:dyDescent="0.3">
      <c r="F1614" s="43"/>
      <c r="G1614" s="43"/>
    </row>
    <row r="1615" spans="6:7" x14ac:dyDescent="0.3">
      <c r="F1615" s="43"/>
      <c r="G1615" s="43"/>
    </row>
    <row r="1616" spans="6:7" x14ac:dyDescent="0.3">
      <c r="F1616" s="43"/>
      <c r="G1616" s="43"/>
    </row>
    <row r="1617" spans="6:7" x14ac:dyDescent="0.3">
      <c r="F1617" s="1"/>
      <c r="G1617" s="1"/>
    </row>
    <row r="1618" spans="6:7" x14ac:dyDescent="0.3">
      <c r="F1618" s="43"/>
      <c r="G1618" s="43"/>
    </row>
    <row r="1619" spans="6:7" x14ac:dyDescent="0.3">
      <c r="F1619" s="43"/>
      <c r="G1619" s="43"/>
    </row>
    <row r="1620" spans="6:7" x14ac:dyDescent="0.3">
      <c r="F1620" s="43"/>
      <c r="G1620" s="43"/>
    </row>
    <row r="1621" spans="6:7" x14ac:dyDescent="0.3">
      <c r="F1621" s="43"/>
      <c r="G1621" s="43"/>
    </row>
    <row r="1622" spans="6:7" x14ac:dyDescent="0.3">
      <c r="F1622" s="43"/>
      <c r="G1622" s="43"/>
    </row>
    <row r="1623" spans="6:7" x14ac:dyDescent="0.3">
      <c r="F1623" s="43"/>
      <c r="G1623" s="43"/>
    </row>
    <row r="1624" spans="6:7" x14ac:dyDescent="0.3">
      <c r="F1624" s="43"/>
      <c r="G1624" s="43"/>
    </row>
    <row r="1625" spans="6:7" x14ac:dyDescent="0.3">
      <c r="F1625" s="43"/>
      <c r="G1625" s="43"/>
    </row>
    <row r="1626" spans="6:7" x14ac:dyDescent="0.3">
      <c r="F1626" s="43"/>
      <c r="G1626" s="43"/>
    </row>
    <row r="1627" spans="6:7" x14ac:dyDescent="0.3">
      <c r="F1627" s="43"/>
      <c r="G1627" s="43"/>
    </row>
    <row r="1628" spans="6:7" x14ac:dyDescent="0.3">
      <c r="F1628" s="43"/>
      <c r="G1628" s="43"/>
    </row>
    <row r="1629" spans="6:7" x14ac:dyDescent="0.3">
      <c r="F1629" s="43"/>
      <c r="G1629" s="43"/>
    </row>
    <row r="1630" spans="6:7" x14ac:dyDescent="0.3">
      <c r="F1630" s="43"/>
      <c r="G1630" s="43"/>
    </row>
    <row r="1631" spans="6:7" x14ac:dyDescent="0.3">
      <c r="F1631" s="43"/>
      <c r="G1631" s="43"/>
    </row>
    <row r="1632" spans="6:7" x14ac:dyDescent="0.3">
      <c r="F1632" s="43"/>
      <c r="G1632" s="43"/>
    </row>
    <row r="1633" spans="6:18" x14ac:dyDescent="0.3">
      <c r="F1633" s="43"/>
      <c r="G1633" s="43"/>
    </row>
    <row r="1634" spans="6:18" x14ac:dyDescent="0.3">
      <c r="F1634" s="43"/>
      <c r="G1634" s="43"/>
    </row>
    <row r="1635" spans="6:18" x14ac:dyDescent="0.3">
      <c r="F1635" s="1"/>
      <c r="G1635" s="1"/>
    </row>
    <row r="1636" spans="6:18" x14ac:dyDescent="0.3">
      <c r="F1636" s="43"/>
      <c r="G1636" s="43"/>
    </row>
    <row r="1637" spans="6:18" x14ac:dyDescent="0.3">
      <c r="F1637" s="43"/>
      <c r="G1637" s="43"/>
      <c r="R1637" s="50"/>
    </row>
    <row r="1638" spans="6:18" x14ac:dyDescent="0.3">
      <c r="F1638" s="43"/>
      <c r="G1638" s="43"/>
    </row>
    <row r="1639" spans="6:18" x14ac:dyDescent="0.3">
      <c r="F1639" s="43"/>
      <c r="G1639" s="43"/>
    </row>
    <row r="1640" spans="6:18" x14ac:dyDescent="0.3">
      <c r="F1640" s="43"/>
      <c r="G1640" s="43"/>
    </row>
    <row r="1641" spans="6:18" x14ac:dyDescent="0.3">
      <c r="F1641" s="43"/>
      <c r="G1641" s="43"/>
    </row>
    <row r="1642" spans="6:18" x14ac:dyDescent="0.3">
      <c r="F1642" s="43"/>
      <c r="G1642" s="43"/>
      <c r="R1642" s="51"/>
    </row>
    <row r="1643" spans="6:18" x14ac:dyDescent="0.3">
      <c r="F1643" s="43"/>
      <c r="G1643" s="43"/>
    </row>
    <row r="1644" spans="6:18" x14ac:dyDescent="0.3">
      <c r="F1644" s="43"/>
      <c r="G1644" s="43"/>
    </row>
    <row r="1645" spans="6:18" x14ac:dyDescent="0.3">
      <c r="F1645" s="43"/>
      <c r="G1645" s="43"/>
    </row>
    <row r="1646" spans="6:18" x14ac:dyDescent="0.3">
      <c r="F1646" s="43"/>
      <c r="G1646" s="43"/>
    </row>
    <row r="1647" spans="6:18" x14ac:dyDescent="0.3">
      <c r="F1647" s="43"/>
      <c r="G1647" s="43"/>
    </row>
    <row r="1648" spans="6:18" x14ac:dyDescent="0.3">
      <c r="F1648" s="43"/>
      <c r="G1648" s="43"/>
    </row>
    <row r="1649" spans="6:7" x14ac:dyDescent="0.3">
      <c r="F1649" s="43"/>
      <c r="G1649" s="43"/>
    </row>
    <row r="1650" spans="6:7" x14ac:dyDescent="0.3">
      <c r="F1650" s="43"/>
      <c r="G1650" s="43"/>
    </row>
    <row r="1651" spans="6:7" x14ac:dyDescent="0.3">
      <c r="F1651" s="43"/>
      <c r="G1651" s="43"/>
    </row>
    <row r="1652" spans="6:7" x14ac:dyDescent="0.3">
      <c r="F1652" s="43"/>
      <c r="G1652" s="43"/>
    </row>
    <row r="1653" spans="6:7" x14ac:dyDescent="0.3">
      <c r="F1653" s="43"/>
      <c r="G1653" s="43"/>
    </row>
    <row r="1654" spans="6:7" x14ac:dyDescent="0.3">
      <c r="F1654" s="43"/>
      <c r="G1654" s="43"/>
    </row>
    <row r="1655" spans="6:7" x14ac:dyDescent="0.3">
      <c r="F1655" s="43"/>
      <c r="G1655" s="43"/>
    </row>
    <row r="1656" spans="6:7" x14ac:dyDescent="0.3">
      <c r="F1656" s="43"/>
      <c r="G1656" s="43"/>
    </row>
    <row r="1657" spans="6:7" x14ac:dyDescent="0.3">
      <c r="F1657" s="43"/>
      <c r="G1657" s="43"/>
    </row>
    <row r="1658" spans="6:7" x14ac:dyDescent="0.3">
      <c r="F1658" s="43"/>
      <c r="G1658" s="43"/>
    </row>
    <row r="1659" spans="6:7" x14ac:dyDescent="0.3">
      <c r="F1659" s="43"/>
      <c r="G1659" s="43"/>
    </row>
    <row r="1660" spans="6:7" x14ac:dyDescent="0.3">
      <c r="F1660" s="43"/>
      <c r="G1660" s="43"/>
    </row>
    <row r="1661" spans="6:7" x14ac:dyDescent="0.3">
      <c r="F1661" s="43"/>
      <c r="G1661" s="43"/>
    </row>
    <row r="1662" spans="6:7" x14ac:dyDescent="0.3">
      <c r="F1662" s="43"/>
      <c r="G1662" s="43"/>
    </row>
    <row r="1663" spans="6:7" x14ac:dyDescent="0.3">
      <c r="F1663" s="43"/>
      <c r="G1663" s="43"/>
    </row>
    <row r="1664" spans="6:7" x14ac:dyDescent="0.3">
      <c r="F1664" s="43"/>
      <c r="G1664" s="43"/>
    </row>
    <row r="1665" spans="6:7" x14ac:dyDescent="0.3">
      <c r="F1665" s="43"/>
      <c r="G1665" s="43"/>
    </row>
    <row r="1666" spans="6:7" x14ac:dyDescent="0.3">
      <c r="F1666" s="43"/>
      <c r="G1666" s="43"/>
    </row>
    <row r="1667" spans="6:7" x14ac:dyDescent="0.3">
      <c r="F1667" s="43"/>
      <c r="G1667" s="43"/>
    </row>
    <row r="1668" spans="6:7" x14ac:dyDescent="0.3">
      <c r="F1668" s="43"/>
      <c r="G1668" s="43"/>
    </row>
    <row r="1669" spans="6:7" x14ac:dyDescent="0.3">
      <c r="F1669" s="43"/>
      <c r="G1669" s="43"/>
    </row>
    <row r="1670" spans="6:7" x14ac:dyDescent="0.3">
      <c r="F1670" s="43"/>
      <c r="G1670" s="43"/>
    </row>
    <row r="1671" spans="6:7" x14ac:dyDescent="0.3">
      <c r="F1671" s="43"/>
      <c r="G1671" s="43"/>
    </row>
    <row r="1672" spans="6:7" x14ac:dyDescent="0.3">
      <c r="F1672" s="43"/>
      <c r="G1672" s="43"/>
    </row>
    <row r="1673" spans="6:7" x14ac:dyDescent="0.3">
      <c r="F1673" s="43"/>
      <c r="G1673" s="43"/>
    </row>
    <row r="1674" spans="6:7" x14ac:dyDescent="0.3">
      <c r="F1674" s="43"/>
      <c r="G1674" s="43"/>
    </row>
    <row r="1675" spans="6:7" x14ac:dyDescent="0.3">
      <c r="F1675" s="43"/>
      <c r="G1675" s="43"/>
    </row>
    <row r="1676" spans="6:7" x14ac:dyDescent="0.3">
      <c r="F1676" s="43"/>
      <c r="G1676" s="43"/>
    </row>
    <row r="1677" spans="6:7" x14ac:dyDescent="0.3">
      <c r="F1677" s="43"/>
      <c r="G1677" s="43"/>
    </row>
    <row r="1678" spans="6:7" x14ac:dyDescent="0.3">
      <c r="F1678" s="43"/>
      <c r="G1678" s="43"/>
    </row>
    <row r="1679" spans="6:7" x14ac:dyDescent="0.3">
      <c r="F1679" s="43"/>
      <c r="G1679" s="43"/>
    </row>
    <row r="1680" spans="6:7" x14ac:dyDescent="0.3">
      <c r="F1680" s="43"/>
      <c r="G1680" s="43"/>
    </row>
    <row r="1681" spans="6:7" x14ac:dyDescent="0.3">
      <c r="F1681" s="43"/>
      <c r="G1681" s="43"/>
    </row>
    <row r="1682" spans="6:7" x14ac:dyDescent="0.3">
      <c r="F1682" s="43"/>
      <c r="G1682" s="43"/>
    </row>
    <row r="1683" spans="6:7" x14ac:dyDescent="0.3">
      <c r="F1683" s="43"/>
      <c r="G1683" s="43"/>
    </row>
    <row r="1684" spans="6:7" x14ac:dyDescent="0.3">
      <c r="F1684" s="43"/>
      <c r="G1684" s="43"/>
    </row>
    <row r="1685" spans="6:7" x14ac:dyDescent="0.3">
      <c r="F1685" s="43"/>
      <c r="G1685" s="43"/>
    </row>
    <row r="1686" spans="6:7" x14ac:dyDescent="0.3">
      <c r="F1686" s="43"/>
      <c r="G1686" s="43"/>
    </row>
    <row r="1687" spans="6:7" x14ac:dyDescent="0.3">
      <c r="F1687" s="43"/>
      <c r="G1687" s="43"/>
    </row>
    <row r="1688" spans="6:7" x14ac:dyDescent="0.3">
      <c r="F1688" s="43"/>
      <c r="G1688" s="43"/>
    </row>
    <row r="1689" spans="6:7" x14ac:dyDescent="0.3">
      <c r="F1689" s="43"/>
      <c r="G1689" s="43"/>
    </row>
    <row r="1690" spans="6:7" x14ac:dyDescent="0.3">
      <c r="F1690" s="43"/>
      <c r="G1690" s="43"/>
    </row>
    <row r="1691" spans="6:7" x14ac:dyDescent="0.3">
      <c r="F1691" s="43"/>
      <c r="G1691" s="43"/>
    </row>
    <row r="1692" spans="6:7" x14ac:dyDescent="0.3">
      <c r="F1692" s="43"/>
      <c r="G1692" s="43"/>
    </row>
    <row r="1693" spans="6:7" x14ac:dyDescent="0.3">
      <c r="F1693" s="43"/>
      <c r="G1693" s="43"/>
    </row>
    <row r="1694" spans="6:7" x14ac:dyDescent="0.3">
      <c r="F1694" s="43"/>
      <c r="G1694" s="43"/>
    </row>
    <row r="1695" spans="6:7" x14ac:dyDescent="0.3">
      <c r="F1695" s="43"/>
      <c r="G1695" s="43"/>
    </row>
    <row r="1696" spans="6:7" x14ac:dyDescent="0.3">
      <c r="F1696" s="43"/>
      <c r="G1696" s="43"/>
    </row>
    <row r="1697" spans="6:7" x14ac:dyDescent="0.3">
      <c r="F1697" s="43"/>
      <c r="G1697" s="43"/>
    </row>
    <row r="1698" spans="6:7" x14ac:dyDescent="0.3">
      <c r="F1698" s="43"/>
      <c r="G1698" s="43"/>
    </row>
    <row r="1699" spans="6:7" x14ac:dyDescent="0.3">
      <c r="F1699" s="43"/>
      <c r="G1699" s="43"/>
    </row>
    <row r="1700" spans="6:7" x14ac:dyDescent="0.3">
      <c r="F1700" s="43"/>
      <c r="G1700" s="43"/>
    </row>
    <row r="1701" spans="6:7" x14ac:dyDescent="0.3">
      <c r="F1701" s="43"/>
      <c r="G1701" s="43"/>
    </row>
    <row r="1702" spans="6:7" x14ac:dyDescent="0.3">
      <c r="F1702" s="43"/>
      <c r="G1702" s="43"/>
    </row>
    <row r="1703" spans="6:7" x14ac:dyDescent="0.3">
      <c r="F1703" s="43"/>
      <c r="G1703" s="43"/>
    </row>
    <row r="1704" spans="6:7" x14ac:dyDescent="0.3">
      <c r="F1704" s="43"/>
      <c r="G1704" s="43"/>
    </row>
    <row r="1705" spans="6:7" x14ac:dyDescent="0.3">
      <c r="F1705" s="43"/>
      <c r="G1705" s="43"/>
    </row>
    <row r="1706" spans="6:7" x14ac:dyDescent="0.3">
      <c r="F1706" s="43"/>
      <c r="G1706" s="43"/>
    </row>
    <row r="1707" spans="6:7" x14ac:dyDescent="0.3">
      <c r="F1707" s="43"/>
      <c r="G1707" s="43"/>
    </row>
    <row r="1708" spans="6:7" x14ac:dyDescent="0.3">
      <c r="F1708" s="43"/>
      <c r="G1708" s="43"/>
    </row>
    <row r="1709" spans="6:7" x14ac:dyDescent="0.3">
      <c r="F1709" s="43"/>
      <c r="G1709" s="43"/>
    </row>
    <row r="1710" spans="6:7" x14ac:dyDescent="0.3">
      <c r="F1710" s="43"/>
      <c r="G1710" s="43"/>
    </row>
    <row r="1711" spans="6:7" x14ac:dyDescent="0.3">
      <c r="F1711" s="43"/>
      <c r="G1711" s="43"/>
    </row>
    <row r="1712" spans="6:7" x14ac:dyDescent="0.3">
      <c r="F1712" s="43"/>
      <c r="G1712" s="43"/>
    </row>
    <row r="1713" spans="6:7" x14ac:dyDescent="0.3">
      <c r="F1713" s="43"/>
      <c r="G1713" s="43"/>
    </row>
    <row r="1714" spans="6:7" x14ac:dyDescent="0.3">
      <c r="F1714" s="43"/>
      <c r="G1714" s="43"/>
    </row>
    <row r="1715" spans="6:7" x14ac:dyDescent="0.3">
      <c r="F1715" s="43"/>
      <c r="G1715" s="43"/>
    </row>
    <row r="1716" spans="6:7" x14ac:dyDescent="0.3">
      <c r="F1716" s="43"/>
      <c r="G1716" s="43"/>
    </row>
    <row r="1717" spans="6:7" x14ac:dyDescent="0.3">
      <c r="F1717" s="43"/>
      <c r="G1717" s="43"/>
    </row>
    <row r="1718" spans="6:7" x14ac:dyDescent="0.3">
      <c r="F1718" s="43"/>
      <c r="G1718" s="43"/>
    </row>
    <row r="1719" spans="6:7" x14ac:dyDescent="0.3">
      <c r="F1719" s="43"/>
      <c r="G1719" s="43"/>
    </row>
    <row r="1720" spans="6:7" x14ac:dyDescent="0.3">
      <c r="F1720" s="43"/>
      <c r="G1720" s="43"/>
    </row>
    <row r="1721" spans="6:7" x14ac:dyDescent="0.3">
      <c r="F1721" s="43"/>
      <c r="G1721" s="43"/>
    </row>
    <row r="1722" spans="6:7" x14ac:dyDescent="0.3">
      <c r="F1722" s="43"/>
      <c r="G1722" s="43"/>
    </row>
    <row r="1723" spans="6:7" x14ac:dyDescent="0.3">
      <c r="F1723" s="43"/>
      <c r="G1723" s="43"/>
    </row>
    <row r="1724" spans="6:7" x14ac:dyDescent="0.3">
      <c r="F1724" s="43"/>
      <c r="G1724" s="43"/>
    </row>
    <row r="1725" spans="6:7" x14ac:dyDescent="0.3">
      <c r="F1725" s="43"/>
      <c r="G1725" s="43"/>
    </row>
    <row r="1726" spans="6:7" x14ac:dyDescent="0.3">
      <c r="F1726" s="43"/>
      <c r="G1726" s="43"/>
    </row>
    <row r="1727" spans="6:7" x14ac:dyDescent="0.3">
      <c r="F1727" s="43"/>
      <c r="G1727" s="43"/>
    </row>
    <row r="1728" spans="6:7" x14ac:dyDescent="0.3">
      <c r="F1728" s="43"/>
      <c r="G1728" s="43"/>
    </row>
    <row r="1729" spans="6:7" x14ac:dyDescent="0.3">
      <c r="F1729" s="43"/>
      <c r="G1729" s="43"/>
    </row>
    <row r="1730" spans="6:7" x14ac:dyDescent="0.3">
      <c r="F1730" s="43"/>
      <c r="G1730" s="43"/>
    </row>
    <row r="1731" spans="6:7" x14ac:dyDescent="0.3">
      <c r="F1731" s="43"/>
      <c r="G1731" s="43"/>
    </row>
    <row r="1732" spans="6:7" x14ac:dyDescent="0.3">
      <c r="F1732" s="43"/>
      <c r="G1732" s="43"/>
    </row>
    <row r="1733" spans="6:7" x14ac:dyDescent="0.3">
      <c r="F1733" s="43"/>
      <c r="G1733" s="43"/>
    </row>
    <row r="1734" spans="6:7" x14ac:dyDescent="0.3">
      <c r="F1734" s="43"/>
      <c r="G1734" s="43"/>
    </row>
    <row r="1735" spans="6:7" x14ac:dyDescent="0.3">
      <c r="F1735" s="43"/>
      <c r="G1735" s="43"/>
    </row>
    <row r="1736" spans="6:7" x14ac:dyDescent="0.3">
      <c r="F1736" s="43"/>
      <c r="G1736" s="43"/>
    </row>
    <row r="1737" spans="6:7" x14ac:dyDescent="0.3">
      <c r="F1737" s="43"/>
      <c r="G1737" s="43"/>
    </row>
    <row r="1738" spans="6:7" x14ac:dyDescent="0.3">
      <c r="F1738" s="43"/>
      <c r="G1738" s="43"/>
    </row>
    <row r="1739" spans="6:7" x14ac:dyDescent="0.3">
      <c r="F1739" s="43"/>
      <c r="G1739" s="43"/>
    </row>
    <row r="1740" spans="6:7" x14ac:dyDescent="0.3">
      <c r="F1740" s="43"/>
      <c r="G1740" s="43"/>
    </row>
    <row r="1741" spans="6:7" x14ac:dyDescent="0.3">
      <c r="F1741" s="43"/>
      <c r="G1741" s="43"/>
    </row>
    <row r="1742" spans="6:7" x14ac:dyDescent="0.3">
      <c r="F1742" s="43"/>
      <c r="G1742" s="43"/>
    </row>
    <row r="1743" spans="6:7" x14ac:dyDescent="0.3">
      <c r="F1743" s="43"/>
      <c r="G1743" s="43"/>
    </row>
    <row r="1744" spans="6:7" x14ac:dyDescent="0.3">
      <c r="F1744" s="43"/>
      <c r="G1744" s="43"/>
    </row>
    <row r="1745" spans="6:7" x14ac:dyDescent="0.3">
      <c r="F1745" s="43"/>
      <c r="G1745" s="43"/>
    </row>
    <row r="1746" spans="6:7" x14ac:dyDescent="0.3">
      <c r="F1746" s="43"/>
      <c r="G1746" s="43"/>
    </row>
    <row r="1747" spans="6:7" x14ac:dyDescent="0.3">
      <c r="F1747" s="43"/>
      <c r="G1747" s="43"/>
    </row>
    <row r="1748" spans="6:7" x14ac:dyDescent="0.3">
      <c r="F1748" s="43"/>
      <c r="G1748" s="43"/>
    </row>
    <row r="1749" spans="6:7" x14ac:dyDescent="0.3">
      <c r="F1749" s="43"/>
      <c r="G1749" s="43"/>
    </row>
    <row r="1750" spans="6:7" x14ac:dyDescent="0.3">
      <c r="F1750" s="43"/>
      <c r="G1750" s="43"/>
    </row>
    <row r="1751" spans="6:7" x14ac:dyDescent="0.3">
      <c r="F1751" s="43"/>
      <c r="G1751" s="43"/>
    </row>
    <row r="1752" spans="6:7" x14ac:dyDescent="0.3">
      <c r="F1752" s="43"/>
      <c r="G1752" s="43"/>
    </row>
    <row r="1753" spans="6:7" x14ac:dyDescent="0.3">
      <c r="F1753" s="43"/>
      <c r="G1753" s="43"/>
    </row>
    <row r="1754" spans="6:7" x14ac:dyDescent="0.3">
      <c r="F1754" s="43"/>
      <c r="G1754" s="43"/>
    </row>
    <row r="1755" spans="6:7" x14ac:dyDescent="0.3">
      <c r="F1755" s="43"/>
      <c r="G1755" s="43"/>
    </row>
    <row r="1756" spans="6:7" x14ac:dyDescent="0.3">
      <c r="F1756" s="43"/>
      <c r="G1756" s="43"/>
    </row>
    <row r="1757" spans="6:7" x14ac:dyDescent="0.3">
      <c r="F1757" s="43"/>
      <c r="G1757" s="43"/>
    </row>
    <row r="1758" spans="6:7" x14ac:dyDescent="0.3">
      <c r="F1758" s="43"/>
      <c r="G1758" s="43"/>
    </row>
    <row r="1759" spans="6:7" x14ac:dyDescent="0.3">
      <c r="F1759" s="43"/>
      <c r="G1759" s="43"/>
    </row>
    <row r="1760" spans="6:7" x14ac:dyDescent="0.3">
      <c r="F1760" s="43"/>
      <c r="G1760" s="43"/>
    </row>
    <row r="1761" spans="6:7" x14ac:dyDescent="0.3">
      <c r="F1761" s="43"/>
      <c r="G1761" s="43"/>
    </row>
    <row r="1762" spans="6:7" x14ac:dyDescent="0.3">
      <c r="F1762" s="43"/>
      <c r="G1762" s="43"/>
    </row>
    <row r="1763" spans="6:7" x14ac:dyDescent="0.3">
      <c r="F1763" s="43"/>
      <c r="G1763" s="43"/>
    </row>
    <row r="1764" spans="6:7" x14ac:dyDescent="0.3">
      <c r="F1764" s="43"/>
      <c r="G1764" s="43"/>
    </row>
    <row r="1765" spans="6:7" x14ac:dyDescent="0.3">
      <c r="F1765" s="43"/>
      <c r="G1765" s="43"/>
    </row>
    <row r="1766" spans="6:7" x14ac:dyDescent="0.3">
      <c r="F1766" s="43"/>
      <c r="G1766" s="43"/>
    </row>
    <row r="1767" spans="6:7" x14ac:dyDescent="0.3">
      <c r="F1767" s="1"/>
      <c r="G1767" s="1"/>
    </row>
    <row r="1768" spans="6:7" x14ac:dyDescent="0.3">
      <c r="F1768" s="43"/>
      <c r="G1768" s="43"/>
    </row>
    <row r="1769" spans="6:7" x14ac:dyDescent="0.3">
      <c r="F1769" s="43"/>
      <c r="G1769" s="43"/>
    </row>
    <row r="1770" spans="6:7" x14ac:dyDescent="0.3">
      <c r="F1770" s="43"/>
      <c r="G1770" s="43"/>
    </row>
    <row r="1771" spans="6:7" x14ac:dyDescent="0.3">
      <c r="F1771" s="43"/>
      <c r="G1771" s="43"/>
    </row>
    <row r="1772" spans="6:7" x14ac:dyDescent="0.3">
      <c r="F1772" s="43"/>
      <c r="G1772" s="43"/>
    </row>
    <row r="1773" spans="6:7" x14ac:dyDescent="0.3">
      <c r="F1773" s="43"/>
      <c r="G1773" s="43"/>
    </row>
    <row r="1774" spans="6:7" x14ac:dyDescent="0.3">
      <c r="F1774" s="43"/>
      <c r="G1774" s="43"/>
    </row>
    <row r="1775" spans="6:7" x14ac:dyDescent="0.3">
      <c r="F1775" s="43"/>
      <c r="G1775" s="43"/>
    </row>
    <row r="1776" spans="6:7" x14ac:dyDescent="0.3">
      <c r="F1776" s="43"/>
      <c r="G1776" s="43"/>
    </row>
    <row r="1777" spans="6:7" x14ac:dyDescent="0.3">
      <c r="F1777" s="43"/>
      <c r="G1777" s="43"/>
    </row>
    <row r="1778" spans="6:7" x14ac:dyDescent="0.3">
      <c r="F1778" s="43"/>
      <c r="G1778" s="43"/>
    </row>
    <row r="1779" spans="6:7" x14ac:dyDescent="0.3">
      <c r="F1779" s="43"/>
      <c r="G1779" s="43"/>
    </row>
    <row r="1780" spans="6:7" x14ac:dyDescent="0.3">
      <c r="F1780" s="43"/>
      <c r="G1780" s="43"/>
    </row>
    <row r="1781" spans="6:7" x14ac:dyDescent="0.3">
      <c r="F1781" s="43"/>
      <c r="G1781" s="43"/>
    </row>
    <row r="1782" spans="6:7" x14ac:dyDescent="0.3">
      <c r="F1782" s="43"/>
      <c r="G1782" s="43"/>
    </row>
    <row r="1783" spans="6:7" x14ac:dyDescent="0.3">
      <c r="F1783" s="43"/>
      <c r="G1783" s="43"/>
    </row>
    <row r="1784" spans="6:7" x14ac:dyDescent="0.3">
      <c r="F1784" s="43"/>
      <c r="G1784" s="43"/>
    </row>
    <row r="1785" spans="6:7" x14ac:dyDescent="0.3">
      <c r="F1785" s="43"/>
      <c r="G1785" s="43"/>
    </row>
    <row r="1786" spans="6:7" x14ac:dyDescent="0.3">
      <c r="F1786" s="43"/>
      <c r="G1786" s="43"/>
    </row>
    <row r="1787" spans="6:7" x14ac:dyDescent="0.3">
      <c r="F1787" s="43"/>
      <c r="G1787" s="43"/>
    </row>
    <row r="1788" spans="6:7" x14ac:dyDescent="0.3">
      <c r="F1788" s="43"/>
      <c r="G1788" s="43"/>
    </row>
    <row r="1789" spans="6:7" x14ac:dyDescent="0.3">
      <c r="F1789" s="43"/>
      <c r="G1789" s="43"/>
    </row>
    <row r="1790" spans="6:7" x14ac:dyDescent="0.3">
      <c r="F1790" s="43"/>
      <c r="G1790" s="43"/>
    </row>
    <row r="1791" spans="6:7" x14ac:dyDescent="0.3">
      <c r="F1791" s="43"/>
      <c r="G1791" s="43"/>
    </row>
    <row r="1792" spans="6:7" x14ac:dyDescent="0.3">
      <c r="F1792" s="43"/>
      <c r="G1792" s="43"/>
    </row>
    <row r="1793" spans="6:7" x14ac:dyDescent="0.3">
      <c r="F1793" s="43"/>
      <c r="G1793" s="43"/>
    </row>
    <row r="1794" spans="6:7" x14ac:dyDescent="0.3">
      <c r="F1794" s="43"/>
      <c r="G1794" s="43"/>
    </row>
    <row r="1795" spans="6:7" x14ac:dyDescent="0.3">
      <c r="F1795" s="43"/>
      <c r="G1795" s="43"/>
    </row>
    <row r="1796" spans="6:7" x14ac:dyDescent="0.3">
      <c r="F1796" s="43"/>
      <c r="G1796" s="43"/>
    </row>
    <row r="1797" spans="6:7" x14ac:dyDescent="0.3">
      <c r="F1797" s="43"/>
      <c r="G1797" s="43"/>
    </row>
    <row r="1798" spans="6:7" x14ac:dyDescent="0.3">
      <c r="F1798" s="43"/>
      <c r="G1798" s="43"/>
    </row>
    <row r="1799" spans="6:7" x14ac:dyDescent="0.3">
      <c r="F1799" s="43"/>
      <c r="G1799" s="43"/>
    </row>
    <row r="1800" spans="6:7" x14ac:dyDescent="0.3">
      <c r="F1800" s="43"/>
      <c r="G1800" s="43"/>
    </row>
    <row r="1801" spans="6:7" x14ac:dyDescent="0.3">
      <c r="F1801" s="43"/>
      <c r="G1801" s="43"/>
    </row>
    <row r="1802" spans="6:7" x14ac:dyDescent="0.3">
      <c r="F1802" s="43"/>
      <c r="G1802" s="43"/>
    </row>
    <row r="1803" spans="6:7" x14ac:dyDescent="0.3">
      <c r="F1803" s="43"/>
      <c r="G1803" s="43"/>
    </row>
    <row r="1804" spans="6:7" x14ac:dyDescent="0.3">
      <c r="F1804" s="43"/>
      <c r="G1804" s="43"/>
    </row>
    <row r="1805" spans="6:7" x14ac:dyDescent="0.3">
      <c r="F1805" s="43"/>
      <c r="G1805" s="43"/>
    </row>
    <row r="1806" spans="6:7" x14ac:dyDescent="0.3">
      <c r="F1806" s="43"/>
      <c r="G1806" s="43"/>
    </row>
    <row r="1807" spans="6:7" x14ac:dyDescent="0.3">
      <c r="F1807" s="43"/>
      <c r="G1807" s="43"/>
    </row>
    <row r="1808" spans="6:7" x14ac:dyDescent="0.3">
      <c r="F1808" s="43"/>
      <c r="G1808" s="43"/>
    </row>
    <row r="1809" spans="6:7" x14ac:dyDescent="0.3">
      <c r="F1809" s="43"/>
      <c r="G1809" s="43"/>
    </row>
    <row r="1810" spans="6:7" x14ac:dyDescent="0.3">
      <c r="F1810" s="43"/>
      <c r="G1810" s="43"/>
    </row>
    <row r="1811" spans="6:7" x14ac:dyDescent="0.3">
      <c r="F1811" s="43"/>
      <c r="G1811" s="43"/>
    </row>
    <row r="1812" spans="6:7" x14ac:dyDescent="0.3">
      <c r="F1812" s="43"/>
      <c r="G1812" s="43"/>
    </row>
    <row r="1813" spans="6:7" x14ac:dyDescent="0.3">
      <c r="F1813" s="43"/>
      <c r="G1813" s="43"/>
    </row>
    <row r="1814" spans="6:7" x14ac:dyDescent="0.3">
      <c r="F1814" s="43"/>
      <c r="G1814" s="43"/>
    </row>
    <row r="1815" spans="6:7" x14ac:dyDescent="0.3">
      <c r="F1815" s="43"/>
      <c r="G1815" s="43"/>
    </row>
    <row r="1816" spans="6:7" x14ac:dyDescent="0.3">
      <c r="F1816" s="43"/>
      <c r="G1816" s="43"/>
    </row>
    <row r="1817" spans="6:7" x14ac:dyDescent="0.3">
      <c r="F1817" s="43"/>
      <c r="G1817" s="43"/>
    </row>
    <row r="1818" spans="6:7" x14ac:dyDescent="0.3">
      <c r="F1818" s="43"/>
      <c r="G1818" s="43"/>
    </row>
    <row r="1819" spans="6:7" x14ac:dyDescent="0.3">
      <c r="F1819" s="43"/>
      <c r="G1819" s="43"/>
    </row>
    <row r="1820" spans="6:7" x14ac:dyDescent="0.3">
      <c r="F1820" s="43"/>
      <c r="G1820" s="43"/>
    </row>
    <row r="1821" spans="6:7" x14ac:dyDescent="0.3">
      <c r="F1821" s="43"/>
      <c r="G1821" s="43"/>
    </row>
    <row r="1822" spans="6:7" x14ac:dyDescent="0.3">
      <c r="F1822" s="43"/>
      <c r="G1822" s="43"/>
    </row>
    <row r="1823" spans="6:7" x14ac:dyDescent="0.3">
      <c r="F1823" s="43"/>
      <c r="G1823" s="43"/>
    </row>
    <row r="1824" spans="6:7" x14ac:dyDescent="0.3">
      <c r="F1824" s="43"/>
      <c r="G1824" s="43"/>
    </row>
    <row r="1825" spans="6:7" x14ac:dyDescent="0.3">
      <c r="F1825" s="43"/>
      <c r="G1825" s="43"/>
    </row>
    <row r="1826" spans="6:7" x14ac:dyDescent="0.3">
      <c r="F1826" s="43"/>
      <c r="G1826" s="43"/>
    </row>
    <row r="1827" spans="6:7" x14ac:dyDescent="0.3">
      <c r="F1827" s="43"/>
      <c r="G1827" s="43"/>
    </row>
    <row r="1828" spans="6:7" x14ac:dyDescent="0.3">
      <c r="F1828" s="43"/>
      <c r="G1828" s="43"/>
    </row>
    <row r="1829" spans="6:7" x14ac:dyDescent="0.3">
      <c r="F1829" s="43"/>
      <c r="G1829" s="43"/>
    </row>
    <row r="1830" spans="6:7" x14ac:dyDescent="0.3">
      <c r="F1830" s="43"/>
      <c r="G1830" s="43"/>
    </row>
    <row r="1831" spans="6:7" x14ac:dyDescent="0.3">
      <c r="F1831" s="43"/>
      <c r="G1831" s="43"/>
    </row>
    <row r="1832" spans="6:7" x14ac:dyDescent="0.3">
      <c r="F1832" s="43"/>
      <c r="G1832" s="43"/>
    </row>
    <row r="1833" spans="6:7" x14ac:dyDescent="0.3">
      <c r="F1833" s="43"/>
      <c r="G1833" s="43"/>
    </row>
    <row r="1834" spans="6:7" x14ac:dyDescent="0.3">
      <c r="F1834" s="43"/>
      <c r="G1834" s="43"/>
    </row>
    <row r="1835" spans="6:7" x14ac:dyDescent="0.3">
      <c r="F1835" s="1"/>
      <c r="G1835" s="1"/>
    </row>
    <row r="1836" spans="6:7" x14ac:dyDescent="0.3">
      <c r="F1836" s="43"/>
      <c r="G1836" s="43"/>
    </row>
    <row r="1837" spans="6:7" x14ac:dyDescent="0.3">
      <c r="F1837" s="43"/>
      <c r="G1837" s="43"/>
    </row>
    <row r="1838" spans="6:7" x14ac:dyDescent="0.3">
      <c r="F1838" s="43"/>
      <c r="G1838" s="43"/>
    </row>
    <row r="1839" spans="6:7" x14ac:dyDescent="0.3">
      <c r="F1839" s="43"/>
      <c r="G1839" s="43"/>
    </row>
    <row r="1840" spans="6:7" x14ac:dyDescent="0.3">
      <c r="F1840" s="43"/>
      <c r="G1840" s="43"/>
    </row>
    <row r="1841" spans="6:7" x14ac:dyDescent="0.3">
      <c r="F1841" s="43"/>
      <c r="G1841" s="43"/>
    </row>
    <row r="1842" spans="6:7" x14ac:dyDescent="0.3">
      <c r="F1842" s="43"/>
      <c r="G1842" s="43"/>
    </row>
    <row r="1843" spans="6:7" x14ac:dyDescent="0.3">
      <c r="F1843" s="43"/>
      <c r="G1843" s="43"/>
    </row>
    <row r="1844" spans="6:7" x14ac:dyDescent="0.3">
      <c r="F1844" s="43"/>
      <c r="G1844" s="43"/>
    </row>
    <row r="1845" spans="6:7" x14ac:dyDescent="0.3">
      <c r="F1845" s="43"/>
      <c r="G1845" s="43"/>
    </row>
    <row r="1846" spans="6:7" x14ac:dyDescent="0.3">
      <c r="F1846" s="43"/>
      <c r="G1846" s="43"/>
    </row>
    <row r="1847" spans="6:7" x14ac:dyDescent="0.3">
      <c r="F1847" s="43"/>
      <c r="G1847" s="43"/>
    </row>
    <row r="1848" spans="6:7" x14ac:dyDescent="0.3">
      <c r="F1848" s="43"/>
      <c r="G1848" s="43"/>
    </row>
    <row r="1849" spans="6:7" x14ac:dyDescent="0.3">
      <c r="F1849" s="43"/>
      <c r="G1849" s="43"/>
    </row>
    <row r="1850" spans="6:7" x14ac:dyDescent="0.3">
      <c r="F1850" s="43"/>
      <c r="G1850" s="43"/>
    </row>
    <row r="1851" spans="6:7" x14ac:dyDescent="0.3">
      <c r="F1851" s="43"/>
      <c r="G1851" s="43"/>
    </row>
    <row r="1852" spans="6:7" x14ac:dyDescent="0.3">
      <c r="F1852" s="43"/>
      <c r="G1852" s="43"/>
    </row>
    <row r="1853" spans="6:7" x14ac:dyDescent="0.3">
      <c r="F1853" s="43"/>
      <c r="G1853" s="43"/>
    </row>
    <row r="1854" spans="6:7" x14ac:dyDescent="0.3">
      <c r="F1854" s="43"/>
      <c r="G1854" s="43"/>
    </row>
    <row r="1855" spans="6:7" x14ac:dyDescent="0.3">
      <c r="F1855" s="43"/>
      <c r="G1855" s="43"/>
    </row>
    <row r="1856" spans="6:7" x14ac:dyDescent="0.3">
      <c r="F1856" s="43"/>
      <c r="G1856" s="43"/>
    </row>
    <row r="1857" spans="6:7" x14ac:dyDescent="0.3">
      <c r="F1857" s="43"/>
      <c r="G1857" s="43"/>
    </row>
    <row r="1858" spans="6:7" x14ac:dyDescent="0.3">
      <c r="F1858" s="43"/>
      <c r="G1858" s="43"/>
    </row>
    <row r="1859" spans="6:7" x14ac:dyDescent="0.3">
      <c r="F1859" s="43"/>
      <c r="G1859" s="43"/>
    </row>
    <row r="1860" spans="6:7" x14ac:dyDescent="0.3">
      <c r="F1860" s="43"/>
      <c r="G1860" s="43"/>
    </row>
    <row r="1861" spans="6:7" x14ac:dyDescent="0.3">
      <c r="F1861" s="43"/>
      <c r="G1861" s="43"/>
    </row>
    <row r="1862" spans="6:7" x14ac:dyDescent="0.3">
      <c r="F1862" s="43"/>
      <c r="G1862" s="43"/>
    </row>
    <row r="1863" spans="6:7" x14ac:dyDescent="0.3">
      <c r="F1863" s="43"/>
      <c r="G1863" s="43"/>
    </row>
    <row r="1864" spans="6:7" x14ac:dyDescent="0.3">
      <c r="F1864" s="43"/>
      <c r="G1864" s="43"/>
    </row>
    <row r="1865" spans="6:7" x14ac:dyDescent="0.3">
      <c r="F1865" s="43"/>
      <c r="G1865" s="43"/>
    </row>
    <row r="1866" spans="6:7" x14ac:dyDescent="0.3">
      <c r="F1866" s="43"/>
      <c r="G1866" s="43"/>
    </row>
    <row r="1867" spans="6:7" x14ac:dyDescent="0.3">
      <c r="F1867" s="43"/>
      <c r="G1867" s="43"/>
    </row>
    <row r="1868" spans="6:7" x14ac:dyDescent="0.3">
      <c r="F1868" s="43"/>
      <c r="G1868" s="43"/>
    </row>
    <row r="1869" spans="6:7" x14ac:dyDescent="0.3">
      <c r="F1869" s="43"/>
      <c r="G1869" s="43"/>
    </row>
    <row r="1870" spans="6:7" x14ac:dyDescent="0.3">
      <c r="F1870" s="43"/>
      <c r="G1870" s="43"/>
    </row>
    <row r="1871" spans="6:7" x14ac:dyDescent="0.3">
      <c r="F1871" s="43"/>
      <c r="G1871" s="43"/>
    </row>
    <row r="1872" spans="6:7" x14ac:dyDescent="0.3">
      <c r="F1872" s="43"/>
      <c r="G1872" s="43"/>
    </row>
    <row r="1873" spans="6:7" x14ac:dyDescent="0.3">
      <c r="F1873" s="43"/>
      <c r="G1873" s="43"/>
    </row>
    <row r="1874" spans="6:7" x14ac:dyDescent="0.3">
      <c r="F1874" s="43"/>
      <c r="G1874" s="43"/>
    </row>
    <row r="1875" spans="6:7" x14ac:dyDescent="0.3">
      <c r="F1875" s="43"/>
      <c r="G1875" s="43"/>
    </row>
    <row r="1876" spans="6:7" x14ac:dyDescent="0.3">
      <c r="F1876" s="43"/>
      <c r="G1876" s="43"/>
    </row>
    <row r="1877" spans="6:7" x14ac:dyDescent="0.3">
      <c r="F1877" s="43"/>
      <c r="G1877" s="43"/>
    </row>
    <row r="1878" spans="6:7" x14ac:dyDescent="0.3">
      <c r="F1878" s="43"/>
      <c r="G1878" s="43"/>
    </row>
    <row r="1879" spans="6:7" x14ac:dyDescent="0.3">
      <c r="F1879" s="43"/>
      <c r="G1879" s="43"/>
    </row>
    <row r="1880" spans="6:7" x14ac:dyDescent="0.3">
      <c r="F1880" s="43"/>
      <c r="G1880" s="43"/>
    </row>
    <row r="1881" spans="6:7" x14ac:dyDescent="0.3">
      <c r="F1881" s="43"/>
      <c r="G1881" s="43"/>
    </row>
    <row r="1882" spans="6:7" x14ac:dyDescent="0.3">
      <c r="F1882" s="43"/>
      <c r="G1882" s="43"/>
    </row>
    <row r="1883" spans="6:7" x14ac:dyDescent="0.3">
      <c r="F1883" s="43"/>
      <c r="G1883" s="43"/>
    </row>
    <row r="1884" spans="6:7" x14ac:dyDescent="0.3">
      <c r="F1884" s="43"/>
      <c r="G1884" s="43"/>
    </row>
    <row r="1885" spans="6:7" x14ac:dyDescent="0.3">
      <c r="F1885" s="43"/>
      <c r="G1885" s="43"/>
    </row>
    <row r="1886" spans="6:7" x14ac:dyDescent="0.3">
      <c r="F1886" s="43"/>
      <c r="G1886" s="43"/>
    </row>
    <row r="1887" spans="6:7" x14ac:dyDescent="0.3">
      <c r="F1887" s="43"/>
      <c r="G1887" s="43"/>
    </row>
    <row r="1888" spans="6:7" x14ac:dyDescent="0.3">
      <c r="F1888" s="43"/>
      <c r="G1888" s="43"/>
    </row>
    <row r="1889" spans="6:7" x14ac:dyDescent="0.3">
      <c r="F1889" s="43"/>
      <c r="G1889" s="43"/>
    </row>
    <row r="1890" spans="6:7" x14ac:dyDescent="0.3">
      <c r="F1890" s="43"/>
      <c r="G1890" s="43"/>
    </row>
    <row r="1891" spans="6:7" x14ac:dyDescent="0.3">
      <c r="F1891" s="43"/>
      <c r="G1891" s="43"/>
    </row>
    <row r="1892" spans="6:7" x14ac:dyDescent="0.3">
      <c r="F1892" s="43"/>
      <c r="G1892" s="43"/>
    </row>
    <row r="1893" spans="6:7" x14ac:dyDescent="0.3">
      <c r="F1893" s="43"/>
      <c r="G1893" s="43"/>
    </row>
    <row r="1894" spans="6:7" x14ac:dyDescent="0.3">
      <c r="F1894" s="43"/>
      <c r="G1894" s="43"/>
    </row>
    <row r="1895" spans="6:7" x14ac:dyDescent="0.3">
      <c r="F1895" s="43"/>
      <c r="G1895" s="43"/>
    </row>
    <row r="1896" spans="6:7" x14ac:dyDescent="0.3">
      <c r="F1896" s="43"/>
      <c r="G1896" s="43"/>
    </row>
    <row r="1897" spans="6:7" x14ac:dyDescent="0.3">
      <c r="F1897" s="43"/>
      <c r="G1897" s="43"/>
    </row>
    <row r="1898" spans="6:7" x14ac:dyDescent="0.3">
      <c r="F1898" s="43"/>
      <c r="G1898" s="43"/>
    </row>
    <row r="1899" spans="6:7" x14ac:dyDescent="0.3">
      <c r="F1899" s="43"/>
      <c r="G1899" s="43"/>
    </row>
    <row r="1900" spans="6:7" x14ac:dyDescent="0.3">
      <c r="F1900" s="43"/>
      <c r="G1900" s="43"/>
    </row>
    <row r="1901" spans="6:7" x14ac:dyDescent="0.3">
      <c r="F1901" s="43"/>
      <c r="G1901" s="43"/>
    </row>
    <row r="1902" spans="6:7" x14ac:dyDescent="0.3">
      <c r="F1902" s="43"/>
      <c r="G1902" s="43"/>
    </row>
    <row r="1903" spans="6:7" x14ac:dyDescent="0.3">
      <c r="F1903" s="43"/>
      <c r="G1903" s="43"/>
    </row>
    <row r="1904" spans="6:7" x14ac:dyDescent="0.3">
      <c r="F1904" s="43"/>
      <c r="G1904" s="43"/>
    </row>
    <row r="1905" spans="6:7" x14ac:dyDescent="0.3">
      <c r="F1905" s="43"/>
      <c r="G1905" s="43"/>
    </row>
    <row r="1906" spans="6:7" x14ac:dyDescent="0.3">
      <c r="F1906" s="43"/>
      <c r="G1906" s="43"/>
    </row>
    <row r="1907" spans="6:7" x14ac:dyDescent="0.3">
      <c r="F1907" s="43"/>
      <c r="G1907" s="43"/>
    </row>
    <row r="1908" spans="6:7" x14ac:dyDescent="0.3">
      <c r="F1908" s="43"/>
      <c r="G1908" s="43"/>
    </row>
    <row r="1909" spans="6:7" x14ac:dyDescent="0.3">
      <c r="F1909" s="43"/>
      <c r="G1909" s="43"/>
    </row>
    <row r="1910" spans="6:7" x14ac:dyDescent="0.3">
      <c r="F1910" s="43"/>
      <c r="G1910" s="43"/>
    </row>
    <row r="1911" spans="6:7" x14ac:dyDescent="0.3">
      <c r="F1911" s="43"/>
      <c r="G1911" s="43"/>
    </row>
    <row r="1912" spans="6:7" x14ac:dyDescent="0.3">
      <c r="F1912" s="43"/>
      <c r="G1912" s="43"/>
    </row>
    <row r="1913" spans="6:7" x14ac:dyDescent="0.3">
      <c r="F1913" s="43"/>
      <c r="G1913" s="43"/>
    </row>
    <row r="1914" spans="6:7" x14ac:dyDescent="0.3">
      <c r="F1914" s="43"/>
      <c r="G1914" s="43"/>
    </row>
    <row r="1915" spans="6:7" x14ac:dyDescent="0.3">
      <c r="F1915" s="43"/>
      <c r="G1915" s="43"/>
    </row>
    <row r="1916" spans="6:7" x14ac:dyDescent="0.3">
      <c r="F1916" s="43"/>
      <c r="G1916" s="43"/>
    </row>
    <row r="1917" spans="6:7" x14ac:dyDescent="0.3">
      <c r="F1917" s="43"/>
      <c r="G1917" s="43"/>
    </row>
    <row r="1918" spans="6:7" x14ac:dyDescent="0.3">
      <c r="F1918" s="43"/>
      <c r="G1918" s="43"/>
    </row>
    <row r="1919" spans="6:7" x14ac:dyDescent="0.3">
      <c r="F1919" s="43"/>
      <c r="G1919" s="43"/>
    </row>
    <row r="1920" spans="6:7" x14ac:dyDescent="0.3">
      <c r="F1920" s="43"/>
      <c r="G1920" s="43"/>
    </row>
    <row r="1921" spans="6:7" x14ac:dyDescent="0.3">
      <c r="F1921" s="43"/>
      <c r="G1921" s="43"/>
    </row>
    <row r="1922" spans="6:7" x14ac:dyDescent="0.3">
      <c r="F1922" s="43"/>
      <c r="G1922" s="43"/>
    </row>
    <row r="1923" spans="6:7" x14ac:dyDescent="0.3">
      <c r="F1923" s="43"/>
      <c r="G1923" s="43"/>
    </row>
    <row r="1924" spans="6:7" x14ac:dyDescent="0.3">
      <c r="F1924" s="43"/>
      <c r="G1924" s="43"/>
    </row>
    <row r="1925" spans="6:7" x14ac:dyDescent="0.3">
      <c r="F1925" s="43"/>
      <c r="G1925" s="43"/>
    </row>
    <row r="1926" spans="6:7" x14ac:dyDescent="0.3">
      <c r="F1926" s="43"/>
      <c r="G1926" s="43"/>
    </row>
    <row r="1927" spans="6:7" x14ac:dyDescent="0.3">
      <c r="F1927" s="43"/>
      <c r="G1927" s="43"/>
    </row>
    <row r="1928" spans="6:7" x14ac:dyDescent="0.3">
      <c r="F1928" s="43"/>
      <c r="G1928" s="43"/>
    </row>
    <row r="1929" spans="6:7" x14ac:dyDescent="0.3">
      <c r="F1929" s="43"/>
      <c r="G1929" s="43"/>
    </row>
    <row r="1930" spans="6:7" x14ac:dyDescent="0.3">
      <c r="F1930" s="43"/>
      <c r="G1930" s="43"/>
    </row>
    <row r="1931" spans="6:7" x14ac:dyDescent="0.3">
      <c r="F1931" s="43"/>
      <c r="G1931" s="43"/>
    </row>
    <row r="1932" spans="6:7" x14ac:dyDescent="0.3">
      <c r="F1932" s="43"/>
      <c r="G1932" s="43"/>
    </row>
    <row r="1933" spans="6:7" x14ac:dyDescent="0.3">
      <c r="F1933" s="43"/>
      <c r="G1933" s="43"/>
    </row>
    <row r="1934" spans="6:7" x14ac:dyDescent="0.3">
      <c r="F1934" s="43"/>
      <c r="G1934" s="43"/>
    </row>
    <row r="1935" spans="6:7" x14ac:dyDescent="0.3">
      <c r="F1935" s="43"/>
      <c r="G1935" s="43"/>
    </row>
    <row r="1936" spans="6:7" x14ac:dyDescent="0.3">
      <c r="F1936" s="43"/>
      <c r="G1936" s="43"/>
    </row>
    <row r="1937" spans="6:7" x14ac:dyDescent="0.3">
      <c r="F1937" s="43"/>
      <c r="G1937" s="43"/>
    </row>
    <row r="1938" spans="6:7" x14ac:dyDescent="0.3">
      <c r="F1938" s="43"/>
      <c r="G1938" s="43"/>
    </row>
    <row r="1939" spans="6:7" x14ac:dyDescent="0.3">
      <c r="F1939" s="43"/>
      <c r="G1939" s="43"/>
    </row>
    <row r="1940" spans="6:7" x14ac:dyDescent="0.3">
      <c r="F1940" s="43"/>
      <c r="G1940" s="43"/>
    </row>
    <row r="1941" spans="6:7" x14ac:dyDescent="0.3">
      <c r="F1941" s="43"/>
      <c r="G1941" s="43"/>
    </row>
    <row r="1942" spans="6:7" x14ac:dyDescent="0.3">
      <c r="F1942" s="43"/>
      <c r="G1942" s="43"/>
    </row>
    <row r="1943" spans="6:7" x14ac:dyDescent="0.3">
      <c r="F1943" s="43"/>
      <c r="G1943" s="43"/>
    </row>
    <row r="1944" spans="6:7" x14ac:dyDescent="0.3">
      <c r="F1944" s="43"/>
      <c r="G1944" s="43"/>
    </row>
    <row r="1945" spans="6:7" x14ac:dyDescent="0.3">
      <c r="F1945" s="43"/>
      <c r="G1945" s="43"/>
    </row>
    <row r="1946" spans="6:7" x14ac:dyDescent="0.3">
      <c r="F1946" s="43"/>
      <c r="G1946" s="43"/>
    </row>
    <row r="1947" spans="6:7" x14ac:dyDescent="0.3">
      <c r="F1947" s="43"/>
      <c r="G1947" s="43"/>
    </row>
    <row r="1948" spans="6:7" x14ac:dyDescent="0.3">
      <c r="F1948" s="43"/>
      <c r="G1948" s="43"/>
    </row>
    <row r="1949" spans="6:7" x14ac:dyDescent="0.3">
      <c r="F1949" s="43"/>
      <c r="G1949" s="43"/>
    </row>
    <row r="1950" spans="6:7" x14ac:dyDescent="0.3">
      <c r="F1950" s="43"/>
      <c r="G1950" s="43"/>
    </row>
    <row r="1951" spans="6:7" x14ac:dyDescent="0.3">
      <c r="F1951" s="43"/>
      <c r="G1951" s="43"/>
    </row>
    <row r="1952" spans="6:7" x14ac:dyDescent="0.3">
      <c r="F1952" s="43"/>
      <c r="G1952" s="43"/>
    </row>
    <row r="1953" spans="6:7" x14ac:dyDescent="0.3">
      <c r="F1953" s="43"/>
      <c r="G1953" s="43"/>
    </row>
    <row r="1954" spans="6:7" x14ac:dyDescent="0.3">
      <c r="F1954" s="43"/>
      <c r="G1954" s="43"/>
    </row>
    <row r="1955" spans="6:7" x14ac:dyDescent="0.3">
      <c r="F1955" s="43"/>
      <c r="G1955" s="43"/>
    </row>
    <row r="1956" spans="6:7" x14ac:dyDescent="0.3">
      <c r="F1956" s="43"/>
      <c r="G1956" s="43"/>
    </row>
    <row r="1957" spans="6:7" x14ac:dyDescent="0.3">
      <c r="F1957" s="43"/>
      <c r="G1957" s="43"/>
    </row>
    <row r="1958" spans="6:7" x14ac:dyDescent="0.3">
      <c r="F1958" s="43"/>
      <c r="G1958" s="43"/>
    </row>
    <row r="1959" spans="6:7" x14ac:dyDescent="0.3">
      <c r="F1959" s="43"/>
      <c r="G1959" s="43"/>
    </row>
    <row r="1960" spans="6:7" x14ac:dyDescent="0.3">
      <c r="F1960" s="43"/>
      <c r="G1960" s="43"/>
    </row>
    <row r="1961" spans="6:7" x14ac:dyDescent="0.3">
      <c r="F1961" s="43"/>
      <c r="G1961" s="43"/>
    </row>
    <row r="1962" spans="6:7" x14ac:dyDescent="0.3">
      <c r="F1962" s="43"/>
      <c r="G1962" s="43"/>
    </row>
    <row r="1963" spans="6:7" x14ac:dyDescent="0.3">
      <c r="F1963" s="43"/>
      <c r="G1963" s="43"/>
    </row>
    <row r="1964" spans="6:7" x14ac:dyDescent="0.3">
      <c r="F1964" s="43"/>
      <c r="G1964" s="43"/>
    </row>
    <row r="1965" spans="6:7" x14ac:dyDescent="0.3">
      <c r="F1965" s="43"/>
      <c r="G1965" s="43"/>
    </row>
    <row r="1966" spans="6:7" x14ac:dyDescent="0.3">
      <c r="F1966" s="43"/>
      <c r="G1966" s="43"/>
    </row>
    <row r="1967" spans="6:7" x14ac:dyDescent="0.3">
      <c r="F1967" s="43"/>
      <c r="G1967" s="43"/>
    </row>
    <row r="1968" spans="6:7" x14ac:dyDescent="0.3">
      <c r="F1968" s="43"/>
      <c r="G1968" s="43"/>
    </row>
    <row r="1969" spans="6:18" x14ac:dyDescent="0.3">
      <c r="F1969" s="43"/>
      <c r="G1969" s="43"/>
    </row>
    <row r="1970" spans="6:18" x14ac:dyDescent="0.3">
      <c r="F1970" s="43"/>
      <c r="G1970" s="43"/>
    </row>
    <row r="1971" spans="6:18" x14ac:dyDescent="0.3">
      <c r="F1971" s="43"/>
      <c r="G1971" s="43"/>
    </row>
    <row r="1972" spans="6:18" x14ac:dyDescent="0.3">
      <c r="F1972" s="43"/>
      <c r="G1972" s="43"/>
    </row>
    <row r="1973" spans="6:18" x14ac:dyDescent="0.3">
      <c r="F1973" s="43"/>
      <c r="G1973" s="43"/>
    </row>
    <row r="1974" spans="6:18" x14ac:dyDescent="0.3">
      <c r="F1974" s="43"/>
      <c r="G1974" s="43"/>
    </row>
    <row r="1975" spans="6:18" x14ac:dyDescent="0.3">
      <c r="F1975" s="43"/>
      <c r="G1975" s="43"/>
    </row>
    <row r="1976" spans="6:18" x14ac:dyDescent="0.3">
      <c r="F1976" s="43"/>
      <c r="G1976" s="43"/>
    </row>
    <row r="1977" spans="6:18" x14ac:dyDescent="0.3">
      <c r="F1977" s="43"/>
      <c r="G1977" s="43"/>
    </row>
    <row r="1978" spans="6:18" x14ac:dyDescent="0.3">
      <c r="F1978" s="43"/>
      <c r="G1978" s="43"/>
    </row>
    <row r="1979" spans="6:18" x14ac:dyDescent="0.3">
      <c r="F1979" s="43"/>
      <c r="G1979" s="43"/>
      <c r="R1979" s="51"/>
    </row>
    <row r="1980" spans="6:18" x14ac:dyDescent="0.3">
      <c r="F1980" s="43"/>
      <c r="G1980" s="43"/>
    </row>
    <row r="1981" spans="6:18" x14ac:dyDescent="0.3">
      <c r="F1981" s="43"/>
      <c r="G1981" s="43"/>
    </row>
    <row r="1982" spans="6:18" x14ac:dyDescent="0.3">
      <c r="F1982" s="43"/>
      <c r="G1982" s="43"/>
    </row>
    <row r="1983" spans="6:18" x14ac:dyDescent="0.3">
      <c r="F1983" s="43"/>
      <c r="G1983" s="43"/>
    </row>
    <row r="1984" spans="6:18" x14ac:dyDescent="0.3">
      <c r="F1984" s="43"/>
      <c r="G1984" s="43"/>
    </row>
    <row r="1985" spans="6:7" x14ac:dyDescent="0.3">
      <c r="F1985" s="43"/>
      <c r="G1985" s="43"/>
    </row>
    <row r="1986" spans="6:7" x14ac:dyDescent="0.3">
      <c r="F1986" s="43"/>
      <c r="G1986" s="43"/>
    </row>
    <row r="1987" spans="6:7" x14ac:dyDescent="0.3">
      <c r="F1987" s="43"/>
      <c r="G1987" s="43"/>
    </row>
    <row r="1988" spans="6:7" x14ac:dyDescent="0.3">
      <c r="F1988" s="43"/>
      <c r="G1988" s="43"/>
    </row>
    <row r="1989" spans="6:7" x14ac:dyDescent="0.3">
      <c r="F1989" s="43"/>
      <c r="G1989" s="43"/>
    </row>
    <row r="1990" spans="6:7" x14ac:dyDescent="0.3">
      <c r="F1990" s="43"/>
      <c r="G1990" s="43"/>
    </row>
    <row r="1991" spans="6:7" x14ac:dyDescent="0.3">
      <c r="F1991" s="43"/>
      <c r="G1991" s="43"/>
    </row>
    <row r="1992" spans="6:7" x14ac:dyDescent="0.3">
      <c r="F1992" s="43"/>
      <c r="G1992" s="43"/>
    </row>
    <row r="1993" spans="6:7" x14ac:dyDescent="0.3">
      <c r="F1993" s="43"/>
      <c r="G1993" s="43"/>
    </row>
    <row r="1994" spans="6:7" x14ac:dyDescent="0.3">
      <c r="F1994" s="43"/>
      <c r="G1994" s="43"/>
    </row>
    <row r="1995" spans="6:7" x14ac:dyDescent="0.3">
      <c r="F1995" s="43"/>
      <c r="G1995" s="43"/>
    </row>
    <row r="1996" spans="6:7" x14ac:dyDescent="0.3">
      <c r="F1996" s="43"/>
      <c r="G1996" s="43"/>
    </row>
    <row r="1997" spans="6:7" x14ac:dyDescent="0.3">
      <c r="F1997" s="43"/>
      <c r="G1997" s="43"/>
    </row>
    <row r="1998" spans="6:7" x14ac:dyDescent="0.3">
      <c r="F1998" s="43"/>
      <c r="G1998" s="43"/>
    </row>
    <row r="1999" spans="6:7" x14ac:dyDescent="0.3">
      <c r="F1999" s="43"/>
      <c r="G1999" s="43"/>
    </row>
    <row r="2000" spans="6:7" x14ac:dyDescent="0.3">
      <c r="F2000" s="43"/>
      <c r="G2000" s="43"/>
    </row>
    <row r="2001" spans="6:7" x14ac:dyDescent="0.3">
      <c r="F2001" s="43"/>
      <c r="G2001" s="43"/>
    </row>
    <row r="2002" spans="6:7" x14ac:dyDescent="0.3">
      <c r="F2002" s="43"/>
      <c r="G2002" s="43"/>
    </row>
    <row r="2003" spans="6:7" x14ac:dyDescent="0.3">
      <c r="F2003" s="43"/>
      <c r="G2003" s="43"/>
    </row>
    <row r="2004" spans="6:7" x14ac:dyDescent="0.3">
      <c r="F2004" s="43"/>
      <c r="G2004" s="43"/>
    </row>
    <row r="2005" spans="6:7" x14ac:dyDescent="0.3">
      <c r="F2005" s="43"/>
      <c r="G2005" s="43"/>
    </row>
    <row r="2006" spans="6:7" x14ac:dyDescent="0.3">
      <c r="F2006" s="43"/>
      <c r="G2006" s="43"/>
    </row>
    <row r="2007" spans="6:7" x14ac:dyDescent="0.3">
      <c r="F2007" s="43"/>
      <c r="G2007" s="43"/>
    </row>
    <row r="2008" spans="6:7" x14ac:dyDescent="0.3">
      <c r="F2008" s="43"/>
      <c r="G2008" s="43"/>
    </row>
    <row r="2009" spans="6:7" x14ac:dyDescent="0.3">
      <c r="F2009" s="43"/>
      <c r="G2009" s="43"/>
    </row>
    <row r="2010" spans="6:7" x14ac:dyDescent="0.3">
      <c r="F2010" s="43"/>
      <c r="G2010" s="43"/>
    </row>
    <row r="2011" spans="6:7" x14ac:dyDescent="0.3">
      <c r="F2011" s="43"/>
      <c r="G2011" s="43"/>
    </row>
    <row r="2012" spans="6:7" x14ac:dyDescent="0.3">
      <c r="F2012" s="43"/>
      <c r="G2012" s="43"/>
    </row>
    <row r="2013" spans="6:7" x14ac:dyDescent="0.3">
      <c r="F2013" s="43"/>
      <c r="G2013" s="43"/>
    </row>
    <row r="2014" spans="6:7" x14ac:dyDescent="0.3">
      <c r="F2014" s="43"/>
      <c r="G2014" s="43"/>
    </row>
    <row r="2015" spans="6:7" x14ac:dyDescent="0.3">
      <c r="F2015" s="43"/>
      <c r="G2015" s="43"/>
    </row>
    <row r="2016" spans="6:7" x14ac:dyDescent="0.3">
      <c r="F2016" s="43"/>
      <c r="G2016" s="43"/>
    </row>
    <row r="2017" spans="6:7" x14ac:dyDescent="0.3">
      <c r="F2017" s="43"/>
      <c r="G2017" s="43"/>
    </row>
    <row r="2018" spans="6:7" x14ac:dyDescent="0.3">
      <c r="F2018" s="43"/>
      <c r="G2018" s="43"/>
    </row>
    <row r="2019" spans="6:7" x14ac:dyDescent="0.3">
      <c r="F2019" s="1"/>
      <c r="G2019" s="1"/>
    </row>
    <row r="2020" spans="6:7" x14ac:dyDescent="0.3">
      <c r="F2020" s="43"/>
      <c r="G2020" s="43"/>
    </row>
    <row r="2021" spans="6:7" x14ac:dyDescent="0.3">
      <c r="F2021" s="43"/>
      <c r="G2021" s="43"/>
    </row>
    <row r="2022" spans="6:7" x14ac:dyDescent="0.3">
      <c r="F2022" s="43"/>
      <c r="G2022" s="43"/>
    </row>
    <row r="2023" spans="6:7" x14ac:dyDescent="0.3">
      <c r="F2023" s="43"/>
      <c r="G2023" s="43"/>
    </row>
    <row r="2024" spans="6:7" x14ac:dyDescent="0.3">
      <c r="F2024" s="43"/>
      <c r="G2024" s="43"/>
    </row>
    <row r="2025" spans="6:7" x14ac:dyDescent="0.3">
      <c r="F2025" s="43"/>
      <c r="G2025" s="43"/>
    </row>
    <row r="2026" spans="6:7" x14ac:dyDescent="0.3">
      <c r="F2026" s="43"/>
      <c r="G2026" s="43"/>
    </row>
    <row r="2027" spans="6:7" x14ac:dyDescent="0.3">
      <c r="F2027" s="43"/>
      <c r="G2027" s="43"/>
    </row>
    <row r="2028" spans="6:7" x14ac:dyDescent="0.3">
      <c r="F2028" s="43"/>
      <c r="G2028" s="43"/>
    </row>
    <row r="2029" spans="6:7" x14ac:dyDescent="0.3">
      <c r="F2029" s="43"/>
      <c r="G2029" s="43"/>
    </row>
    <row r="2030" spans="6:7" x14ac:dyDescent="0.3">
      <c r="F2030" s="43"/>
      <c r="G2030" s="43"/>
    </row>
    <row r="2031" spans="6:7" x14ac:dyDescent="0.3">
      <c r="F2031" s="43"/>
      <c r="G2031" s="43"/>
    </row>
    <row r="2032" spans="6:7" x14ac:dyDescent="0.3">
      <c r="F2032" s="43"/>
      <c r="G2032" s="43"/>
    </row>
    <row r="2033" spans="6:7" x14ac:dyDescent="0.3">
      <c r="F2033" s="43"/>
      <c r="G2033" s="43"/>
    </row>
    <row r="2034" spans="6:7" x14ac:dyDescent="0.3">
      <c r="F2034" s="43"/>
      <c r="G2034" s="43"/>
    </row>
    <row r="2035" spans="6:7" x14ac:dyDescent="0.3">
      <c r="F2035" s="43"/>
      <c r="G2035" s="43"/>
    </row>
    <row r="2036" spans="6:7" x14ac:dyDescent="0.3">
      <c r="F2036" s="43"/>
      <c r="G2036" s="43"/>
    </row>
    <row r="2037" spans="6:7" x14ac:dyDescent="0.3">
      <c r="F2037" s="43"/>
      <c r="G2037" s="43"/>
    </row>
    <row r="2038" spans="6:7" x14ac:dyDescent="0.3">
      <c r="F2038" s="43"/>
      <c r="G2038" s="43"/>
    </row>
    <row r="2039" spans="6:7" x14ac:dyDescent="0.3">
      <c r="F2039" s="43"/>
      <c r="G2039" s="43"/>
    </row>
    <row r="2040" spans="6:7" x14ac:dyDescent="0.3">
      <c r="F2040" s="43"/>
      <c r="G2040" s="43"/>
    </row>
    <row r="2041" spans="6:7" x14ac:dyDescent="0.3">
      <c r="F2041" s="43"/>
      <c r="G2041" s="43"/>
    </row>
    <row r="2042" spans="6:7" x14ac:dyDescent="0.3">
      <c r="F2042" s="1"/>
      <c r="G2042" s="1"/>
    </row>
    <row r="2043" spans="6:7" x14ac:dyDescent="0.3">
      <c r="F2043" s="43"/>
      <c r="G2043" s="43"/>
    </row>
    <row r="2044" spans="6:7" x14ac:dyDescent="0.3">
      <c r="F2044" s="43"/>
      <c r="G2044" s="43"/>
    </row>
    <row r="2045" spans="6:7" x14ac:dyDescent="0.3">
      <c r="F2045" s="43"/>
      <c r="G2045" s="43"/>
    </row>
    <row r="2046" spans="6:7" x14ac:dyDescent="0.3">
      <c r="F2046" s="43"/>
      <c r="G2046" s="43"/>
    </row>
    <row r="2047" spans="6:7" x14ac:dyDescent="0.3">
      <c r="F2047" s="43"/>
      <c r="G2047" s="43"/>
    </row>
    <row r="2048" spans="6:7" x14ac:dyDescent="0.3">
      <c r="F2048" s="43"/>
      <c r="G2048" s="43"/>
    </row>
    <row r="2049" spans="6:7" x14ac:dyDescent="0.3">
      <c r="F2049" s="43"/>
      <c r="G2049" s="43"/>
    </row>
    <row r="2050" spans="6:7" x14ac:dyDescent="0.3">
      <c r="F2050" s="43"/>
      <c r="G2050" s="43"/>
    </row>
    <row r="2051" spans="6:7" x14ac:dyDescent="0.3">
      <c r="F2051" s="43"/>
      <c r="G2051" s="43"/>
    </row>
    <row r="2052" spans="6:7" x14ac:dyDescent="0.3">
      <c r="F2052" s="43"/>
      <c r="G2052" s="43"/>
    </row>
    <row r="2053" spans="6:7" x14ac:dyDescent="0.3">
      <c r="F2053" s="43"/>
      <c r="G2053" s="43"/>
    </row>
    <row r="2054" spans="6:7" x14ac:dyDescent="0.3">
      <c r="F2054" s="43"/>
      <c r="G2054" s="43"/>
    </row>
    <row r="2055" spans="6:7" x14ac:dyDescent="0.3">
      <c r="F2055" s="43"/>
      <c r="G2055" s="43"/>
    </row>
    <row r="2056" spans="6:7" x14ac:dyDescent="0.3">
      <c r="F2056" s="43"/>
      <c r="G2056" s="43"/>
    </row>
    <row r="2057" spans="6:7" x14ac:dyDescent="0.3">
      <c r="F2057" s="43"/>
      <c r="G2057" s="43"/>
    </row>
    <row r="2058" spans="6:7" x14ac:dyDescent="0.3">
      <c r="F2058" s="43"/>
      <c r="G2058" s="43"/>
    </row>
    <row r="2059" spans="6:7" x14ac:dyDescent="0.3">
      <c r="F2059" s="43"/>
      <c r="G2059" s="43"/>
    </row>
    <row r="2060" spans="6:7" x14ac:dyDescent="0.3">
      <c r="F2060" s="43"/>
      <c r="G2060" s="43"/>
    </row>
    <row r="2061" spans="6:7" x14ac:dyDescent="0.3">
      <c r="F2061" s="43"/>
      <c r="G2061" s="43"/>
    </row>
    <row r="2062" spans="6:7" x14ac:dyDescent="0.3">
      <c r="F2062" s="43"/>
      <c r="G2062" s="43"/>
    </row>
    <row r="2063" spans="6:7" x14ac:dyDescent="0.3">
      <c r="F2063" s="43"/>
      <c r="G2063" s="43"/>
    </row>
    <row r="2064" spans="6:7" x14ac:dyDescent="0.3">
      <c r="F2064" s="43"/>
      <c r="G2064" s="43"/>
    </row>
    <row r="2065" spans="6:7" x14ac:dyDescent="0.3">
      <c r="F2065" s="43"/>
      <c r="G2065" s="43"/>
    </row>
    <row r="2066" spans="6:7" x14ac:dyDescent="0.3">
      <c r="F2066" s="43"/>
      <c r="G2066" s="43"/>
    </row>
    <row r="2067" spans="6:7" x14ac:dyDescent="0.3">
      <c r="F2067" s="43"/>
      <c r="G2067" s="43"/>
    </row>
    <row r="2068" spans="6:7" x14ac:dyDescent="0.3">
      <c r="F2068" s="43"/>
      <c r="G2068" s="43"/>
    </row>
    <row r="2069" spans="6:7" x14ac:dyDescent="0.3">
      <c r="F2069" s="43"/>
      <c r="G2069" s="43"/>
    </row>
    <row r="2070" spans="6:7" x14ac:dyDescent="0.3">
      <c r="F2070" s="43"/>
      <c r="G2070" s="43"/>
    </row>
    <row r="2071" spans="6:7" x14ac:dyDescent="0.3">
      <c r="F2071" s="43"/>
      <c r="G2071" s="43"/>
    </row>
    <row r="2072" spans="6:7" x14ac:dyDescent="0.3">
      <c r="F2072" s="43"/>
      <c r="G2072" s="43"/>
    </row>
    <row r="2073" spans="6:7" x14ac:dyDescent="0.3">
      <c r="F2073" s="43"/>
      <c r="G2073" s="43"/>
    </row>
    <row r="2074" spans="6:7" x14ac:dyDescent="0.3">
      <c r="F2074" s="43"/>
      <c r="G2074" s="43"/>
    </row>
    <row r="2075" spans="6:7" x14ac:dyDescent="0.3">
      <c r="F2075" s="43"/>
      <c r="G2075" s="43"/>
    </row>
    <row r="2076" spans="6:7" x14ac:dyDescent="0.3">
      <c r="F2076" s="43"/>
      <c r="G2076" s="43"/>
    </row>
    <row r="2077" spans="6:7" x14ac:dyDescent="0.3">
      <c r="F2077" s="43"/>
      <c r="G2077" s="43"/>
    </row>
    <row r="2078" spans="6:7" x14ac:dyDescent="0.3">
      <c r="F2078" s="43"/>
      <c r="G2078" s="43"/>
    </row>
    <row r="2079" spans="6:7" x14ac:dyDescent="0.3">
      <c r="F2079" s="43"/>
      <c r="G2079" s="43"/>
    </row>
    <row r="2080" spans="6:7" x14ac:dyDescent="0.3">
      <c r="F2080" s="43"/>
      <c r="G2080" s="43"/>
    </row>
    <row r="2081" spans="6:7" x14ac:dyDescent="0.3">
      <c r="F2081" s="43"/>
      <c r="G2081" s="43"/>
    </row>
    <row r="2082" spans="6:7" x14ac:dyDescent="0.3">
      <c r="F2082" s="43"/>
      <c r="G2082" s="43"/>
    </row>
    <row r="2083" spans="6:7" x14ac:dyDescent="0.3">
      <c r="F2083" s="43"/>
      <c r="G2083" s="43"/>
    </row>
    <row r="2084" spans="6:7" x14ac:dyDescent="0.3">
      <c r="F2084" s="43"/>
      <c r="G2084" s="43"/>
    </row>
    <row r="2085" spans="6:7" x14ac:dyDescent="0.3">
      <c r="F2085" s="43"/>
      <c r="G2085" s="43"/>
    </row>
    <row r="2086" spans="6:7" x14ac:dyDescent="0.3">
      <c r="F2086" s="43"/>
      <c r="G2086" s="43"/>
    </row>
    <row r="2087" spans="6:7" x14ac:dyDescent="0.3">
      <c r="F2087" s="43"/>
      <c r="G2087" s="43"/>
    </row>
    <row r="2088" spans="6:7" x14ac:dyDescent="0.3">
      <c r="F2088" s="43"/>
      <c r="G2088" s="43"/>
    </row>
    <row r="2089" spans="6:7" x14ac:dyDescent="0.3">
      <c r="F2089" s="43"/>
      <c r="G2089" s="43"/>
    </row>
    <row r="2090" spans="6:7" x14ac:dyDescent="0.3">
      <c r="F2090" s="43"/>
      <c r="G2090" s="43"/>
    </row>
    <row r="2091" spans="6:7" x14ac:dyDescent="0.3">
      <c r="F2091" s="43"/>
      <c r="G2091" s="43"/>
    </row>
    <row r="2092" spans="6:7" x14ac:dyDescent="0.3">
      <c r="F2092" s="43"/>
      <c r="G2092" s="43"/>
    </row>
    <row r="2093" spans="6:7" x14ac:dyDescent="0.3">
      <c r="F2093" s="43"/>
      <c r="G2093" s="43"/>
    </row>
    <row r="2094" spans="6:7" x14ac:dyDescent="0.3">
      <c r="F2094" s="43"/>
      <c r="G2094" s="43"/>
    </row>
    <row r="2095" spans="6:7" x14ac:dyDescent="0.3">
      <c r="F2095" s="43"/>
      <c r="G2095" s="43"/>
    </row>
    <row r="2096" spans="6:7" x14ac:dyDescent="0.3">
      <c r="F2096" s="43"/>
      <c r="G2096" s="43"/>
    </row>
    <row r="2097" spans="6:7" x14ac:dyDescent="0.3">
      <c r="F2097" s="43"/>
      <c r="G2097" s="43"/>
    </row>
    <row r="2098" spans="6:7" x14ac:dyDescent="0.3">
      <c r="F2098" s="43"/>
      <c r="G2098" s="43"/>
    </row>
    <row r="2099" spans="6:7" x14ac:dyDescent="0.3">
      <c r="F2099" s="43"/>
      <c r="G2099" s="43"/>
    </row>
    <row r="2100" spans="6:7" x14ac:dyDescent="0.3">
      <c r="F2100" s="43"/>
      <c r="G2100" s="43"/>
    </row>
    <row r="2101" spans="6:7" x14ac:dyDescent="0.3">
      <c r="F2101" s="43"/>
      <c r="G2101" s="43"/>
    </row>
    <row r="2102" spans="6:7" x14ac:dyDescent="0.3">
      <c r="F2102" s="43"/>
      <c r="G2102" s="43"/>
    </row>
    <row r="2103" spans="6:7" x14ac:dyDescent="0.3">
      <c r="F2103" s="43"/>
      <c r="G2103" s="43"/>
    </row>
    <row r="2104" spans="6:7" x14ac:dyDescent="0.3">
      <c r="F2104" s="43"/>
      <c r="G2104" s="43"/>
    </row>
    <row r="2105" spans="6:7" x14ac:dyDescent="0.3">
      <c r="F2105" s="43"/>
      <c r="G2105" s="43"/>
    </row>
    <row r="2106" spans="6:7" x14ac:dyDescent="0.3">
      <c r="F2106" s="43"/>
      <c r="G2106" s="43"/>
    </row>
    <row r="2107" spans="6:7" x14ac:dyDescent="0.3">
      <c r="F2107" s="43"/>
      <c r="G2107" s="43"/>
    </row>
    <row r="2108" spans="6:7" x14ac:dyDescent="0.3">
      <c r="F2108" s="43"/>
      <c r="G2108" s="43"/>
    </row>
    <row r="2109" spans="6:7" x14ac:dyDescent="0.3">
      <c r="F2109" s="43"/>
      <c r="G2109" s="43"/>
    </row>
    <row r="2110" spans="6:7" x14ac:dyDescent="0.3">
      <c r="F2110" s="43"/>
      <c r="G2110" s="43"/>
    </row>
    <row r="2111" spans="6:7" x14ac:dyDescent="0.3">
      <c r="F2111" s="43"/>
      <c r="G2111" s="43"/>
    </row>
    <row r="2112" spans="6:7" x14ac:dyDescent="0.3">
      <c r="F2112" s="43"/>
      <c r="G2112" s="43"/>
    </row>
    <row r="2113" spans="6:7" x14ac:dyDescent="0.3">
      <c r="F2113" s="43"/>
      <c r="G2113" s="43"/>
    </row>
    <row r="2114" spans="6:7" x14ac:dyDescent="0.3">
      <c r="F2114" s="43"/>
      <c r="G2114" s="43"/>
    </row>
    <row r="2115" spans="6:7" x14ac:dyDescent="0.3">
      <c r="F2115" s="43"/>
      <c r="G2115" s="43"/>
    </row>
    <row r="2116" spans="6:7" x14ac:dyDescent="0.3">
      <c r="F2116" s="43"/>
      <c r="G2116" s="43"/>
    </row>
    <row r="2117" spans="6:7" x14ac:dyDescent="0.3">
      <c r="F2117" s="43"/>
      <c r="G2117" s="43"/>
    </row>
    <row r="2118" spans="6:7" x14ac:dyDescent="0.3">
      <c r="F2118" s="43"/>
      <c r="G2118" s="43"/>
    </row>
    <row r="2119" spans="6:7" x14ac:dyDescent="0.3">
      <c r="F2119" s="43"/>
      <c r="G2119" s="43"/>
    </row>
    <row r="2120" spans="6:7" x14ac:dyDescent="0.3">
      <c r="F2120" s="43"/>
      <c r="G2120" s="43"/>
    </row>
    <row r="2121" spans="6:7" x14ac:dyDescent="0.3">
      <c r="F2121" s="43"/>
      <c r="G2121" s="43"/>
    </row>
    <row r="2122" spans="6:7" x14ac:dyDescent="0.3">
      <c r="F2122" s="43"/>
      <c r="G2122" s="43"/>
    </row>
    <row r="2123" spans="6:7" x14ac:dyDescent="0.3">
      <c r="F2123" s="43"/>
      <c r="G2123" s="43"/>
    </row>
    <row r="2124" spans="6:7" x14ac:dyDescent="0.3">
      <c r="F2124" s="43"/>
      <c r="G2124" s="43"/>
    </row>
    <row r="2125" spans="6:7" x14ac:dyDescent="0.3">
      <c r="F2125" s="43"/>
      <c r="G2125" s="43"/>
    </row>
    <row r="2126" spans="6:7" x14ac:dyDescent="0.3">
      <c r="F2126" s="43"/>
      <c r="G2126" s="43"/>
    </row>
    <row r="2127" spans="6:7" x14ac:dyDescent="0.3">
      <c r="F2127" s="43"/>
      <c r="G2127" s="43"/>
    </row>
    <row r="2128" spans="6:7" x14ac:dyDescent="0.3">
      <c r="F2128" s="43"/>
      <c r="G2128" s="43"/>
    </row>
    <row r="2129" spans="6:7" x14ac:dyDescent="0.3">
      <c r="F2129" s="43"/>
      <c r="G2129" s="43"/>
    </row>
    <row r="2130" spans="6:7" x14ac:dyDescent="0.3">
      <c r="F2130" s="43"/>
      <c r="G2130" s="43"/>
    </row>
    <row r="2131" spans="6:7" x14ac:dyDescent="0.3">
      <c r="F2131" s="43"/>
      <c r="G2131" s="43"/>
    </row>
    <row r="2132" spans="6:7" x14ac:dyDescent="0.3">
      <c r="F2132" s="43"/>
      <c r="G2132" s="43"/>
    </row>
    <row r="2133" spans="6:7" x14ac:dyDescent="0.3">
      <c r="F2133" s="43"/>
      <c r="G2133" s="43"/>
    </row>
    <row r="2134" spans="6:7" x14ac:dyDescent="0.3">
      <c r="F2134" s="43"/>
      <c r="G2134" s="43"/>
    </row>
    <row r="2135" spans="6:7" x14ac:dyDescent="0.3">
      <c r="F2135" s="43"/>
      <c r="G2135" s="43"/>
    </row>
    <row r="2136" spans="6:7" x14ac:dyDescent="0.3">
      <c r="F2136" s="43"/>
      <c r="G2136" s="43"/>
    </row>
    <row r="2137" spans="6:7" x14ac:dyDescent="0.3">
      <c r="F2137" s="43"/>
      <c r="G2137" s="43"/>
    </row>
    <row r="2138" spans="6:7" x14ac:dyDescent="0.3">
      <c r="F2138" s="43"/>
      <c r="G2138" s="43"/>
    </row>
    <row r="2139" spans="6:7" x14ac:dyDescent="0.3">
      <c r="F2139" s="43"/>
      <c r="G2139" s="43"/>
    </row>
    <row r="2140" spans="6:7" x14ac:dyDescent="0.3">
      <c r="F2140" s="43"/>
      <c r="G2140" s="43"/>
    </row>
    <row r="2141" spans="6:7" x14ac:dyDescent="0.3">
      <c r="F2141" s="43"/>
      <c r="G2141" s="43"/>
    </row>
    <row r="2142" spans="6:7" x14ac:dyDescent="0.3">
      <c r="F2142" s="43"/>
      <c r="G2142" s="43"/>
    </row>
    <row r="2143" spans="6:7" x14ac:dyDescent="0.3">
      <c r="F2143" s="43"/>
      <c r="G2143" s="43"/>
    </row>
    <row r="2144" spans="6:7" x14ac:dyDescent="0.3">
      <c r="F2144" s="43"/>
      <c r="G2144" s="43"/>
    </row>
    <row r="2145" spans="6:7" x14ac:dyDescent="0.3">
      <c r="F2145" s="43"/>
      <c r="G2145" s="43"/>
    </row>
    <row r="2146" spans="6:7" x14ac:dyDescent="0.3">
      <c r="F2146" s="43"/>
      <c r="G2146" s="43"/>
    </row>
    <row r="2147" spans="6:7" x14ac:dyDescent="0.3">
      <c r="F2147" s="43"/>
      <c r="G2147" s="43"/>
    </row>
    <row r="2148" spans="6:7" x14ac:dyDescent="0.3">
      <c r="F2148" s="43"/>
      <c r="G2148" s="43"/>
    </row>
    <row r="2149" spans="6:7" x14ac:dyDescent="0.3">
      <c r="F2149" s="43"/>
      <c r="G2149" s="43"/>
    </row>
    <row r="2150" spans="6:7" x14ac:dyDescent="0.3">
      <c r="F2150" s="43"/>
      <c r="G2150" s="43"/>
    </row>
    <row r="2151" spans="6:7" x14ac:dyDescent="0.3">
      <c r="F2151" s="43"/>
      <c r="G2151" s="43"/>
    </row>
    <row r="2152" spans="6:7" x14ac:dyDescent="0.3">
      <c r="F2152" s="43"/>
      <c r="G2152" s="43"/>
    </row>
    <row r="2153" spans="6:7" x14ac:dyDescent="0.3">
      <c r="F2153" s="43"/>
      <c r="G2153" s="43"/>
    </row>
    <row r="2154" spans="6:7" x14ac:dyDescent="0.3">
      <c r="F2154" s="43"/>
      <c r="G2154" s="43"/>
    </row>
    <row r="2155" spans="6:7" x14ac:dyDescent="0.3">
      <c r="F2155" s="43"/>
      <c r="G2155" s="43"/>
    </row>
    <row r="2156" spans="6:7" x14ac:dyDescent="0.3">
      <c r="F2156" s="43"/>
      <c r="G2156" s="43"/>
    </row>
    <row r="2157" spans="6:7" x14ac:dyDescent="0.3">
      <c r="F2157" s="43"/>
      <c r="G2157" s="43"/>
    </row>
    <row r="2158" spans="6:7" x14ac:dyDescent="0.3">
      <c r="F2158" s="43"/>
      <c r="G2158" s="43"/>
    </row>
    <row r="2159" spans="6:7" x14ac:dyDescent="0.3">
      <c r="F2159" s="43"/>
      <c r="G2159" s="43"/>
    </row>
    <row r="2160" spans="6:7" x14ac:dyDescent="0.3">
      <c r="F2160" s="43"/>
      <c r="G2160" s="43"/>
    </row>
    <row r="2161" spans="6:7" x14ac:dyDescent="0.3">
      <c r="F2161" s="43"/>
      <c r="G2161" s="43"/>
    </row>
    <row r="2162" spans="6:7" x14ac:dyDescent="0.3">
      <c r="F2162" s="43"/>
      <c r="G2162" s="43"/>
    </row>
    <row r="2163" spans="6:7" x14ac:dyDescent="0.3">
      <c r="F2163" s="43"/>
      <c r="G2163" s="43"/>
    </row>
    <row r="2164" spans="6:7" x14ac:dyDescent="0.3">
      <c r="F2164" s="43"/>
      <c r="G2164" s="43"/>
    </row>
    <row r="2165" spans="6:7" x14ac:dyDescent="0.3">
      <c r="F2165" s="43"/>
      <c r="G2165" s="43"/>
    </row>
    <row r="2166" spans="6:7" x14ac:dyDescent="0.3">
      <c r="F2166" s="43"/>
      <c r="G2166" s="43"/>
    </row>
    <row r="2167" spans="6:7" x14ac:dyDescent="0.3">
      <c r="F2167" s="43"/>
      <c r="G2167" s="43"/>
    </row>
    <row r="2168" spans="6:7" x14ac:dyDescent="0.3">
      <c r="F2168" s="43"/>
      <c r="G2168" s="43"/>
    </row>
    <row r="2169" spans="6:7" x14ac:dyDescent="0.3">
      <c r="F2169" s="43"/>
      <c r="G2169" s="43"/>
    </row>
    <row r="2170" spans="6:7" x14ac:dyDescent="0.3">
      <c r="F2170" s="43"/>
      <c r="G2170" s="43"/>
    </row>
    <row r="2171" spans="6:7" x14ac:dyDescent="0.3">
      <c r="F2171" s="43"/>
      <c r="G2171" s="43"/>
    </row>
    <row r="2172" spans="6:7" x14ac:dyDescent="0.3">
      <c r="F2172" s="43"/>
      <c r="G2172" s="43"/>
    </row>
    <row r="2173" spans="6:7" x14ac:dyDescent="0.3">
      <c r="F2173" s="43"/>
      <c r="G2173" s="43"/>
    </row>
    <row r="2174" spans="6:7" x14ac:dyDescent="0.3">
      <c r="F2174" s="43"/>
      <c r="G2174" s="43"/>
    </row>
    <row r="2175" spans="6:7" x14ac:dyDescent="0.3">
      <c r="F2175" s="43"/>
      <c r="G2175" s="43"/>
    </row>
    <row r="2176" spans="6:7" x14ac:dyDescent="0.3">
      <c r="F2176" s="43"/>
      <c r="G2176" s="43"/>
    </row>
    <row r="2177" spans="6:7" x14ac:dyDescent="0.3">
      <c r="F2177" s="43"/>
      <c r="G2177" s="43"/>
    </row>
    <row r="2178" spans="6:7" x14ac:dyDescent="0.3">
      <c r="F2178" s="43"/>
      <c r="G2178" s="43"/>
    </row>
    <row r="2179" spans="6:7" x14ac:dyDescent="0.3">
      <c r="F2179" s="43"/>
      <c r="G2179" s="43"/>
    </row>
    <row r="2180" spans="6:7" x14ac:dyDescent="0.3">
      <c r="F2180" s="43"/>
      <c r="G2180" s="43"/>
    </row>
    <row r="2181" spans="6:7" x14ac:dyDescent="0.3">
      <c r="F2181" s="43"/>
      <c r="G2181" s="43"/>
    </row>
    <row r="2182" spans="6:7" x14ac:dyDescent="0.3">
      <c r="F2182" s="43"/>
      <c r="G2182" s="43"/>
    </row>
    <row r="2183" spans="6:7" x14ac:dyDescent="0.3">
      <c r="F2183" s="43"/>
      <c r="G2183" s="43"/>
    </row>
    <row r="2184" spans="6:7" x14ac:dyDescent="0.3">
      <c r="F2184" s="43"/>
      <c r="G2184" s="43"/>
    </row>
    <row r="2185" spans="6:7" x14ac:dyDescent="0.3">
      <c r="F2185" s="43"/>
      <c r="G2185" s="43"/>
    </row>
    <row r="2186" spans="6:7" x14ac:dyDescent="0.3">
      <c r="F2186" s="43"/>
      <c r="G2186" s="43"/>
    </row>
    <row r="2187" spans="6:7" x14ac:dyDescent="0.3">
      <c r="F2187" s="43"/>
      <c r="G2187" s="43"/>
    </row>
    <row r="2188" spans="6:7" x14ac:dyDescent="0.3">
      <c r="F2188" s="43"/>
      <c r="G2188" s="43"/>
    </row>
    <row r="2189" spans="6:7" x14ac:dyDescent="0.3">
      <c r="F2189" s="43"/>
      <c r="G2189" s="43"/>
    </row>
    <row r="2190" spans="6:7" x14ac:dyDescent="0.3">
      <c r="F2190" s="43"/>
      <c r="G2190" s="43"/>
    </row>
    <row r="2191" spans="6:7" x14ac:dyDescent="0.3">
      <c r="F2191" s="43"/>
      <c r="G2191" s="43"/>
    </row>
    <row r="2192" spans="6:7" x14ac:dyDescent="0.3">
      <c r="F2192" s="43"/>
      <c r="G2192" s="43"/>
    </row>
    <row r="2193" spans="5:7" x14ac:dyDescent="0.3">
      <c r="F2193" s="43"/>
      <c r="G2193" s="43"/>
    </row>
    <row r="2194" spans="5:7" x14ac:dyDescent="0.3">
      <c r="F2194" s="43"/>
      <c r="G2194" s="43"/>
    </row>
    <row r="2195" spans="5:7" x14ac:dyDescent="0.3">
      <c r="F2195" s="43"/>
      <c r="G2195" s="43"/>
    </row>
    <row r="2196" spans="5:7" x14ac:dyDescent="0.3">
      <c r="F2196" s="43"/>
      <c r="G2196" s="43"/>
    </row>
    <row r="2197" spans="5:7" x14ac:dyDescent="0.3">
      <c r="F2197" s="43"/>
      <c r="G2197" s="43"/>
    </row>
    <row r="2198" spans="5:7" x14ac:dyDescent="0.3">
      <c r="F2198" s="43"/>
      <c r="G2198" s="43"/>
    </row>
    <row r="2199" spans="5:7" x14ac:dyDescent="0.3">
      <c r="F2199" s="43"/>
      <c r="G2199" s="43"/>
    </row>
    <row r="2200" spans="5:7" x14ac:dyDescent="0.3">
      <c r="F2200" s="43"/>
      <c r="G2200" s="43"/>
    </row>
    <row r="2201" spans="5:7" x14ac:dyDescent="0.3">
      <c r="F2201" s="43"/>
      <c r="G2201" s="43"/>
    </row>
    <row r="2202" spans="5:7" x14ac:dyDescent="0.3">
      <c r="F2202" s="43"/>
      <c r="G2202" s="43"/>
    </row>
    <row r="2203" spans="5:7" x14ac:dyDescent="0.3">
      <c r="F2203" s="43"/>
      <c r="G2203" s="43"/>
    </row>
    <row r="2204" spans="5:7" x14ac:dyDescent="0.3">
      <c r="E2204" s="44"/>
      <c r="F2204" s="43"/>
      <c r="G2204" s="43"/>
    </row>
    <row r="2205" spans="5:7" x14ac:dyDescent="0.3">
      <c r="F2205" s="43"/>
      <c r="G2205" s="43"/>
    </row>
    <row r="2206" spans="5:7" x14ac:dyDescent="0.3">
      <c r="F2206" s="43"/>
      <c r="G2206" s="43"/>
    </row>
    <row r="2207" spans="5:7" x14ac:dyDescent="0.3">
      <c r="F2207" s="43"/>
      <c r="G2207" s="43"/>
    </row>
    <row r="2208" spans="5:7" x14ac:dyDescent="0.3">
      <c r="F2208" s="43"/>
      <c r="G2208" s="43"/>
    </row>
    <row r="2209" spans="6:7" x14ac:dyDescent="0.3">
      <c r="F2209" s="43"/>
      <c r="G2209" s="43"/>
    </row>
    <row r="2210" spans="6:7" x14ac:dyDescent="0.3">
      <c r="F2210" s="43"/>
      <c r="G2210" s="43"/>
    </row>
    <row r="2211" spans="6:7" x14ac:dyDescent="0.3">
      <c r="F2211" s="43"/>
      <c r="G2211" s="43"/>
    </row>
    <row r="2212" spans="6:7" x14ac:dyDescent="0.3">
      <c r="F2212" s="43"/>
      <c r="G2212" s="43"/>
    </row>
    <row r="2213" spans="6:7" x14ac:dyDescent="0.3">
      <c r="F2213" s="43"/>
      <c r="G2213" s="43"/>
    </row>
    <row r="2214" spans="6:7" x14ac:dyDescent="0.3">
      <c r="F2214" s="43"/>
      <c r="G2214" s="43"/>
    </row>
    <row r="2215" spans="6:7" x14ac:dyDescent="0.3">
      <c r="F2215" s="43"/>
      <c r="G2215" s="43"/>
    </row>
    <row r="2216" spans="6:7" x14ac:dyDescent="0.3">
      <c r="F2216" s="43"/>
      <c r="G2216" s="43"/>
    </row>
    <row r="2217" spans="6:7" x14ac:dyDescent="0.3">
      <c r="F2217" s="43"/>
      <c r="G2217" s="43"/>
    </row>
    <row r="2218" spans="6:7" x14ac:dyDescent="0.3">
      <c r="F2218" s="43"/>
      <c r="G2218" s="43"/>
    </row>
    <row r="2219" spans="6:7" x14ac:dyDescent="0.3">
      <c r="F2219" s="43"/>
      <c r="G2219" s="43"/>
    </row>
    <row r="2220" spans="6:7" x14ac:dyDescent="0.3">
      <c r="F2220" s="43"/>
      <c r="G2220" s="43"/>
    </row>
    <row r="2221" spans="6:7" x14ac:dyDescent="0.3">
      <c r="F2221" s="43"/>
      <c r="G2221" s="43"/>
    </row>
    <row r="2222" spans="6:7" x14ac:dyDescent="0.3">
      <c r="F2222" s="43"/>
      <c r="G2222" s="43"/>
    </row>
    <row r="2223" spans="6:7" x14ac:dyDescent="0.3">
      <c r="F2223" s="43"/>
      <c r="G2223" s="43"/>
    </row>
    <row r="2224" spans="6:7" x14ac:dyDescent="0.3">
      <c r="F2224" s="43"/>
      <c r="G2224" s="43"/>
    </row>
    <row r="2225" spans="6:7" x14ac:dyDescent="0.3">
      <c r="F2225" s="43"/>
      <c r="G2225" s="43"/>
    </row>
    <row r="2226" spans="6:7" x14ac:dyDescent="0.3">
      <c r="F2226" s="43"/>
      <c r="G2226" s="43"/>
    </row>
    <row r="2227" spans="6:7" x14ac:dyDescent="0.3">
      <c r="F2227" s="43"/>
      <c r="G2227" s="43"/>
    </row>
    <row r="2228" spans="6:7" x14ac:dyDescent="0.3">
      <c r="F2228" s="43"/>
      <c r="G2228" s="43"/>
    </row>
    <row r="2229" spans="6:7" x14ac:dyDescent="0.3">
      <c r="F2229" s="43"/>
      <c r="G2229" s="43"/>
    </row>
    <row r="2230" spans="6:7" x14ac:dyDescent="0.3">
      <c r="F2230" s="43"/>
      <c r="G2230" s="43"/>
    </row>
    <row r="2231" spans="6:7" x14ac:dyDescent="0.3">
      <c r="F2231" s="43"/>
      <c r="G2231" s="43"/>
    </row>
    <row r="2232" spans="6:7" x14ac:dyDescent="0.3">
      <c r="F2232" s="43"/>
      <c r="G2232" s="43"/>
    </row>
    <row r="2233" spans="6:7" x14ac:dyDescent="0.3">
      <c r="F2233" s="43"/>
      <c r="G2233" s="43"/>
    </row>
    <row r="2234" spans="6:7" x14ac:dyDescent="0.3">
      <c r="F2234" s="43"/>
      <c r="G2234" s="43"/>
    </row>
    <row r="2235" spans="6:7" x14ac:dyDescent="0.3">
      <c r="F2235" s="43"/>
      <c r="G2235" s="43"/>
    </row>
    <row r="2236" spans="6:7" x14ac:dyDescent="0.3">
      <c r="F2236" s="43"/>
      <c r="G2236" s="43"/>
    </row>
    <row r="2237" spans="6:7" x14ac:dyDescent="0.3">
      <c r="F2237" s="43"/>
      <c r="G2237" s="43"/>
    </row>
    <row r="2238" spans="6:7" x14ac:dyDescent="0.3">
      <c r="F2238" s="43"/>
      <c r="G2238" s="43"/>
    </row>
    <row r="2239" spans="6:7" x14ac:dyDescent="0.3">
      <c r="F2239" s="43"/>
      <c r="G2239" s="43"/>
    </row>
    <row r="2240" spans="6:7" x14ac:dyDescent="0.3">
      <c r="F2240" s="43"/>
      <c r="G2240" s="43"/>
    </row>
    <row r="2241" spans="6:7" x14ac:dyDescent="0.3">
      <c r="F2241" s="43"/>
      <c r="G2241" s="43"/>
    </row>
    <row r="2242" spans="6:7" x14ac:dyDescent="0.3">
      <c r="F2242" s="43"/>
      <c r="G2242" s="43"/>
    </row>
    <row r="2243" spans="6:7" x14ac:dyDescent="0.3">
      <c r="F2243" s="43"/>
      <c r="G2243" s="43"/>
    </row>
    <row r="2244" spans="6:7" x14ac:dyDescent="0.3">
      <c r="F2244" s="43"/>
      <c r="G2244" s="43"/>
    </row>
    <row r="2245" spans="6:7" x14ac:dyDescent="0.3">
      <c r="F2245" s="43"/>
      <c r="G2245" s="43"/>
    </row>
    <row r="2246" spans="6:7" x14ac:dyDescent="0.3">
      <c r="F2246" s="43"/>
      <c r="G2246" s="43"/>
    </row>
    <row r="2247" spans="6:7" x14ac:dyDescent="0.3">
      <c r="F2247" s="43"/>
      <c r="G2247" s="43"/>
    </row>
    <row r="2248" spans="6:7" x14ac:dyDescent="0.3">
      <c r="F2248" s="43"/>
      <c r="G2248" s="43"/>
    </row>
    <row r="2249" spans="6:7" x14ac:dyDescent="0.3">
      <c r="F2249" s="1"/>
      <c r="G2249" s="1"/>
    </row>
    <row r="2250" spans="6:7" x14ac:dyDescent="0.3">
      <c r="F2250" s="43"/>
      <c r="G2250" s="43"/>
    </row>
    <row r="2251" spans="6:7" x14ac:dyDescent="0.3">
      <c r="F2251" s="43"/>
      <c r="G2251" s="43"/>
    </row>
    <row r="2252" spans="6:7" x14ac:dyDescent="0.3">
      <c r="F2252" s="43"/>
      <c r="G2252" s="43"/>
    </row>
    <row r="2253" spans="6:7" x14ac:dyDescent="0.3">
      <c r="F2253" s="43"/>
      <c r="G2253" s="43"/>
    </row>
    <row r="2254" spans="6:7" x14ac:dyDescent="0.3">
      <c r="F2254" s="43"/>
      <c r="G2254" s="43"/>
    </row>
    <row r="2255" spans="6:7" x14ac:dyDescent="0.3">
      <c r="F2255" s="43"/>
      <c r="G2255" s="43"/>
    </row>
    <row r="2256" spans="6:7" x14ac:dyDescent="0.3">
      <c r="F2256" s="43"/>
      <c r="G2256" s="43"/>
    </row>
    <row r="2257" spans="6:7" x14ac:dyDescent="0.3">
      <c r="F2257" s="43"/>
      <c r="G2257" s="43"/>
    </row>
    <row r="2258" spans="6:7" x14ac:dyDescent="0.3">
      <c r="F2258" s="43"/>
      <c r="G2258" s="43"/>
    </row>
    <row r="2259" spans="6:7" x14ac:dyDescent="0.3">
      <c r="F2259" s="43"/>
      <c r="G2259" s="43"/>
    </row>
    <row r="2260" spans="6:7" x14ac:dyDescent="0.3">
      <c r="F2260" s="43"/>
      <c r="G2260" s="43"/>
    </row>
    <row r="2261" spans="6:7" x14ac:dyDescent="0.3">
      <c r="F2261" s="43"/>
      <c r="G2261" s="43"/>
    </row>
    <row r="2262" spans="6:7" x14ac:dyDescent="0.3">
      <c r="F2262" s="43"/>
      <c r="G2262" s="43"/>
    </row>
    <row r="2263" spans="6:7" x14ac:dyDescent="0.3">
      <c r="F2263" s="43"/>
      <c r="G2263" s="43"/>
    </row>
    <row r="2264" spans="6:7" x14ac:dyDescent="0.3">
      <c r="F2264" s="43"/>
      <c r="G2264" s="43"/>
    </row>
    <row r="2265" spans="6:7" x14ac:dyDescent="0.3">
      <c r="F2265" s="43"/>
      <c r="G2265" s="43"/>
    </row>
    <row r="2266" spans="6:7" x14ac:dyDescent="0.3">
      <c r="F2266" s="43"/>
      <c r="G2266" s="43"/>
    </row>
    <row r="2267" spans="6:7" x14ac:dyDescent="0.3">
      <c r="F2267" s="43"/>
      <c r="G2267" s="43"/>
    </row>
    <row r="2268" spans="6:7" x14ac:dyDescent="0.3">
      <c r="F2268" s="43"/>
      <c r="G2268" s="43"/>
    </row>
    <row r="2269" spans="6:7" x14ac:dyDescent="0.3">
      <c r="F2269" s="43"/>
      <c r="G2269" s="43"/>
    </row>
    <row r="2270" spans="6:7" x14ac:dyDescent="0.3">
      <c r="F2270" s="43"/>
      <c r="G2270" s="43"/>
    </row>
    <row r="2271" spans="6:7" x14ac:dyDescent="0.3">
      <c r="F2271" s="43"/>
      <c r="G2271" s="43"/>
    </row>
    <row r="2272" spans="6:7" x14ac:dyDescent="0.3">
      <c r="F2272" s="43"/>
      <c r="G2272" s="43"/>
    </row>
    <row r="2273" spans="6:7" x14ac:dyDescent="0.3">
      <c r="F2273" s="43"/>
      <c r="G2273" s="43"/>
    </row>
    <row r="2274" spans="6:7" x14ac:dyDescent="0.3">
      <c r="F2274" s="43"/>
      <c r="G2274" s="43"/>
    </row>
    <row r="2275" spans="6:7" x14ac:dyDescent="0.3">
      <c r="F2275" s="43"/>
      <c r="G2275" s="43"/>
    </row>
    <row r="2276" spans="6:7" x14ac:dyDescent="0.3">
      <c r="F2276" s="43"/>
      <c r="G2276" s="43"/>
    </row>
    <row r="2277" spans="6:7" x14ac:dyDescent="0.3">
      <c r="F2277" s="43"/>
      <c r="G2277" s="43"/>
    </row>
    <row r="2278" spans="6:7" x14ac:dyDescent="0.3">
      <c r="F2278" s="43"/>
      <c r="G2278" s="43"/>
    </row>
    <row r="2279" spans="6:7" x14ac:dyDescent="0.3">
      <c r="F2279" s="43"/>
      <c r="G2279" s="43"/>
    </row>
    <row r="2280" spans="6:7" x14ac:dyDescent="0.3">
      <c r="F2280" s="43"/>
      <c r="G2280" s="43"/>
    </row>
    <row r="2281" spans="6:7" x14ac:dyDescent="0.3">
      <c r="F2281" s="43"/>
      <c r="G2281" s="43"/>
    </row>
    <row r="2282" spans="6:7" x14ac:dyDescent="0.3">
      <c r="F2282" s="43"/>
      <c r="G2282" s="43"/>
    </row>
    <row r="2283" spans="6:7" x14ac:dyDescent="0.3">
      <c r="F2283" s="43"/>
      <c r="G2283" s="43"/>
    </row>
    <row r="2284" spans="6:7" x14ac:dyDescent="0.3">
      <c r="F2284" s="43"/>
      <c r="G2284" s="43"/>
    </row>
    <row r="2285" spans="6:7" x14ac:dyDescent="0.3">
      <c r="F2285" s="43"/>
      <c r="G2285" s="43"/>
    </row>
    <row r="2286" spans="6:7" x14ac:dyDescent="0.3">
      <c r="F2286" s="43"/>
      <c r="G2286" s="43"/>
    </row>
    <row r="2287" spans="6:7" x14ac:dyDescent="0.3">
      <c r="F2287" s="43"/>
      <c r="G2287" s="43"/>
    </row>
    <row r="2288" spans="6:7" x14ac:dyDescent="0.3">
      <c r="F2288" s="43"/>
      <c r="G2288" s="43"/>
    </row>
    <row r="2289" spans="6:7" x14ac:dyDescent="0.3">
      <c r="F2289" s="43"/>
      <c r="G2289" s="43"/>
    </row>
    <row r="2290" spans="6:7" x14ac:dyDescent="0.3">
      <c r="F2290" s="43"/>
      <c r="G2290" s="43"/>
    </row>
    <row r="2291" spans="6:7" x14ac:dyDescent="0.3">
      <c r="F2291" s="43"/>
      <c r="G2291" s="43"/>
    </row>
    <row r="2292" spans="6:7" x14ac:dyDescent="0.3">
      <c r="F2292" s="43"/>
      <c r="G2292" s="43"/>
    </row>
    <row r="2293" spans="6:7" x14ac:dyDescent="0.3">
      <c r="F2293" s="43"/>
      <c r="G2293" s="43"/>
    </row>
    <row r="2294" spans="6:7" x14ac:dyDescent="0.3">
      <c r="F2294" s="43"/>
      <c r="G2294" s="43"/>
    </row>
    <row r="2295" spans="6:7" x14ac:dyDescent="0.3">
      <c r="F2295" s="43"/>
      <c r="G2295" s="43"/>
    </row>
    <row r="2296" spans="6:7" x14ac:dyDescent="0.3">
      <c r="F2296" s="43"/>
      <c r="G2296" s="43"/>
    </row>
    <row r="2297" spans="6:7" x14ac:dyDescent="0.3">
      <c r="F2297" s="43"/>
      <c r="G2297" s="43"/>
    </row>
    <row r="2298" spans="6:7" x14ac:dyDescent="0.3">
      <c r="F2298" s="43"/>
      <c r="G2298" s="43"/>
    </row>
    <row r="2299" spans="6:7" x14ac:dyDescent="0.3">
      <c r="F2299" s="43"/>
      <c r="G2299" s="43"/>
    </row>
    <row r="2300" spans="6:7" x14ac:dyDescent="0.3">
      <c r="F2300" s="43"/>
      <c r="G2300" s="43"/>
    </row>
    <row r="2301" spans="6:7" x14ac:dyDescent="0.3">
      <c r="F2301" s="43"/>
      <c r="G2301" s="43"/>
    </row>
    <row r="2302" spans="6:7" x14ac:dyDescent="0.3">
      <c r="F2302" s="43"/>
      <c r="G2302" s="43"/>
    </row>
    <row r="2303" spans="6:7" x14ac:dyDescent="0.3">
      <c r="F2303" s="43"/>
      <c r="G2303" s="43"/>
    </row>
    <row r="2304" spans="6:7" x14ac:dyDescent="0.3">
      <c r="F2304" s="43"/>
      <c r="G2304" s="43"/>
    </row>
    <row r="2305" spans="6:7" x14ac:dyDescent="0.3">
      <c r="F2305" s="43"/>
      <c r="G2305" s="43"/>
    </row>
    <row r="2306" spans="6:7" x14ac:dyDescent="0.3">
      <c r="F2306" s="43"/>
      <c r="G2306" s="43"/>
    </row>
    <row r="2307" spans="6:7" x14ac:dyDescent="0.3">
      <c r="F2307" s="43"/>
      <c r="G2307" s="43"/>
    </row>
    <row r="2308" spans="6:7" x14ac:dyDescent="0.3">
      <c r="F2308" s="43"/>
      <c r="G2308" s="43"/>
    </row>
    <row r="2309" spans="6:7" x14ac:dyDescent="0.3">
      <c r="F2309" s="43"/>
      <c r="G2309" s="43"/>
    </row>
    <row r="2310" spans="6:7" x14ac:dyDescent="0.3">
      <c r="F2310" s="43"/>
      <c r="G2310" s="43"/>
    </row>
    <row r="2311" spans="6:7" x14ac:dyDescent="0.3">
      <c r="F2311" s="43"/>
      <c r="G2311" s="43"/>
    </row>
    <row r="2312" spans="6:7" x14ac:dyDescent="0.3">
      <c r="F2312" s="43"/>
      <c r="G2312" s="43"/>
    </row>
    <row r="2313" spans="6:7" x14ac:dyDescent="0.3">
      <c r="F2313" s="43"/>
      <c r="G2313" s="43"/>
    </row>
    <row r="2314" spans="6:7" x14ac:dyDescent="0.3">
      <c r="F2314" s="43"/>
      <c r="G2314" s="43"/>
    </row>
    <row r="2315" spans="6:7" x14ac:dyDescent="0.3">
      <c r="F2315" s="43"/>
      <c r="G2315" s="43"/>
    </row>
    <row r="2316" spans="6:7" x14ac:dyDescent="0.3">
      <c r="F2316" s="43"/>
      <c r="G2316" s="43"/>
    </row>
    <row r="2317" spans="6:7" x14ac:dyDescent="0.3">
      <c r="F2317" s="43"/>
      <c r="G2317" s="43"/>
    </row>
    <row r="2318" spans="6:7" x14ac:dyDescent="0.3">
      <c r="F2318" s="43"/>
      <c r="G2318" s="43"/>
    </row>
    <row r="2319" spans="6:7" x14ac:dyDescent="0.3">
      <c r="F2319" s="43"/>
      <c r="G2319" s="43"/>
    </row>
    <row r="2320" spans="6:7" x14ac:dyDescent="0.3">
      <c r="F2320" s="43"/>
      <c r="G2320" s="43"/>
    </row>
    <row r="2321" spans="6:7" x14ac:dyDescent="0.3">
      <c r="F2321" s="43"/>
      <c r="G2321" s="43"/>
    </row>
    <row r="2322" spans="6:7" x14ac:dyDescent="0.3">
      <c r="F2322" s="43"/>
      <c r="G2322" s="43"/>
    </row>
    <row r="2323" spans="6:7" x14ac:dyDescent="0.3">
      <c r="F2323" s="43"/>
      <c r="G2323" s="43"/>
    </row>
    <row r="2324" spans="6:7" x14ac:dyDescent="0.3">
      <c r="F2324" s="43"/>
      <c r="G2324" s="43"/>
    </row>
    <row r="2325" spans="6:7" x14ac:dyDescent="0.3">
      <c r="F2325" s="43"/>
      <c r="G2325" s="43"/>
    </row>
    <row r="2326" spans="6:7" x14ac:dyDescent="0.3">
      <c r="F2326" s="43"/>
      <c r="G2326" s="43"/>
    </row>
    <row r="2327" spans="6:7" x14ac:dyDescent="0.3">
      <c r="F2327" s="43"/>
      <c r="G2327" s="43"/>
    </row>
    <row r="2328" spans="6:7" x14ac:dyDescent="0.3">
      <c r="F2328" s="43"/>
      <c r="G2328" s="43"/>
    </row>
    <row r="2329" spans="6:7" x14ac:dyDescent="0.3">
      <c r="F2329" s="43"/>
      <c r="G2329" s="43"/>
    </row>
    <row r="2330" spans="6:7" x14ac:dyDescent="0.3">
      <c r="F2330" s="43"/>
      <c r="G2330" s="43"/>
    </row>
    <row r="2331" spans="6:7" x14ac:dyDescent="0.3">
      <c r="F2331" s="43"/>
      <c r="G2331" s="43"/>
    </row>
    <row r="2332" spans="6:7" x14ac:dyDescent="0.3">
      <c r="F2332" s="43"/>
      <c r="G2332" s="43"/>
    </row>
    <row r="2333" spans="6:7" x14ac:dyDescent="0.3">
      <c r="F2333" s="43"/>
      <c r="G2333" s="43"/>
    </row>
    <row r="2334" spans="6:7" x14ac:dyDescent="0.3">
      <c r="F2334" s="43"/>
      <c r="G2334" s="43"/>
    </row>
    <row r="2335" spans="6:7" x14ac:dyDescent="0.3">
      <c r="F2335" s="43"/>
      <c r="G2335" s="43"/>
    </row>
    <row r="2336" spans="6:7" x14ac:dyDescent="0.3">
      <c r="F2336" s="43"/>
      <c r="G2336" s="43"/>
    </row>
    <row r="2337" spans="6:7" x14ac:dyDescent="0.3">
      <c r="F2337" s="43"/>
      <c r="G2337" s="43"/>
    </row>
    <row r="2338" spans="6:7" x14ac:dyDescent="0.3">
      <c r="F2338" s="43"/>
      <c r="G2338" s="43"/>
    </row>
    <row r="2339" spans="6:7" x14ac:dyDescent="0.3">
      <c r="F2339" s="43"/>
      <c r="G2339" s="43"/>
    </row>
    <row r="2340" spans="6:7" x14ac:dyDescent="0.3">
      <c r="F2340" s="43"/>
      <c r="G2340" s="43"/>
    </row>
    <row r="2341" spans="6:7" x14ac:dyDescent="0.3">
      <c r="F2341" s="43"/>
      <c r="G2341" s="43"/>
    </row>
    <row r="2342" spans="6:7" x14ac:dyDescent="0.3">
      <c r="F2342" s="43"/>
      <c r="G2342" s="43"/>
    </row>
    <row r="2343" spans="6:7" x14ac:dyDescent="0.3">
      <c r="F2343" s="43"/>
      <c r="G2343" s="43"/>
    </row>
    <row r="2344" spans="6:7" x14ac:dyDescent="0.3">
      <c r="F2344" s="43"/>
      <c r="G2344" s="43"/>
    </row>
    <row r="2345" spans="6:7" x14ac:dyDescent="0.3">
      <c r="F2345" s="43"/>
      <c r="G2345" s="43"/>
    </row>
    <row r="2346" spans="6:7" x14ac:dyDescent="0.3">
      <c r="F2346" s="43"/>
      <c r="G2346" s="43"/>
    </row>
    <row r="2347" spans="6:7" x14ac:dyDescent="0.3">
      <c r="F2347" s="43"/>
      <c r="G2347" s="43"/>
    </row>
    <row r="2348" spans="6:7" x14ac:dyDescent="0.3">
      <c r="F2348" s="43"/>
      <c r="G2348" s="43"/>
    </row>
    <row r="2349" spans="6:7" x14ac:dyDescent="0.3">
      <c r="F2349" s="43"/>
      <c r="G2349" s="43"/>
    </row>
    <row r="2350" spans="6:7" x14ac:dyDescent="0.3">
      <c r="F2350" s="43"/>
      <c r="G2350" s="43"/>
    </row>
    <row r="2351" spans="6:7" x14ac:dyDescent="0.3">
      <c r="F2351" s="43"/>
      <c r="G2351" s="43"/>
    </row>
    <row r="2352" spans="6:7" x14ac:dyDescent="0.3">
      <c r="F2352" s="43"/>
      <c r="G2352" s="43"/>
    </row>
    <row r="2353" spans="6:7" x14ac:dyDescent="0.3">
      <c r="F2353" s="43"/>
      <c r="G2353" s="43"/>
    </row>
    <row r="2354" spans="6:7" x14ac:dyDescent="0.3">
      <c r="F2354" s="43"/>
      <c r="G2354" s="43"/>
    </row>
    <row r="2355" spans="6:7" x14ac:dyDescent="0.3">
      <c r="F2355" s="43"/>
      <c r="G2355" s="43"/>
    </row>
    <row r="2356" spans="6:7" x14ac:dyDescent="0.3">
      <c r="F2356" s="43"/>
      <c r="G2356" s="43"/>
    </row>
    <row r="2357" spans="6:7" x14ac:dyDescent="0.3">
      <c r="F2357" s="43"/>
      <c r="G2357" s="43"/>
    </row>
    <row r="2358" spans="6:7" x14ac:dyDescent="0.3">
      <c r="F2358" s="43"/>
      <c r="G2358" s="43"/>
    </row>
    <row r="2359" spans="6:7" x14ac:dyDescent="0.3">
      <c r="F2359" s="43"/>
      <c r="G2359" s="43"/>
    </row>
    <row r="2360" spans="6:7" x14ac:dyDescent="0.3">
      <c r="F2360" s="43"/>
      <c r="G2360" s="43"/>
    </row>
    <row r="2361" spans="6:7" x14ac:dyDescent="0.3">
      <c r="F2361" s="43"/>
      <c r="G2361" s="43"/>
    </row>
    <row r="2362" spans="6:7" x14ac:dyDescent="0.3">
      <c r="F2362" s="43"/>
      <c r="G2362" s="43"/>
    </row>
    <row r="2363" spans="6:7" x14ac:dyDescent="0.3">
      <c r="F2363" s="43"/>
      <c r="G2363" s="43"/>
    </row>
    <row r="2364" spans="6:7" x14ac:dyDescent="0.3">
      <c r="F2364" s="43"/>
      <c r="G2364" s="43"/>
    </row>
    <row r="2365" spans="6:7" x14ac:dyDescent="0.3">
      <c r="F2365" s="43"/>
      <c r="G2365" s="43"/>
    </row>
    <row r="2366" spans="6:7" x14ac:dyDescent="0.3">
      <c r="F2366" s="43"/>
      <c r="G2366" s="43"/>
    </row>
    <row r="2367" spans="6:7" x14ac:dyDescent="0.3">
      <c r="F2367" s="43"/>
      <c r="G2367" s="43"/>
    </row>
    <row r="2368" spans="6:7" x14ac:dyDescent="0.3">
      <c r="F2368" s="43"/>
      <c r="G2368" s="43"/>
    </row>
    <row r="2369" spans="6:7" x14ac:dyDescent="0.3">
      <c r="F2369" s="43"/>
      <c r="G2369" s="43"/>
    </row>
    <row r="2370" spans="6:7" x14ac:dyDescent="0.3">
      <c r="F2370" s="43"/>
      <c r="G2370" s="43"/>
    </row>
    <row r="2371" spans="6:7" x14ac:dyDescent="0.3">
      <c r="F2371" s="43"/>
      <c r="G2371" s="43"/>
    </row>
    <row r="2372" spans="6:7" x14ac:dyDescent="0.3">
      <c r="F2372" s="43"/>
      <c r="G2372" s="43"/>
    </row>
    <row r="2373" spans="6:7" x14ac:dyDescent="0.3">
      <c r="F2373" s="43"/>
      <c r="G2373" s="43"/>
    </row>
    <row r="2374" spans="6:7" x14ac:dyDescent="0.3">
      <c r="F2374" s="43"/>
      <c r="G2374" s="43"/>
    </row>
    <row r="2375" spans="6:7" x14ac:dyDescent="0.3">
      <c r="F2375" s="43"/>
      <c r="G2375" s="43"/>
    </row>
    <row r="2376" spans="6:7" x14ac:dyDescent="0.3">
      <c r="F2376" s="43"/>
      <c r="G2376" s="43"/>
    </row>
    <row r="2377" spans="6:7" x14ac:dyDescent="0.3">
      <c r="F2377" s="43"/>
      <c r="G2377" s="43"/>
    </row>
    <row r="2378" spans="6:7" x14ac:dyDescent="0.3">
      <c r="F2378" s="43"/>
      <c r="G2378" s="43"/>
    </row>
    <row r="2379" spans="6:7" x14ac:dyDescent="0.3">
      <c r="F2379" s="43"/>
      <c r="G2379" s="43"/>
    </row>
    <row r="2380" spans="6:7" x14ac:dyDescent="0.3">
      <c r="F2380" s="43"/>
      <c r="G2380" s="43"/>
    </row>
    <row r="2381" spans="6:7" x14ac:dyDescent="0.3">
      <c r="F2381" s="43"/>
      <c r="G2381" s="43"/>
    </row>
    <row r="2382" spans="6:7" x14ac:dyDescent="0.3">
      <c r="F2382" s="43"/>
      <c r="G2382" s="43"/>
    </row>
    <row r="2383" spans="6:7" x14ac:dyDescent="0.3">
      <c r="F2383" s="43"/>
      <c r="G2383" s="43"/>
    </row>
    <row r="2384" spans="6:7" x14ac:dyDescent="0.3">
      <c r="F2384" s="43"/>
      <c r="G2384" s="43"/>
    </row>
    <row r="2385" spans="6:7" x14ac:dyDescent="0.3">
      <c r="F2385" s="43"/>
      <c r="G2385" s="43"/>
    </row>
    <row r="2386" spans="6:7" x14ac:dyDescent="0.3">
      <c r="F2386" s="43"/>
      <c r="G2386" s="43"/>
    </row>
    <row r="2387" spans="6:7" x14ac:dyDescent="0.3">
      <c r="F2387" s="43"/>
      <c r="G2387" s="43"/>
    </row>
    <row r="2388" spans="6:7" x14ac:dyDescent="0.3">
      <c r="F2388" s="43"/>
      <c r="G2388" s="43"/>
    </row>
    <row r="2389" spans="6:7" x14ac:dyDescent="0.3">
      <c r="F2389" s="43"/>
      <c r="G2389" s="43"/>
    </row>
    <row r="2390" spans="6:7" x14ac:dyDescent="0.3">
      <c r="F2390" s="43"/>
      <c r="G2390" s="43"/>
    </row>
    <row r="2391" spans="6:7" x14ac:dyDescent="0.3">
      <c r="F2391" s="43"/>
      <c r="G2391" s="43"/>
    </row>
    <row r="2392" spans="6:7" x14ac:dyDescent="0.3">
      <c r="F2392" s="43"/>
      <c r="G2392" s="43"/>
    </row>
    <row r="2393" spans="6:7" x14ac:dyDescent="0.3">
      <c r="F2393" s="43"/>
      <c r="G2393" s="43"/>
    </row>
    <row r="2394" spans="6:7" x14ac:dyDescent="0.3">
      <c r="F2394" s="43"/>
      <c r="G2394" s="43"/>
    </row>
    <row r="2395" spans="6:7" x14ac:dyDescent="0.3">
      <c r="F2395" s="43"/>
      <c r="G2395" s="43"/>
    </row>
    <row r="2396" spans="6:7" x14ac:dyDescent="0.3">
      <c r="F2396" s="43"/>
      <c r="G2396" s="43"/>
    </row>
    <row r="2397" spans="6:7" x14ac:dyDescent="0.3">
      <c r="F2397" s="43"/>
      <c r="G2397" s="43"/>
    </row>
    <row r="2398" spans="6:7" x14ac:dyDescent="0.3">
      <c r="F2398" s="43"/>
      <c r="G2398" s="43"/>
    </row>
    <row r="2399" spans="6:7" x14ac:dyDescent="0.3">
      <c r="F2399" s="43"/>
      <c r="G2399" s="43"/>
    </row>
    <row r="2400" spans="6:7" x14ac:dyDescent="0.3">
      <c r="F2400" s="43"/>
      <c r="G2400" s="43"/>
    </row>
    <row r="2401" spans="6:7" x14ac:dyDescent="0.3">
      <c r="F2401" s="43"/>
      <c r="G2401" s="43"/>
    </row>
    <row r="2402" spans="6:7" x14ac:dyDescent="0.3">
      <c r="F2402" s="43"/>
      <c r="G2402" s="43"/>
    </row>
    <row r="2403" spans="6:7" x14ac:dyDescent="0.3">
      <c r="F2403" s="43"/>
      <c r="G2403" s="43"/>
    </row>
    <row r="2404" spans="6:7" x14ac:dyDescent="0.3">
      <c r="F2404" s="43"/>
      <c r="G2404" s="43"/>
    </row>
    <row r="2405" spans="6:7" x14ac:dyDescent="0.3">
      <c r="F2405" s="43"/>
      <c r="G2405" s="43"/>
    </row>
    <row r="2406" spans="6:7" x14ac:dyDescent="0.3">
      <c r="F2406" s="43"/>
      <c r="G2406" s="43"/>
    </row>
    <row r="2407" spans="6:7" x14ac:dyDescent="0.3">
      <c r="F2407" s="43"/>
      <c r="G2407" s="43"/>
    </row>
    <row r="2408" spans="6:7" x14ac:dyDescent="0.3">
      <c r="F2408" s="43"/>
      <c r="G2408" s="43"/>
    </row>
    <row r="2409" spans="6:7" x14ac:dyDescent="0.3">
      <c r="F2409" s="43"/>
      <c r="G2409" s="43"/>
    </row>
    <row r="2410" spans="6:7" x14ac:dyDescent="0.3">
      <c r="F2410" s="43"/>
      <c r="G2410" s="43"/>
    </row>
    <row r="2411" spans="6:7" x14ac:dyDescent="0.3">
      <c r="F2411" s="43"/>
      <c r="G2411" s="43"/>
    </row>
    <row r="2412" spans="6:7" x14ac:dyDescent="0.3">
      <c r="F2412" s="43"/>
      <c r="G2412" s="43"/>
    </row>
    <row r="2413" spans="6:7" x14ac:dyDescent="0.3">
      <c r="F2413" s="43"/>
      <c r="G2413" s="43"/>
    </row>
    <row r="2414" spans="6:7" x14ac:dyDescent="0.3">
      <c r="F2414" s="43"/>
      <c r="G2414" s="43"/>
    </row>
    <row r="2415" spans="6:7" x14ac:dyDescent="0.3">
      <c r="F2415" s="43"/>
      <c r="G2415" s="43"/>
    </row>
    <row r="2416" spans="6:7" x14ac:dyDescent="0.3">
      <c r="F2416" s="43"/>
      <c r="G2416" s="43"/>
    </row>
    <row r="2417" spans="6:14" x14ac:dyDescent="0.3">
      <c r="F2417" s="43"/>
      <c r="G2417" s="43"/>
    </row>
    <row r="2418" spans="6:14" x14ac:dyDescent="0.3">
      <c r="F2418" s="43"/>
      <c r="G2418" s="43"/>
    </row>
    <row r="2419" spans="6:14" x14ac:dyDescent="0.3">
      <c r="F2419" s="43"/>
      <c r="G2419" s="43"/>
    </row>
    <row r="2420" spans="6:14" x14ac:dyDescent="0.3">
      <c r="F2420" s="43"/>
      <c r="G2420" s="43"/>
    </row>
    <row r="2421" spans="6:14" x14ac:dyDescent="0.3">
      <c r="F2421" s="43"/>
      <c r="G2421" s="43"/>
    </row>
    <row r="2422" spans="6:14" x14ac:dyDescent="0.3">
      <c r="F2422" s="43"/>
      <c r="G2422" s="43"/>
    </row>
    <row r="2423" spans="6:14" x14ac:dyDescent="0.3">
      <c r="F2423" s="43"/>
      <c r="G2423" s="43"/>
    </row>
    <row r="2424" spans="6:14" x14ac:dyDescent="0.3">
      <c r="F2424" s="43"/>
      <c r="G2424" s="43"/>
    </row>
    <row r="2425" spans="6:14" x14ac:dyDescent="0.3">
      <c r="F2425" s="43"/>
      <c r="G2425" s="43"/>
      <c r="N2425" s="46"/>
    </row>
    <row r="2426" spans="6:14" x14ac:dyDescent="0.3">
      <c r="F2426" s="43"/>
      <c r="G2426" s="43"/>
    </row>
    <row r="2427" spans="6:14" x14ac:dyDescent="0.3">
      <c r="F2427" s="43"/>
      <c r="G2427" s="43"/>
    </row>
    <row r="2428" spans="6:14" x14ac:dyDescent="0.3">
      <c r="F2428" s="43"/>
      <c r="G2428" s="43"/>
    </row>
    <row r="2429" spans="6:14" x14ac:dyDescent="0.3">
      <c r="F2429" s="43"/>
      <c r="G2429" s="43"/>
    </row>
    <row r="2430" spans="6:14" x14ac:dyDescent="0.3">
      <c r="F2430" s="43"/>
      <c r="G2430" s="43"/>
    </row>
    <row r="2431" spans="6:14" x14ac:dyDescent="0.3">
      <c r="F2431" s="43"/>
      <c r="G2431" s="43"/>
    </row>
    <row r="2432" spans="6:14" x14ac:dyDescent="0.3">
      <c r="F2432" s="43"/>
      <c r="G2432" s="43"/>
    </row>
    <row r="2433" spans="6:7" x14ac:dyDescent="0.3">
      <c r="F2433" s="43"/>
      <c r="G2433" s="43"/>
    </row>
    <row r="2434" spans="6:7" x14ac:dyDescent="0.3">
      <c r="F2434" s="43"/>
      <c r="G2434" s="43"/>
    </row>
    <row r="2435" spans="6:7" x14ac:dyDescent="0.3">
      <c r="F2435" s="43"/>
      <c r="G2435" s="43"/>
    </row>
    <row r="2436" spans="6:7" x14ac:dyDescent="0.3">
      <c r="F2436" s="43"/>
      <c r="G2436" s="43"/>
    </row>
    <row r="2437" spans="6:7" x14ac:dyDescent="0.3">
      <c r="F2437" s="43"/>
      <c r="G2437" s="43"/>
    </row>
    <row r="2438" spans="6:7" x14ac:dyDescent="0.3">
      <c r="F2438" s="43"/>
      <c r="G2438" s="43"/>
    </row>
    <row r="2439" spans="6:7" x14ac:dyDescent="0.3">
      <c r="F2439" s="43"/>
      <c r="G2439" s="43"/>
    </row>
    <row r="2440" spans="6:7" x14ac:dyDescent="0.3">
      <c r="F2440" s="43"/>
      <c r="G2440" s="43"/>
    </row>
    <row r="2441" spans="6:7" x14ac:dyDescent="0.3">
      <c r="F2441" s="43"/>
      <c r="G2441" s="43"/>
    </row>
    <row r="2442" spans="6:7" x14ac:dyDescent="0.3">
      <c r="F2442" s="43"/>
      <c r="G2442" s="43"/>
    </row>
    <row r="2443" spans="6:7" x14ac:dyDescent="0.3">
      <c r="F2443" s="43"/>
      <c r="G2443" s="43"/>
    </row>
    <row r="2444" spans="6:7" x14ac:dyDescent="0.3">
      <c r="F2444" s="43"/>
      <c r="G2444" s="43"/>
    </row>
    <row r="2445" spans="6:7" x14ac:dyDescent="0.3">
      <c r="F2445" s="43"/>
      <c r="G2445" s="43"/>
    </row>
    <row r="2446" spans="6:7" x14ac:dyDescent="0.3">
      <c r="F2446" s="43"/>
      <c r="G2446" s="43"/>
    </row>
    <row r="2447" spans="6:7" x14ac:dyDescent="0.3">
      <c r="F2447" s="43"/>
      <c r="G2447" s="43"/>
    </row>
    <row r="2448" spans="6:7" x14ac:dyDescent="0.3">
      <c r="F2448" s="43"/>
      <c r="G2448" s="43"/>
    </row>
    <row r="2449" spans="6:7" x14ac:dyDescent="0.3">
      <c r="F2449" s="43"/>
      <c r="G2449" s="43"/>
    </row>
    <row r="2450" spans="6:7" x14ac:dyDescent="0.3">
      <c r="F2450" s="43"/>
      <c r="G2450" s="43"/>
    </row>
    <row r="2451" spans="6:7" x14ac:dyDescent="0.3">
      <c r="F2451" s="43"/>
      <c r="G2451" s="43"/>
    </row>
    <row r="2452" spans="6:7" x14ac:dyDescent="0.3">
      <c r="F2452" s="43"/>
      <c r="G2452" s="43"/>
    </row>
    <row r="2453" spans="6:7" x14ac:dyDescent="0.3">
      <c r="F2453" s="43"/>
      <c r="G2453" s="43"/>
    </row>
    <row r="2454" spans="6:7" x14ac:dyDescent="0.3">
      <c r="F2454" s="43"/>
      <c r="G2454" s="43"/>
    </row>
    <row r="2455" spans="6:7" x14ac:dyDescent="0.3">
      <c r="F2455" s="43"/>
      <c r="G2455" s="43"/>
    </row>
    <row r="2456" spans="6:7" x14ac:dyDescent="0.3">
      <c r="F2456" s="43"/>
      <c r="G2456" s="43"/>
    </row>
    <row r="2457" spans="6:7" x14ac:dyDescent="0.3">
      <c r="F2457" s="43"/>
      <c r="G2457" s="43"/>
    </row>
    <row r="2458" spans="6:7" x14ac:dyDescent="0.3">
      <c r="F2458" s="43"/>
      <c r="G2458" s="43"/>
    </row>
    <row r="2459" spans="6:7" x14ac:dyDescent="0.3">
      <c r="F2459" s="43"/>
      <c r="G2459" s="43"/>
    </row>
    <row r="2460" spans="6:7" x14ac:dyDescent="0.3">
      <c r="F2460" s="1"/>
      <c r="G2460" s="1"/>
    </row>
    <row r="2461" spans="6:7" x14ac:dyDescent="0.3">
      <c r="F2461" s="43"/>
      <c r="G2461" s="43"/>
    </row>
    <row r="2462" spans="6:7" x14ac:dyDescent="0.3">
      <c r="F2462" s="43"/>
      <c r="G2462" s="43"/>
    </row>
    <row r="2463" spans="6:7" x14ac:dyDescent="0.3">
      <c r="F2463" s="43"/>
      <c r="G2463" s="43"/>
    </row>
    <row r="2464" spans="6:7" x14ac:dyDescent="0.3">
      <c r="F2464" s="43"/>
      <c r="G2464" s="43"/>
    </row>
    <row r="2465" spans="6:7" x14ac:dyDescent="0.3">
      <c r="F2465" s="43"/>
      <c r="G2465" s="43"/>
    </row>
    <row r="2466" spans="6:7" x14ac:dyDescent="0.3">
      <c r="F2466" s="43"/>
      <c r="G2466" s="43"/>
    </row>
    <row r="2467" spans="6:7" x14ac:dyDescent="0.3">
      <c r="F2467" s="43"/>
      <c r="G2467" s="43"/>
    </row>
    <row r="2468" spans="6:7" x14ac:dyDescent="0.3">
      <c r="F2468" s="43"/>
      <c r="G2468" s="43"/>
    </row>
    <row r="2469" spans="6:7" x14ac:dyDescent="0.3">
      <c r="F2469" s="43"/>
      <c r="G2469" s="43"/>
    </row>
    <row r="2470" spans="6:7" x14ac:dyDescent="0.3">
      <c r="F2470" s="43"/>
      <c r="G2470" s="43"/>
    </row>
    <row r="2471" spans="6:7" x14ac:dyDescent="0.3">
      <c r="F2471" s="43"/>
      <c r="G2471" s="43"/>
    </row>
    <row r="2472" spans="6:7" x14ac:dyDescent="0.3">
      <c r="F2472" s="43"/>
      <c r="G2472" s="43"/>
    </row>
    <row r="2473" spans="6:7" x14ac:dyDescent="0.3">
      <c r="F2473" s="43"/>
      <c r="G2473" s="43"/>
    </row>
    <row r="2474" spans="6:7" x14ac:dyDescent="0.3">
      <c r="F2474" s="43"/>
      <c r="G2474" s="43"/>
    </row>
    <row r="2475" spans="6:7" x14ac:dyDescent="0.3">
      <c r="F2475" s="43"/>
      <c r="G2475" s="43"/>
    </row>
    <row r="2476" spans="6:7" x14ac:dyDescent="0.3">
      <c r="F2476" s="43"/>
      <c r="G2476" s="43"/>
    </row>
    <row r="2477" spans="6:7" x14ac:dyDescent="0.3">
      <c r="F2477" s="43"/>
      <c r="G2477" s="43"/>
    </row>
    <row r="2478" spans="6:7" x14ac:dyDescent="0.3">
      <c r="F2478" s="43"/>
      <c r="G2478" s="43"/>
    </row>
    <row r="2479" spans="6:7" x14ac:dyDescent="0.3">
      <c r="F2479" s="43"/>
      <c r="G2479" s="43"/>
    </row>
    <row r="2480" spans="6:7" x14ac:dyDescent="0.3">
      <c r="F2480" s="43"/>
      <c r="G2480" s="43"/>
    </row>
    <row r="2481" spans="6:7" x14ac:dyDescent="0.3">
      <c r="F2481" s="43"/>
      <c r="G2481" s="43"/>
    </row>
    <row r="2482" spans="6:7" x14ac:dyDescent="0.3">
      <c r="F2482" s="43"/>
      <c r="G2482" s="43"/>
    </row>
    <row r="2483" spans="6:7" x14ac:dyDescent="0.3">
      <c r="F2483" s="43"/>
      <c r="G2483" s="43"/>
    </row>
    <row r="2484" spans="6:7" x14ac:dyDescent="0.3">
      <c r="F2484" s="43"/>
      <c r="G2484" s="43"/>
    </row>
    <row r="2485" spans="6:7" x14ac:dyDescent="0.3">
      <c r="F2485" s="43"/>
      <c r="G2485" s="43"/>
    </row>
    <row r="2486" spans="6:7" x14ac:dyDescent="0.3">
      <c r="F2486" s="43"/>
      <c r="G2486" s="43"/>
    </row>
    <row r="2487" spans="6:7" x14ac:dyDescent="0.3">
      <c r="F2487" s="43"/>
      <c r="G2487" s="43"/>
    </row>
    <row r="2488" spans="6:7" x14ac:dyDescent="0.3">
      <c r="F2488" s="43"/>
      <c r="G2488" s="43"/>
    </row>
    <row r="2489" spans="6:7" x14ac:dyDescent="0.3">
      <c r="F2489" s="43"/>
      <c r="G2489" s="43"/>
    </row>
    <row r="2490" spans="6:7" x14ac:dyDescent="0.3">
      <c r="F2490" s="43"/>
      <c r="G2490" s="43"/>
    </row>
    <row r="2491" spans="6:7" x14ac:dyDescent="0.3">
      <c r="F2491" s="43"/>
      <c r="G2491" s="43"/>
    </row>
    <row r="2492" spans="6:7" x14ac:dyDescent="0.3">
      <c r="F2492" s="43"/>
      <c r="G2492" s="43"/>
    </row>
    <row r="2493" spans="6:7" x14ac:dyDescent="0.3">
      <c r="F2493" s="43"/>
      <c r="G2493" s="43"/>
    </row>
    <row r="2494" spans="6:7" x14ac:dyDescent="0.3">
      <c r="F2494" s="43"/>
      <c r="G2494" s="43"/>
    </row>
    <row r="2495" spans="6:7" x14ac:dyDescent="0.3">
      <c r="F2495" s="43"/>
      <c r="G2495" s="43"/>
    </row>
    <row r="2496" spans="6:7" x14ac:dyDescent="0.3">
      <c r="F2496" s="43"/>
      <c r="G2496" s="43"/>
    </row>
    <row r="2497" spans="6:7" x14ac:dyDescent="0.3">
      <c r="F2497" s="43"/>
      <c r="G2497" s="43"/>
    </row>
    <row r="2498" spans="6:7" x14ac:dyDescent="0.3">
      <c r="F2498" s="43"/>
      <c r="G2498" s="43"/>
    </row>
    <row r="2499" spans="6:7" x14ac:dyDescent="0.3">
      <c r="F2499" s="43"/>
      <c r="G2499" s="43"/>
    </row>
    <row r="2500" spans="6:7" x14ac:dyDescent="0.3">
      <c r="F2500" s="43"/>
      <c r="G2500" s="43"/>
    </row>
    <row r="2501" spans="6:7" x14ac:dyDescent="0.3">
      <c r="F2501" s="43"/>
      <c r="G2501" s="43"/>
    </row>
    <row r="2502" spans="6:7" x14ac:dyDescent="0.3">
      <c r="F2502" s="43"/>
      <c r="G2502" s="43"/>
    </row>
    <row r="2503" spans="6:7" x14ac:dyDescent="0.3">
      <c r="F2503" s="43"/>
      <c r="G2503" s="43"/>
    </row>
    <row r="2504" spans="6:7" x14ac:dyDescent="0.3">
      <c r="F2504" s="43"/>
      <c r="G2504" s="43"/>
    </row>
    <row r="2505" spans="6:7" x14ac:dyDescent="0.3">
      <c r="F2505" s="43"/>
      <c r="G2505" s="43"/>
    </row>
    <row r="2506" spans="6:7" x14ac:dyDescent="0.3">
      <c r="F2506" s="43"/>
      <c r="G2506" s="43"/>
    </row>
    <row r="2507" spans="6:7" x14ac:dyDescent="0.3">
      <c r="F2507" s="43"/>
      <c r="G2507" s="43"/>
    </row>
    <row r="2508" spans="6:7" x14ac:dyDescent="0.3">
      <c r="F2508" s="43"/>
      <c r="G2508" s="43"/>
    </row>
    <row r="2509" spans="6:7" x14ac:dyDescent="0.3">
      <c r="F2509" s="43"/>
      <c r="G2509" s="43"/>
    </row>
    <row r="2510" spans="6:7" x14ac:dyDescent="0.3">
      <c r="F2510" s="43"/>
      <c r="G2510" s="43"/>
    </row>
    <row r="2511" spans="6:7" x14ac:dyDescent="0.3">
      <c r="F2511" s="43"/>
      <c r="G2511" s="43"/>
    </row>
    <row r="2512" spans="6:7" x14ac:dyDescent="0.3">
      <c r="F2512" s="43"/>
      <c r="G2512" s="43"/>
    </row>
    <row r="2513" spans="6:7" x14ac:dyDescent="0.3">
      <c r="F2513" s="43"/>
      <c r="G2513" s="43"/>
    </row>
    <row r="2514" spans="6:7" x14ac:dyDescent="0.3">
      <c r="F2514" s="43"/>
      <c r="G2514" s="43"/>
    </row>
    <row r="2515" spans="6:7" x14ac:dyDescent="0.3">
      <c r="F2515" s="43"/>
      <c r="G2515" s="43"/>
    </row>
    <row r="2516" spans="6:7" x14ac:dyDescent="0.3">
      <c r="F2516" s="43"/>
      <c r="G2516" s="43"/>
    </row>
    <row r="2517" spans="6:7" x14ac:dyDescent="0.3">
      <c r="F2517" s="43"/>
      <c r="G2517" s="43"/>
    </row>
    <row r="2518" spans="6:7" x14ac:dyDescent="0.3">
      <c r="F2518" s="43"/>
      <c r="G2518" s="43"/>
    </row>
    <row r="2519" spans="6:7" x14ac:dyDescent="0.3">
      <c r="F2519" s="43"/>
      <c r="G2519" s="43"/>
    </row>
    <row r="2520" spans="6:7" x14ac:dyDescent="0.3">
      <c r="F2520" s="43"/>
      <c r="G2520" s="43"/>
    </row>
    <row r="2521" spans="6:7" x14ac:dyDescent="0.3">
      <c r="F2521" s="43"/>
      <c r="G2521" s="43"/>
    </row>
    <row r="2522" spans="6:7" x14ac:dyDescent="0.3">
      <c r="F2522" s="43"/>
      <c r="G2522" s="43"/>
    </row>
    <row r="2523" spans="6:7" x14ac:dyDescent="0.3">
      <c r="F2523" s="43"/>
      <c r="G2523" s="43"/>
    </row>
    <row r="2524" spans="6:7" x14ac:dyDescent="0.3">
      <c r="F2524" s="43"/>
      <c r="G2524" s="43"/>
    </row>
    <row r="2525" spans="6:7" x14ac:dyDescent="0.3">
      <c r="F2525" s="43"/>
      <c r="G2525" s="43"/>
    </row>
    <row r="2526" spans="6:7" x14ac:dyDescent="0.3">
      <c r="F2526" s="43"/>
      <c r="G2526" s="43"/>
    </row>
    <row r="2527" spans="6:7" x14ac:dyDescent="0.3">
      <c r="F2527" s="43"/>
      <c r="G2527" s="43"/>
    </row>
    <row r="2528" spans="6:7" x14ac:dyDescent="0.3">
      <c r="F2528" s="43"/>
      <c r="G2528" s="43"/>
    </row>
    <row r="2529" spans="6:7" x14ac:dyDescent="0.3">
      <c r="F2529" s="43"/>
      <c r="G2529" s="43"/>
    </row>
    <row r="2530" spans="6:7" x14ac:dyDescent="0.3">
      <c r="F2530" s="43"/>
      <c r="G2530" s="43"/>
    </row>
    <row r="2531" spans="6:7" x14ac:dyDescent="0.3">
      <c r="F2531" s="43"/>
      <c r="G2531" s="43"/>
    </row>
    <row r="2532" spans="6:7" x14ac:dyDescent="0.3">
      <c r="F2532" s="43"/>
      <c r="G2532" s="43"/>
    </row>
    <row r="2533" spans="6:7" x14ac:dyDescent="0.3">
      <c r="F2533" s="43"/>
      <c r="G2533" s="43"/>
    </row>
    <row r="2534" spans="6:7" x14ac:dyDescent="0.3">
      <c r="F2534" s="43"/>
      <c r="G2534" s="43"/>
    </row>
    <row r="2535" spans="6:7" x14ac:dyDescent="0.3">
      <c r="F2535" s="43"/>
      <c r="G2535" s="43"/>
    </row>
    <row r="2536" spans="6:7" x14ac:dyDescent="0.3">
      <c r="F2536" s="43"/>
      <c r="G2536" s="43"/>
    </row>
    <row r="2537" spans="6:7" x14ac:dyDescent="0.3">
      <c r="F2537" s="43"/>
      <c r="G2537" s="43"/>
    </row>
    <row r="2538" spans="6:7" x14ac:dyDescent="0.3">
      <c r="F2538" s="43"/>
      <c r="G2538" s="43"/>
    </row>
    <row r="2539" spans="6:7" x14ac:dyDescent="0.3">
      <c r="F2539" s="43"/>
      <c r="G2539" s="43"/>
    </row>
    <row r="2540" spans="6:7" x14ac:dyDescent="0.3">
      <c r="F2540" s="43"/>
      <c r="G2540" s="43"/>
    </row>
    <row r="2541" spans="6:7" x14ac:dyDescent="0.3">
      <c r="F2541" s="43"/>
      <c r="G2541" s="43"/>
    </row>
    <row r="2542" spans="6:7" x14ac:dyDescent="0.3">
      <c r="F2542" s="43"/>
      <c r="G2542" s="43"/>
    </row>
    <row r="2543" spans="6:7" x14ac:dyDescent="0.3">
      <c r="F2543" s="43"/>
      <c r="G2543" s="43"/>
    </row>
    <row r="2544" spans="6:7" x14ac:dyDescent="0.3">
      <c r="F2544" s="43"/>
      <c r="G2544" s="43"/>
    </row>
    <row r="2545" spans="6:7" x14ac:dyDescent="0.3">
      <c r="F2545" s="43"/>
      <c r="G2545" s="43"/>
    </row>
    <row r="2546" spans="6:7" x14ac:dyDescent="0.3">
      <c r="F2546" s="43"/>
      <c r="G2546" s="43"/>
    </row>
    <row r="2547" spans="6:7" x14ac:dyDescent="0.3">
      <c r="F2547" s="43"/>
      <c r="G2547" s="43"/>
    </row>
    <row r="2548" spans="6:7" x14ac:dyDescent="0.3">
      <c r="F2548" s="43"/>
      <c r="G2548" s="43"/>
    </row>
    <row r="2549" spans="6:7" x14ac:dyDescent="0.3">
      <c r="F2549" s="43"/>
      <c r="G2549" s="43"/>
    </row>
    <row r="2550" spans="6:7" x14ac:dyDescent="0.3">
      <c r="F2550" s="43"/>
      <c r="G2550" s="43"/>
    </row>
    <row r="2551" spans="6:7" x14ac:dyDescent="0.3">
      <c r="F2551" s="43"/>
      <c r="G2551" s="43"/>
    </row>
    <row r="2552" spans="6:7" x14ac:dyDescent="0.3">
      <c r="F2552" s="43"/>
      <c r="G2552" s="43"/>
    </row>
    <row r="2553" spans="6:7" x14ac:dyDescent="0.3">
      <c r="F2553" s="43"/>
      <c r="G2553" s="43"/>
    </row>
    <row r="2554" spans="6:7" x14ac:dyDescent="0.3">
      <c r="F2554" s="43"/>
      <c r="G2554" s="43"/>
    </row>
    <row r="2555" spans="6:7" x14ac:dyDescent="0.3">
      <c r="F2555" s="43"/>
      <c r="G2555" s="43"/>
    </row>
    <row r="2556" spans="6:7" x14ac:dyDescent="0.3">
      <c r="F2556" s="43"/>
      <c r="G2556" s="43"/>
    </row>
    <row r="2557" spans="6:7" x14ac:dyDescent="0.3">
      <c r="F2557" s="43"/>
      <c r="G2557" s="43"/>
    </row>
    <row r="2558" spans="6:7" x14ac:dyDescent="0.3">
      <c r="F2558" s="43"/>
      <c r="G2558" s="43"/>
    </row>
    <row r="2559" spans="6:7" x14ac:dyDescent="0.3">
      <c r="F2559" s="43"/>
      <c r="G2559" s="43"/>
    </row>
    <row r="2560" spans="6:7" x14ac:dyDescent="0.3">
      <c r="F2560" s="43"/>
      <c r="G2560" s="43"/>
    </row>
    <row r="2561" spans="6:7" x14ac:dyDescent="0.3">
      <c r="F2561" s="43"/>
      <c r="G2561" s="43"/>
    </row>
    <row r="2562" spans="6:7" x14ac:dyDescent="0.3">
      <c r="F2562" s="43"/>
      <c r="G2562" s="43"/>
    </row>
    <row r="2563" spans="6:7" x14ac:dyDescent="0.3">
      <c r="F2563" s="43"/>
      <c r="G2563" s="43"/>
    </row>
    <row r="2564" spans="6:7" x14ac:dyDescent="0.3">
      <c r="F2564" s="43"/>
      <c r="G2564" s="43"/>
    </row>
    <row r="2565" spans="6:7" x14ac:dyDescent="0.3">
      <c r="F2565" s="43"/>
      <c r="G2565" s="43"/>
    </row>
    <row r="2566" spans="6:7" x14ac:dyDescent="0.3">
      <c r="F2566" s="43"/>
      <c r="G2566" s="43"/>
    </row>
    <row r="2567" spans="6:7" x14ac:dyDescent="0.3">
      <c r="F2567" s="43"/>
      <c r="G2567" s="43"/>
    </row>
    <row r="2568" spans="6:7" x14ac:dyDescent="0.3">
      <c r="F2568" s="43"/>
      <c r="G2568" s="43"/>
    </row>
    <row r="2569" spans="6:7" x14ac:dyDescent="0.3">
      <c r="F2569" s="43"/>
      <c r="G2569" s="43"/>
    </row>
    <row r="2570" spans="6:7" x14ac:dyDescent="0.3">
      <c r="F2570" s="43"/>
      <c r="G2570" s="43"/>
    </row>
    <row r="2571" spans="6:7" x14ac:dyDescent="0.3">
      <c r="F2571" s="43"/>
      <c r="G2571" s="43"/>
    </row>
    <row r="2572" spans="6:7" x14ac:dyDescent="0.3">
      <c r="F2572" s="43"/>
      <c r="G2572" s="43"/>
    </row>
    <row r="2573" spans="6:7" x14ac:dyDescent="0.3">
      <c r="F2573" s="43"/>
      <c r="G2573" s="43"/>
    </row>
    <row r="2574" spans="6:7" x14ac:dyDescent="0.3">
      <c r="F2574" s="43"/>
      <c r="G2574" s="43"/>
    </row>
    <row r="2575" spans="6:7" x14ac:dyDescent="0.3">
      <c r="F2575" s="43"/>
      <c r="G2575" s="43"/>
    </row>
    <row r="2576" spans="6:7" x14ac:dyDescent="0.3">
      <c r="F2576" s="43"/>
      <c r="G2576" s="43"/>
    </row>
    <row r="2577" spans="6:7" x14ac:dyDescent="0.3">
      <c r="F2577" s="43"/>
      <c r="G2577" s="43"/>
    </row>
    <row r="2578" spans="6:7" x14ac:dyDescent="0.3">
      <c r="F2578" s="43"/>
      <c r="G2578" s="43"/>
    </row>
    <row r="2579" spans="6:7" x14ac:dyDescent="0.3">
      <c r="F2579" s="43"/>
      <c r="G2579" s="43"/>
    </row>
    <row r="2580" spans="6:7" x14ac:dyDescent="0.3">
      <c r="F2580" s="43"/>
      <c r="G2580" s="43"/>
    </row>
    <row r="2581" spans="6:7" x14ac:dyDescent="0.3">
      <c r="F2581" s="43"/>
      <c r="G2581" s="43"/>
    </row>
    <row r="2582" spans="6:7" x14ac:dyDescent="0.3">
      <c r="F2582" s="43"/>
      <c r="G2582" s="43"/>
    </row>
    <row r="2583" spans="6:7" x14ac:dyDescent="0.3">
      <c r="F2583" s="43"/>
      <c r="G2583" s="43"/>
    </row>
    <row r="2584" spans="6:7" x14ac:dyDescent="0.3">
      <c r="F2584" s="43"/>
      <c r="G2584" s="43"/>
    </row>
    <row r="2585" spans="6:7" x14ac:dyDescent="0.3">
      <c r="F2585" s="43"/>
      <c r="G2585" s="43"/>
    </row>
    <row r="2586" spans="6:7" x14ac:dyDescent="0.3">
      <c r="F2586" s="43"/>
      <c r="G2586" s="43"/>
    </row>
    <row r="2587" spans="6:7" x14ac:dyDescent="0.3">
      <c r="F2587" s="43"/>
      <c r="G2587" s="43"/>
    </row>
    <row r="2588" spans="6:7" x14ac:dyDescent="0.3">
      <c r="F2588" s="43"/>
      <c r="G2588" s="43"/>
    </row>
    <row r="2589" spans="6:7" x14ac:dyDescent="0.3">
      <c r="F2589" s="43"/>
      <c r="G2589" s="43"/>
    </row>
    <row r="2590" spans="6:7" x14ac:dyDescent="0.3">
      <c r="F2590" s="43"/>
      <c r="G2590" s="43"/>
    </row>
    <row r="2591" spans="6:7" x14ac:dyDescent="0.3">
      <c r="F2591" s="43"/>
      <c r="G2591" s="43"/>
    </row>
    <row r="2592" spans="6:7" x14ac:dyDescent="0.3">
      <c r="F2592" s="43"/>
      <c r="G2592" s="43"/>
    </row>
    <row r="2593" spans="6:7" x14ac:dyDescent="0.3">
      <c r="F2593" s="43"/>
      <c r="G2593" s="43"/>
    </row>
    <row r="2594" spans="6:7" x14ac:dyDescent="0.3">
      <c r="F2594" s="43"/>
      <c r="G2594" s="43"/>
    </row>
    <row r="2595" spans="6:7" x14ac:dyDescent="0.3">
      <c r="F2595" s="43"/>
      <c r="G2595" s="43"/>
    </row>
    <row r="2596" spans="6:7" x14ac:dyDescent="0.3">
      <c r="F2596" s="43"/>
      <c r="G2596" s="43"/>
    </row>
    <row r="2597" spans="6:7" x14ac:dyDescent="0.3">
      <c r="F2597" s="43"/>
      <c r="G2597" s="43"/>
    </row>
    <row r="2598" spans="6:7" x14ac:dyDescent="0.3">
      <c r="F2598" s="43"/>
      <c r="G2598" s="43"/>
    </row>
    <row r="2599" spans="6:7" x14ac:dyDescent="0.3">
      <c r="F2599" s="43"/>
      <c r="G2599" s="43"/>
    </row>
    <row r="2600" spans="6:7" x14ac:dyDescent="0.3">
      <c r="F2600" s="43"/>
      <c r="G2600" s="43"/>
    </row>
    <row r="2601" spans="6:7" x14ac:dyDescent="0.3">
      <c r="F2601" s="43"/>
      <c r="G2601" s="43"/>
    </row>
    <row r="2602" spans="6:7" x14ac:dyDescent="0.3">
      <c r="F2602" s="43"/>
      <c r="G2602" s="43"/>
    </row>
    <row r="2603" spans="6:7" x14ac:dyDescent="0.3">
      <c r="F2603" s="43"/>
      <c r="G2603" s="43"/>
    </row>
    <row r="2604" spans="6:7" x14ac:dyDescent="0.3">
      <c r="F2604" s="43"/>
      <c r="G2604" s="43"/>
    </row>
    <row r="2605" spans="6:7" x14ac:dyDescent="0.3">
      <c r="F2605" s="43"/>
      <c r="G2605" s="43"/>
    </row>
    <row r="2606" spans="6:7" x14ac:dyDescent="0.3">
      <c r="F2606" s="43"/>
      <c r="G2606" s="43"/>
    </row>
    <row r="2607" spans="6:7" x14ac:dyDescent="0.3">
      <c r="F2607" s="43"/>
      <c r="G2607" s="43"/>
    </row>
    <row r="2608" spans="6:7" x14ac:dyDescent="0.3">
      <c r="F2608" s="43"/>
      <c r="G2608" s="43"/>
    </row>
    <row r="2609" spans="6:7" x14ac:dyDescent="0.3">
      <c r="F2609" s="43"/>
      <c r="G2609" s="43"/>
    </row>
    <row r="2610" spans="6:7" x14ac:dyDescent="0.3">
      <c r="F2610" s="43"/>
      <c r="G2610" s="43"/>
    </row>
    <row r="2611" spans="6:7" x14ac:dyDescent="0.3">
      <c r="F2611" s="43"/>
      <c r="G2611" s="43"/>
    </row>
    <row r="2612" spans="6:7" x14ac:dyDescent="0.3">
      <c r="F2612" s="43"/>
      <c r="G2612" s="43"/>
    </row>
    <row r="2613" spans="6:7" x14ac:dyDescent="0.3">
      <c r="F2613" s="43"/>
      <c r="G2613" s="43"/>
    </row>
    <row r="2614" spans="6:7" x14ac:dyDescent="0.3">
      <c r="F2614" s="43"/>
      <c r="G2614" s="43"/>
    </row>
    <row r="2615" spans="6:7" x14ac:dyDescent="0.3">
      <c r="F2615" s="43"/>
      <c r="G2615" s="43"/>
    </row>
    <row r="2616" spans="6:7" x14ac:dyDescent="0.3">
      <c r="F2616" s="43"/>
      <c r="G2616" s="43"/>
    </row>
    <row r="2617" spans="6:7" x14ac:dyDescent="0.3">
      <c r="F2617" s="43"/>
      <c r="G2617" s="43"/>
    </row>
    <row r="2618" spans="6:7" x14ac:dyDescent="0.3">
      <c r="F2618" s="43"/>
      <c r="G2618" s="43"/>
    </row>
    <row r="2619" spans="6:7" x14ac:dyDescent="0.3">
      <c r="F2619" s="43"/>
      <c r="G2619" s="43"/>
    </row>
    <row r="2620" spans="6:7" x14ac:dyDescent="0.3">
      <c r="F2620" s="43"/>
      <c r="G2620" s="43"/>
    </row>
    <row r="2621" spans="6:7" x14ac:dyDescent="0.3">
      <c r="F2621" s="43"/>
      <c r="G2621" s="43"/>
    </row>
    <row r="2622" spans="6:7" x14ac:dyDescent="0.3">
      <c r="F2622" s="43"/>
      <c r="G2622" s="43"/>
    </row>
    <row r="2623" spans="6:7" x14ac:dyDescent="0.3">
      <c r="F2623" s="43"/>
      <c r="G2623" s="43"/>
    </row>
    <row r="2624" spans="6:7" x14ac:dyDescent="0.3">
      <c r="F2624" s="43"/>
      <c r="G2624" s="43"/>
    </row>
    <row r="2625" spans="6:7" x14ac:dyDescent="0.3">
      <c r="F2625" s="43"/>
      <c r="G2625" s="43"/>
    </row>
    <row r="2626" spans="6:7" x14ac:dyDescent="0.3">
      <c r="F2626" s="43"/>
      <c r="G2626" s="43"/>
    </row>
    <row r="2627" spans="6:7" x14ac:dyDescent="0.3">
      <c r="F2627" s="43"/>
      <c r="G2627" s="43"/>
    </row>
    <row r="2628" spans="6:7" x14ac:dyDescent="0.3">
      <c r="F2628" s="43"/>
      <c r="G2628" s="43"/>
    </row>
    <row r="2629" spans="6:7" x14ac:dyDescent="0.3">
      <c r="F2629" s="43"/>
      <c r="G2629" s="43"/>
    </row>
    <row r="2630" spans="6:7" x14ac:dyDescent="0.3">
      <c r="F2630" s="43"/>
      <c r="G2630" s="43"/>
    </row>
    <row r="2631" spans="6:7" x14ac:dyDescent="0.3">
      <c r="F2631" s="43"/>
      <c r="G2631" s="43"/>
    </row>
    <row r="2632" spans="6:7" x14ac:dyDescent="0.3">
      <c r="F2632" s="43"/>
      <c r="G2632" s="43"/>
    </row>
    <row r="2633" spans="6:7" x14ac:dyDescent="0.3">
      <c r="F2633" s="43"/>
      <c r="G2633" s="43"/>
    </row>
    <row r="2634" spans="6:7" x14ac:dyDescent="0.3">
      <c r="F2634" s="43"/>
      <c r="G2634" s="43"/>
    </row>
    <row r="2635" spans="6:7" x14ac:dyDescent="0.3">
      <c r="F2635" s="43"/>
      <c r="G2635" s="43"/>
    </row>
    <row r="2636" spans="6:7" x14ac:dyDescent="0.3">
      <c r="F2636" s="43"/>
      <c r="G2636" s="43"/>
    </row>
    <row r="2637" spans="6:7" x14ac:dyDescent="0.3">
      <c r="F2637" s="43"/>
      <c r="G2637" s="43"/>
    </row>
    <row r="2638" spans="6:7" x14ac:dyDescent="0.3">
      <c r="F2638" s="43"/>
      <c r="G2638" s="43"/>
    </row>
    <row r="2639" spans="6:7" x14ac:dyDescent="0.3">
      <c r="F2639" s="43"/>
      <c r="G2639" s="43"/>
    </row>
    <row r="2640" spans="6:7" x14ac:dyDescent="0.3">
      <c r="F2640" s="43"/>
      <c r="G2640" s="43"/>
    </row>
    <row r="2641" spans="6:7" x14ac:dyDescent="0.3">
      <c r="F2641" s="43"/>
      <c r="G2641" s="43"/>
    </row>
    <row r="2642" spans="6:7" x14ac:dyDescent="0.3">
      <c r="F2642" s="43"/>
      <c r="G2642" s="43"/>
    </row>
    <row r="2643" spans="6:7" x14ac:dyDescent="0.3">
      <c r="F2643" s="1"/>
      <c r="G2643" s="43"/>
    </row>
    <row r="2644" spans="6:7" x14ac:dyDescent="0.3">
      <c r="F2644" s="43"/>
      <c r="G2644" s="43"/>
    </row>
    <row r="2645" spans="6:7" x14ac:dyDescent="0.3">
      <c r="F2645" s="43"/>
      <c r="G2645" s="43"/>
    </row>
    <row r="2646" spans="6:7" x14ac:dyDescent="0.3">
      <c r="F2646" s="43"/>
      <c r="G2646" s="43"/>
    </row>
    <row r="2647" spans="6:7" x14ac:dyDescent="0.3">
      <c r="F2647" s="43"/>
      <c r="G2647" s="43"/>
    </row>
    <row r="2648" spans="6:7" x14ac:dyDescent="0.3">
      <c r="F2648" s="43"/>
      <c r="G2648" s="43"/>
    </row>
    <row r="2649" spans="6:7" x14ac:dyDescent="0.3">
      <c r="F2649" s="43"/>
      <c r="G2649" s="43"/>
    </row>
    <row r="2650" spans="6:7" x14ac:dyDescent="0.3">
      <c r="F2650" s="43"/>
      <c r="G2650" s="43"/>
    </row>
    <row r="2651" spans="6:7" x14ac:dyDescent="0.3">
      <c r="F2651" s="43"/>
      <c r="G2651" s="43"/>
    </row>
    <row r="2652" spans="6:7" x14ac:dyDescent="0.3">
      <c r="F2652" s="43"/>
      <c r="G2652" s="43"/>
    </row>
    <row r="2653" spans="6:7" x14ac:dyDescent="0.3">
      <c r="F2653" s="43"/>
      <c r="G2653" s="43"/>
    </row>
    <row r="2654" spans="6:7" x14ac:dyDescent="0.3">
      <c r="F2654" s="43"/>
      <c r="G2654" s="43"/>
    </row>
    <row r="2655" spans="6:7" x14ac:dyDescent="0.3">
      <c r="F2655" s="43"/>
      <c r="G2655" s="43"/>
    </row>
    <row r="2656" spans="6:7" x14ac:dyDescent="0.3">
      <c r="F2656" s="43"/>
      <c r="G2656" s="43"/>
    </row>
    <row r="2657" spans="6:7" x14ac:dyDescent="0.3">
      <c r="F2657" s="43"/>
      <c r="G2657" s="43"/>
    </row>
    <row r="2658" spans="6:7" x14ac:dyDescent="0.3">
      <c r="F2658" s="43"/>
      <c r="G2658" s="43"/>
    </row>
    <row r="2659" spans="6:7" x14ac:dyDescent="0.3">
      <c r="F2659" s="43"/>
      <c r="G2659" s="43"/>
    </row>
    <row r="2660" spans="6:7" x14ac:dyDescent="0.3">
      <c r="F2660" s="43"/>
      <c r="G2660" s="43"/>
    </row>
    <row r="2661" spans="6:7" x14ac:dyDescent="0.3">
      <c r="F2661" s="43"/>
      <c r="G2661" s="43"/>
    </row>
    <row r="2662" spans="6:7" x14ac:dyDescent="0.3">
      <c r="F2662" s="43"/>
      <c r="G2662" s="43"/>
    </row>
    <row r="2663" spans="6:7" x14ac:dyDescent="0.3">
      <c r="F2663" s="43"/>
      <c r="G2663" s="43"/>
    </row>
    <row r="2664" spans="6:7" x14ac:dyDescent="0.3">
      <c r="F2664" s="43"/>
      <c r="G2664" s="43"/>
    </row>
    <row r="2665" spans="6:7" x14ac:dyDescent="0.3">
      <c r="F2665" s="43"/>
      <c r="G2665" s="43"/>
    </row>
    <row r="2666" spans="6:7" x14ac:dyDescent="0.3">
      <c r="F2666" s="43"/>
      <c r="G2666" s="43"/>
    </row>
    <row r="2667" spans="6:7" x14ac:dyDescent="0.3">
      <c r="F2667" s="43"/>
      <c r="G2667" s="43"/>
    </row>
    <row r="2668" spans="6:7" x14ac:dyDescent="0.3">
      <c r="F2668" s="43"/>
      <c r="G2668" s="43"/>
    </row>
    <row r="2669" spans="6:7" x14ac:dyDescent="0.3">
      <c r="F2669" s="43"/>
      <c r="G2669" s="43"/>
    </row>
    <row r="2670" spans="6:7" x14ac:dyDescent="0.3">
      <c r="F2670" s="43"/>
      <c r="G2670" s="43"/>
    </row>
    <row r="2671" spans="6:7" x14ac:dyDescent="0.3">
      <c r="F2671" s="43"/>
      <c r="G2671" s="43"/>
    </row>
    <row r="2672" spans="6:7" x14ac:dyDescent="0.3">
      <c r="F2672" s="43"/>
      <c r="G2672" s="43"/>
    </row>
    <row r="2673" spans="6:7" x14ac:dyDescent="0.3">
      <c r="F2673" s="43"/>
      <c r="G2673" s="43"/>
    </row>
    <row r="2674" spans="6:7" x14ac:dyDescent="0.3">
      <c r="F2674" s="43"/>
      <c r="G2674" s="43"/>
    </row>
    <row r="2675" spans="6:7" x14ac:dyDescent="0.3">
      <c r="F2675" s="43"/>
      <c r="G2675" s="43"/>
    </row>
    <row r="2676" spans="6:7" x14ac:dyDescent="0.3">
      <c r="F2676" s="43"/>
      <c r="G2676" s="43"/>
    </row>
    <row r="2677" spans="6:7" x14ac:dyDescent="0.3">
      <c r="F2677" s="43"/>
      <c r="G2677" s="43"/>
    </row>
    <row r="2678" spans="6:7" x14ac:dyDescent="0.3">
      <c r="F2678" s="43"/>
      <c r="G2678" s="43"/>
    </row>
    <row r="2679" spans="6:7" x14ac:dyDescent="0.3">
      <c r="F2679" s="43"/>
      <c r="G2679" s="43"/>
    </row>
    <row r="2680" spans="6:7" x14ac:dyDescent="0.3">
      <c r="F2680" s="43"/>
      <c r="G2680" s="43"/>
    </row>
    <row r="2681" spans="6:7" x14ac:dyDescent="0.3">
      <c r="F2681" s="43"/>
      <c r="G2681" s="43"/>
    </row>
    <row r="2682" spans="6:7" x14ac:dyDescent="0.3">
      <c r="F2682" s="43"/>
      <c r="G2682" s="43"/>
    </row>
    <row r="2683" spans="6:7" x14ac:dyDescent="0.3">
      <c r="F2683" s="43"/>
      <c r="G2683" s="43"/>
    </row>
    <row r="2684" spans="6:7" x14ac:dyDescent="0.3">
      <c r="F2684" s="43"/>
      <c r="G2684" s="43"/>
    </row>
    <row r="2685" spans="6:7" x14ac:dyDescent="0.3">
      <c r="F2685" s="43"/>
      <c r="G2685" s="43"/>
    </row>
    <row r="2686" spans="6:7" x14ac:dyDescent="0.3">
      <c r="F2686" s="43"/>
      <c r="G2686" s="43"/>
    </row>
    <row r="2687" spans="6:7" x14ac:dyDescent="0.3">
      <c r="F2687" s="43"/>
      <c r="G2687" s="43"/>
    </row>
    <row r="2688" spans="6:7" x14ac:dyDescent="0.3">
      <c r="F2688" s="43"/>
      <c r="G2688" s="43"/>
    </row>
    <row r="2689" spans="6:7" x14ac:dyDescent="0.3">
      <c r="F2689" s="43"/>
      <c r="G2689" s="43"/>
    </row>
    <row r="2690" spans="6:7" x14ac:dyDescent="0.3">
      <c r="F2690" s="43"/>
      <c r="G2690" s="43"/>
    </row>
    <row r="2691" spans="6:7" x14ac:dyDescent="0.3">
      <c r="F2691" s="43"/>
      <c r="G2691" s="43"/>
    </row>
    <row r="2692" spans="6:7" x14ac:dyDescent="0.3">
      <c r="F2692" s="43"/>
      <c r="G2692" s="43"/>
    </row>
    <row r="2693" spans="6:7" x14ac:dyDescent="0.3">
      <c r="F2693" s="43"/>
      <c r="G2693" s="43"/>
    </row>
    <row r="2694" spans="6:7" x14ac:dyDescent="0.3">
      <c r="F2694" s="43"/>
      <c r="G2694" s="43"/>
    </row>
    <row r="2695" spans="6:7" x14ac:dyDescent="0.3">
      <c r="F2695" s="43"/>
      <c r="G2695" s="43"/>
    </row>
    <row r="2696" spans="6:7" x14ac:dyDescent="0.3">
      <c r="F2696" s="43"/>
      <c r="G2696" s="43"/>
    </row>
    <row r="2697" spans="6:7" x14ac:dyDescent="0.3">
      <c r="F2697" s="43"/>
      <c r="G2697" s="43"/>
    </row>
    <row r="2698" spans="6:7" x14ac:dyDescent="0.3">
      <c r="F2698" s="43"/>
      <c r="G2698" s="43"/>
    </row>
    <row r="2699" spans="6:7" x14ac:dyDescent="0.3">
      <c r="F2699" s="43"/>
      <c r="G2699" s="43"/>
    </row>
    <row r="2700" spans="6:7" x14ac:dyDescent="0.3">
      <c r="F2700" s="43"/>
      <c r="G2700" s="43"/>
    </row>
    <row r="2701" spans="6:7" x14ac:dyDescent="0.3">
      <c r="F2701" s="43"/>
      <c r="G2701" s="43"/>
    </row>
    <row r="2702" spans="6:7" x14ac:dyDescent="0.3">
      <c r="F2702" s="1"/>
      <c r="G2702" s="1"/>
    </row>
    <row r="2703" spans="6:7" x14ac:dyDescent="0.3">
      <c r="F2703" s="43"/>
      <c r="G2703" s="43"/>
    </row>
    <row r="2704" spans="6:7" x14ac:dyDescent="0.3">
      <c r="F2704" s="43"/>
      <c r="G2704" s="43"/>
    </row>
    <row r="2705" spans="6:7" x14ac:dyDescent="0.3">
      <c r="F2705" s="43"/>
      <c r="G2705" s="43"/>
    </row>
    <row r="2706" spans="6:7" x14ac:dyDescent="0.3">
      <c r="F2706" s="43"/>
      <c r="G2706" s="43"/>
    </row>
    <row r="2707" spans="6:7" x14ac:dyDescent="0.3">
      <c r="F2707" s="43"/>
      <c r="G2707" s="43"/>
    </row>
    <row r="2708" spans="6:7" x14ac:dyDescent="0.3">
      <c r="F2708" s="43"/>
      <c r="G2708" s="43"/>
    </row>
    <row r="2709" spans="6:7" x14ac:dyDescent="0.3">
      <c r="F2709" s="43"/>
      <c r="G2709" s="43"/>
    </row>
    <row r="2710" spans="6:7" x14ac:dyDescent="0.3">
      <c r="F2710" s="43"/>
      <c r="G2710" s="43"/>
    </row>
    <row r="2711" spans="6:7" x14ac:dyDescent="0.3">
      <c r="F2711" s="43"/>
      <c r="G2711" s="43"/>
    </row>
    <row r="2712" spans="6:7" x14ac:dyDescent="0.3">
      <c r="F2712" s="43"/>
      <c r="G2712" s="43"/>
    </row>
    <row r="2713" spans="6:7" x14ac:dyDescent="0.3">
      <c r="F2713" s="43"/>
      <c r="G2713" s="43"/>
    </row>
    <row r="2714" spans="6:7" x14ac:dyDescent="0.3">
      <c r="F2714" s="43"/>
      <c r="G2714" s="43"/>
    </row>
    <row r="2715" spans="6:7" x14ac:dyDescent="0.3">
      <c r="F2715" s="43"/>
      <c r="G2715" s="43"/>
    </row>
    <row r="2716" spans="6:7" x14ac:dyDescent="0.3">
      <c r="F2716" s="43"/>
      <c r="G2716" s="43"/>
    </row>
    <row r="2717" spans="6:7" x14ac:dyDescent="0.3">
      <c r="F2717" s="43"/>
      <c r="G2717" s="43"/>
    </row>
    <row r="2718" spans="6:7" x14ac:dyDescent="0.3">
      <c r="F2718" s="43"/>
      <c r="G2718" s="43"/>
    </row>
    <row r="2719" spans="6:7" x14ac:dyDescent="0.3">
      <c r="F2719" s="43"/>
      <c r="G2719" s="43"/>
    </row>
    <row r="2720" spans="6:7" x14ac:dyDescent="0.3">
      <c r="F2720" s="43"/>
      <c r="G2720" s="43"/>
    </row>
    <row r="2721" spans="6:7" x14ac:dyDescent="0.3">
      <c r="F2721" s="43"/>
      <c r="G2721" s="43"/>
    </row>
    <row r="2722" spans="6:7" x14ac:dyDescent="0.3">
      <c r="F2722" s="43"/>
      <c r="G2722" s="43"/>
    </row>
    <row r="2723" spans="6:7" x14ac:dyDescent="0.3">
      <c r="F2723" s="43"/>
      <c r="G2723" s="43"/>
    </row>
    <row r="2724" spans="6:7" x14ac:dyDescent="0.3">
      <c r="F2724" s="43"/>
      <c r="G2724" s="43"/>
    </row>
    <row r="2725" spans="6:7" x14ac:dyDescent="0.3">
      <c r="F2725" s="43"/>
      <c r="G2725" s="43"/>
    </row>
    <row r="2726" spans="6:7" x14ac:dyDescent="0.3">
      <c r="F2726" s="43"/>
      <c r="G2726" s="43"/>
    </row>
    <row r="2727" spans="6:7" x14ac:dyDescent="0.3">
      <c r="F2727" s="43"/>
      <c r="G2727" s="43"/>
    </row>
    <row r="2728" spans="6:7" x14ac:dyDescent="0.3">
      <c r="F2728" s="43"/>
      <c r="G2728" s="43"/>
    </row>
    <row r="2729" spans="6:7" x14ac:dyDescent="0.3">
      <c r="F2729" s="43"/>
      <c r="G2729" s="43"/>
    </row>
    <row r="2730" spans="6:7" x14ac:dyDescent="0.3">
      <c r="F2730" s="43"/>
      <c r="G2730" s="43"/>
    </row>
    <row r="2731" spans="6:7" x14ac:dyDescent="0.3">
      <c r="F2731" s="43"/>
      <c r="G2731" s="43"/>
    </row>
    <row r="2732" spans="6:7" x14ac:dyDescent="0.3">
      <c r="F2732" s="43"/>
      <c r="G2732" s="43"/>
    </row>
    <row r="2733" spans="6:7" x14ac:dyDescent="0.3">
      <c r="F2733" s="43"/>
      <c r="G2733" s="43"/>
    </row>
    <row r="2734" spans="6:7" x14ac:dyDescent="0.3">
      <c r="F2734" s="43"/>
      <c r="G2734" s="43"/>
    </row>
    <row r="2735" spans="6:7" x14ac:dyDescent="0.3">
      <c r="F2735" s="43"/>
      <c r="G2735" s="43"/>
    </row>
    <row r="2736" spans="6:7" x14ac:dyDescent="0.3">
      <c r="F2736" s="43"/>
      <c r="G2736" s="43"/>
    </row>
    <row r="2737" spans="6:7" x14ac:dyDescent="0.3">
      <c r="F2737" s="43"/>
      <c r="G2737" s="43"/>
    </row>
    <row r="2738" spans="6:7" x14ac:dyDescent="0.3">
      <c r="F2738" s="43"/>
      <c r="G2738" s="43"/>
    </row>
    <row r="2739" spans="6:7" x14ac:dyDescent="0.3">
      <c r="F2739" s="43"/>
      <c r="G2739" s="43"/>
    </row>
    <row r="2740" spans="6:7" x14ac:dyDescent="0.3">
      <c r="F2740" s="43"/>
      <c r="G2740" s="43"/>
    </row>
    <row r="2741" spans="6:7" x14ac:dyDescent="0.3">
      <c r="F2741" s="43"/>
      <c r="G2741" s="43"/>
    </row>
    <row r="2742" spans="6:7" x14ac:dyDescent="0.3">
      <c r="F2742" s="43"/>
      <c r="G2742" s="43"/>
    </row>
    <row r="2743" spans="6:7" x14ac:dyDescent="0.3">
      <c r="F2743" s="43"/>
      <c r="G2743" s="43"/>
    </row>
    <row r="2744" spans="6:7" x14ac:dyDescent="0.3">
      <c r="F2744" s="43"/>
      <c r="G2744" s="43"/>
    </row>
    <row r="2745" spans="6:7" x14ac:dyDescent="0.3">
      <c r="F2745" s="43"/>
      <c r="G2745" s="43"/>
    </row>
    <row r="2746" spans="6:7" x14ac:dyDescent="0.3">
      <c r="F2746" s="43"/>
      <c r="G2746" s="43"/>
    </row>
    <row r="2747" spans="6:7" x14ac:dyDescent="0.3">
      <c r="F2747" s="43"/>
      <c r="G2747" s="43"/>
    </row>
    <row r="2748" spans="6:7" x14ac:dyDescent="0.3">
      <c r="F2748" s="43"/>
      <c r="G2748" s="43"/>
    </row>
    <row r="2749" spans="6:7" x14ac:dyDescent="0.3">
      <c r="F2749" s="43"/>
      <c r="G2749" s="43"/>
    </row>
    <row r="2750" spans="6:7" x14ac:dyDescent="0.3">
      <c r="F2750" s="43"/>
      <c r="G2750" s="43"/>
    </row>
    <row r="2751" spans="6:7" x14ac:dyDescent="0.3">
      <c r="F2751" s="43"/>
      <c r="G2751" s="43"/>
    </row>
    <row r="2752" spans="6:7" x14ac:dyDescent="0.3">
      <c r="F2752" s="43"/>
      <c r="G2752" s="43"/>
    </row>
    <row r="2753" spans="6:7" x14ac:dyDescent="0.3">
      <c r="F2753" s="43"/>
      <c r="G2753" s="43"/>
    </row>
    <row r="2754" spans="6:7" x14ac:dyDescent="0.3">
      <c r="F2754" s="43"/>
      <c r="G2754" s="43"/>
    </row>
    <row r="2755" spans="6:7" x14ac:dyDescent="0.3">
      <c r="F2755" s="43"/>
      <c r="G2755" s="43"/>
    </row>
    <row r="2756" spans="6:7" x14ac:dyDescent="0.3">
      <c r="F2756" s="43"/>
      <c r="G2756" s="43"/>
    </row>
    <row r="2757" spans="6:7" x14ac:dyDescent="0.3">
      <c r="F2757" s="43"/>
      <c r="G2757" s="43"/>
    </row>
    <row r="2758" spans="6:7" x14ac:dyDescent="0.3">
      <c r="F2758" s="43"/>
      <c r="G2758" s="43"/>
    </row>
    <row r="2759" spans="6:7" x14ac:dyDescent="0.3">
      <c r="F2759" s="43"/>
      <c r="G2759" s="43"/>
    </row>
    <row r="2760" spans="6:7" x14ac:dyDescent="0.3">
      <c r="F2760" s="43"/>
      <c r="G2760" s="43"/>
    </row>
    <row r="2761" spans="6:7" x14ac:dyDescent="0.3">
      <c r="F2761" s="43"/>
      <c r="G2761" s="43"/>
    </row>
    <row r="2762" spans="6:7" x14ac:dyDescent="0.3">
      <c r="F2762" s="43"/>
      <c r="G2762" s="43"/>
    </row>
    <row r="2763" spans="6:7" x14ac:dyDescent="0.3">
      <c r="F2763" s="43"/>
      <c r="G2763" s="43"/>
    </row>
    <row r="2764" spans="6:7" x14ac:dyDescent="0.3">
      <c r="F2764" s="43"/>
      <c r="G2764" s="43"/>
    </row>
    <row r="2765" spans="6:7" x14ac:dyDescent="0.3">
      <c r="F2765" s="43"/>
      <c r="G2765" s="43"/>
    </row>
    <row r="2766" spans="6:7" x14ac:dyDescent="0.3">
      <c r="F2766" s="43"/>
      <c r="G2766" s="43"/>
    </row>
    <row r="2767" spans="6:7" x14ac:dyDescent="0.3">
      <c r="F2767" s="43"/>
      <c r="G2767" s="43"/>
    </row>
    <row r="2768" spans="6:7" x14ac:dyDescent="0.3">
      <c r="F2768" s="43"/>
      <c r="G2768" s="43"/>
    </row>
    <row r="2769" spans="6:7" x14ac:dyDescent="0.3">
      <c r="F2769" s="43"/>
      <c r="G2769" s="43"/>
    </row>
    <row r="2770" spans="6:7" x14ac:dyDescent="0.3">
      <c r="F2770" s="43"/>
      <c r="G2770" s="43"/>
    </row>
    <row r="2771" spans="6:7" x14ac:dyDescent="0.3">
      <c r="F2771" s="43"/>
      <c r="G2771" s="43"/>
    </row>
    <row r="2772" spans="6:7" x14ac:dyDescent="0.3">
      <c r="F2772" s="43"/>
      <c r="G2772" s="43"/>
    </row>
    <row r="2773" spans="6:7" x14ac:dyDescent="0.3">
      <c r="F2773" s="43"/>
      <c r="G2773" s="43"/>
    </row>
    <row r="2774" spans="6:7" x14ac:dyDescent="0.3">
      <c r="F2774" s="43"/>
      <c r="G2774" s="43"/>
    </row>
    <row r="2775" spans="6:7" x14ac:dyDescent="0.3">
      <c r="F2775" s="43"/>
      <c r="G2775" s="43"/>
    </row>
    <row r="2776" spans="6:7" x14ac:dyDescent="0.3">
      <c r="F2776" s="43"/>
      <c r="G2776" s="43"/>
    </row>
    <row r="2777" spans="6:7" x14ac:dyDescent="0.3">
      <c r="F2777" s="43"/>
      <c r="G2777" s="43"/>
    </row>
    <row r="2778" spans="6:7" x14ac:dyDescent="0.3">
      <c r="F2778" s="43"/>
      <c r="G2778" s="43"/>
    </row>
    <row r="2779" spans="6:7" x14ac:dyDescent="0.3">
      <c r="F2779" s="43"/>
      <c r="G2779" s="43"/>
    </row>
    <row r="2780" spans="6:7" x14ac:dyDescent="0.3">
      <c r="F2780" s="1"/>
      <c r="G2780" s="1"/>
    </row>
    <row r="2781" spans="6:7" x14ac:dyDescent="0.3">
      <c r="F2781" s="43"/>
      <c r="G2781" s="43"/>
    </row>
    <row r="2782" spans="6:7" x14ac:dyDescent="0.3">
      <c r="F2782" s="43"/>
      <c r="G2782" s="43"/>
    </row>
    <row r="2783" spans="6:7" x14ac:dyDescent="0.3">
      <c r="F2783" s="43"/>
      <c r="G2783" s="43"/>
    </row>
    <row r="2784" spans="6:7" x14ac:dyDescent="0.3">
      <c r="F2784" s="43"/>
      <c r="G2784" s="43"/>
    </row>
    <row r="2785" spans="6:7" x14ac:dyDescent="0.3">
      <c r="F2785" s="43"/>
      <c r="G2785" s="43"/>
    </row>
    <row r="2786" spans="6:7" x14ac:dyDescent="0.3">
      <c r="F2786" s="43"/>
      <c r="G2786" s="43"/>
    </row>
    <row r="2787" spans="6:7" x14ac:dyDescent="0.3">
      <c r="F2787" s="43"/>
      <c r="G2787" s="43"/>
    </row>
    <row r="2788" spans="6:7" x14ac:dyDescent="0.3">
      <c r="F2788" s="43"/>
      <c r="G2788" s="43"/>
    </row>
    <row r="2789" spans="6:7" x14ac:dyDescent="0.3">
      <c r="F2789" s="43"/>
      <c r="G2789" s="43"/>
    </row>
    <row r="2790" spans="6:7" x14ac:dyDescent="0.3">
      <c r="F2790" s="43"/>
      <c r="G2790" s="43"/>
    </row>
    <row r="2791" spans="6:7" x14ac:dyDescent="0.3">
      <c r="F2791" s="43"/>
      <c r="G2791" s="43"/>
    </row>
    <row r="2792" spans="6:7" x14ac:dyDescent="0.3">
      <c r="F2792" s="43"/>
      <c r="G2792" s="43"/>
    </row>
    <row r="2793" spans="6:7" x14ac:dyDescent="0.3">
      <c r="F2793" s="43"/>
      <c r="G2793" s="43"/>
    </row>
    <row r="2794" spans="6:7" x14ac:dyDescent="0.3">
      <c r="F2794" s="43"/>
      <c r="G2794" s="43"/>
    </row>
    <row r="2795" spans="6:7" x14ac:dyDescent="0.3">
      <c r="F2795" s="43"/>
      <c r="G2795" s="43"/>
    </row>
    <row r="2796" spans="6:7" x14ac:dyDescent="0.3">
      <c r="F2796" s="43"/>
      <c r="G2796" s="43"/>
    </row>
    <row r="2797" spans="6:7" x14ac:dyDescent="0.3">
      <c r="F2797" s="43"/>
      <c r="G2797" s="43"/>
    </row>
    <row r="2798" spans="6:7" x14ac:dyDescent="0.3">
      <c r="F2798" s="43"/>
      <c r="G2798" s="43"/>
    </row>
    <row r="2799" spans="6:7" x14ac:dyDescent="0.3">
      <c r="F2799" s="43"/>
      <c r="G2799" s="43"/>
    </row>
    <row r="2800" spans="6:7" x14ac:dyDescent="0.3">
      <c r="F2800" s="43"/>
      <c r="G2800" s="43"/>
    </row>
    <row r="2801" spans="6:7" x14ac:dyDescent="0.3">
      <c r="F2801" s="43"/>
      <c r="G2801" s="43"/>
    </row>
    <row r="2802" spans="6:7" x14ac:dyDescent="0.3">
      <c r="F2802" s="43"/>
      <c r="G2802" s="43"/>
    </row>
    <row r="2803" spans="6:7" x14ac:dyDescent="0.3">
      <c r="F2803" s="43"/>
      <c r="G2803" s="43"/>
    </row>
    <row r="2804" spans="6:7" x14ac:dyDescent="0.3">
      <c r="F2804" s="43"/>
      <c r="G2804" s="43"/>
    </row>
    <row r="2805" spans="6:7" x14ac:dyDescent="0.3">
      <c r="F2805" s="43"/>
      <c r="G2805" s="43"/>
    </row>
    <row r="2806" spans="6:7" x14ac:dyDescent="0.3">
      <c r="F2806" s="43"/>
      <c r="G2806" s="43"/>
    </row>
    <row r="2807" spans="6:7" x14ac:dyDescent="0.3">
      <c r="F2807" s="43"/>
      <c r="G2807" s="43"/>
    </row>
    <row r="2808" spans="6:7" x14ac:dyDescent="0.3">
      <c r="F2808" s="43"/>
      <c r="G2808" s="43"/>
    </row>
    <row r="2809" spans="6:7" x14ac:dyDescent="0.3">
      <c r="F2809" s="43"/>
      <c r="G2809" s="43"/>
    </row>
    <row r="2810" spans="6:7" x14ac:dyDescent="0.3">
      <c r="F2810" s="43"/>
      <c r="G2810" s="43"/>
    </row>
    <row r="2811" spans="6:7" x14ac:dyDescent="0.3">
      <c r="F2811" s="43"/>
      <c r="G2811" s="43"/>
    </row>
    <row r="2812" spans="6:7" x14ac:dyDescent="0.3">
      <c r="F2812" s="43"/>
      <c r="G2812" s="43"/>
    </row>
    <row r="2813" spans="6:7" x14ac:dyDescent="0.3">
      <c r="F2813" s="43"/>
      <c r="G2813" s="43"/>
    </row>
    <row r="2814" spans="6:7" x14ac:dyDescent="0.3">
      <c r="F2814" s="43"/>
      <c r="G2814" s="43"/>
    </row>
    <row r="2815" spans="6:7" x14ac:dyDescent="0.3">
      <c r="F2815" s="43"/>
      <c r="G2815" s="43"/>
    </row>
    <row r="2816" spans="6:7" x14ac:dyDescent="0.3">
      <c r="F2816" s="43"/>
      <c r="G2816" s="43"/>
    </row>
    <row r="2817" spans="6:7" x14ac:dyDescent="0.3">
      <c r="F2817" s="43"/>
      <c r="G2817" s="43"/>
    </row>
    <row r="2818" spans="6:7" x14ac:dyDescent="0.3">
      <c r="F2818" s="43"/>
      <c r="G2818" s="43"/>
    </row>
    <row r="2819" spans="6:7" x14ac:dyDescent="0.3">
      <c r="F2819" s="43"/>
      <c r="G2819" s="43"/>
    </row>
    <row r="2820" spans="6:7" x14ac:dyDescent="0.3">
      <c r="F2820" s="43"/>
      <c r="G2820" s="43"/>
    </row>
    <row r="2821" spans="6:7" x14ac:dyDescent="0.3">
      <c r="F2821" s="43"/>
      <c r="G2821" s="43"/>
    </row>
    <row r="2822" spans="6:7" x14ac:dyDescent="0.3">
      <c r="F2822" s="43"/>
      <c r="G2822" s="43"/>
    </row>
    <row r="2823" spans="6:7" x14ac:dyDescent="0.3">
      <c r="F2823" s="43"/>
      <c r="G2823" s="43"/>
    </row>
    <row r="2824" spans="6:7" x14ac:dyDescent="0.3">
      <c r="F2824" s="43"/>
      <c r="G2824" s="43"/>
    </row>
    <row r="2825" spans="6:7" x14ac:dyDescent="0.3">
      <c r="F2825" s="43"/>
      <c r="G2825" s="43"/>
    </row>
    <row r="2826" spans="6:7" x14ac:dyDescent="0.3">
      <c r="F2826" s="43"/>
      <c r="G2826" s="43"/>
    </row>
    <row r="2827" spans="6:7" x14ac:dyDescent="0.3">
      <c r="F2827" s="43"/>
      <c r="G2827" s="43"/>
    </row>
    <row r="2828" spans="6:7" x14ac:dyDescent="0.3">
      <c r="F2828" s="43"/>
      <c r="G2828" s="43"/>
    </row>
    <row r="2829" spans="6:7" x14ac:dyDescent="0.3">
      <c r="F2829" s="43"/>
      <c r="G2829" s="43"/>
    </row>
    <row r="2830" spans="6:7" x14ac:dyDescent="0.3">
      <c r="F2830" s="43"/>
      <c r="G2830" s="43"/>
    </row>
    <row r="2831" spans="6:7" x14ac:dyDescent="0.3">
      <c r="F2831" s="43"/>
      <c r="G2831" s="43"/>
    </row>
    <row r="2832" spans="6:7" x14ac:dyDescent="0.3">
      <c r="F2832" s="43"/>
      <c r="G2832" s="43"/>
    </row>
    <row r="2833" spans="2:17" x14ac:dyDescent="0.3">
      <c r="F2833" s="43"/>
      <c r="G2833" s="43"/>
    </row>
    <row r="2834" spans="2:17" x14ac:dyDescent="0.3">
      <c r="F2834" s="43"/>
      <c r="G2834" s="43"/>
    </row>
    <row r="2835" spans="2:17" x14ac:dyDescent="0.3">
      <c r="F2835" s="43"/>
      <c r="G2835" s="43"/>
    </row>
    <row r="2836" spans="2:17" x14ac:dyDescent="0.3">
      <c r="F2836" s="43"/>
      <c r="G2836" s="43"/>
    </row>
    <row r="2837" spans="2:17" x14ac:dyDescent="0.3">
      <c r="F2837" s="43"/>
      <c r="G2837" s="43"/>
    </row>
    <row r="2838" spans="2:17" x14ac:dyDescent="0.3">
      <c r="F2838" s="43"/>
      <c r="G2838" s="43"/>
    </row>
    <row r="2839" spans="2:17" x14ac:dyDescent="0.3">
      <c r="F2839" s="43"/>
      <c r="G2839" s="43"/>
    </row>
    <row r="2840" spans="2:17" x14ac:dyDescent="0.3">
      <c r="F2840" s="43"/>
      <c r="G2840" s="43"/>
    </row>
    <row r="2841" spans="2:17" x14ac:dyDescent="0.3">
      <c r="F2841" s="43"/>
      <c r="G2841" s="43"/>
    </row>
    <row r="2842" spans="2:17" x14ac:dyDescent="0.3">
      <c r="F2842" s="43"/>
      <c r="G2842" s="43"/>
    </row>
    <row r="2843" spans="2:17" x14ac:dyDescent="0.3">
      <c r="F2843" s="43"/>
      <c r="G2843" s="43"/>
    </row>
    <row r="2844" spans="2:17" x14ac:dyDescent="0.3">
      <c r="F2844" s="1"/>
      <c r="G2844" s="1"/>
    </row>
    <row r="2845" spans="2:17" x14ac:dyDescent="0.3">
      <c r="F2845" s="43"/>
      <c r="G2845" s="43"/>
    </row>
    <row r="2846" spans="2:17" x14ac:dyDescent="0.3">
      <c r="F2846" s="43"/>
      <c r="G2846" s="43"/>
    </row>
    <row r="2847" spans="2:17" x14ac:dyDescent="0.3">
      <c r="B2847" s="53"/>
      <c r="F2847" s="43"/>
      <c r="G2847" s="43"/>
      <c r="Q2847" s="53"/>
    </row>
    <row r="2848" spans="2:17" x14ac:dyDescent="0.3">
      <c r="F2848" s="43"/>
      <c r="G2848" s="43"/>
    </row>
    <row r="2849" spans="2:17" x14ac:dyDescent="0.3">
      <c r="B2849" s="53"/>
      <c r="F2849" s="43"/>
      <c r="G2849" s="43"/>
      <c r="Q2849" s="53"/>
    </row>
    <row r="2850" spans="2:17" x14ac:dyDescent="0.3">
      <c r="B2850" s="53"/>
      <c r="F2850" s="43"/>
      <c r="G2850" s="43"/>
      <c r="Q2850" s="53"/>
    </row>
    <row r="2851" spans="2:17" x14ac:dyDescent="0.3">
      <c r="F2851" s="43"/>
      <c r="G2851" s="43"/>
    </row>
    <row r="2852" spans="2:17" x14ac:dyDescent="0.3">
      <c r="F2852" s="43"/>
      <c r="G2852" s="43"/>
    </row>
    <row r="2853" spans="2:17" x14ac:dyDescent="0.3">
      <c r="F2853" s="43"/>
      <c r="G2853" s="43"/>
    </row>
    <row r="2854" spans="2:17" x14ac:dyDescent="0.3">
      <c r="F2854" s="43"/>
      <c r="G2854" s="43"/>
    </row>
    <row r="2855" spans="2:17" x14ac:dyDescent="0.3">
      <c r="F2855" s="43"/>
      <c r="G2855" s="43"/>
    </row>
    <row r="2856" spans="2:17" x14ac:dyDescent="0.3">
      <c r="F2856" s="43"/>
      <c r="G2856" s="43"/>
    </row>
    <row r="2857" spans="2:17" x14ac:dyDescent="0.3">
      <c r="F2857" s="43"/>
      <c r="G2857" s="43"/>
    </row>
    <row r="2858" spans="2:17" x14ac:dyDescent="0.3">
      <c r="B2858" s="53"/>
      <c r="F2858" s="43"/>
      <c r="G2858" s="43"/>
      <c r="Q2858" s="53"/>
    </row>
    <row r="2859" spans="2:17" x14ac:dyDescent="0.3">
      <c r="B2859" s="53"/>
      <c r="F2859" s="43"/>
      <c r="G2859" s="43"/>
      <c r="Q2859" s="53"/>
    </row>
    <row r="2860" spans="2:17" x14ac:dyDescent="0.3">
      <c r="F2860" s="43"/>
      <c r="G2860" s="43"/>
    </row>
    <row r="2861" spans="2:17" x14ac:dyDescent="0.3">
      <c r="F2861" s="43"/>
      <c r="G2861" s="43"/>
    </row>
    <row r="2862" spans="2:17" x14ac:dyDescent="0.3">
      <c r="F2862" s="43"/>
      <c r="G2862" s="43"/>
    </row>
    <row r="2863" spans="2:17" x14ac:dyDescent="0.3">
      <c r="F2863" s="43"/>
      <c r="G2863" s="43"/>
    </row>
    <row r="2864" spans="2:17" x14ac:dyDescent="0.3">
      <c r="F2864" s="43"/>
      <c r="G2864" s="43"/>
    </row>
    <row r="2865" spans="2:17" x14ac:dyDescent="0.3">
      <c r="F2865" s="43"/>
      <c r="G2865" s="43"/>
    </row>
    <row r="2866" spans="2:17" x14ac:dyDescent="0.3">
      <c r="F2866" s="43"/>
      <c r="G2866" s="43"/>
    </row>
    <row r="2867" spans="2:17" x14ac:dyDescent="0.3">
      <c r="F2867" s="43"/>
      <c r="G2867" s="43"/>
    </row>
    <row r="2868" spans="2:17" x14ac:dyDescent="0.3">
      <c r="F2868" s="43"/>
      <c r="G2868" s="43"/>
    </row>
    <row r="2869" spans="2:17" x14ac:dyDescent="0.3">
      <c r="F2869" s="43"/>
      <c r="G2869" s="43"/>
    </row>
    <row r="2870" spans="2:17" x14ac:dyDescent="0.3">
      <c r="F2870" s="43"/>
      <c r="G2870" s="43"/>
    </row>
    <row r="2871" spans="2:17" x14ac:dyDescent="0.3">
      <c r="F2871" s="43"/>
      <c r="G2871" s="43"/>
    </row>
    <row r="2872" spans="2:17" x14ac:dyDescent="0.3">
      <c r="F2872" s="43"/>
      <c r="G2872" s="43"/>
    </row>
    <row r="2873" spans="2:17" x14ac:dyDescent="0.3">
      <c r="F2873" s="43"/>
      <c r="G2873" s="43"/>
    </row>
    <row r="2874" spans="2:17" x14ac:dyDescent="0.3">
      <c r="F2874" s="43"/>
      <c r="G2874" s="43"/>
    </row>
    <row r="2875" spans="2:17" x14ac:dyDescent="0.3">
      <c r="B2875" s="53"/>
      <c r="F2875" s="43"/>
      <c r="G2875" s="43"/>
      <c r="Q2875" s="53"/>
    </row>
    <row r="2876" spans="2:17" x14ac:dyDescent="0.3">
      <c r="F2876" s="43"/>
      <c r="G2876" s="43"/>
    </row>
    <row r="2877" spans="2:17" x14ac:dyDescent="0.3">
      <c r="F2877" s="43"/>
      <c r="G2877" s="43"/>
    </row>
    <row r="2878" spans="2:17" x14ac:dyDescent="0.3">
      <c r="F2878" s="43"/>
      <c r="G2878" s="43"/>
    </row>
    <row r="2879" spans="2:17" x14ac:dyDescent="0.3">
      <c r="F2879" s="43"/>
      <c r="G2879" s="43"/>
    </row>
    <row r="2880" spans="2:17" x14ac:dyDescent="0.3">
      <c r="F2880" s="43"/>
      <c r="G2880" s="43"/>
    </row>
    <row r="2881" spans="6:7" x14ac:dyDescent="0.3">
      <c r="F2881" s="43"/>
      <c r="G2881" s="43"/>
    </row>
    <row r="2882" spans="6:7" x14ac:dyDescent="0.3">
      <c r="F2882" s="43"/>
      <c r="G2882" s="43"/>
    </row>
    <row r="2883" spans="6:7" x14ac:dyDescent="0.3">
      <c r="F2883" s="43"/>
      <c r="G2883" s="43"/>
    </row>
    <row r="2884" spans="6:7" x14ac:dyDescent="0.3">
      <c r="F2884" s="43"/>
      <c r="G2884" s="43"/>
    </row>
    <row r="2885" spans="6:7" x14ac:dyDescent="0.3">
      <c r="F2885" s="43"/>
      <c r="G2885" s="43"/>
    </row>
    <row r="2886" spans="6:7" x14ac:dyDescent="0.3">
      <c r="F2886" s="43"/>
      <c r="G2886" s="43"/>
    </row>
    <row r="2887" spans="6:7" x14ac:dyDescent="0.3">
      <c r="F2887" s="43"/>
      <c r="G2887" s="43"/>
    </row>
    <row r="2888" spans="6:7" x14ac:dyDescent="0.3">
      <c r="F2888" s="43"/>
      <c r="G2888" s="43"/>
    </row>
    <row r="2889" spans="6:7" x14ac:dyDescent="0.3">
      <c r="F2889" s="43"/>
      <c r="G2889" s="43"/>
    </row>
    <row r="2890" spans="6:7" x14ac:dyDescent="0.3">
      <c r="F2890" s="43"/>
      <c r="G2890" s="43"/>
    </row>
    <row r="2891" spans="6:7" x14ac:dyDescent="0.3">
      <c r="F2891" s="43"/>
      <c r="G2891" s="43"/>
    </row>
    <row r="2892" spans="6:7" x14ac:dyDescent="0.3">
      <c r="F2892" s="43"/>
      <c r="G2892" s="43"/>
    </row>
    <row r="2893" spans="6:7" x14ac:dyDescent="0.3">
      <c r="F2893" s="43"/>
      <c r="G2893" s="43"/>
    </row>
    <row r="2894" spans="6:7" x14ac:dyDescent="0.3">
      <c r="F2894" s="43"/>
      <c r="G2894" s="43"/>
    </row>
    <row r="2895" spans="6:7" x14ac:dyDescent="0.3">
      <c r="F2895" s="43"/>
      <c r="G2895" s="43"/>
    </row>
    <row r="2896" spans="6:7" x14ac:dyDescent="0.3">
      <c r="F2896" s="43"/>
      <c r="G2896" s="43"/>
    </row>
    <row r="2897" spans="2:17" x14ac:dyDescent="0.3">
      <c r="F2897" s="43"/>
      <c r="G2897" s="43"/>
    </row>
    <row r="2898" spans="2:17" x14ac:dyDescent="0.3">
      <c r="F2898" s="43"/>
      <c r="G2898" s="43"/>
    </row>
    <row r="2899" spans="2:17" x14ac:dyDescent="0.3">
      <c r="F2899" s="43"/>
      <c r="G2899" s="43"/>
    </row>
    <row r="2900" spans="2:17" x14ac:dyDescent="0.3">
      <c r="F2900" s="43"/>
      <c r="G2900" s="43"/>
    </row>
    <row r="2901" spans="2:17" x14ac:dyDescent="0.3">
      <c r="F2901" s="43"/>
      <c r="G2901" s="43"/>
    </row>
    <row r="2902" spans="2:17" x14ac:dyDescent="0.3">
      <c r="F2902" s="43"/>
      <c r="G2902" s="43"/>
    </row>
    <row r="2903" spans="2:17" x14ac:dyDescent="0.3">
      <c r="F2903" s="43"/>
      <c r="G2903" s="43"/>
    </row>
    <row r="2904" spans="2:17" x14ac:dyDescent="0.3">
      <c r="F2904" s="43"/>
      <c r="G2904" s="43"/>
    </row>
    <row r="2905" spans="2:17" x14ac:dyDescent="0.3">
      <c r="F2905" s="43"/>
      <c r="G2905" s="43"/>
    </row>
    <row r="2906" spans="2:17" x14ac:dyDescent="0.3">
      <c r="F2906" s="43"/>
      <c r="G2906" s="43"/>
    </row>
    <row r="2907" spans="2:17" x14ac:dyDescent="0.3">
      <c r="F2907" s="43"/>
      <c r="G2907" s="43"/>
    </row>
    <row r="2908" spans="2:17" x14ac:dyDescent="0.3">
      <c r="B2908" s="53"/>
      <c r="F2908" s="43"/>
      <c r="G2908" s="43"/>
      <c r="Q2908" s="53"/>
    </row>
    <row r="2909" spans="2:17" x14ac:dyDescent="0.3">
      <c r="F2909" s="43"/>
      <c r="G2909" s="43"/>
    </row>
    <row r="2910" spans="2:17" x14ac:dyDescent="0.3">
      <c r="F2910" s="43"/>
      <c r="G2910" s="43"/>
    </row>
    <row r="2911" spans="2:17" x14ac:dyDescent="0.3">
      <c r="B2911" s="53"/>
      <c r="F2911" s="43"/>
      <c r="G2911" s="43"/>
      <c r="Q2911" s="53"/>
    </row>
    <row r="2912" spans="2:17" x14ac:dyDescent="0.3">
      <c r="F2912" s="43"/>
      <c r="G2912" s="43"/>
    </row>
    <row r="2913" spans="6:7" x14ac:dyDescent="0.3">
      <c r="F2913" s="43"/>
      <c r="G2913" s="43"/>
    </row>
    <row r="2914" spans="6:7" x14ac:dyDescent="0.3">
      <c r="F2914" s="43"/>
      <c r="G2914" s="43"/>
    </row>
    <row r="2915" spans="6:7" x14ac:dyDescent="0.3">
      <c r="F2915" s="43"/>
      <c r="G2915" s="43"/>
    </row>
    <row r="2916" spans="6:7" x14ac:dyDescent="0.3">
      <c r="F2916" s="43"/>
      <c r="G2916" s="43"/>
    </row>
    <row r="2917" spans="6:7" x14ac:dyDescent="0.3">
      <c r="F2917" s="43"/>
      <c r="G2917" s="43"/>
    </row>
    <row r="2918" spans="6:7" x14ac:dyDescent="0.3">
      <c r="F2918" s="43"/>
      <c r="G2918" s="43"/>
    </row>
    <row r="2919" spans="6:7" x14ac:dyDescent="0.3">
      <c r="F2919" s="43"/>
      <c r="G2919" s="43"/>
    </row>
    <row r="2920" spans="6:7" x14ac:dyDescent="0.3">
      <c r="F2920" s="43"/>
      <c r="G2920" s="43"/>
    </row>
    <row r="2921" spans="6:7" x14ac:dyDescent="0.3">
      <c r="F2921" s="43"/>
      <c r="G2921" s="43"/>
    </row>
    <row r="2922" spans="6:7" x14ac:dyDescent="0.3">
      <c r="F2922" s="43"/>
      <c r="G2922" s="43"/>
    </row>
    <row r="2923" spans="6:7" x14ac:dyDescent="0.3">
      <c r="F2923" s="43"/>
      <c r="G2923" s="43"/>
    </row>
    <row r="2924" spans="6:7" x14ac:dyDescent="0.3">
      <c r="F2924" s="43"/>
      <c r="G2924" s="43"/>
    </row>
    <row r="2925" spans="6:7" x14ac:dyDescent="0.3">
      <c r="F2925" s="43"/>
      <c r="G2925" s="43"/>
    </row>
    <row r="2926" spans="6:7" x14ac:dyDescent="0.3">
      <c r="F2926" s="43"/>
      <c r="G2926" s="43"/>
    </row>
    <row r="2927" spans="6:7" x14ac:dyDescent="0.3">
      <c r="F2927" s="43"/>
      <c r="G2927" s="43"/>
    </row>
    <row r="2928" spans="6:7" x14ac:dyDescent="0.3">
      <c r="F2928" s="43"/>
      <c r="G2928" s="43"/>
    </row>
    <row r="2929" spans="5:7" x14ac:dyDescent="0.3">
      <c r="F2929" s="43"/>
      <c r="G2929" s="43"/>
    </row>
    <row r="2930" spans="5:7" x14ac:dyDescent="0.3">
      <c r="F2930" s="43"/>
      <c r="G2930" s="43"/>
    </row>
    <row r="2931" spans="5:7" x14ac:dyDescent="0.3">
      <c r="F2931" s="43"/>
      <c r="G2931" s="43"/>
    </row>
    <row r="2932" spans="5:7" x14ac:dyDescent="0.3">
      <c r="F2932" s="43"/>
      <c r="G2932" s="43"/>
    </row>
    <row r="2933" spans="5:7" x14ac:dyDescent="0.3">
      <c r="F2933" s="43"/>
      <c r="G2933" s="43"/>
    </row>
    <row r="2934" spans="5:7" x14ac:dyDescent="0.3">
      <c r="F2934" s="43"/>
      <c r="G2934" s="43"/>
    </row>
    <row r="2935" spans="5:7" x14ac:dyDescent="0.3">
      <c r="F2935" s="43"/>
      <c r="G2935" s="43"/>
    </row>
    <row r="2936" spans="5:7" x14ac:dyDescent="0.3">
      <c r="F2936" s="43"/>
      <c r="G2936" s="43"/>
    </row>
    <row r="2937" spans="5:7" x14ac:dyDescent="0.3">
      <c r="F2937" s="43"/>
      <c r="G2937" s="43"/>
    </row>
    <row r="2938" spans="5:7" x14ac:dyDescent="0.3">
      <c r="E2938" s="44"/>
      <c r="F2938" s="43"/>
      <c r="G2938" s="43"/>
    </row>
    <row r="2939" spans="5:7" x14ac:dyDescent="0.3">
      <c r="F2939" s="43"/>
      <c r="G2939" s="43"/>
    </row>
    <row r="2940" spans="5:7" x14ac:dyDescent="0.3">
      <c r="F2940" s="43"/>
      <c r="G2940" s="43"/>
    </row>
    <row r="2941" spans="5:7" x14ac:dyDescent="0.3">
      <c r="F2941" s="43"/>
      <c r="G2941" s="43"/>
    </row>
    <row r="2942" spans="5:7" x14ac:dyDescent="0.3">
      <c r="F2942" s="43"/>
      <c r="G2942" s="43"/>
    </row>
    <row r="2943" spans="5:7" x14ac:dyDescent="0.3">
      <c r="F2943" s="43"/>
      <c r="G2943" s="43"/>
    </row>
    <row r="2944" spans="5:7" x14ac:dyDescent="0.3">
      <c r="F2944" s="43"/>
      <c r="G2944" s="43"/>
    </row>
    <row r="2945" spans="2:17" x14ac:dyDescent="0.3">
      <c r="F2945" s="43"/>
      <c r="G2945" s="43"/>
    </row>
    <row r="2946" spans="2:17" x14ac:dyDescent="0.3">
      <c r="F2946" s="43"/>
      <c r="G2946" s="43"/>
    </row>
    <row r="2947" spans="2:17" x14ac:dyDescent="0.3">
      <c r="B2947" s="53"/>
      <c r="F2947" s="43"/>
      <c r="G2947" s="43"/>
      <c r="Q2947" s="53"/>
    </row>
    <row r="2948" spans="2:17" x14ac:dyDescent="0.3">
      <c r="F2948" s="43"/>
      <c r="G2948" s="43"/>
    </row>
    <row r="2949" spans="2:17" x14ac:dyDescent="0.3">
      <c r="F2949" s="43"/>
      <c r="G2949" s="43"/>
    </row>
    <row r="2950" spans="2:17" x14ac:dyDescent="0.3">
      <c r="F2950" s="43"/>
      <c r="G2950" s="43"/>
    </row>
    <row r="2951" spans="2:17" x14ac:dyDescent="0.3">
      <c r="F2951" s="43"/>
      <c r="G2951" s="43"/>
    </row>
    <row r="2952" spans="2:17" x14ac:dyDescent="0.3">
      <c r="F2952" s="43"/>
      <c r="G2952" s="43"/>
    </row>
    <row r="2953" spans="2:17" x14ac:dyDescent="0.3">
      <c r="F2953" s="43"/>
      <c r="G2953" s="43"/>
    </row>
    <row r="2954" spans="2:17" x14ac:dyDescent="0.3">
      <c r="F2954" s="43"/>
      <c r="G2954" s="43"/>
    </row>
    <row r="2955" spans="2:17" x14ac:dyDescent="0.3">
      <c r="E2955" s="44"/>
      <c r="F2955" s="43"/>
      <c r="G2955" s="43"/>
    </row>
    <row r="2956" spans="2:17" x14ac:dyDescent="0.3">
      <c r="F2956" s="43"/>
      <c r="G2956" s="43"/>
    </row>
    <row r="2957" spans="2:17" x14ac:dyDescent="0.3">
      <c r="F2957" s="43"/>
      <c r="G2957" s="43"/>
    </row>
    <row r="2958" spans="2:17" x14ac:dyDescent="0.3">
      <c r="F2958" s="43"/>
      <c r="G2958" s="43"/>
    </row>
    <row r="2959" spans="2:17" x14ac:dyDescent="0.3">
      <c r="F2959" s="43"/>
      <c r="G2959" s="43"/>
    </row>
    <row r="2960" spans="2:17" x14ac:dyDescent="0.3">
      <c r="F2960" s="43"/>
      <c r="G2960" s="43"/>
    </row>
    <row r="2961" spans="2:18" x14ac:dyDescent="0.3">
      <c r="F2961" s="43"/>
      <c r="G2961" s="43"/>
      <c r="R2961" s="50"/>
    </row>
    <row r="2962" spans="2:18" x14ac:dyDescent="0.3">
      <c r="F2962" s="43"/>
      <c r="G2962" s="43"/>
    </row>
    <row r="2963" spans="2:18" x14ac:dyDescent="0.3">
      <c r="F2963" s="43"/>
      <c r="G2963" s="43"/>
    </row>
    <row r="2964" spans="2:18" x14ac:dyDescent="0.3">
      <c r="F2964" s="43"/>
      <c r="G2964" s="43"/>
    </row>
    <row r="2965" spans="2:18" x14ac:dyDescent="0.3">
      <c r="B2965" s="54"/>
      <c r="F2965" s="43"/>
      <c r="G2965" s="43"/>
      <c r="Q2965" s="54"/>
    </row>
    <row r="2966" spans="2:18" x14ac:dyDescent="0.3">
      <c r="F2966" s="43"/>
      <c r="G2966" s="43"/>
    </row>
    <row r="2967" spans="2:18" x14ac:dyDescent="0.3">
      <c r="F2967" s="1"/>
      <c r="G2967" s="1"/>
    </row>
    <row r="2968" spans="2:18" x14ac:dyDescent="0.3">
      <c r="F2968" s="43"/>
      <c r="G2968" s="43"/>
    </row>
    <row r="2969" spans="2:18" x14ac:dyDescent="0.3">
      <c r="F2969" s="43"/>
      <c r="G2969" s="43"/>
    </row>
    <row r="2970" spans="2:18" x14ac:dyDescent="0.3">
      <c r="F2970" s="43"/>
      <c r="G2970" s="43"/>
    </row>
    <row r="2971" spans="2:18" x14ac:dyDescent="0.3">
      <c r="F2971" s="43"/>
      <c r="G2971" s="43"/>
    </row>
    <row r="2972" spans="2:18" x14ac:dyDescent="0.3">
      <c r="F2972" s="43"/>
      <c r="G2972" s="43"/>
    </row>
    <row r="2973" spans="2:18" x14ac:dyDescent="0.3">
      <c r="F2973" s="43"/>
      <c r="G2973" s="43"/>
    </row>
    <row r="2974" spans="2:18" x14ac:dyDescent="0.3">
      <c r="F2974" s="43"/>
      <c r="G2974" s="43"/>
    </row>
    <row r="2975" spans="2:18" x14ac:dyDescent="0.3">
      <c r="F2975" s="43"/>
      <c r="G2975" s="43"/>
    </row>
    <row r="2976" spans="2:18" x14ac:dyDescent="0.3">
      <c r="F2976" s="43"/>
      <c r="G2976" s="43"/>
    </row>
    <row r="2977" spans="6:7" x14ac:dyDescent="0.3">
      <c r="F2977" s="43"/>
      <c r="G2977" s="43"/>
    </row>
    <row r="2978" spans="6:7" x14ac:dyDescent="0.3">
      <c r="F2978" s="43"/>
      <c r="G2978" s="43"/>
    </row>
    <row r="2979" spans="6:7" x14ac:dyDescent="0.3">
      <c r="F2979" s="43"/>
      <c r="G2979" s="43"/>
    </row>
    <row r="2980" spans="6:7" x14ac:dyDescent="0.3">
      <c r="F2980" s="43"/>
      <c r="G2980" s="43"/>
    </row>
    <row r="2981" spans="6:7" x14ac:dyDescent="0.3">
      <c r="F2981" s="43"/>
      <c r="G2981" s="43"/>
    </row>
    <row r="2982" spans="6:7" x14ac:dyDescent="0.3">
      <c r="F2982" s="43"/>
      <c r="G2982" s="43"/>
    </row>
    <row r="2983" spans="6:7" x14ac:dyDescent="0.3">
      <c r="F2983" s="43"/>
      <c r="G2983" s="43"/>
    </row>
    <row r="2984" spans="6:7" x14ac:dyDescent="0.3">
      <c r="F2984" s="43"/>
      <c r="G2984" s="43"/>
    </row>
    <row r="2985" spans="6:7" x14ac:dyDescent="0.3">
      <c r="F2985" s="43"/>
      <c r="G2985" s="43"/>
    </row>
    <row r="2986" spans="6:7" x14ac:dyDescent="0.3">
      <c r="F2986" s="43"/>
      <c r="G2986" s="43"/>
    </row>
    <row r="2987" spans="6:7" x14ac:dyDescent="0.3">
      <c r="F2987" s="43"/>
      <c r="G2987" s="43"/>
    </row>
    <row r="2988" spans="6:7" x14ac:dyDescent="0.3">
      <c r="F2988" s="43"/>
      <c r="G2988" s="43"/>
    </row>
    <row r="2989" spans="6:7" x14ac:dyDescent="0.3">
      <c r="F2989" s="43"/>
      <c r="G2989" s="43"/>
    </row>
    <row r="2990" spans="6:7" x14ac:dyDescent="0.3">
      <c r="F2990" s="43"/>
      <c r="G2990" s="43"/>
    </row>
    <row r="2991" spans="6:7" x14ac:dyDescent="0.3">
      <c r="F2991" s="43"/>
      <c r="G2991" s="43"/>
    </row>
    <row r="2992" spans="6:7" x14ac:dyDescent="0.3">
      <c r="F2992" s="43"/>
      <c r="G2992" s="43"/>
    </row>
    <row r="2993" spans="6:7" x14ac:dyDescent="0.3">
      <c r="F2993" s="43"/>
      <c r="G2993" s="43"/>
    </row>
    <row r="2994" spans="6:7" x14ac:dyDescent="0.3">
      <c r="F2994" s="43"/>
      <c r="G2994" s="43"/>
    </row>
    <row r="2995" spans="6:7" x14ac:dyDescent="0.3">
      <c r="F2995" s="43"/>
      <c r="G2995" s="43"/>
    </row>
    <row r="2996" spans="6:7" x14ac:dyDescent="0.3">
      <c r="F2996" s="43"/>
      <c r="G2996" s="43"/>
    </row>
    <row r="2997" spans="6:7" x14ac:dyDescent="0.3">
      <c r="F2997" s="43"/>
      <c r="G2997" s="43"/>
    </row>
    <row r="2998" spans="6:7" x14ac:dyDescent="0.3">
      <c r="F2998" s="43"/>
      <c r="G2998" s="43"/>
    </row>
    <row r="2999" spans="6:7" x14ac:dyDescent="0.3">
      <c r="F2999" s="43"/>
      <c r="G2999" s="43"/>
    </row>
    <row r="3000" spans="6:7" x14ac:dyDescent="0.3">
      <c r="F3000" s="43"/>
      <c r="G3000" s="43"/>
    </row>
    <row r="3001" spans="6:7" x14ac:dyDescent="0.3">
      <c r="F3001" s="43"/>
      <c r="G3001" s="43"/>
    </row>
    <row r="3002" spans="6:7" x14ac:dyDescent="0.3">
      <c r="F3002" s="43"/>
      <c r="G3002" s="43"/>
    </row>
    <row r="3003" spans="6:7" x14ac:dyDescent="0.3">
      <c r="F3003" s="43"/>
      <c r="G3003" s="43"/>
    </row>
    <row r="3004" spans="6:7" x14ac:dyDescent="0.3">
      <c r="F3004" s="43"/>
      <c r="G3004" s="43"/>
    </row>
    <row r="3005" spans="6:7" x14ac:dyDescent="0.3">
      <c r="F3005" s="43"/>
      <c r="G3005" s="43"/>
    </row>
    <row r="3006" spans="6:7" x14ac:dyDescent="0.3">
      <c r="F3006" s="43"/>
      <c r="G3006" s="43"/>
    </row>
    <row r="3007" spans="6:7" x14ac:dyDescent="0.3">
      <c r="F3007" s="43"/>
      <c r="G3007" s="43"/>
    </row>
    <row r="3008" spans="6:7" x14ac:dyDescent="0.3">
      <c r="F3008" s="43"/>
      <c r="G3008" s="43"/>
    </row>
    <row r="3009" spans="1:17" x14ac:dyDescent="0.3">
      <c r="F3009" s="43"/>
      <c r="G3009" s="43"/>
    </row>
    <row r="3010" spans="1:17" x14ac:dyDescent="0.3">
      <c r="F3010" s="43"/>
      <c r="G3010" s="43"/>
    </row>
    <row r="3011" spans="1:17" x14ac:dyDescent="0.3">
      <c r="F3011" s="43"/>
      <c r="G3011" s="43"/>
    </row>
    <row r="3012" spans="1:17" x14ac:dyDescent="0.3">
      <c r="B3012" s="52"/>
      <c r="F3012" s="43"/>
      <c r="G3012" s="43"/>
      <c r="Q3012" s="52"/>
    </row>
    <row r="3013" spans="1:17" x14ac:dyDescent="0.3">
      <c r="F3013" s="43"/>
      <c r="G3013" s="43"/>
    </row>
    <row r="3014" spans="1:17" x14ac:dyDescent="0.3">
      <c r="A3014" t="s">
        <v>3347</v>
      </c>
      <c r="B3014" t="s">
        <v>20</v>
      </c>
      <c r="C3014">
        <v>60</v>
      </c>
      <c r="D3014" t="s">
        <v>256</v>
      </c>
      <c r="E3014" t="s">
        <v>1599</v>
      </c>
      <c r="F3014" s="43">
        <v>44600</v>
      </c>
      <c r="G3014" s="43">
        <v>44925</v>
      </c>
      <c r="H3014">
        <v>6</v>
      </c>
      <c r="I3014">
        <v>0</v>
      </c>
      <c r="J3014">
        <v>7</v>
      </c>
      <c r="K3014">
        <v>0</v>
      </c>
      <c r="L3014">
        <v>2022</v>
      </c>
      <c r="M3014" t="s">
        <v>33</v>
      </c>
      <c r="N3014" t="s">
        <v>3348</v>
      </c>
      <c r="O3014" t="s">
        <v>2353</v>
      </c>
      <c r="P3014" t="s">
        <v>3349</v>
      </c>
    </row>
    <row r="3015" spans="1:17" x14ac:dyDescent="0.3">
      <c r="A3015" t="s">
        <v>3638</v>
      </c>
      <c r="B3015" t="s">
        <v>20</v>
      </c>
      <c r="C3015">
        <v>30</v>
      </c>
      <c r="D3015" t="s">
        <v>256</v>
      </c>
      <c r="E3015" t="s">
        <v>3639</v>
      </c>
      <c r="F3015" s="1">
        <v>44582</v>
      </c>
      <c r="G3015" s="1">
        <v>949997.9993055556</v>
      </c>
      <c r="H3015">
        <v>11</v>
      </c>
      <c r="I3015">
        <v>30</v>
      </c>
      <c r="J3015">
        <v>12</v>
      </c>
      <c r="K3015">
        <v>0</v>
      </c>
      <c r="L3015">
        <v>2022</v>
      </c>
      <c r="N3015" t="s">
        <v>47</v>
      </c>
      <c r="O3015" t="s">
        <v>3640</v>
      </c>
      <c r="P3015" t="s">
        <v>3641</v>
      </c>
    </row>
    <row r="3016" spans="1:17" x14ac:dyDescent="0.3">
      <c r="F3016" s="43"/>
      <c r="G3016" s="43"/>
    </row>
    <row r="3017" spans="1:17" x14ac:dyDescent="0.3">
      <c r="F3017" s="43"/>
      <c r="G3017" s="43"/>
    </row>
    <row r="3018" spans="1:17" x14ac:dyDescent="0.3">
      <c r="F3018" s="43"/>
      <c r="G3018" s="43"/>
    </row>
    <row r="3019" spans="1:17" x14ac:dyDescent="0.3">
      <c r="F3019" s="43"/>
      <c r="G3019" s="43"/>
    </row>
    <row r="3020" spans="1:17" x14ac:dyDescent="0.3">
      <c r="F3020" s="43"/>
      <c r="G3020" s="43"/>
    </row>
    <row r="3021" spans="1:17" x14ac:dyDescent="0.3">
      <c r="F3021" s="43"/>
      <c r="G3021" s="43"/>
    </row>
    <row r="3022" spans="1:17" x14ac:dyDescent="0.3">
      <c r="F3022" s="43"/>
      <c r="G3022" s="43"/>
    </row>
    <row r="3023" spans="1:17" x14ac:dyDescent="0.3">
      <c r="F3023" s="43"/>
      <c r="G3023" s="43"/>
    </row>
    <row r="3024" spans="1:17" x14ac:dyDescent="0.3">
      <c r="F3024" s="43"/>
      <c r="G3024" s="43"/>
    </row>
    <row r="3025" spans="6:7" x14ac:dyDescent="0.3">
      <c r="F3025" s="43"/>
      <c r="G3025" s="43"/>
    </row>
    <row r="3026" spans="6:7" x14ac:dyDescent="0.3">
      <c r="F3026" s="43"/>
      <c r="G3026" s="43"/>
    </row>
    <row r="3027" spans="6:7" x14ac:dyDescent="0.3">
      <c r="F3027" s="43"/>
      <c r="G3027" s="43"/>
    </row>
    <row r="3028" spans="6:7" x14ac:dyDescent="0.3">
      <c r="F3028" s="43"/>
      <c r="G3028" s="43"/>
    </row>
    <row r="3029" spans="6:7" x14ac:dyDescent="0.3">
      <c r="F3029" s="43"/>
      <c r="G3029" s="43"/>
    </row>
    <row r="3030" spans="6:7" x14ac:dyDescent="0.3">
      <c r="F3030" s="43"/>
      <c r="G3030" s="43"/>
    </row>
    <row r="3031" spans="6:7" x14ac:dyDescent="0.3">
      <c r="F3031" s="43"/>
      <c r="G3031" s="43"/>
    </row>
    <row r="3032" spans="6:7" x14ac:dyDescent="0.3">
      <c r="F3032" s="43"/>
      <c r="G3032" s="43"/>
    </row>
    <row r="3033" spans="6:7" x14ac:dyDescent="0.3">
      <c r="F3033" s="43"/>
      <c r="G3033" s="43"/>
    </row>
    <row r="3034" spans="6:7" x14ac:dyDescent="0.3">
      <c r="F3034" s="43"/>
      <c r="G3034" s="43"/>
    </row>
    <row r="3035" spans="6:7" x14ac:dyDescent="0.3">
      <c r="F3035" s="43"/>
      <c r="G3035" s="43"/>
    </row>
    <row r="3036" spans="6:7" x14ac:dyDescent="0.3">
      <c r="F3036" s="43"/>
      <c r="G3036" s="43"/>
    </row>
    <row r="3037" spans="6:7" x14ac:dyDescent="0.3">
      <c r="F3037" s="43"/>
      <c r="G3037" s="43"/>
    </row>
    <row r="3038" spans="6:7" x14ac:dyDescent="0.3">
      <c r="F3038" s="43"/>
      <c r="G3038" s="43"/>
    </row>
    <row r="3039" spans="6:7" x14ac:dyDescent="0.3">
      <c r="F3039" s="43"/>
      <c r="G3039" s="43"/>
    </row>
    <row r="3040" spans="6:7" x14ac:dyDescent="0.3">
      <c r="F3040" s="43"/>
      <c r="G3040" s="43"/>
    </row>
    <row r="3041" spans="6:7" x14ac:dyDescent="0.3">
      <c r="F3041" s="43"/>
      <c r="G3041" s="43"/>
    </row>
    <row r="3042" spans="6:7" x14ac:dyDescent="0.3">
      <c r="F3042" s="43"/>
      <c r="G3042" s="43"/>
    </row>
    <row r="3043" spans="6:7" x14ac:dyDescent="0.3">
      <c r="F3043" s="43"/>
      <c r="G3043" s="43"/>
    </row>
    <row r="3044" spans="6:7" x14ac:dyDescent="0.3">
      <c r="F3044" s="43"/>
      <c r="G3044" s="43"/>
    </row>
    <row r="3045" spans="6:7" x14ac:dyDescent="0.3">
      <c r="F3045" s="43"/>
      <c r="G3045" s="43"/>
    </row>
    <row r="3046" spans="6:7" x14ac:dyDescent="0.3">
      <c r="F3046" s="43"/>
      <c r="G3046" s="43"/>
    </row>
    <row r="3047" spans="6:7" x14ac:dyDescent="0.3">
      <c r="F3047" s="43"/>
      <c r="G3047" s="43"/>
    </row>
    <row r="3048" spans="6:7" x14ac:dyDescent="0.3">
      <c r="F3048" s="43"/>
      <c r="G3048" s="43"/>
    </row>
    <row r="3049" spans="6:7" x14ac:dyDescent="0.3">
      <c r="F3049" s="43"/>
      <c r="G3049" s="43"/>
    </row>
    <row r="3050" spans="6:7" x14ac:dyDescent="0.3">
      <c r="F3050" s="43"/>
      <c r="G3050" s="43"/>
    </row>
    <row r="3051" spans="6:7" x14ac:dyDescent="0.3">
      <c r="F3051" s="43"/>
      <c r="G3051" s="43"/>
    </row>
    <row r="3052" spans="6:7" x14ac:dyDescent="0.3">
      <c r="F3052" s="43"/>
      <c r="G3052" s="43"/>
    </row>
    <row r="3053" spans="6:7" x14ac:dyDescent="0.3">
      <c r="F3053" s="43"/>
      <c r="G3053" s="43"/>
    </row>
    <row r="3054" spans="6:7" x14ac:dyDescent="0.3">
      <c r="F3054" s="43"/>
      <c r="G3054" s="43"/>
    </row>
    <row r="3055" spans="6:7" x14ac:dyDescent="0.3">
      <c r="F3055" s="43"/>
      <c r="G3055" s="43"/>
    </row>
    <row r="3056" spans="6:7" x14ac:dyDescent="0.3">
      <c r="F3056" s="43"/>
      <c r="G3056" s="43"/>
    </row>
    <row r="3057" spans="6:7" x14ac:dyDescent="0.3">
      <c r="F3057" s="43"/>
      <c r="G3057" s="43"/>
    </row>
    <row r="3058" spans="6:7" x14ac:dyDescent="0.3">
      <c r="F3058" s="43"/>
      <c r="G3058" s="43"/>
    </row>
    <row r="3059" spans="6:7" x14ac:dyDescent="0.3">
      <c r="F3059" s="43"/>
      <c r="G3059" s="43"/>
    </row>
    <row r="3060" spans="6:7" x14ac:dyDescent="0.3">
      <c r="F3060" s="43"/>
      <c r="G3060" s="43"/>
    </row>
    <row r="3061" spans="6:7" x14ac:dyDescent="0.3">
      <c r="F3061" s="43"/>
      <c r="G3061" s="43"/>
    </row>
    <row r="3062" spans="6:7" x14ac:dyDescent="0.3">
      <c r="F3062" s="43"/>
      <c r="G3062" s="43"/>
    </row>
    <row r="3063" spans="6:7" x14ac:dyDescent="0.3">
      <c r="F3063" s="43"/>
      <c r="G3063" s="43"/>
    </row>
    <row r="3064" spans="6:7" x14ac:dyDescent="0.3">
      <c r="F3064" s="43"/>
      <c r="G3064" s="43"/>
    </row>
    <row r="3065" spans="6:7" x14ac:dyDescent="0.3">
      <c r="F3065" s="43"/>
      <c r="G3065" s="43"/>
    </row>
    <row r="3066" spans="6:7" x14ac:dyDescent="0.3">
      <c r="F3066" s="43"/>
      <c r="G3066" s="43"/>
    </row>
    <row r="3067" spans="6:7" x14ac:dyDescent="0.3">
      <c r="F3067" s="43"/>
      <c r="G3067" s="43"/>
    </row>
    <row r="3068" spans="6:7" x14ac:dyDescent="0.3">
      <c r="F3068" s="43"/>
      <c r="G3068" s="43"/>
    </row>
    <row r="3069" spans="6:7" x14ac:dyDescent="0.3">
      <c r="F3069" s="43"/>
      <c r="G3069" s="43"/>
    </row>
    <row r="3070" spans="6:7" x14ac:dyDescent="0.3">
      <c r="F3070" s="43"/>
      <c r="G3070" s="43"/>
    </row>
    <row r="3071" spans="6:7" x14ac:dyDescent="0.3">
      <c r="F3071" s="43"/>
      <c r="G3071" s="43"/>
    </row>
    <row r="3072" spans="6:7" x14ac:dyDescent="0.3">
      <c r="F3072" s="43"/>
      <c r="G3072" s="43"/>
    </row>
    <row r="3073" spans="6:7" x14ac:dyDescent="0.3">
      <c r="F3073" s="43"/>
      <c r="G3073" s="43"/>
    </row>
    <row r="3074" spans="6:7" x14ac:dyDescent="0.3">
      <c r="F3074" s="43"/>
      <c r="G3074" s="43"/>
    </row>
    <row r="3075" spans="6:7" x14ac:dyDescent="0.3">
      <c r="F3075" s="43"/>
      <c r="G3075" s="43"/>
    </row>
    <row r="3076" spans="6:7" x14ac:dyDescent="0.3">
      <c r="F3076" s="43"/>
      <c r="G3076" s="43"/>
    </row>
    <row r="3077" spans="6:7" x14ac:dyDescent="0.3">
      <c r="F3077" s="43"/>
      <c r="G3077" s="43"/>
    </row>
    <row r="3078" spans="6:7" x14ac:dyDescent="0.3">
      <c r="F3078" s="43"/>
      <c r="G3078" s="43"/>
    </row>
    <row r="3079" spans="6:7" x14ac:dyDescent="0.3">
      <c r="F3079" s="43"/>
      <c r="G3079" s="43"/>
    </row>
    <row r="3080" spans="6:7" x14ac:dyDescent="0.3">
      <c r="F3080" s="43"/>
      <c r="G3080" s="43"/>
    </row>
    <row r="3081" spans="6:7" x14ac:dyDescent="0.3">
      <c r="F3081" s="43"/>
      <c r="G3081" s="43"/>
    </row>
    <row r="3082" spans="6:7" x14ac:dyDescent="0.3">
      <c r="F3082" s="43"/>
      <c r="G3082" s="43"/>
    </row>
    <row r="3083" spans="6:7" x14ac:dyDescent="0.3">
      <c r="F3083" s="43"/>
      <c r="G3083" s="43"/>
    </row>
    <row r="3084" spans="6:7" x14ac:dyDescent="0.3">
      <c r="F3084" s="43"/>
      <c r="G3084" s="43"/>
    </row>
    <row r="3085" spans="6:7" x14ac:dyDescent="0.3">
      <c r="F3085" s="43"/>
      <c r="G3085" s="43"/>
    </row>
    <row r="3086" spans="6:7" x14ac:dyDescent="0.3">
      <c r="F3086" s="43"/>
      <c r="G3086" s="43"/>
    </row>
    <row r="3087" spans="6:7" x14ac:dyDescent="0.3">
      <c r="F3087" s="43"/>
      <c r="G3087" s="43"/>
    </row>
    <row r="3088" spans="6:7" x14ac:dyDescent="0.3">
      <c r="F3088" s="43"/>
      <c r="G3088" s="43"/>
    </row>
    <row r="3089" spans="6:7" x14ac:dyDescent="0.3">
      <c r="F3089" s="43"/>
      <c r="G3089" s="43"/>
    </row>
    <row r="3090" spans="6:7" x14ac:dyDescent="0.3">
      <c r="F3090" s="43"/>
      <c r="G3090" s="43"/>
    </row>
    <row r="3091" spans="6:7" x14ac:dyDescent="0.3">
      <c r="F3091" s="43"/>
      <c r="G3091" s="43"/>
    </row>
    <row r="3092" spans="6:7" x14ac:dyDescent="0.3">
      <c r="F3092" s="43"/>
      <c r="G3092" s="43"/>
    </row>
    <row r="3093" spans="6:7" x14ac:dyDescent="0.3">
      <c r="F3093" s="43"/>
      <c r="G3093" s="43"/>
    </row>
    <row r="3094" spans="6:7" x14ac:dyDescent="0.3">
      <c r="F3094" s="43"/>
      <c r="G3094" s="43"/>
    </row>
    <row r="3095" spans="6:7" x14ac:dyDescent="0.3">
      <c r="F3095" s="43"/>
      <c r="G3095" s="43"/>
    </row>
    <row r="3096" spans="6:7" x14ac:dyDescent="0.3">
      <c r="F3096" s="43"/>
      <c r="G3096" s="43"/>
    </row>
    <row r="3097" spans="6:7" x14ac:dyDescent="0.3">
      <c r="F3097" s="43"/>
      <c r="G3097" s="43"/>
    </row>
    <row r="3098" spans="6:7" x14ac:dyDescent="0.3">
      <c r="F3098" s="43"/>
      <c r="G3098" s="43"/>
    </row>
    <row r="3099" spans="6:7" x14ac:dyDescent="0.3">
      <c r="F3099" s="43"/>
      <c r="G3099" s="43"/>
    </row>
    <row r="3100" spans="6:7" x14ac:dyDescent="0.3">
      <c r="F3100" s="1"/>
      <c r="G3100" s="1"/>
    </row>
    <row r="3101" spans="6:7" x14ac:dyDescent="0.3">
      <c r="F3101" s="43"/>
      <c r="G3101" s="43"/>
    </row>
    <row r="3102" spans="6:7" x14ac:dyDescent="0.3">
      <c r="F3102" s="43"/>
      <c r="G3102" s="43"/>
    </row>
    <row r="3103" spans="6:7" x14ac:dyDescent="0.3">
      <c r="F3103" s="43"/>
      <c r="G3103" s="43"/>
    </row>
    <row r="3104" spans="6:7" x14ac:dyDescent="0.3">
      <c r="F3104" s="43"/>
      <c r="G3104" s="43"/>
    </row>
    <row r="3105" spans="5:7" x14ac:dyDescent="0.3">
      <c r="F3105" s="43"/>
      <c r="G3105" s="43"/>
    </row>
    <row r="3106" spans="5:7" x14ac:dyDescent="0.3">
      <c r="F3106" s="43"/>
      <c r="G3106" s="43"/>
    </row>
    <row r="3107" spans="5:7" x14ac:dyDescent="0.3">
      <c r="F3107" s="43"/>
      <c r="G3107" s="43"/>
    </row>
    <row r="3108" spans="5:7" x14ac:dyDescent="0.3">
      <c r="F3108" s="43"/>
      <c r="G3108" s="43"/>
    </row>
    <row r="3109" spans="5:7" x14ac:dyDescent="0.3">
      <c r="F3109" s="43"/>
      <c r="G3109" s="43"/>
    </row>
    <row r="3110" spans="5:7" x14ac:dyDescent="0.3">
      <c r="F3110" s="43"/>
      <c r="G3110" s="43"/>
    </row>
    <row r="3111" spans="5:7" x14ac:dyDescent="0.3">
      <c r="F3111" s="43"/>
      <c r="G3111" s="43"/>
    </row>
    <row r="3112" spans="5:7" x14ac:dyDescent="0.3">
      <c r="F3112" s="43"/>
      <c r="G3112" s="43"/>
    </row>
    <row r="3113" spans="5:7" x14ac:dyDescent="0.3">
      <c r="F3113" s="43"/>
      <c r="G3113" s="43"/>
    </row>
    <row r="3114" spans="5:7" x14ac:dyDescent="0.3">
      <c r="F3114" s="43"/>
      <c r="G3114" s="43"/>
    </row>
    <row r="3115" spans="5:7" x14ac:dyDescent="0.3">
      <c r="F3115" s="43"/>
      <c r="G3115" s="43"/>
    </row>
    <row r="3116" spans="5:7" x14ac:dyDescent="0.3">
      <c r="F3116" s="43"/>
      <c r="G3116" s="43"/>
    </row>
    <row r="3117" spans="5:7" x14ac:dyDescent="0.3">
      <c r="E3117" s="44"/>
      <c r="F3117" s="43"/>
      <c r="G3117" s="43"/>
    </row>
    <row r="3118" spans="5:7" x14ac:dyDescent="0.3">
      <c r="F3118" s="43"/>
      <c r="G3118" s="43"/>
    </row>
    <row r="3119" spans="5:7" x14ac:dyDescent="0.3">
      <c r="E3119" s="44"/>
      <c r="F3119" s="43"/>
      <c r="G3119" s="43"/>
    </row>
    <row r="3120" spans="5:7" x14ac:dyDescent="0.3">
      <c r="F3120" s="43"/>
      <c r="G3120" s="43"/>
    </row>
    <row r="3121" spans="6:7" x14ac:dyDescent="0.3">
      <c r="F3121" s="43"/>
      <c r="G3121" s="43"/>
    </row>
    <row r="3122" spans="6:7" x14ac:dyDescent="0.3">
      <c r="F3122" s="43"/>
      <c r="G3122" s="43"/>
    </row>
    <row r="3123" spans="6:7" x14ac:dyDescent="0.3">
      <c r="F3123" s="43"/>
      <c r="G3123" s="43"/>
    </row>
    <row r="3124" spans="6:7" x14ac:dyDescent="0.3">
      <c r="F3124" s="43"/>
      <c r="G3124" s="43"/>
    </row>
    <row r="3125" spans="6:7" x14ac:dyDescent="0.3">
      <c r="F3125" s="43"/>
      <c r="G3125" s="43"/>
    </row>
    <row r="3126" spans="6:7" x14ac:dyDescent="0.3">
      <c r="F3126" s="43"/>
      <c r="G3126" s="43"/>
    </row>
    <row r="3127" spans="6:7" x14ac:dyDescent="0.3">
      <c r="F3127" s="43"/>
      <c r="G3127" s="43"/>
    </row>
    <row r="3128" spans="6:7" x14ac:dyDescent="0.3">
      <c r="F3128" s="43"/>
      <c r="G3128" s="43"/>
    </row>
    <row r="3129" spans="6:7" x14ac:dyDescent="0.3">
      <c r="F3129" s="43"/>
      <c r="G3129" s="43"/>
    </row>
    <row r="3130" spans="6:7" x14ac:dyDescent="0.3">
      <c r="F3130" s="43"/>
      <c r="G3130" s="43"/>
    </row>
    <row r="3131" spans="6:7" x14ac:dyDescent="0.3">
      <c r="F3131" s="43"/>
      <c r="G3131" s="43"/>
    </row>
    <row r="3132" spans="6:7" x14ac:dyDescent="0.3">
      <c r="F3132" s="43"/>
      <c r="G3132" s="43"/>
    </row>
    <row r="3133" spans="6:7" x14ac:dyDescent="0.3">
      <c r="F3133" s="43"/>
      <c r="G3133" s="43"/>
    </row>
    <row r="3134" spans="6:7" x14ac:dyDescent="0.3">
      <c r="F3134" s="43"/>
      <c r="G3134" s="43"/>
    </row>
    <row r="3135" spans="6:7" x14ac:dyDescent="0.3">
      <c r="F3135" s="43"/>
      <c r="G3135" s="43"/>
    </row>
    <row r="3136" spans="6:7" x14ac:dyDescent="0.3">
      <c r="F3136" s="43"/>
      <c r="G3136" s="43"/>
    </row>
    <row r="3137" spans="6:7" x14ac:dyDescent="0.3">
      <c r="F3137" s="43"/>
      <c r="G3137" s="43"/>
    </row>
    <row r="3138" spans="6:7" x14ac:dyDescent="0.3">
      <c r="F3138" s="43"/>
      <c r="G3138" s="43"/>
    </row>
    <row r="3139" spans="6:7" x14ac:dyDescent="0.3">
      <c r="F3139" s="43"/>
      <c r="G3139" s="43"/>
    </row>
    <row r="3140" spans="6:7" x14ac:dyDescent="0.3">
      <c r="F3140" s="43"/>
      <c r="G3140" s="43"/>
    </row>
    <row r="3141" spans="6:7" x14ac:dyDescent="0.3">
      <c r="F3141" s="43"/>
      <c r="G3141" s="43"/>
    </row>
    <row r="3142" spans="6:7" x14ac:dyDescent="0.3">
      <c r="F3142" s="43"/>
      <c r="G3142" s="43"/>
    </row>
    <row r="3143" spans="6:7" x14ac:dyDescent="0.3">
      <c r="F3143" s="43"/>
      <c r="G3143" s="43"/>
    </row>
    <row r="3144" spans="6:7" x14ac:dyDescent="0.3">
      <c r="F3144" s="43"/>
      <c r="G3144" s="43"/>
    </row>
    <row r="3145" spans="6:7" x14ac:dyDescent="0.3">
      <c r="F3145" s="43"/>
      <c r="G3145" s="43"/>
    </row>
    <row r="3146" spans="6:7" x14ac:dyDescent="0.3">
      <c r="F3146" s="43"/>
      <c r="G3146" s="43"/>
    </row>
    <row r="3147" spans="6:7" x14ac:dyDescent="0.3">
      <c r="F3147" s="43"/>
      <c r="G3147" s="43"/>
    </row>
    <row r="3148" spans="6:7" x14ac:dyDescent="0.3">
      <c r="F3148" s="43"/>
      <c r="G3148" s="43"/>
    </row>
    <row r="3149" spans="6:7" x14ac:dyDescent="0.3">
      <c r="F3149" s="43"/>
      <c r="G3149" s="43"/>
    </row>
    <row r="3150" spans="6:7" x14ac:dyDescent="0.3">
      <c r="F3150" s="43"/>
      <c r="G3150" s="43"/>
    </row>
    <row r="3151" spans="6:7" x14ac:dyDescent="0.3">
      <c r="F3151" s="43"/>
      <c r="G3151" s="43"/>
    </row>
    <row r="3152" spans="6:7" x14ac:dyDescent="0.3">
      <c r="F3152" s="43"/>
      <c r="G3152" s="43"/>
    </row>
    <row r="3153" spans="6:7" x14ac:dyDescent="0.3">
      <c r="F3153" s="43"/>
      <c r="G3153" s="43"/>
    </row>
    <row r="3154" spans="6:7" x14ac:dyDescent="0.3">
      <c r="F3154" s="43"/>
      <c r="G3154" s="43"/>
    </row>
    <row r="3155" spans="6:7" x14ac:dyDescent="0.3">
      <c r="F3155" s="43"/>
      <c r="G3155" s="43"/>
    </row>
    <row r="3156" spans="6:7" x14ac:dyDescent="0.3">
      <c r="F3156" s="43"/>
      <c r="G3156" s="43"/>
    </row>
    <row r="3157" spans="6:7" x14ac:dyDescent="0.3">
      <c r="F3157" s="43"/>
      <c r="G3157" s="43"/>
    </row>
    <row r="3158" spans="6:7" x14ac:dyDescent="0.3">
      <c r="F3158" s="43"/>
      <c r="G3158" s="43"/>
    </row>
    <row r="3159" spans="6:7" x14ac:dyDescent="0.3">
      <c r="F3159" s="43"/>
      <c r="G3159" s="43"/>
    </row>
    <row r="3160" spans="6:7" x14ac:dyDescent="0.3">
      <c r="F3160" s="43"/>
      <c r="G3160" s="43"/>
    </row>
    <row r="3161" spans="6:7" x14ac:dyDescent="0.3">
      <c r="F3161" s="43"/>
      <c r="G3161" s="43"/>
    </row>
    <row r="3162" spans="6:7" x14ac:dyDescent="0.3">
      <c r="F3162" s="43"/>
      <c r="G3162" s="43"/>
    </row>
    <row r="3163" spans="6:7" x14ac:dyDescent="0.3">
      <c r="F3163" s="43"/>
      <c r="G3163" s="43"/>
    </row>
    <row r="3164" spans="6:7" x14ac:dyDescent="0.3">
      <c r="F3164" s="43"/>
      <c r="G3164" s="43"/>
    </row>
    <row r="3165" spans="6:7" x14ac:dyDescent="0.3">
      <c r="F3165" s="43"/>
      <c r="G3165" s="43"/>
    </row>
    <row r="3166" spans="6:7" x14ac:dyDescent="0.3">
      <c r="F3166" s="43"/>
      <c r="G3166" s="43"/>
    </row>
    <row r="3167" spans="6:7" x14ac:dyDescent="0.3">
      <c r="F3167" s="43"/>
      <c r="G3167" s="43"/>
    </row>
    <row r="3168" spans="6:7" x14ac:dyDescent="0.3">
      <c r="F3168" s="43"/>
      <c r="G3168" s="43"/>
    </row>
    <row r="3169" spans="5:7" x14ac:dyDescent="0.3">
      <c r="F3169" s="43"/>
      <c r="G3169" s="43"/>
    </row>
    <row r="3170" spans="5:7" x14ac:dyDescent="0.3">
      <c r="F3170" s="43"/>
      <c r="G3170" s="43"/>
    </row>
    <row r="3171" spans="5:7" x14ac:dyDescent="0.3">
      <c r="F3171" s="43"/>
      <c r="G3171" s="43"/>
    </row>
    <row r="3172" spans="5:7" x14ac:dyDescent="0.3">
      <c r="F3172" s="43"/>
      <c r="G3172" s="43"/>
    </row>
    <row r="3173" spans="5:7" x14ac:dyDescent="0.3">
      <c r="E3173" s="44"/>
      <c r="F3173" s="43"/>
      <c r="G3173" s="43"/>
    </row>
    <row r="3174" spans="5:7" x14ac:dyDescent="0.3">
      <c r="F3174" s="43"/>
      <c r="G3174" s="43"/>
    </row>
    <row r="3175" spans="5:7" x14ac:dyDescent="0.3">
      <c r="F3175" s="43"/>
      <c r="G3175" s="43"/>
    </row>
    <row r="3176" spans="5:7" x14ac:dyDescent="0.3">
      <c r="F3176" s="43"/>
      <c r="G3176" s="43"/>
    </row>
    <row r="3177" spans="5:7" x14ac:dyDescent="0.3">
      <c r="F3177" s="43"/>
      <c r="G3177" s="43"/>
    </row>
    <row r="3178" spans="5:7" x14ac:dyDescent="0.3">
      <c r="F3178" s="43"/>
      <c r="G3178" s="43"/>
    </row>
    <row r="3179" spans="5:7" x14ac:dyDescent="0.3">
      <c r="F3179" s="43"/>
      <c r="G3179" s="43"/>
    </row>
    <row r="3180" spans="5:7" x14ac:dyDescent="0.3">
      <c r="F3180" s="43"/>
      <c r="G3180" s="43"/>
    </row>
    <row r="3181" spans="5:7" x14ac:dyDescent="0.3">
      <c r="F3181" s="43"/>
      <c r="G3181" s="43"/>
    </row>
    <row r="3182" spans="5:7" x14ac:dyDescent="0.3">
      <c r="F3182" s="43"/>
      <c r="G3182" s="43"/>
    </row>
    <row r="3183" spans="5:7" x14ac:dyDescent="0.3">
      <c r="F3183" s="43"/>
      <c r="G3183" s="43"/>
    </row>
    <row r="3184" spans="5:7" x14ac:dyDescent="0.3">
      <c r="F3184" s="43"/>
      <c r="G3184" s="43"/>
    </row>
    <row r="3185" spans="6:7" x14ac:dyDescent="0.3">
      <c r="F3185" s="43"/>
      <c r="G3185" s="43"/>
    </row>
    <row r="3186" spans="6:7" x14ac:dyDescent="0.3">
      <c r="F3186" s="43"/>
      <c r="G3186" s="43"/>
    </row>
    <row r="3187" spans="6:7" x14ac:dyDescent="0.3">
      <c r="F3187" s="43"/>
      <c r="G3187" s="43"/>
    </row>
    <row r="3188" spans="6:7" x14ac:dyDescent="0.3">
      <c r="F3188" s="43"/>
      <c r="G3188" s="43"/>
    </row>
    <row r="3189" spans="6:7" x14ac:dyDescent="0.3">
      <c r="F3189" s="43"/>
      <c r="G3189" s="43"/>
    </row>
    <row r="3190" spans="6:7" x14ac:dyDescent="0.3">
      <c r="F3190" s="43"/>
      <c r="G3190" s="43"/>
    </row>
    <row r="3191" spans="6:7" x14ac:dyDescent="0.3">
      <c r="F3191" s="43"/>
      <c r="G3191" s="43"/>
    </row>
    <row r="3192" spans="6:7" x14ac:dyDescent="0.3">
      <c r="F3192" s="43"/>
      <c r="G3192" s="43"/>
    </row>
    <row r="3193" spans="6:7" x14ac:dyDescent="0.3">
      <c r="F3193" s="43"/>
      <c r="G3193" s="43"/>
    </row>
    <row r="3194" spans="6:7" x14ac:dyDescent="0.3">
      <c r="F3194" s="43"/>
      <c r="G3194" s="43"/>
    </row>
    <row r="3195" spans="6:7" x14ac:dyDescent="0.3">
      <c r="F3195" s="43"/>
      <c r="G3195" s="43"/>
    </row>
    <row r="3196" spans="6:7" x14ac:dyDescent="0.3">
      <c r="F3196" s="43"/>
      <c r="G3196" s="43"/>
    </row>
    <row r="3197" spans="6:7" x14ac:dyDescent="0.3">
      <c r="F3197" s="43"/>
      <c r="G3197" s="43"/>
    </row>
    <row r="3198" spans="6:7" x14ac:dyDescent="0.3">
      <c r="F3198" s="43"/>
      <c r="G3198" s="43"/>
    </row>
    <row r="3199" spans="6:7" x14ac:dyDescent="0.3">
      <c r="F3199" s="43"/>
      <c r="G3199" s="43"/>
    </row>
    <row r="3200" spans="6:7" x14ac:dyDescent="0.3">
      <c r="F3200" s="43"/>
      <c r="G3200" s="43"/>
    </row>
    <row r="3201" spans="6:7" x14ac:dyDescent="0.3">
      <c r="F3201" s="43"/>
      <c r="G3201" s="43"/>
    </row>
    <row r="3202" spans="6:7" x14ac:dyDescent="0.3">
      <c r="F3202" s="43"/>
      <c r="G3202" s="43"/>
    </row>
    <row r="3203" spans="6:7" x14ac:dyDescent="0.3">
      <c r="F3203" s="43"/>
      <c r="G3203" s="43"/>
    </row>
    <row r="3204" spans="6:7" x14ac:dyDescent="0.3">
      <c r="F3204" s="43"/>
      <c r="G3204" s="43"/>
    </row>
    <row r="3205" spans="6:7" x14ac:dyDescent="0.3">
      <c r="F3205" s="43"/>
      <c r="G3205" s="43"/>
    </row>
    <row r="3206" spans="6:7" x14ac:dyDescent="0.3">
      <c r="F3206" s="43"/>
      <c r="G3206" s="43"/>
    </row>
    <row r="3207" spans="6:7" x14ac:dyDescent="0.3">
      <c r="F3207" s="43"/>
      <c r="G3207" s="43"/>
    </row>
    <row r="3208" spans="6:7" x14ac:dyDescent="0.3">
      <c r="F3208" s="43"/>
      <c r="G3208" s="43"/>
    </row>
    <row r="3209" spans="6:7" x14ac:dyDescent="0.3">
      <c r="F3209" s="43"/>
      <c r="G3209" s="43"/>
    </row>
    <row r="3210" spans="6:7" x14ac:dyDescent="0.3">
      <c r="F3210" s="43"/>
      <c r="G3210" s="43"/>
    </row>
    <row r="3211" spans="6:7" x14ac:dyDescent="0.3">
      <c r="F3211" s="43"/>
      <c r="G3211" s="43"/>
    </row>
    <row r="3212" spans="6:7" x14ac:dyDescent="0.3">
      <c r="F3212" s="43"/>
      <c r="G3212" s="43"/>
    </row>
    <row r="3213" spans="6:7" x14ac:dyDescent="0.3">
      <c r="F3213" s="43"/>
      <c r="G3213" s="43"/>
    </row>
    <row r="3214" spans="6:7" x14ac:dyDescent="0.3">
      <c r="F3214" s="43"/>
      <c r="G3214" s="43"/>
    </row>
    <row r="3215" spans="6:7" x14ac:dyDescent="0.3">
      <c r="F3215" s="43"/>
      <c r="G3215" s="43"/>
    </row>
    <row r="3216" spans="6:7" x14ac:dyDescent="0.3">
      <c r="F3216" s="43"/>
      <c r="G3216" s="43"/>
    </row>
    <row r="3217" spans="6:7" x14ac:dyDescent="0.3">
      <c r="F3217" s="43"/>
      <c r="G3217" s="43"/>
    </row>
    <row r="3218" spans="6:7" x14ac:dyDescent="0.3">
      <c r="F3218" s="43"/>
      <c r="G3218" s="43"/>
    </row>
    <row r="3219" spans="6:7" x14ac:dyDescent="0.3">
      <c r="F3219" s="43"/>
      <c r="G3219" s="43"/>
    </row>
    <row r="3220" spans="6:7" x14ac:dyDescent="0.3">
      <c r="F3220" s="43"/>
      <c r="G3220" s="43"/>
    </row>
    <row r="3221" spans="6:7" x14ac:dyDescent="0.3">
      <c r="F3221" s="43"/>
      <c r="G3221" s="43"/>
    </row>
    <row r="3222" spans="6:7" x14ac:dyDescent="0.3">
      <c r="F3222" s="43"/>
      <c r="G3222" s="43"/>
    </row>
    <row r="3223" spans="6:7" x14ac:dyDescent="0.3">
      <c r="F3223" s="43"/>
      <c r="G3223" s="43"/>
    </row>
    <row r="3224" spans="6:7" x14ac:dyDescent="0.3">
      <c r="F3224" s="43"/>
      <c r="G3224" s="43"/>
    </row>
    <row r="3225" spans="6:7" x14ac:dyDescent="0.3">
      <c r="F3225" s="43"/>
      <c r="G3225" s="43"/>
    </row>
    <row r="3226" spans="6:7" x14ac:dyDescent="0.3">
      <c r="F3226" s="43"/>
      <c r="G3226" s="43"/>
    </row>
    <row r="3227" spans="6:7" x14ac:dyDescent="0.3">
      <c r="F3227" s="43"/>
      <c r="G3227" s="43"/>
    </row>
    <row r="3228" spans="6:7" x14ac:dyDescent="0.3">
      <c r="F3228" s="43"/>
      <c r="G3228" s="43"/>
    </row>
    <row r="3229" spans="6:7" x14ac:dyDescent="0.3">
      <c r="F3229" s="43"/>
      <c r="G3229" s="43"/>
    </row>
    <row r="3230" spans="6:7" x14ac:dyDescent="0.3">
      <c r="F3230" s="43"/>
      <c r="G3230" s="43"/>
    </row>
    <row r="3231" spans="6:7" x14ac:dyDescent="0.3">
      <c r="F3231" s="43"/>
      <c r="G3231" s="43"/>
    </row>
    <row r="3232" spans="6:7" x14ac:dyDescent="0.3">
      <c r="F3232" s="43"/>
      <c r="G3232" s="43"/>
    </row>
    <row r="3233" spans="6:7" x14ac:dyDescent="0.3">
      <c r="F3233" s="43"/>
      <c r="G3233" s="43"/>
    </row>
    <row r="3234" spans="6:7" x14ac:dyDescent="0.3">
      <c r="F3234" s="43"/>
      <c r="G3234" s="43"/>
    </row>
    <row r="3235" spans="6:7" x14ac:dyDescent="0.3">
      <c r="F3235" s="43"/>
      <c r="G3235" s="43"/>
    </row>
    <row r="3236" spans="6:7" x14ac:dyDescent="0.3">
      <c r="F3236" s="43"/>
      <c r="G3236" s="43"/>
    </row>
    <row r="3237" spans="6:7" x14ac:dyDescent="0.3">
      <c r="F3237" s="43"/>
      <c r="G3237" s="43"/>
    </row>
    <row r="3238" spans="6:7" x14ac:dyDescent="0.3">
      <c r="F3238" s="43"/>
      <c r="G3238" s="43"/>
    </row>
    <row r="3239" spans="6:7" x14ac:dyDescent="0.3">
      <c r="F3239" s="43"/>
      <c r="G3239" s="43"/>
    </row>
    <row r="3240" spans="6:7" x14ac:dyDescent="0.3">
      <c r="F3240" s="43"/>
      <c r="G3240" s="43"/>
    </row>
    <row r="3241" spans="6:7" x14ac:dyDescent="0.3">
      <c r="F3241" s="43"/>
      <c r="G3241" s="43"/>
    </row>
    <row r="3242" spans="6:7" x14ac:dyDescent="0.3">
      <c r="F3242" s="43"/>
      <c r="G3242" s="43"/>
    </row>
    <row r="3243" spans="6:7" x14ac:dyDescent="0.3">
      <c r="F3243" s="43"/>
      <c r="G3243" s="43"/>
    </row>
    <row r="3244" spans="6:7" x14ac:dyDescent="0.3">
      <c r="F3244" s="43"/>
      <c r="G3244" s="43"/>
    </row>
    <row r="3245" spans="6:7" x14ac:dyDescent="0.3">
      <c r="F3245" s="43"/>
      <c r="G3245" s="43"/>
    </row>
    <row r="3246" spans="6:7" x14ac:dyDescent="0.3">
      <c r="F3246" s="43"/>
      <c r="G3246" s="43"/>
    </row>
    <row r="3247" spans="6:7" x14ac:dyDescent="0.3">
      <c r="F3247" s="43"/>
      <c r="G3247" s="43"/>
    </row>
    <row r="3248" spans="6:7" x14ac:dyDescent="0.3">
      <c r="F3248" s="43"/>
      <c r="G3248" s="43"/>
    </row>
    <row r="3249" spans="6:7" x14ac:dyDescent="0.3">
      <c r="F3249" s="43"/>
      <c r="G3249" s="43"/>
    </row>
    <row r="3250" spans="6:7" x14ac:dyDescent="0.3">
      <c r="F3250" s="43"/>
      <c r="G3250" s="43"/>
    </row>
    <row r="3251" spans="6:7" x14ac:dyDescent="0.3">
      <c r="F3251" s="43"/>
      <c r="G3251" s="43"/>
    </row>
    <row r="3252" spans="6:7" x14ac:dyDescent="0.3">
      <c r="F3252" s="43"/>
      <c r="G3252" s="43"/>
    </row>
    <row r="3253" spans="6:7" x14ac:dyDescent="0.3">
      <c r="F3253" s="43"/>
      <c r="G3253" s="43"/>
    </row>
    <row r="3254" spans="6:7" x14ac:dyDescent="0.3">
      <c r="F3254" s="43"/>
      <c r="G3254" s="43"/>
    </row>
    <row r="3255" spans="6:7" x14ac:dyDescent="0.3">
      <c r="F3255" s="43"/>
      <c r="G3255" s="43"/>
    </row>
    <row r="3256" spans="6:7" x14ac:dyDescent="0.3">
      <c r="F3256" s="43"/>
      <c r="G3256" s="43"/>
    </row>
    <row r="3257" spans="6:7" x14ac:dyDescent="0.3">
      <c r="F3257" s="43"/>
      <c r="G3257" s="43"/>
    </row>
    <row r="3258" spans="6:7" x14ac:dyDescent="0.3">
      <c r="F3258" s="43"/>
      <c r="G3258" s="43"/>
    </row>
    <row r="3259" spans="6:7" x14ac:dyDescent="0.3">
      <c r="F3259" s="43"/>
      <c r="G3259" s="43"/>
    </row>
    <row r="3260" spans="6:7" x14ac:dyDescent="0.3">
      <c r="F3260" s="43"/>
      <c r="G3260" s="43"/>
    </row>
    <row r="3261" spans="6:7" x14ac:dyDescent="0.3">
      <c r="F3261" s="43"/>
      <c r="G3261" s="43"/>
    </row>
    <row r="3262" spans="6:7" x14ac:dyDescent="0.3">
      <c r="F3262" s="43"/>
      <c r="G3262" s="43"/>
    </row>
    <row r="3263" spans="6:7" x14ac:dyDescent="0.3">
      <c r="F3263" s="43"/>
      <c r="G3263" s="43"/>
    </row>
    <row r="3264" spans="6:7" x14ac:dyDescent="0.3">
      <c r="F3264" s="43"/>
      <c r="G3264" s="43"/>
    </row>
    <row r="3265" spans="6:7" x14ac:dyDescent="0.3">
      <c r="F3265" s="43"/>
      <c r="G3265" s="43"/>
    </row>
    <row r="3266" spans="6:7" x14ac:dyDescent="0.3">
      <c r="F3266" s="43"/>
      <c r="G3266" s="43"/>
    </row>
    <row r="3267" spans="6:7" x14ac:dyDescent="0.3">
      <c r="F3267" s="43"/>
      <c r="G3267" s="43"/>
    </row>
    <row r="3268" spans="6:7" x14ac:dyDescent="0.3">
      <c r="F3268" s="43"/>
      <c r="G3268" s="43"/>
    </row>
    <row r="3269" spans="6:7" x14ac:dyDescent="0.3">
      <c r="F3269" s="43"/>
      <c r="G3269" s="43"/>
    </row>
    <row r="3270" spans="6:7" x14ac:dyDescent="0.3">
      <c r="F3270" s="43"/>
      <c r="G3270" s="43"/>
    </row>
    <row r="3271" spans="6:7" x14ac:dyDescent="0.3">
      <c r="F3271" s="43"/>
      <c r="G3271" s="43"/>
    </row>
    <row r="3272" spans="6:7" x14ac:dyDescent="0.3">
      <c r="F3272" s="43"/>
      <c r="G3272" s="43"/>
    </row>
    <row r="3273" spans="6:7" x14ac:dyDescent="0.3">
      <c r="F3273" s="43"/>
      <c r="G3273" s="43"/>
    </row>
    <row r="3274" spans="6:7" x14ac:dyDescent="0.3">
      <c r="F3274" s="43"/>
      <c r="G3274" s="43"/>
    </row>
    <row r="3275" spans="6:7" x14ac:dyDescent="0.3">
      <c r="F3275" s="43"/>
      <c r="G3275" s="43"/>
    </row>
    <row r="3276" spans="6:7" x14ac:dyDescent="0.3">
      <c r="F3276" s="43"/>
      <c r="G3276" s="43"/>
    </row>
    <row r="3277" spans="6:7" x14ac:dyDescent="0.3">
      <c r="F3277" s="43"/>
      <c r="G3277" s="43"/>
    </row>
    <row r="3278" spans="6:7" x14ac:dyDescent="0.3">
      <c r="F3278" s="43"/>
      <c r="G3278" s="43"/>
    </row>
    <row r="3279" spans="6:7" x14ac:dyDescent="0.3">
      <c r="F3279" s="43"/>
      <c r="G3279" s="43"/>
    </row>
    <row r="3280" spans="6:7" x14ac:dyDescent="0.3">
      <c r="F3280" s="43"/>
      <c r="G3280" s="43"/>
    </row>
    <row r="3281" spans="6:7" x14ac:dyDescent="0.3">
      <c r="F3281" s="43"/>
      <c r="G3281" s="43"/>
    </row>
    <row r="3282" spans="6:7" x14ac:dyDescent="0.3">
      <c r="F3282" s="43"/>
      <c r="G3282" s="43"/>
    </row>
    <row r="3283" spans="6:7" x14ac:dyDescent="0.3">
      <c r="F3283" s="43"/>
      <c r="G3283" s="43"/>
    </row>
    <row r="3284" spans="6:7" x14ac:dyDescent="0.3">
      <c r="F3284" s="43"/>
      <c r="G3284" s="43"/>
    </row>
    <row r="3285" spans="6:7" x14ac:dyDescent="0.3">
      <c r="F3285" s="43"/>
      <c r="G3285" s="43"/>
    </row>
    <row r="3286" spans="6:7" x14ac:dyDescent="0.3">
      <c r="F3286" s="43"/>
      <c r="G3286" s="43"/>
    </row>
    <row r="3287" spans="6:7" x14ac:dyDescent="0.3">
      <c r="F3287" s="43"/>
      <c r="G3287" s="43"/>
    </row>
    <row r="3288" spans="6:7" x14ac:dyDescent="0.3">
      <c r="F3288" s="43"/>
      <c r="G3288" s="43"/>
    </row>
    <row r="3289" spans="6:7" x14ac:dyDescent="0.3">
      <c r="F3289" s="43"/>
      <c r="G3289" s="43"/>
    </row>
    <row r="3290" spans="6:7" x14ac:dyDescent="0.3">
      <c r="F3290" s="43"/>
      <c r="G3290" s="43"/>
    </row>
    <row r="3291" spans="6:7" x14ac:dyDescent="0.3">
      <c r="F3291" s="43"/>
      <c r="G3291" s="43"/>
    </row>
    <row r="3292" spans="6:7" x14ac:dyDescent="0.3">
      <c r="F3292" s="43"/>
      <c r="G3292" s="43"/>
    </row>
    <row r="3293" spans="6:7" x14ac:dyDescent="0.3">
      <c r="F3293" s="43"/>
      <c r="G3293" s="43"/>
    </row>
    <row r="3294" spans="6:7" x14ac:dyDescent="0.3">
      <c r="F3294" s="43"/>
      <c r="G3294" s="43"/>
    </row>
    <row r="3295" spans="6:7" x14ac:dyDescent="0.3">
      <c r="F3295" s="43"/>
      <c r="G3295" s="43"/>
    </row>
    <row r="3296" spans="6:7" x14ac:dyDescent="0.3">
      <c r="F3296" s="43"/>
      <c r="G3296" s="43"/>
    </row>
    <row r="3297" spans="6:7" x14ac:dyDescent="0.3">
      <c r="F3297" s="43"/>
      <c r="G3297" s="43"/>
    </row>
    <row r="3298" spans="6:7" x14ac:dyDescent="0.3">
      <c r="F3298" s="43"/>
      <c r="G3298" s="43"/>
    </row>
    <row r="3299" spans="6:7" x14ac:dyDescent="0.3">
      <c r="F3299" s="43"/>
      <c r="G3299" s="43"/>
    </row>
    <row r="3300" spans="6:7" x14ac:dyDescent="0.3">
      <c r="F3300" s="43"/>
      <c r="G3300" s="43"/>
    </row>
    <row r="3301" spans="6:7" x14ac:dyDescent="0.3">
      <c r="F3301" s="43"/>
      <c r="G3301" s="43"/>
    </row>
    <row r="3302" spans="6:7" x14ac:dyDescent="0.3">
      <c r="F3302" s="43"/>
      <c r="G3302" s="43"/>
    </row>
    <row r="3303" spans="6:7" x14ac:dyDescent="0.3">
      <c r="F3303" s="43"/>
      <c r="G3303" s="43"/>
    </row>
    <row r="3304" spans="6:7" x14ac:dyDescent="0.3">
      <c r="F3304" s="43"/>
      <c r="G3304" s="43"/>
    </row>
    <row r="3305" spans="6:7" x14ac:dyDescent="0.3">
      <c r="F3305" s="43"/>
      <c r="G3305" s="43"/>
    </row>
    <row r="3306" spans="6:7" x14ac:dyDescent="0.3">
      <c r="F3306" s="43"/>
      <c r="G3306" s="43"/>
    </row>
    <row r="3307" spans="6:7" x14ac:dyDescent="0.3">
      <c r="F3307" s="43"/>
      <c r="G3307" s="43"/>
    </row>
    <row r="3308" spans="6:7" x14ac:dyDescent="0.3">
      <c r="F3308" s="43"/>
      <c r="G3308" s="43"/>
    </row>
    <row r="3309" spans="6:7" x14ac:dyDescent="0.3">
      <c r="F3309" s="43"/>
      <c r="G3309" s="43"/>
    </row>
    <row r="3310" spans="6:7" x14ac:dyDescent="0.3">
      <c r="F3310" s="43"/>
      <c r="G3310" s="43"/>
    </row>
    <row r="3311" spans="6:7" x14ac:dyDescent="0.3">
      <c r="F3311" s="43"/>
      <c r="G3311" s="43"/>
    </row>
    <row r="3312" spans="6:7" x14ac:dyDescent="0.3">
      <c r="F3312" s="43"/>
      <c r="G3312" s="43"/>
    </row>
    <row r="3313" spans="6:7" x14ac:dyDescent="0.3">
      <c r="F3313" s="43"/>
      <c r="G3313" s="43"/>
    </row>
    <row r="3314" spans="6:7" x14ac:dyDescent="0.3">
      <c r="F3314" s="43"/>
      <c r="G3314" s="43"/>
    </row>
    <row r="3315" spans="6:7" x14ac:dyDescent="0.3">
      <c r="F3315" s="43"/>
      <c r="G3315" s="43"/>
    </row>
    <row r="3316" spans="6:7" x14ac:dyDescent="0.3">
      <c r="F3316" s="1"/>
      <c r="G3316" s="1"/>
    </row>
    <row r="3317" spans="6:7" x14ac:dyDescent="0.3">
      <c r="F3317" s="43"/>
      <c r="G3317" s="43"/>
    </row>
    <row r="3318" spans="6:7" x14ac:dyDescent="0.3">
      <c r="F3318" s="43"/>
      <c r="G3318" s="43"/>
    </row>
    <row r="3319" spans="6:7" x14ac:dyDescent="0.3">
      <c r="F3319" s="43"/>
      <c r="G3319" s="43"/>
    </row>
    <row r="3320" spans="6:7" x14ac:dyDescent="0.3">
      <c r="F3320" s="43"/>
      <c r="G3320" s="43"/>
    </row>
    <row r="3321" spans="6:7" x14ac:dyDescent="0.3">
      <c r="F3321" s="43"/>
      <c r="G3321" s="43"/>
    </row>
    <row r="3322" spans="6:7" x14ac:dyDescent="0.3">
      <c r="F3322" s="43"/>
      <c r="G3322" s="43"/>
    </row>
    <row r="3323" spans="6:7" x14ac:dyDescent="0.3">
      <c r="F3323" s="43"/>
      <c r="G3323" s="43"/>
    </row>
    <row r="3324" spans="6:7" x14ac:dyDescent="0.3">
      <c r="F3324" s="43"/>
      <c r="G3324" s="43"/>
    </row>
    <row r="3325" spans="6:7" x14ac:dyDescent="0.3">
      <c r="F3325" s="43"/>
      <c r="G3325" s="43"/>
    </row>
    <row r="3326" spans="6:7" x14ac:dyDescent="0.3">
      <c r="F3326" s="43"/>
      <c r="G3326" s="43"/>
    </row>
    <row r="3327" spans="6:7" x14ac:dyDescent="0.3">
      <c r="F3327" s="43"/>
      <c r="G3327" s="43"/>
    </row>
    <row r="3328" spans="6:7" x14ac:dyDescent="0.3">
      <c r="F3328" s="43"/>
      <c r="G3328" s="43"/>
    </row>
    <row r="3329" spans="6:7" x14ac:dyDescent="0.3">
      <c r="F3329" s="43"/>
      <c r="G3329" s="43"/>
    </row>
    <row r="3330" spans="6:7" x14ac:dyDescent="0.3">
      <c r="F3330" s="43"/>
      <c r="G3330" s="43"/>
    </row>
    <row r="3331" spans="6:7" x14ac:dyDescent="0.3">
      <c r="F3331" s="43"/>
      <c r="G3331" s="43"/>
    </row>
    <row r="3332" spans="6:7" x14ac:dyDescent="0.3">
      <c r="F3332" s="43"/>
      <c r="G3332" s="43"/>
    </row>
    <row r="3333" spans="6:7" x14ac:dyDescent="0.3">
      <c r="F3333" s="43"/>
      <c r="G3333" s="43"/>
    </row>
    <row r="3334" spans="6:7" x14ac:dyDescent="0.3">
      <c r="F3334" s="43"/>
      <c r="G3334" s="43"/>
    </row>
    <row r="3335" spans="6:7" x14ac:dyDescent="0.3">
      <c r="F3335" s="1"/>
      <c r="G3335" s="1"/>
    </row>
    <row r="3336" spans="6:7" x14ac:dyDescent="0.3">
      <c r="F3336" s="43"/>
      <c r="G3336" s="43"/>
    </row>
    <row r="3337" spans="6:7" x14ac:dyDescent="0.3">
      <c r="F3337" s="43"/>
      <c r="G3337" s="43"/>
    </row>
    <row r="3338" spans="6:7" x14ac:dyDescent="0.3">
      <c r="F3338" s="43"/>
      <c r="G3338" s="43"/>
    </row>
    <row r="3339" spans="6:7" x14ac:dyDescent="0.3">
      <c r="F3339" s="43"/>
      <c r="G3339" s="43"/>
    </row>
    <row r="3340" spans="6:7" x14ac:dyDescent="0.3">
      <c r="F3340" s="43"/>
      <c r="G3340" s="43"/>
    </row>
    <row r="3341" spans="6:7" x14ac:dyDescent="0.3">
      <c r="F3341" s="43"/>
      <c r="G3341" s="43"/>
    </row>
    <row r="3342" spans="6:7" x14ac:dyDescent="0.3">
      <c r="F3342" s="43"/>
      <c r="G3342" s="43"/>
    </row>
    <row r="3343" spans="6:7" x14ac:dyDescent="0.3">
      <c r="F3343" s="43"/>
      <c r="G3343" s="43"/>
    </row>
    <row r="3344" spans="6:7" x14ac:dyDescent="0.3">
      <c r="F3344" s="43"/>
      <c r="G3344" s="43"/>
    </row>
    <row r="3345" spans="6:7" x14ac:dyDescent="0.3">
      <c r="F3345" s="43"/>
      <c r="G3345" s="43"/>
    </row>
    <row r="3346" spans="6:7" x14ac:dyDescent="0.3">
      <c r="F3346" s="43"/>
      <c r="G3346" s="43"/>
    </row>
    <row r="3347" spans="6:7" x14ac:dyDescent="0.3">
      <c r="F3347" s="43"/>
      <c r="G3347" s="43"/>
    </row>
    <row r="3348" spans="6:7" x14ac:dyDescent="0.3">
      <c r="F3348" s="43"/>
      <c r="G3348" s="43"/>
    </row>
    <row r="3349" spans="6:7" x14ac:dyDescent="0.3">
      <c r="F3349" s="43"/>
      <c r="G3349" s="43"/>
    </row>
    <row r="3350" spans="6:7" x14ac:dyDescent="0.3">
      <c r="F3350" s="43"/>
      <c r="G3350" s="43"/>
    </row>
    <row r="3351" spans="6:7" x14ac:dyDescent="0.3">
      <c r="F3351" s="43"/>
      <c r="G3351" s="43"/>
    </row>
    <row r="3352" spans="6:7" x14ac:dyDescent="0.3">
      <c r="F3352" s="43"/>
      <c r="G3352" s="43"/>
    </row>
    <row r="3353" spans="6:7" x14ac:dyDescent="0.3">
      <c r="F3353" s="43"/>
      <c r="G3353" s="43"/>
    </row>
    <row r="3354" spans="6:7" x14ac:dyDescent="0.3">
      <c r="F3354" s="43"/>
      <c r="G3354" s="43"/>
    </row>
    <row r="3355" spans="6:7" x14ac:dyDescent="0.3">
      <c r="F3355" s="43"/>
      <c r="G3355" s="43"/>
    </row>
    <row r="3356" spans="6:7" x14ac:dyDescent="0.3">
      <c r="F3356" s="43"/>
      <c r="G3356" s="43"/>
    </row>
    <row r="3357" spans="6:7" x14ac:dyDescent="0.3">
      <c r="F3357" s="43"/>
      <c r="G3357" s="43"/>
    </row>
    <row r="3358" spans="6:7" x14ac:dyDescent="0.3">
      <c r="F3358" s="43"/>
      <c r="G3358" s="43"/>
    </row>
    <row r="3359" spans="6:7" x14ac:dyDescent="0.3">
      <c r="F3359" s="43"/>
      <c r="G3359" s="43"/>
    </row>
    <row r="3360" spans="6:7" x14ac:dyDescent="0.3">
      <c r="F3360" s="43"/>
      <c r="G3360" s="43"/>
    </row>
    <row r="3361" spans="5:7" x14ac:dyDescent="0.3">
      <c r="F3361" s="43"/>
      <c r="G3361" s="43"/>
    </row>
    <row r="3362" spans="5:7" x14ac:dyDescent="0.3">
      <c r="F3362" s="43"/>
      <c r="G3362" s="43"/>
    </row>
    <row r="3363" spans="5:7" x14ac:dyDescent="0.3">
      <c r="F3363" s="43"/>
      <c r="G3363" s="43"/>
    </row>
    <row r="3364" spans="5:7" x14ac:dyDescent="0.3">
      <c r="F3364" s="43"/>
      <c r="G3364" s="43"/>
    </row>
    <row r="3365" spans="5:7" x14ac:dyDescent="0.3">
      <c r="F3365" s="43"/>
      <c r="G3365" s="43"/>
    </row>
    <row r="3366" spans="5:7" x14ac:dyDescent="0.3">
      <c r="F3366" s="43"/>
      <c r="G3366" s="43"/>
    </row>
    <row r="3367" spans="5:7" x14ac:dyDescent="0.3">
      <c r="F3367" s="43"/>
      <c r="G3367" s="43"/>
    </row>
    <row r="3368" spans="5:7" x14ac:dyDescent="0.3">
      <c r="F3368" s="43"/>
      <c r="G3368" s="43"/>
    </row>
    <row r="3369" spans="5:7" x14ac:dyDescent="0.3">
      <c r="F3369" s="43"/>
      <c r="G3369" s="43"/>
    </row>
    <row r="3370" spans="5:7" x14ac:dyDescent="0.3">
      <c r="E3370" s="44"/>
      <c r="F3370" s="43"/>
      <c r="G3370" s="43"/>
    </row>
    <row r="3371" spans="5:7" x14ac:dyDescent="0.3">
      <c r="F3371" s="43"/>
      <c r="G3371" s="43"/>
    </row>
    <row r="3372" spans="5:7" x14ac:dyDescent="0.3">
      <c r="F3372" s="43"/>
      <c r="G3372" s="43"/>
    </row>
    <row r="3373" spans="5:7" x14ac:dyDescent="0.3">
      <c r="F3373" s="43"/>
      <c r="G3373" s="43"/>
    </row>
    <row r="3374" spans="5:7" x14ac:dyDescent="0.3">
      <c r="F3374" s="43"/>
      <c r="G3374" s="43"/>
    </row>
    <row r="3375" spans="5:7" x14ac:dyDescent="0.3">
      <c r="F3375" s="43"/>
      <c r="G3375" s="43"/>
    </row>
    <row r="3376" spans="5:7" x14ac:dyDescent="0.3">
      <c r="F3376" s="43"/>
      <c r="G3376" s="43"/>
    </row>
    <row r="3377" spans="5:7" x14ac:dyDescent="0.3">
      <c r="F3377" s="43"/>
      <c r="G3377" s="43"/>
    </row>
    <row r="3378" spans="5:7" x14ac:dyDescent="0.3">
      <c r="F3378" s="43"/>
      <c r="G3378" s="43"/>
    </row>
    <row r="3379" spans="5:7" x14ac:dyDescent="0.3">
      <c r="F3379" s="43"/>
      <c r="G3379" s="43"/>
    </row>
    <row r="3380" spans="5:7" x14ac:dyDescent="0.3">
      <c r="F3380" s="43"/>
      <c r="G3380" s="43"/>
    </row>
    <row r="3381" spans="5:7" x14ac:dyDescent="0.3">
      <c r="F3381" s="43"/>
      <c r="G3381" s="43"/>
    </row>
    <row r="3382" spans="5:7" x14ac:dyDescent="0.3">
      <c r="F3382" s="43"/>
      <c r="G3382" s="43"/>
    </row>
    <row r="3383" spans="5:7" x14ac:dyDescent="0.3">
      <c r="F3383" s="43"/>
      <c r="G3383" s="43"/>
    </row>
    <row r="3384" spans="5:7" x14ac:dyDescent="0.3">
      <c r="F3384" s="43"/>
      <c r="G3384" s="43"/>
    </row>
    <row r="3385" spans="5:7" x14ac:dyDescent="0.3">
      <c r="F3385" s="43"/>
      <c r="G3385" s="43"/>
    </row>
    <row r="3386" spans="5:7" x14ac:dyDescent="0.3">
      <c r="F3386" s="43"/>
      <c r="G3386" s="43"/>
    </row>
    <row r="3387" spans="5:7" x14ac:dyDescent="0.3">
      <c r="F3387" s="43"/>
      <c r="G3387" s="43"/>
    </row>
    <row r="3388" spans="5:7" x14ac:dyDescent="0.3">
      <c r="F3388" s="43"/>
      <c r="G3388" s="43"/>
    </row>
    <row r="3389" spans="5:7" x14ac:dyDescent="0.3">
      <c r="F3389" s="43"/>
      <c r="G3389" s="43"/>
    </row>
    <row r="3390" spans="5:7" x14ac:dyDescent="0.3">
      <c r="F3390" s="43"/>
      <c r="G3390" s="43"/>
    </row>
    <row r="3391" spans="5:7" x14ac:dyDescent="0.3">
      <c r="F3391" s="43"/>
      <c r="G3391" s="43"/>
    </row>
    <row r="3392" spans="5:7" x14ac:dyDescent="0.3">
      <c r="E3392" s="44"/>
      <c r="F3392" s="43"/>
      <c r="G3392" s="43"/>
    </row>
    <row r="3393" spans="6:7" x14ac:dyDescent="0.3">
      <c r="F3393" s="43"/>
      <c r="G3393" s="43"/>
    </row>
    <row r="3394" spans="6:7" x14ac:dyDescent="0.3">
      <c r="F3394" s="43"/>
      <c r="G3394" s="43"/>
    </row>
    <row r="3395" spans="6:7" x14ac:dyDescent="0.3">
      <c r="F3395" s="43"/>
      <c r="G3395" s="43"/>
    </row>
    <row r="3396" spans="6:7" x14ac:dyDescent="0.3">
      <c r="F3396" s="43"/>
      <c r="G3396" s="43"/>
    </row>
    <row r="3397" spans="6:7" x14ac:dyDescent="0.3">
      <c r="F3397" s="43"/>
      <c r="G3397" s="43"/>
    </row>
    <row r="3398" spans="6:7" x14ac:dyDescent="0.3">
      <c r="F3398" s="43"/>
      <c r="G3398" s="43"/>
    </row>
    <row r="3399" spans="6:7" x14ac:dyDescent="0.3">
      <c r="F3399" s="43"/>
      <c r="G3399" s="43"/>
    </row>
    <row r="3400" spans="6:7" x14ac:dyDescent="0.3">
      <c r="F3400" s="43"/>
      <c r="G3400" s="43"/>
    </row>
    <row r="3401" spans="6:7" x14ac:dyDescent="0.3">
      <c r="F3401" s="43"/>
      <c r="G3401" s="43"/>
    </row>
    <row r="3402" spans="6:7" x14ac:dyDescent="0.3">
      <c r="F3402" s="1"/>
      <c r="G3402" s="1"/>
    </row>
    <row r="3403" spans="6:7" x14ac:dyDescent="0.3">
      <c r="F3403" s="43"/>
      <c r="G3403" s="43"/>
    </row>
    <row r="3404" spans="6:7" x14ac:dyDescent="0.3">
      <c r="F3404" s="43"/>
      <c r="G3404" s="43"/>
    </row>
    <row r="3405" spans="6:7" x14ac:dyDescent="0.3">
      <c r="F3405" s="43"/>
      <c r="G3405" s="43"/>
    </row>
    <row r="3406" spans="6:7" x14ac:dyDescent="0.3">
      <c r="F3406" s="43"/>
      <c r="G3406" s="43"/>
    </row>
    <row r="3407" spans="6:7" x14ac:dyDescent="0.3">
      <c r="F3407" s="43"/>
      <c r="G3407" s="43"/>
    </row>
    <row r="3408" spans="6:7" x14ac:dyDescent="0.3">
      <c r="F3408" s="43"/>
      <c r="G3408" s="43"/>
    </row>
    <row r="3409" spans="6:7" x14ac:dyDescent="0.3">
      <c r="F3409" s="43"/>
      <c r="G3409" s="43"/>
    </row>
    <row r="3410" spans="6:7" x14ac:dyDescent="0.3">
      <c r="F3410" s="43"/>
      <c r="G3410" s="43"/>
    </row>
    <row r="3411" spans="6:7" x14ac:dyDescent="0.3">
      <c r="F3411" s="43"/>
      <c r="G3411" s="43"/>
    </row>
    <row r="3412" spans="6:7" x14ac:dyDescent="0.3">
      <c r="F3412" s="43"/>
      <c r="G3412" s="43"/>
    </row>
    <row r="3413" spans="6:7" x14ac:dyDescent="0.3">
      <c r="F3413" s="43"/>
      <c r="G3413" s="43"/>
    </row>
    <row r="3414" spans="6:7" x14ac:dyDescent="0.3">
      <c r="F3414" s="43"/>
      <c r="G3414" s="43"/>
    </row>
    <row r="3415" spans="6:7" x14ac:dyDescent="0.3">
      <c r="F3415" s="43"/>
      <c r="G3415" s="43"/>
    </row>
    <row r="3416" spans="6:7" x14ac:dyDescent="0.3">
      <c r="F3416" s="43"/>
      <c r="G3416" s="43"/>
    </row>
    <row r="3417" spans="6:7" x14ac:dyDescent="0.3">
      <c r="F3417" s="43"/>
      <c r="G3417" s="43"/>
    </row>
    <row r="3418" spans="6:7" x14ac:dyDescent="0.3">
      <c r="F3418" s="43"/>
      <c r="G3418" s="43"/>
    </row>
    <row r="3419" spans="6:7" x14ac:dyDescent="0.3">
      <c r="F3419" s="43"/>
      <c r="G3419" s="43"/>
    </row>
    <row r="3420" spans="6:7" x14ac:dyDescent="0.3">
      <c r="F3420" s="43"/>
      <c r="G3420" s="43"/>
    </row>
    <row r="3421" spans="6:7" x14ac:dyDescent="0.3">
      <c r="F3421" s="43"/>
      <c r="G3421" s="43"/>
    </row>
    <row r="3422" spans="6:7" x14ac:dyDescent="0.3">
      <c r="F3422" s="43"/>
      <c r="G3422" s="43"/>
    </row>
    <row r="3423" spans="6:7" x14ac:dyDescent="0.3">
      <c r="F3423" s="43"/>
      <c r="G3423" s="43"/>
    </row>
    <row r="3424" spans="6:7" x14ac:dyDescent="0.3">
      <c r="F3424" s="43"/>
      <c r="G3424" s="43"/>
    </row>
    <row r="3425" spans="5:7" x14ac:dyDescent="0.3">
      <c r="F3425" s="43"/>
      <c r="G3425" s="43"/>
    </row>
    <row r="3426" spans="5:7" x14ac:dyDescent="0.3">
      <c r="F3426" s="43"/>
      <c r="G3426" s="43"/>
    </row>
    <row r="3427" spans="5:7" x14ac:dyDescent="0.3">
      <c r="F3427" s="43"/>
      <c r="G3427" s="43"/>
    </row>
    <row r="3428" spans="5:7" x14ac:dyDescent="0.3">
      <c r="F3428" s="43"/>
      <c r="G3428" s="43"/>
    </row>
    <row r="3429" spans="5:7" x14ac:dyDescent="0.3">
      <c r="F3429" s="43"/>
      <c r="G3429" s="43"/>
    </row>
    <row r="3430" spans="5:7" x14ac:dyDescent="0.3">
      <c r="F3430" s="43"/>
      <c r="G3430" s="43"/>
    </row>
    <row r="3431" spans="5:7" x14ac:dyDescent="0.3">
      <c r="F3431" s="43"/>
      <c r="G3431" s="43"/>
    </row>
    <row r="3432" spans="5:7" x14ac:dyDescent="0.3">
      <c r="F3432" s="43"/>
      <c r="G3432" s="43"/>
    </row>
    <row r="3433" spans="5:7" x14ac:dyDescent="0.3">
      <c r="F3433" s="43"/>
      <c r="G3433" s="43"/>
    </row>
    <row r="3434" spans="5:7" x14ac:dyDescent="0.3">
      <c r="F3434" s="43"/>
      <c r="G3434" s="43"/>
    </row>
    <row r="3435" spans="5:7" x14ac:dyDescent="0.3">
      <c r="F3435" s="43"/>
      <c r="G3435" s="43"/>
    </row>
    <row r="3436" spans="5:7" x14ac:dyDescent="0.3">
      <c r="E3436" s="47"/>
      <c r="F3436" s="43"/>
      <c r="G3436" s="43"/>
    </row>
    <row r="3437" spans="5:7" x14ac:dyDescent="0.3">
      <c r="F3437" s="43"/>
      <c r="G3437" s="43"/>
    </row>
    <row r="3438" spans="5:7" x14ac:dyDescent="0.3">
      <c r="F3438" s="43"/>
      <c r="G3438" s="43"/>
    </row>
    <row r="3439" spans="5:7" x14ac:dyDescent="0.3">
      <c r="F3439" s="43"/>
      <c r="G3439" s="43"/>
    </row>
    <row r="3440" spans="5:7" x14ac:dyDescent="0.3">
      <c r="F3440" s="43"/>
      <c r="G3440" s="43"/>
    </row>
    <row r="3441" spans="6:7" x14ac:dyDescent="0.3">
      <c r="F3441" s="43"/>
      <c r="G3441" s="43"/>
    </row>
    <row r="3442" spans="6:7" x14ac:dyDescent="0.3">
      <c r="F3442" s="43"/>
      <c r="G3442" s="43"/>
    </row>
    <row r="3443" spans="6:7" x14ac:dyDescent="0.3">
      <c r="F3443" s="43"/>
      <c r="G3443" s="43"/>
    </row>
    <row r="3444" spans="6:7" x14ac:dyDescent="0.3">
      <c r="F3444" s="43"/>
      <c r="G3444" s="43"/>
    </row>
    <row r="3445" spans="6:7" x14ac:dyDescent="0.3">
      <c r="F3445" s="43"/>
      <c r="G3445" s="43"/>
    </row>
    <row r="3446" spans="6:7" x14ac:dyDescent="0.3">
      <c r="F3446" s="43"/>
      <c r="G3446" s="43"/>
    </row>
    <row r="3447" spans="6:7" x14ac:dyDescent="0.3">
      <c r="F3447" s="43"/>
      <c r="G3447" s="43"/>
    </row>
    <row r="3448" spans="6:7" x14ac:dyDescent="0.3">
      <c r="F3448" s="43"/>
      <c r="G3448" s="43"/>
    </row>
    <row r="3449" spans="6:7" x14ac:dyDescent="0.3">
      <c r="F3449" s="43"/>
      <c r="G3449" s="43"/>
    </row>
    <row r="3450" spans="6:7" x14ac:dyDescent="0.3">
      <c r="F3450" s="43"/>
      <c r="G3450" s="43"/>
    </row>
    <row r="3451" spans="6:7" x14ac:dyDescent="0.3">
      <c r="F3451" s="43"/>
      <c r="G3451" s="43"/>
    </row>
    <row r="3452" spans="6:7" x14ac:dyDescent="0.3">
      <c r="F3452" s="43"/>
      <c r="G3452" s="43"/>
    </row>
    <row r="3453" spans="6:7" x14ac:dyDescent="0.3">
      <c r="F3453" s="43"/>
      <c r="G3453" s="43"/>
    </row>
    <row r="3454" spans="6:7" x14ac:dyDescent="0.3">
      <c r="F3454" s="43"/>
      <c r="G3454" s="43"/>
    </row>
    <row r="3455" spans="6:7" x14ac:dyDescent="0.3">
      <c r="F3455" s="43"/>
      <c r="G3455" s="43"/>
    </row>
    <row r="3456" spans="6:7" x14ac:dyDescent="0.3">
      <c r="F3456" s="43"/>
      <c r="G3456" s="43"/>
    </row>
    <row r="3457" spans="6:7" x14ac:dyDescent="0.3">
      <c r="F3457" s="43"/>
      <c r="G3457" s="43"/>
    </row>
    <row r="3458" spans="6:7" x14ac:dyDescent="0.3">
      <c r="F3458" s="43"/>
      <c r="G3458" s="43"/>
    </row>
    <row r="3459" spans="6:7" x14ac:dyDescent="0.3">
      <c r="F3459" s="43"/>
      <c r="G3459" s="43"/>
    </row>
    <row r="3460" spans="6:7" x14ac:dyDescent="0.3">
      <c r="F3460" s="43"/>
      <c r="G3460" s="43"/>
    </row>
    <row r="3461" spans="6:7" x14ac:dyDescent="0.3">
      <c r="F3461" s="43"/>
      <c r="G3461" s="43"/>
    </row>
    <row r="3462" spans="6:7" x14ac:dyDescent="0.3">
      <c r="F3462" s="43"/>
      <c r="G3462" s="43"/>
    </row>
    <row r="3463" spans="6:7" x14ac:dyDescent="0.3">
      <c r="F3463" s="43"/>
      <c r="G3463" s="43"/>
    </row>
    <row r="3464" spans="6:7" x14ac:dyDescent="0.3">
      <c r="F3464" s="43"/>
      <c r="G3464" s="43"/>
    </row>
    <row r="3465" spans="6:7" x14ac:dyDescent="0.3">
      <c r="F3465" s="43"/>
      <c r="G3465" s="43"/>
    </row>
    <row r="3466" spans="6:7" x14ac:dyDescent="0.3">
      <c r="F3466" s="43"/>
      <c r="G3466" s="43"/>
    </row>
    <row r="3467" spans="6:7" x14ac:dyDescent="0.3">
      <c r="F3467" s="43"/>
      <c r="G3467" s="43"/>
    </row>
    <row r="3468" spans="6:7" x14ac:dyDescent="0.3">
      <c r="F3468" s="43"/>
      <c r="G3468" s="43"/>
    </row>
    <row r="3469" spans="6:7" x14ac:dyDescent="0.3">
      <c r="F3469" s="43"/>
      <c r="G3469" s="43"/>
    </row>
    <row r="3470" spans="6:7" x14ac:dyDescent="0.3">
      <c r="F3470" s="43"/>
      <c r="G3470" s="43"/>
    </row>
    <row r="3471" spans="6:7" x14ac:dyDescent="0.3">
      <c r="F3471" s="43"/>
      <c r="G3471" s="43"/>
    </row>
    <row r="3472" spans="6:7" x14ac:dyDescent="0.3">
      <c r="F3472" s="43"/>
      <c r="G3472" s="43"/>
    </row>
    <row r="3473" spans="6:7" x14ac:dyDescent="0.3">
      <c r="F3473" s="43"/>
      <c r="G3473" s="43"/>
    </row>
    <row r="3474" spans="6:7" x14ac:dyDescent="0.3">
      <c r="F3474" s="43"/>
      <c r="G3474" s="43"/>
    </row>
    <row r="3475" spans="6:7" x14ac:dyDescent="0.3">
      <c r="F3475" s="43"/>
      <c r="G3475" s="43"/>
    </row>
    <row r="3476" spans="6:7" x14ac:dyDescent="0.3">
      <c r="F3476" s="43"/>
      <c r="G3476" s="43"/>
    </row>
    <row r="3477" spans="6:7" x14ac:dyDescent="0.3">
      <c r="F3477" s="43"/>
      <c r="G3477" s="43"/>
    </row>
    <row r="3478" spans="6:7" x14ac:dyDescent="0.3">
      <c r="F3478" s="1"/>
      <c r="G3478" s="1"/>
    </row>
    <row r="3479" spans="6:7" x14ac:dyDescent="0.3">
      <c r="F3479" s="43"/>
      <c r="G3479" s="43"/>
    </row>
    <row r="3480" spans="6:7" x14ac:dyDescent="0.3">
      <c r="F3480" s="43"/>
      <c r="G3480" s="43"/>
    </row>
    <row r="3481" spans="6:7" x14ac:dyDescent="0.3">
      <c r="F3481" s="43"/>
      <c r="G3481" s="43"/>
    </row>
    <row r="3482" spans="6:7" x14ac:dyDescent="0.3">
      <c r="F3482" s="43"/>
      <c r="G3482" s="43"/>
    </row>
    <row r="3483" spans="6:7" x14ac:dyDescent="0.3">
      <c r="F3483" s="43"/>
      <c r="G3483" s="43"/>
    </row>
    <row r="3484" spans="6:7" x14ac:dyDescent="0.3">
      <c r="F3484" s="43"/>
      <c r="G3484" s="43"/>
    </row>
    <row r="3485" spans="6:7" x14ac:dyDescent="0.3">
      <c r="F3485" s="43"/>
      <c r="G3485" s="43"/>
    </row>
    <row r="3486" spans="6:7" x14ac:dyDescent="0.3">
      <c r="F3486" s="43"/>
      <c r="G3486" s="43"/>
    </row>
    <row r="3487" spans="6:7" x14ac:dyDescent="0.3">
      <c r="F3487" s="1"/>
      <c r="G3487" s="1"/>
    </row>
    <row r="3488" spans="6:7" x14ac:dyDescent="0.3">
      <c r="F3488" s="43"/>
      <c r="G3488" s="43"/>
    </row>
    <row r="3489" spans="6:7" x14ac:dyDescent="0.3">
      <c r="F3489" s="43"/>
      <c r="G3489" s="43"/>
    </row>
    <row r="3490" spans="6:7" x14ac:dyDescent="0.3">
      <c r="F3490" s="43"/>
      <c r="G3490" s="43"/>
    </row>
    <row r="3491" spans="6:7" x14ac:dyDescent="0.3">
      <c r="F3491" s="43"/>
      <c r="G3491" s="43"/>
    </row>
    <row r="3492" spans="6:7" x14ac:dyDescent="0.3">
      <c r="F3492" s="43"/>
      <c r="G3492" s="43"/>
    </row>
    <row r="3493" spans="6:7" x14ac:dyDescent="0.3">
      <c r="F3493" s="43"/>
      <c r="G3493" s="43"/>
    </row>
    <row r="3494" spans="6:7" x14ac:dyDescent="0.3">
      <c r="F3494" s="43"/>
      <c r="G3494" s="43"/>
    </row>
    <row r="3495" spans="6:7" x14ac:dyDescent="0.3">
      <c r="F3495" s="43"/>
      <c r="G3495" s="43"/>
    </row>
    <row r="3496" spans="6:7" x14ac:dyDescent="0.3">
      <c r="F3496" s="43"/>
      <c r="G3496" s="43"/>
    </row>
    <row r="3497" spans="6:7" x14ac:dyDescent="0.3">
      <c r="F3497" s="43"/>
      <c r="G3497" s="43"/>
    </row>
    <row r="3498" spans="6:7" x14ac:dyDescent="0.3">
      <c r="F3498" s="43"/>
      <c r="G3498" s="43"/>
    </row>
    <row r="3499" spans="6:7" x14ac:dyDescent="0.3">
      <c r="F3499" s="43"/>
      <c r="G3499" s="43"/>
    </row>
    <row r="3500" spans="6:7" x14ac:dyDescent="0.3">
      <c r="F3500" s="43"/>
      <c r="G3500" s="43"/>
    </row>
    <row r="3501" spans="6:7" x14ac:dyDescent="0.3">
      <c r="F3501" s="43"/>
      <c r="G3501" s="43"/>
    </row>
    <row r="3502" spans="6:7" x14ac:dyDescent="0.3">
      <c r="F3502" s="43"/>
      <c r="G3502" s="43"/>
    </row>
    <row r="3503" spans="6:7" x14ac:dyDescent="0.3">
      <c r="F3503" s="43"/>
      <c r="G3503" s="43"/>
    </row>
    <row r="3504" spans="6:7" x14ac:dyDescent="0.3">
      <c r="F3504" s="43"/>
      <c r="G3504" s="43"/>
    </row>
    <row r="3505" spans="6:7" x14ac:dyDescent="0.3">
      <c r="F3505" s="1"/>
      <c r="G3505" s="1"/>
    </row>
    <row r="3506" spans="6:7" x14ac:dyDescent="0.3">
      <c r="F3506" s="43"/>
      <c r="G3506" s="43"/>
    </row>
    <row r="3507" spans="6:7" x14ac:dyDescent="0.3">
      <c r="F3507" s="43"/>
      <c r="G3507" s="43"/>
    </row>
    <row r="3508" spans="6:7" x14ac:dyDescent="0.3">
      <c r="F3508" s="43"/>
      <c r="G3508" s="43"/>
    </row>
    <row r="3509" spans="6:7" x14ac:dyDescent="0.3">
      <c r="F3509" s="43"/>
      <c r="G3509" s="43"/>
    </row>
    <row r="3510" spans="6:7" x14ac:dyDescent="0.3">
      <c r="F3510" s="43"/>
      <c r="G3510" s="43"/>
    </row>
    <row r="3511" spans="6:7" x14ac:dyDescent="0.3">
      <c r="F3511" s="43"/>
      <c r="G3511" s="43"/>
    </row>
    <row r="3512" spans="6:7" x14ac:dyDescent="0.3">
      <c r="F3512" s="43"/>
      <c r="G3512" s="43"/>
    </row>
    <row r="3513" spans="6:7" x14ac:dyDescent="0.3">
      <c r="F3513" s="43"/>
      <c r="G3513" s="43"/>
    </row>
    <row r="3514" spans="6:7" x14ac:dyDescent="0.3">
      <c r="F3514" s="43"/>
      <c r="G3514" s="43"/>
    </row>
    <row r="3515" spans="6:7" x14ac:dyDescent="0.3">
      <c r="F3515" s="43"/>
      <c r="G3515" s="43"/>
    </row>
    <row r="3516" spans="6:7" x14ac:dyDescent="0.3">
      <c r="F3516" s="43"/>
      <c r="G3516" s="43"/>
    </row>
    <row r="3517" spans="6:7" x14ac:dyDescent="0.3">
      <c r="F3517" s="43"/>
      <c r="G3517" s="43"/>
    </row>
    <row r="3518" spans="6:7" x14ac:dyDescent="0.3">
      <c r="F3518" s="43"/>
      <c r="G3518" s="43"/>
    </row>
    <row r="3519" spans="6:7" x14ac:dyDescent="0.3">
      <c r="F3519" s="43"/>
      <c r="G3519" s="43"/>
    </row>
    <row r="3520" spans="6:7" x14ac:dyDescent="0.3">
      <c r="F3520" s="43"/>
      <c r="G3520" s="43"/>
    </row>
    <row r="3521" spans="6:7" x14ac:dyDescent="0.3">
      <c r="F3521" s="43"/>
      <c r="G3521" s="43"/>
    </row>
    <row r="3522" spans="6:7" x14ac:dyDescent="0.3">
      <c r="F3522" s="43"/>
      <c r="G3522" s="43"/>
    </row>
    <row r="3523" spans="6:7" x14ac:dyDescent="0.3">
      <c r="F3523" s="43"/>
      <c r="G3523" s="43"/>
    </row>
    <row r="3524" spans="6:7" x14ac:dyDescent="0.3">
      <c r="F3524" s="43"/>
      <c r="G3524" s="43"/>
    </row>
    <row r="3525" spans="6:7" x14ac:dyDescent="0.3">
      <c r="F3525" s="43"/>
      <c r="G3525" s="43"/>
    </row>
    <row r="3526" spans="6:7" x14ac:dyDescent="0.3">
      <c r="F3526" s="43"/>
      <c r="G3526" s="43"/>
    </row>
    <row r="3527" spans="6:7" x14ac:dyDescent="0.3">
      <c r="F3527" s="43"/>
      <c r="G3527" s="43"/>
    </row>
    <row r="3528" spans="6:7" x14ac:dyDescent="0.3">
      <c r="F3528" s="43"/>
      <c r="G3528" s="43"/>
    </row>
    <row r="3529" spans="6:7" x14ac:dyDescent="0.3">
      <c r="F3529" s="43"/>
      <c r="G3529" s="43"/>
    </row>
    <row r="3530" spans="6:7" x14ac:dyDescent="0.3">
      <c r="F3530" s="43"/>
      <c r="G3530" s="43"/>
    </row>
    <row r="3531" spans="6:7" x14ac:dyDescent="0.3">
      <c r="F3531" s="43"/>
      <c r="G3531" s="43"/>
    </row>
    <row r="3532" spans="6:7" x14ac:dyDescent="0.3">
      <c r="F3532" s="43"/>
      <c r="G3532" s="43"/>
    </row>
    <row r="3533" spans="6:7" x14ac:dyDescent="0.3">
      <c r="F3533" s="43"/>
      <c r="G3533" s="43"/>
    </row>
    <row r="3534" spans="6:7" x14ac:dyDescent="0.3">
      <c r="F3534" s="43"/>
      <c r="G3534" s="43"/>
    </row>
    <row r="3535" spans="6:7" x14ac:dyDescent="0.3">
      <c r="F3535" s="43"/>
      <c r="G3535" s="43"/>
    </row>
    <row r="3536" spans="6:7" x14ac:dyDescent="0.3">
      <c r="F3536" s="43"/>
      <c r="G3536" s="43"/>
    </row>
    <row r="3537" spans="6:7" x14ac:dyDescent="0.3">
      <c r="F3537" s="43"/>
      <c r="G3537" s="43"/>
    </row>
    <row r="3538" spans="6:7" x14ac:dyDescent="0.3">
      <c r="F3538" s="43"/>
      <c r="G3538" s="43"/>
    </row>
    <row r="3539" spans="6:7" x14ac:dyDescent="0.3">
      <c r="F3539" s="1"/>
      <c r="G3539" s="1"/>
    </row>
    <row r="3540" spans="6:7" x14ac:dyDescent="0.3">
      <c r="F3540" s="43"/>
      <c r="G3540" s="43"/>
    </row>
    <row r="3541" spans="6:7" x14ac:dyDescent="0.3">
      <c r="F3541" s="43"/>
      <c r="G3541" s="43"/>
    </row>
    <row r="3542" spans="6:7" x14ac:dyDescent="0.3">
      <c r="F3542" s="43"/>
      <c r="G3542" s="43"/>
    </row>
    <row r="3543" spans="6:7" x14ac:dyDescent="0.3">
      <c r="F3543" s="43"/>
      <c r="G3543" s="43"/>
    </row>
    <row r="3544" spans="6:7" x14ac:dyDescent="0.3">
      <c r="F3544" s="43"/>
      <c r="G3544" s="43"/>
    </row>
    <row r="3545" spans="6:7" x14ac:dyDescent="0.3">
      <c r="F3545" s="43"/>
      <c r="G3545" s="43"/>
    </row>
    <row r="3546" spans="6:7" x14ac:dyDescent="0.3">
      <c r="F3546" s="43"/>
      <c r="G3546" s="43"/>
    </row>
    <row r="3547" spans="6:7" x14ac:dyDescent="0.3">
      <c r="F3547" s="43"/>
      <c r="G3547" s="43"/>
    </row>
    <row r="3548" spans="6:7" x14ac:dyDescent="0.3">
      <c r="F3548" s="43"/>
      <c r="G3548" s="43"/>
    </row>
    <row r="3549" spans="6:7" x14ac:dyDescent="0.3">
      <c r="F3549" s="43"/>
      <c r="G3549" s="43"/>
    </row>
    <row r="3550" spans="6:7" x14ac:dyDescent="0.3">
      <c r="F3550" s="43"/>
      <c r="G3550" s="43"/>
    </row>
    <row r="3551" spans="6:7" x14ac:dyDescent="0.3">
      <c r="F3551" s="43"/>
      <c r="G3551" s="43"/>
    </row>
    <row r="3552" spans="6:7" x14ac:dyDescent="0.3">
      <c r="F3552" s="43"/>
      <c r="G3552" s="43"/>
    </row>
    <row r="3553" spans="6:7" x14ac:dyDescent="0.3">
      <c r="F3553" s="43"/>
      <c r="G3553" s="43"/>
    </row>
    <row r="3554" spans="6:7" x14ac:dyDescent="0.3">
      <c r="F3554" s="43"/>
      <c r="G3554" s="43"/>
    </row>
    <row r="3555" spans="6:7" x14ac:dyDescent="0.3">
      <c r="F3555" s="43"/>
      <c r="G3555" s="43"/>
    </row>
    <row r="3556" spans="6:7" x14ac:dyDescent="0.3">
      <c r="F3556" s="43"/>
      <c r="G3556" s="43"/>
    </row>
    <row r="3557" spans="6:7" x14ac:dyDescent="0.3">
      <c r="F3557" s="43"/>
      <c r="G3557" s="43"/>
    </row>
    <row r="3558" spans="6:7" x14ac:dyDescent="0.3">
      <c r="F3558" s="43"/>
      <c r="G3558" s="43"/>
    </row>
    <row r="3559" spans="6:7" x14ac:dyDescent="0.3">
      <c r="F3559" s="43"/>
      <c r="G3559" s="43"/>
    </row>
    <row r="3560" spans="6:7" x14ac:dyDescent="0.3">
      <c r="F3560" s="43"/>
      <c r="G3560" s="43"/>
    </row>
    <row r="3561" spans="6:7" x14ac:dyDescent="0.3">
      <c r="F3561" s="43"/>
      <c r="G3561" s="43"/>
    </row>
    <row r="3562" spans="6:7" x14ac:dyDescent="0.3">
      <c r="F3562" s="43"/>
      <c r="G3562" s="43"/>
    </row>
    <row r="3563" spans="6:7" x14ac:dyDescent="0.3">
      <c r="F3563" s="43"/>
      <c r="G3563" s="43"/>
    </row>
    <row r="3564" spans="6:7" x14ac:dyDescent="0.3">
      <c r="F3564" s="43"/>
      <c r="G3564" s="43"/>
    </row>
    <row r="3565" spans="6:7" x14ac:dyDescent="0.3">
      <c r="F3565" s="43"/>
      <c r="G3565" s="43"/>
    </row>
    <row r="3566" spans="6:7" x14ac:dyDescent="0.3">
      <c r="F3566" s="43"/>
      <c r="G3566" s="43"/>
    </row>
    <row r="3567" spans="6:7" x14ac:dyDescent="0.3">
      <c r="F3567" s="43"/>
      <c r="G3567" s="43"/>
    </row>
    <row r="3568" spans="6:7" x14ac:dyDescent="0.3">
      <c r="F3568" s="43"/>
      <c r="G3568" s="43"/>
    </row>
    <row r="3569" spans="2:18" x14ac:dyDescent="0.3">
      <c r="F3569" s="1"/>
      <c r="G3569" s="1"/>
    </row>
    <row r="3570" spans="2:18" x14ac:dyDescent="0.3">
      <c r="F3570" s="43"/>
      <c r="G3570" s="43"/>
    </row>
    <row r="3571" spans="2:18" x14ac:dyDescent="0.3">
      <c r="F3571" s="43"/>
      <c r="G3571" s="43"/>
    </row>
    <row r="3572" spans="2:18" x14ac:dyDescent="0.3">
      <c r="F3572" s="43"/>
      <c r="G3572" s="43"/>
      <c r="R3572" s="49"/>
    </row>
    <row r="3573" spans="2:18" x14ac:dyDescent="0.3">
      <c r="F3573" s="43"/>
      <c r="G3573" s="43"/>
    </row>
    <row r="3574" spans="2:18" x14ac:dyDescent="0.3">
      <c r="F3574" s="43"/>
      <c r="G3574" s="43"/>
    </row>
    <row r="3575" spans="2:18" x14ac:dyDescent="0.3">
      <c r="F3575" s="43"/>
      <c r="G3575" s="43"/>
    </row>
    <row r="3576" spans="2:18" x14ac:dyDescent="0.3">
      <c r="F3576" s="43"/>
      <c r="G3576" s="43"/>
    </row>
    <row r="3577" spans="2:18" x14ac:dyDescent="0.3">
      <c r="F3577" s="43"/>
      <c r="G3577" s="43"/>
    </row>
    <row r="3578" spans="2:18" x14ac:dyDescent="0.3">
      <c r="B3578" s="39"/>
      <c r="F3578" s="43"/>
      <c r="G3578" s="43"/>
      <c r="Q3578" s="39"/>
      <c r="R3578" s="49"/>
    </row>
    <row r="3579" spans="2:18" x14ac:dyDescent="0.3">
      <c r="F3579" s="43"/>
      <c r="G3579" s="43"/>
    </row>
    <row r="3580" spans="2:18" x14ac:dyDescent="0.3">
      <c r="F3580" s="43"/>
      <c r="G3580" s="43"/>
    </row>
    <row r="3581" spans="2:18" x14ac:dyDescent="0.3">
      <c r="F3581" s="43"/>
      <c r="G3581" s="43"/>
    </row>
    <row r="3582" spans="2:18" x14ac:dyDescent="0.3">
      <c r="F3582" s="43"/>
      <c r="G3582" s="43"/>
    </row>
    <row r="3583" spans="2:18" x14ac:dyDescent="0.3">
      <c r="F3583" s="43"/>
      <c r="G3583" s="43"/>
    </row>
    <row r="3584" spans="2:18" x14ac:dyDescent="0.3">
      <c r="F3584" s="43"/>
      <c r="G3584" s="43"/>
    </row>
    <row r="3585" spans="5:7" x14ac:dyDescent="0.3">
      <c r="F3585" s="43"/>
      <c r="G3585" s="43"/>
    </row>
    <row r="3586" spans="5:7" x14ac:dyDescent="0.3">
      <c r="F3586" s="43"/>
      <c r="G3586" s="43"/>
    </row>
    <row r="3587" spans="5:7" x14ac:dyDescent="0.3">
      <c r="E3587" s="44"/>
      <c r="F3587" s="43"/>
      <c r="G3587" s="43"/>
    </row>
    <row r="3588" spans="5:7" x14ac:dyDescent="0.3">
      <c r="F3588" s="43"/>
      <c r="G3588" s="43"/>
    </row>
    <row r="3589" spans="5:7" x14ac:dyDescent="0.3">
      <c r="F3589" s="43"/>
      <c r="G3589" s="43"/>
    </row>
    <row r="3590" spans="5:7" x14ac:dyDescent="0.3">
      <c r="F3590" s="43"/>
      <c r="G3590" s="43"/>
    </row>
    <row r="3591" spans="5:7" x14ac:dyDescent="0.3">
      <c r="F3591" s="43"/>
      <c r="G3591" s="43"/>
    </row>
    <row r="3592" spans="5:7" x14ac:dyDescent="0.3">
      <c r="F3592" s="43"/>
      <c r="G3592" s="43"/>
    </row>
    <row r="3593" spans="5:7" x14ac:dyDescent="0.3">
      <c r="F3593" s="43"/>
      <c r="G3593" s="43"/>
    </row>
    <row r="3594" spans="5:7" x14ac:dyDescent="0.3">
      <c r="F3594" s="43"/>
      <c r="G3594" s="43"/>
    </row>
    <row r="3595" spans="5:7" x14ac:dyDescent="0.3">
      <c r="F3595" s="43"/>
      <c r="G3595" s="43"/>
    </row>
    <row r="3596" spans="5:7" x14ac:dyDescent="0.3">
      <c r="F3596" s="43"/>
      <c r="G3596" s="43"/>
    </row>
    <row r="3597" spans="5:7" x14ac:dyDescent="0.3">
      <c r="F3597" s="43"/>
      <c r="G3597" s="43"/>
    </row>
    <row r="3598" spans="5:7" x14ac:dyDescent="0.3">
      <c r="F3598" s="43"/>
      <c r="G3598" s="43"/>
    </row>
    <row r="3599" spans="5:7" x14ac:dyDescent="0.3">
      <c r="F3599" s="43"/>
      <c r="G3599" s="43"/>
    </row>
    <row r="3600" spans="5:7" x14ac:dyDescent="0.3">
      <c r="F3600" s="43"/>
      <c r="G3600" s="43"/>
    </row>
    <row r="3601" spans="6:18" x14ac:dyDescent="0.3">
      <c r="F3601" s="43"/>
      <c r="G3601" s="43"/>
    </row>
    <row r="3602" spans="6:18" x14ac:dyDescent="0.3">
      <c r="F3602" s="43"/>
      <c r="G3602" s="43"/>
    </row>
    <row r="3603" spans="6:18" x14ac:dyDescent="0.3">
      <c r="F3603" s="43"/>
      <c r="G3603" s="43"/>
    </row>
    <row r="3604" spans="6:18" x14ac:dyDescent="0.3">
      <c r="F3604" s="43"/>
      <c r="G3604" s="43"/>
    </row>
    <row r="3605" spans="6:18" x14ac:dyDescent="0.3">
      <c r="F3605" s="43"/>
      <c r="G3605" s="43"/>
    </row>
    <row r="3606" spans="6:18" x14ac:dyDescent="0.3">
      <c r="F3606" s="43"/>
      <c r="G3606" s="43"/>
    </row>
    <row r="3607" spans="6:18" x14ac:dyDescent="0.3">
      <c r="F3607" s="43"/>
      <c r="G3607" s="43"/>
    </row>
    <row r="3608" spans="6:18" x14ac:dyDescent="0.3">
      <c r="F3608" s="43"/>
      <c r="G3608" s="43"/>
    </row>
    <row r="3609" spans="6:18" x14ac:dyDescent="0.3">
      <c r="F3609" s="43"/>
      <c r="G3609" s="43"/>
    </row>
    <row r="3610" spans="6:18" x14ac:dyDescent="0.3">
      <c r="F3610" s="43"/>
      <c r="G3610" s="43"/>
      <c r="R3610" s="49"/>
    </row>
    <row r="3611" spans="6:18" x14ac:dyDescent="0.3">
      <c r="F3611" s="43"/>
      <c r="G3611" s="43"/>
    </row>
    <row r="3612" spans="6:18" x14ac:dyDescent="0.3">
      <c r="F3612" s="43"/>
      <c r="G3612" s="43"/>
    </row>
    <row r="3613" spans="6:18" x14ac:dyDescent="0.3">
      <c r="F3613" s="43"/>
      <c r="G3613" s="43"/>
    </row>
    <row r="3614" spans="6:18" x14ac:dyDescent="0.3">
      <c r="F3614" s="43"/>
      <c r="G3614" s="43"/>
    </row>
    <row r="3615" spans="6:18" x14ac:dyDescent="0.3">
      <c r="F3615" s="43"/>
      <c r="G3615" s="43"/>
    </row>
    <row r="3616" spans="6:18" x14ac:dyDescent="0.3">
      <c r="F3616" s="43"/>
      <c r="G3616" s="43"/>
    </row>
    <row r="3617" spans="5:18" x14ac:dyDescent="0.3">
      <c r="F3617" s="43"/>
      <c r="G3617" s="43"/>
    </row>
    <row r="3618" spans="5:18" x14ac:dyDescent="0.3">
      <c r="F3618" s="43"/>
      <c r="G3618" s="43"/>
      <c r="R3618" s="49"/>
    </row>
    <row r="3619" spans="5:18" x14ac:dyDescent="0.3">
      <c r="F3619" s="43"/>
      <c r="G3619" s="43"/>
    </row>
    <row r="3620" spans="5:18" x14ac:dyDescent="0.3">
      <c r="F3620" s="43"/>
      <c r="G3620" s="43"/>
    </row>
    <row r="3621" spans="5:18" x14ac:dyDescent="0.3">
      <c r="F3621" s="43"/>
      <c r="G3621" s="43"/>
    </row>
    <row r="3622" spans="5:18" x14ac:dyDescent="0.3">
      <c r="F3622" s="43"/>
      <c r="G3622" s="43"/>
    </row>
    <row r="3623" spans="5:18" x14ac:dyDescent="0.3">
      <c r="F3623" s="43"/>
      <c r="G3623" s="43"/>
    </row>
    <row r="3624" spans="5:18" x14ac:dyDescent="0.3">
      <c r="F3624" s="43"/>
      <c r="G3624" s="43"/>
      <c r="R3624" s="49"/>
    </row>
    <row r="3625" spans="5:18" x14ac:dyDescent="0.3">
      <c r="F3625" s="43"/>
      <c r="G3625" s="43"/>
    </row>
    <row r="3626" spans="5:18" x14ac:dyDescent="0.3">
      <c r="E3626" s="44"/>
      <c r="F3626" s="43"/>
      <c r="G3626" s="43"/>
    </row>
    <row r="3627" spans="5:18" x14ac:dyDescent="0.3">
      <c r="F3627" s="43"/>
      <c r="G3627" s="43"/>
    </row>
    <row r="3628" spans="5:18" x14ac:dyDescent="0.3">
      <c r="F3628" s="43"/>
      <c r="G3628" s="43"/>
    </row>
    <row r="3629" spans="5:18" x14ac:dyDescent="0.3">
      <c r="F3629" s="43"/>
      <c r="G3629" s="43"/>
      <c r="R3629" s="49"/>
    </row>
    <row r="3630" spans="5:18" x14ac:dyDescent="0.3">
      <c r="F3630" s="43"/>
      <c r="G3630" s="43"/>
      <c r="R3630" s="49"/>
    </row>
    <row r="3631" spans="5:18" x14ac:dyDescent="0.3">
      <c r="F3631" s="43"/>
      <c r="G3631" s="43"/>
      <c r="N3631" s="46"/>
    </row>
    <row r="3632" spans="5:18" x14ac:dyDescent="0.3">
      <c r="F3632" s="43"/>
      <c r="G3632" s="43"/>
    </row>
    <row r="3633" spans="5:18" x14ac:dyDescent="0.3">
      <c r="F3633" s="43"/>
      <c r="G3633" s="43"/>
    </row>
    <row r="3634" spans="5:18" x14ac:dyDescent="0.3">
      <c r="F3634" s="43"/>
      <c r="G3634" s="43"/>
    </row>
    <row r="3635" spans="5:18" x14ac:dyDescent="0.3">
      <c r="F3635" s="43"/>
      <c r="G3635" s="43"/>
      <c r="R3635" s="49"/>
    </row>
    <row r="3636" spans="5:18" x14ac:dyDescent="0.3">
      <c r="F3636" s="43"/>
      <c r="G3636" s="43"/>
    </row>
    <row r="3637" spans="5:18" x14ac:dyDescent="0.3">
      <c r="F3637" s="43"/>
      <c r="G3637" s="43"/>
    </row>
    <row r="3638" spans="5:18" x14ac:dyDescent="0.3">
      <c r="F3638" s="43"/>
      <c r="G3638" s="43"/>
      <c r="R3638" s="51"/>
    </row>
    <row r="3639" spans="5:18" x14ac:dyDescent="0.3">
      <c r="E3639" s="44"/>
      <c r="F3639" s="43"/>
      <c r="G3639" s="43"/>
    </row>
    <row r="3640" spans="5:18" x14ac:dyDescent="0.3">
      <c r="F3640" s="43"/>
      <c r="G3640" s="43"/>
      <c r="R3640" s="49"/>
    </row>
    <row r="3641" spans="5:18" x14ac:dyDescent="0.3">
      <c r="F3641" s="43"/>
      <c r="G3641" s="43"/>
    </row>
    <row r="3642" spans="5:18" x14ac:dyDescent="0.3">
      <c r="F3642" s="43"/>
      <c r="G3642" s="43"/>
      <c r="R3642" s="51"/>
    </row>
    <row r="3643" spans="5:18" x14ac:dyDescent="0.3">
      <c r="F3643" s="43"/>
      <c r="G3643" s="43"/>
    </row>
    <row r="3644" spans="5:18" x14ac:dyDescent="0.3">
      <c r="F3644" s="43"/>
      <c r="G3644" s="43"/>
    </row>
    <row r="3645" spans="5:18" x14ac:dyDescent="0.3">
      <c r="F3645" s="43"/>
      <c r="G3645" s="43"/>
    </row>
    <row r="3646" spans="5:18" x14ac:dyDescent="0.3">
      <c r="F3646" s="43"/>
      <c r="G3646" s="43"/>
    </row>
    <row r="3647" spans="5:18" x14ac:dyDescent="0.3">
      <c r="F3647" s="43"/>
      <c r="G3647" s="43"/>
    </row>
    <row r="3648" spans="5:18" x14ac:dyDescent="0.3">
      <c r="F3648" s="43"/>
      <c r="G3648" s="43"/>
    </row>
    <row r="3649" spans="5:18" x14ac:dyDescent="0.3">
      <c r="F3649" s="43"/>
      <c r="G3649" s="43"/>
    </row>
    <row r="3650" spans="5:18" x14ac:dyDescent="0.3">
      <c r="F3650" s="43"/>
      <c r="G3650" s="43"/>
      <c r="R3650" s="49"/>
    </row>
    <row r="3651" spans="5:18" x14ac:dyDescent="0.3">
      <c r="F3651" s="1"/>
      <c r="G3651" s="1"/>
    </row>
    <row r="3652" spans="5:18" x14ac:dyDescent="0.3">
      <c r="F3652" s="43"/>
      <c r="G3652" s="43"/>
    </row>
    <row r="3653" spans="5:18" x14ac:dyDescent="0.3">
      <c r="F3653" s="43"/>
      <c r="G3653" s="43"/>
    </row>
    <row r="3654" spans="5:18" x14ac:dyDescent="0.3">
      <c r="E3654" s="44"/>
      <c r="F3654" s="43"/>
      <c r="G3654" s="43"/>
    </row>
    <row r="3655" spans="5:18" x14ac:dyDescent="0.3">
      <c r="F3655" s="43"/>
      <c r="G3655" s="43"/>
    </row>
    <row r="3656" spans="5:18" x14ac:dyDescent="0.3">
      <c r="F3656" s="43"/>
      <c r="G3656" s="43"/>
    </row>
    <row r="3657" spans="5:18" x14ac:dyDescent="0.3">
      <c r="F3657" s="43"/>
      <c r="G3657" s="43"/>
    </row>
    <row r="3658" spans="5:18" x14ac:dyDescent="0.3">
      <c r="F3658" s="1"/>
      <c r="G3658" s="1"/>
    </row>
    <row r="3659" spans="5:18" x14ac:dyDescent="0.3">
      <c r="F3659" s="43"/>
      <c r="G3659" s="43"/>
    </row>
    <row r="3660" spans="5:18" x14ac:dyDescent="0.3">
      <c r="F3660" s="43"/>
      <c r="G3660" s="43"/>
    </row>
    <row r="3661" spans="5:18" x14ac:dyDescent="0.3">
      <c r="F3661" s="43"/>
      <c r="G3661" s="43"/>
      <c r="R3661" s="49"/>
    </row>
    <row r="3662" spans="5:18" x14ac:dyDescent="0.3">
      <c r="F3662" s="43"/>
      <c r="G3662" s="43"/>
    </row>
    <row r="3663" spans="5:18" x14ac:dyDescent="0.3">
      <c r="F3663" s="43"/>
      <c r="G3663" s="43"/>
    </row>
    <row r="3664" spans="5:18" x14ac:dyDescent="0.3">
      <c r="F3664" s="43"/>
      <c r="G3664" s="43"/>
      <c r="R3664" s="49"/>
    </row>
    <row r="3665" spans="6:18" x14ac:dyDescent="0.3">
      <c r="F3665" s="43"/>
      <c r="G3665" s="43"/>
      <c r="R3665" s="49"/>
    </row>
    <row r="3666" spans="6:18" x14ac:dyDescent="0.3">
      <c r="F3666" s="43"/>
      <c r="G3666" s="43"/>
      <c r="R3666" s="49"/>
    </row>
    <row r="3667" spans="6:18" x14ac:dyDescent="0.3">
      <c r="F3667" s="43"/>
      <c r="G3667" s="43"/>
    </row>
    <row r="3668" spans="6:18" x14ac:dyDescent="0.3">
      <c r="F3668" s="43"/>
      <c r="G3668" s="43"/>
      <c r="R3668" s="49"/>
    </row>
    <row r="3669" spans="6:18" x14ac:dyDescent="0.3">
      <c r="F3669" s="43"/>
      <c r="G3669" s="43"/>
      <c r="R3669" s="49"/>
    </row>
    <row r="3670" spans="6:18" x14ac:dyDescent="0.3">
      <c r="F3670" s="43"/>
      <c r="G3670" s="43"/>
    </row>
    <row r="3671" spans="6:18" x14ac:dyDescent="0.3">
      <c r="F3671" s="43"/>
      <c r="G3671" s="43"/>
    </row>
    <row r="3672" spans="6:18" x14ac:dyDescent="0.3">
      <c r="F3672" s="43"/>
      <c r="G3672" s="43"/>
    </row>
    <row r="3673" spans="6:18" x14ac:dyDescent="0.3">
      <c r="F3673" s="43"/>
      <c r="G3673" s="43"/>
    </row>
    <row r="3674" spans="6:18" x14ac:dyDescent="0.3">
      <c r="F3674" s="43"/>
      <c r="G3674" s="43"/>
    </row>
    <row r="3675" spans="6:18" x14ac:dyDescent="0.3">
      <c r="F3675" s="43"/>
      <c r="G3675" s="43"/>
      <c r="R3675" s="49"/>
    </row>
    <row r="3676" spans="6:18" x14ac:dyDescent="0.3">
      <c r="F3676" s="43"/>
      <c r="G3676" s="43"/>
      <c r="R3676" s="49"/>
    </row>
    <row r="3677" spans="6:18" x14ac:dyDescent="0.3">
      <c r="F3677" s="43"/>
      <c r="G3677" s="43"/>
    </row>
    <row r="3678" spans="6:18" x14ac:dyDescent="0.3">
      <c r="F3678" s="43"/>
      <c r="G3678" s="43"/>
    </row>
    <row r="3679" spans="6:18" x14ac:dyDescent="0.3">
      <c r="F3679" s="43"/>
      <c r="G3679" s="43"/>
    </row>
    <row r="3680" spans="6:18" x14ac:dyDescent="0.3">
      <c r="F3680" s="43"/>
      <c r="G3680" s="43"/>
    </row>
    <row r="3681" spans="5:18" x14ac:dyDescent="0.3">
      <c r="F3681" s="43"/>
      <c r="G3681" s="43"/>
    </row>
    <row r="3682" spans="5:18" x14ac:dyDescent="0.3">
      <c r="F3682" s="43"/>
      <c r="G3682" s="43"/>
    </row>
    <row r="3683" spans="5:18" x14ac:dyDescent="0.3">
      <c r="F3683" s="43"/>
      <c r="G3683" s="43"/>
    </row>
    <row r="3684" spans="5:18" x14ac:dyDescent="0.3">
      <c r="F3684" s="43"/>
      <c r="G3684" s="43"/>
      <c r="R3684" s="49"/>
    </row>
    <row r="3685" spans="5:18" x14ac:dyDescent="0.3">
      <c r="F3685" s="43"/>
      <c r="G3685" s="43"/>
      <c r="R3685" s="49"/>
    </row>
    <row r="3686" spans="5:18" x14ac:dyDescent="0.3">
      <c r="F3686" s="43"/>
      <c r="G3686" s="43"/>
    </row>
    <row r="3687" spans="5:18" x14ac:dyDescent="0.3">
      <c r="F3687" s="43"/>
      <c r="G3687" s="43"/>
    </row>
    <row r="3688" spans="5:18" x14ac:dyDescent="0.3">
      <c r="F3688" s="43"/>
      <c r="G3688" s="43"/>
    </row>
    <row r="3689" spans="5:18" x14ac:dyDescent="0.3">
      <c r="F3689" s="43"/>
      <c r="G3689" s="43"/>
    </row>
    <row r="3690" spans="5:18" x14ac:dyDescent="0.3">
      <c r="F3690" s="43"/>
      <c r="G3690" s="43"/>
    </row>
    <row r="3691" spans="5:18" x14ac:dyDescent="0.3">
      <c r="F3691" s="43"/>
      <c r="G3691" s="43"/>
    </row>
    <row r="3692" spans="5:18" x14ac:dyDescent="0.3">
      <c r="F3692" s="43"/>
      <c r="G3692" s="43"/>
    </row>
    <row r="3693" spans="5:18" x14ac:dyDescent="0.3">
      <c r="E3693" s="44"/>
      <c r="F3693" s="43"/>
      <c r="G3693" s="43"/>
    </row>
    <row r="3694" spans="5:18" x14ac:dyDescent="0.3">
      <c r="F3694" s="43"/>
      <c r="G3694" s="43"/>
    </row>
    <row r="3695" spans="5:18" x14ac:dyDescent="0.3">
      <c r="F3695" s="43"/>
      <c r="G3695" s="43"/>
      <c r="R3695" s="49"/>
    </row>
    <row r="3696" spans="5:18" x14ac:dyDescent="0.3">
      <c r="F3696" s="43"/>
      <c r="G3696" s="43"/>
    </row>
    <row r="3697" spans="6:18" x14ac:dyDescent="0.3">
      <c r="F3697" s="43"/>
      <c r="G3697" s="43"/>
      <c r="R3697" s="51"/>
    </row>
    <row r="3698" spans="6:18" x14ac:dyDescent="0.3">
      <c r="F3698" s="43"/>
      <c r="G3698" s="43"/>
    </row>
    <row r="3699" spans="6:18" x14ac:dyDescent="0.3">
      <c r="F3699" s="43"/>
      <c r="G3699" s="43"/>
    </row>
    <row r="3700" spans="6:18" x14ac:dyDescent="0.3">
      <c r="F3700" s="43"/>
      <c r="G3700" s="43"/>
    </row>
    <row r="3701" spans="6:18" x14ac:dyDescent="0.3">
      <c r="F3701" s="43"/>
      <c r="G3701" s="43"/>
    </row>
    <row r="3702" spans="6:18" x14ac:dyDescent="0.3">
      <c r="F3702" s="43"/>
      <c r="G3702" s="43"/>
      <c r="R3702" s="49"/>
    </row>
    <row r="3703" spans="6:18" x14ac:dyDescent="0.3">
      <c r="F3703" s="43"/>
      <c r="G3703" s="43"/>
      <c r="R3703" s="49"/>
    </row>
    <row r="3704" spans="6:18" x14ac:dyDescent="0.3">
      <c r="F3704" s="43"/>
      <c r="G3704" s="43"/>
      <c r="R3704" s="49"/>
    </row>
    <row r="3705" spans="6:18" x14ac:dyDescent="0.3">
      <c r="F3705" s="43"/>
      <c r="G3705" s="43"/>
      <c r="R3705" s="49"/>
    </row>
    <row r="3706" spans="6:18" x14ac:dyDescent="0.3">
      <c r="F3706" s="43"/>
      <c r="G3706" s="43"/>
    </row>
    <row r="3707" spans="6:18" x14ac:dyDescent="0.3">
      <c r="F3707" s="43"/>
      <c r="G3707" s="43"/>
    </row>
    <row r="3708" spans="6:18" x14ac:dyDescent="0.3">
      <c r="F3708" s="43"/>
      <c r="G3708" s="43"/>
    </row>
    <row r="3709" spans="6:18" x14ac:dyDescent="0.3">
      <c r="F3709" s="43"/>
      <c r="G3709" s="43"/>
    </row>
    <row r="3710" spans="6:18" x14ac:dyDescent="0.3">
      <c r="F3710" s="43"/>
      <c r="G3710" s="43"/>
      <c r="R3710" s="49"/>
    </row>
    <row r="3711" spans="6:18" x14ac:dyDescent="0.3">
      <c r="F3711" s="43"/>
      <c r="G3711" s="43"/>
    </row>
    <row r="3712" spans="6:18" x14ac:dyDescent="0.3">
      <c r="F3712" s="43"/>
      <c r="G3712" s="43"/>
    </row>
    <row r="3713" spans="6:18" x14ac:dyDescent="0.3">
      <c r="F3713" s="43"/>
      <c r="G3713" s="43"/>
      <c r="R3713" s="49"/>
    </row>
    <row r="3714" spans="6:18" x14ac:dyDescent="0.3">
      <c r="F3714" s="43"/>
      <c r="G3714" s="43"/>
    </row>
    <row r="3715" spans="6:18" x14ac:dyDescent="0.3">
      <c r="F3715" s="43"/>
      <c r="G3715" s="43"/>
      <c r="R3715" s="49"/>
    </row>
    <row r="3716" spans="6:18" x14ac:dyDescent="0.3">
      <c r="F3716" s="43"/>
      <c r="G3716" s="43"/>
    </row>
    <row r="3717" spans="6:18" x14ac:dyDescent="0.3">
      <c r="F3717" s="43"/>
      <c r="G3717" s="43"/>
      <c r="R3717" s="49"/>
    </row>
    <row r="3718" spans="6:18" x14ac:dyDescent="0.3">
      <c r="F3718" s="43"/>
      <c r="G3718" s="43"/>
      <c r="R3718" s="49"/>
    </row>
    <row r="3719" spans="6:18" x14ac:dyDescent="0.3">
      <c r="F3719" s="43"/>
      <c r="G3719" s="43"/>
    </row>
    <row r="3720" spans="6:18" x14ac:dyDescent="0.3">
      <c r="F3720" s="43"/>
      <c r="G3720" s="43"/>
    </row>
    <row r="3721" spans="6:18" x14ac:dyDescent="0.3">
      <c r="F3721" s="43"/>
      <c r="G3721" s="43"/>
      <c r="R3721" s="49"/>
    </row>
    <row r="3722" spans="6:18" x14ac:dyDescent="0.3">
      <c r="F3722" s="43"/>
      <c r="G3722" s="43"/>
    </row>
    <row r="3723" spans="6:18" x14ac:dyDescent="0.3">
      <c r="F3723" s="43"/>
      <c r="G3723" s="43"/>
    </row>
    <row r="3724" spans="6:18" x14ac:dyDescent="0.3">
      <c r="F3724" s="43"/>
      <c r="G3724" s="43"/>
    </row>
    <row r="3725" spans="6:18" x14ac:dyDescent="0.3">
      <c r="F3725" s="43"/>
      <c r="G3725" s="43"/>
    </row>
    <row r="3726" spans="6:18" x14ac:dyDescent="0.3">
      <c r="F3726" s="43"/>
      <c r="G3726" s="43"/>
    </row>
    <row r="3727" spans="6:18" x14ac:dyDescent="0.3">
      <c r="F3727" s="43"/>
      <c r="G3727" s="43"/>
    </row>
    <row r="3728" spans="6:18" x14ac:dyDescent="0.3">
      <c r="F3728" s="43"/>
      <c r="G3728" s="43"/>
    </row>
    <row r="3729" spans="6:18" x14ac:dyDescent="0.3">
      <c r="F3729" s="43"/>
      <c r="G3729" s="43"/>
      <c r="N3729" s="46"/>
    </row>
    <row r="3730" spans="6:18" x14ac:dyDescent="0.3">
      <c r="F3730" s="43"/>
      <c r="G3730" s="43"/>
    </row>
    <row r="3731" spans="6:18" x14ac:dyDescent="0.3">
      <c r="F3731" s="43"/>
      <c r="G3731" s="43"/>
    </row>
    <row r="3732" spans="6:18" x14ac:dyDescent="0.3">
      <c r="F3732" s="43"/>
      <c r="G3732" s="43"/>
    </row>
    <row r="3733" spans="6:18" x14ac:dyDescent="0.3">
      <c r="F3733" s="43"/>
      <c r="G3733" s="43"/>
      <c r="R3733" s="49"/>
    </row>
    <row r="3734" spans="6:18" x14ac:dyDescent="0.3">
      <c r="F3734" s="43"/>
      <c r="G3734" s="43"/>
    </row>
    <row r="3735" spans="6:18" x14ac:dyDescent="0.3">
      <c r="F3735" s="43"/>
      <c r="G3735" s="43"/>
    </row>
    <row r="3736" spans="6:18" x14ac:dyDescent="0.3">
      <c r="F3736" s="43"/>
      <c r="G3736" s="43"/>
    </row>
    <row r="3737" spans="6:18" x14ac:dyDescent="0.3">
      <c r="F3737" s="43"/>
      <c r="G3737" s="43"/>
    </row>
    <row r="3738" spans="6:18" x14ac:dyDescent="0.3">
      <c r="F3738" s="43"/>
      <c r="G3738" s="43"/>
    </row>
    <row r="3739" spans="6:18" x14ac:dyDescent="0.3">
      <c r="F3739" s="43"/>
      <c r="G3739" s="43"/>
    </row>
    <row r="3740" spans="6:18" x14ac:dyDescent="0.3">
      <c r="F3740" s="43"/>
      <c r="G3740" s="43"/>
    </row>
    <row r="3741" spans="6:18" x14ac:dyDescent="0.3">
      <c r="F3741" s="43"/>
      <c r="G3741" s="43"/>
    </row>
    <row r="3742" spans="6:18" x14ac:dyDescent="0.3">
      <c r="F3742" s="43"/>
      <c r="G3742" s="43"/>
    </row>
    <row r="3743" spans="6:18" x14ac:dyDescent="0.3">
      <c r="F3743" s="43"/>
      <c r="G3743" s="43"/>
    </row>
    <row r="3744" spans="6:18" x14ac:dyDescent="0.3">
      <c r="F3744" s="43"/>
      <c r="G3744" s="43"/>
      <c r="R3744" s="51"/>
    </row>
    <row r="3745" spans="6:18" x14ac:dyDescent="0.3">
      <c r="F3745" s="43"/>
      <c r="G3745" s="43"/>
    </row>
    <row r="3746" spans="6:18" x14ac:dyDescent="0.3">
      <c r="F3746" s="43"/>
      <c r="G3746" s="43"/>
    </row>
    <row r="3747" spans="6:18" x14ac:dyDescent="0.3">
      <c r="F3747" s="43"/>
      <c r="G3747" s="43"/>
    </row>
    <row r="3748" spans="6:18" x14ac:dyDescent="0.3">
      <c r="F3748" s="43"/>
      <c r="G3748" s="43"/>
    </row>
    <row r="3749" spans="6:18" x14ac:dyDescent="0.3">
      <c r="F3749" s="43"/>
      <c r="G3749" s="43"/>
    </row>
    <row r="3750" spans="6:18" x14ac:dyDescent="0.3">
      <c r="F3750" s="43"/>
      <c r="G3750" s="43"/>
    </row>
    <row r="3751" spans="6:18" x14ac:dyDescent="0.3">
      <c r="F3751" s="43"/>
      <c r="G3751" s="43"/>
    </row>
    <row r="3752" spans="6:18" x14ac:dyDescent="0.3">
      <c r="F3752" s="43"/>
      <c r="G3752" s="43"/>
    </row>
    <row r="3753" spans="6:18" x14ac:dyDescent="0.3">
      <c r="F3753" s="43"/>
      <c r="G3753" s="43"/>
    </row>
    <row r="3754" spans="6:18" x14ac:dyDescent="0.3">
      <c r="F3754" s="43"/>
      <c r="G3754" s="43"/>
    </row>
    <row r="3755" spans="6:18" x14ac:dyDescent="0.3">
      <c r="F3755" s="43"/>
      <c r="G3755" s="43"/>
    </row>
    <row r="3756" spans="6:18" x14ac:dyDescent="0.3">
      <c r="F3756" s="43"/>
      <c r="G3756" s="43"/>
      <c r="R3756" s="51"/>
    </row>
    <row r="3757" spans="6:18" x14ac:dyDescent="0.3">
      <c r="F3757" s="43"/>
      <c r="G3757" s="43"/>
    </row>
    <row r="3758" spans="6:18" x14ac:dyDescent="0.3">
      <c r="F3758" s="43"/>
      <c r="G3758" s="43"/>
      <c r="R3758" s="51"/>
    </row>
    <row r="3759" spans="6:18" x14ac:dyDescent="0.3">
      <c r="F3759" s="43"/>
      <c r="G3759" s="43"/>
      <c r="R3759" s="51"/>
    </row>
    <row r="3760" spans="6:18" x14ac:dyDescent="0.3">
      <c r="F3760" s="43"/>
      <c r="G3760" s="43"/>
      <c r="R3760" s="49"/>
    </row>
    <row r="3761" spans="2:18" x14ac:dyDescent="0.3">
      <c r="F3761" s="43"/>
      <c r="G3761" s="43"/>
    </row>
    <row r="3762" spans="2:18" x14ac:dyDescent="0.3">
      <c r="F3762" s="43"/>
      <c r="G3762" s="43"/>
    </row>
    <row r="3763" spans="2:18" x14ac:dyDescent="0.3">
      <c r="F3763" s="43"/>
      <c r="G3763" s="43"/>
      <c r="R3763" s="49"/>
    </row>
    <row r="3764" spans="2:18" x14ac:dyDescent="0.3">
      <c r="F3764" s="1"/>
      <c r="G3764" s="1"/>
    </row>
    <row r="3765" spans="2:18" x14ac:dyDescent="0.3">
      <c r="F3765" s="43"/>
      <c r="G3765" s="43"/>
    </row>
    <row r="3766" spans="2:18" x14ac:dyDescent="0.3">
      <c r="F3766" s="1"/>
      <c r="G3766" s="1"/>
    </row>
    <row r="3767" spans="2:18" x14ac:dyDescent="0.3">
      <c r="F3767" s="43"/>
      <c r="G3767" s="43"/>
    </row>
    <row r="3768" spans="2:18" x14ac:dyDescent="0.3">
      <c r="F3768" s="43"/>
      <c r="G3768" s="43"/>
    </row>
    <row r="3769" spans="2:18" x14ac:dyDescent="0.3">
      <c r="F3769" s="43"/>
      <c r="G3769" s="43"/>
    </row>
    <row r="3770" spans="2:18" x14ac:dyDescent="0.3">
      <c r="F3770" s="43"/>
      <c r="G3770" s="43"/>
    </row>
    <row r="3771" spans="2:18" x14ac:dyDescent="0.3">
      <c r="F3771" s="43"/>
      <c r="G3771" s="43"/>
    </row>
    <row r="3772" spans="2:18" x14ac:dyDescent="0.3">
      <c r="F3772" s="43"/>
      <c r="G3772" s="43"/>
    </row>
    <row r="3773" spans="2:18" x14ac:dyDescent="0.3">
      <c r="F3773" s="43"/>
      <c r="G3773" s="43"/>
    </row>
    <row r="3774" spans="2:18" x14ac:dyDescent="0.3">
      <c r="F3774" s="43"/>
      <c r="G3774" s="43"/>
    </row>
    <row r="3775" spans="2:18" x14ac:dyDescent="0.3">
      <c r="F3775" s="43"/>
      <c r="G3775" s="43"/>
    </row>
    <row r="3776" spans="2:18" x14ac:dyDescent="0.3">
      <c r="B3776" s="53"/>
      <c r="F3776" s="43"/>
      <c r="G3776" s="43"/>
      <c r="Q3776" s="53"/>
    </row>
    <row r="3777" spans="2:18" x14ac:dyDescent="0.3">
      <c r="F3777" s="43"/>
      <c r="G3777" s="43"/>
    </row>
    <row r="3778" spans="2:18" x14ac:dyDescent="0.3">
      <c r="F3778" s="1"/>
      <c r="G3778" s="1"/>
    </row>
    <row r="3779" spans="2:18" x14ac:dyDescent="0.3">
      <c r="F3779" s="43"/>
      <c r="G3779" s="43"/>
      <c r="R3779" s="49"/>
    </row>
    <row r="3780" spans="2:18" x14ac:dyDescent="0.3">
      <c r="F3780" s="43"/>
      <c r="G3780" s="43"/>
    </row>
    <row r="3781" spans="2:18" x14ac:dyDescent="0.3">
      <c r="B3781" s="52"/>
      <c r="F3781" s="43"/>
      <c r="G3781" s="43"/>
      <c r="Q3781" s="52"/>
    </row>
    <row r="3782" spans="2:18" x14ac:dyDescent="0.3">
      <c r="F3782" s="43"/>
      <c r="G3782" s="43"/>
    </row>
    <row r="3783" spans="2:18" x14ac:dyDescent="0.3">
      <c r="F3783" s="43"/>
      <c r="G3783" s="43"/>
      <c r="R3783" s="49"/>
    </row>
    <row r="3784" spans="2:18" x14ac:dyDescent="0.3">
      <c r="F3784" s="43"/>
      <c r="G3784" s="43"/>
      <c r="R3784" s="49"/>
    </row>
    <row r="3785" spans="2:18" x14ac:dyDescent="0.3">
      <c r="F3785" s="43"/>
      <c r="G3785" s="43"/>
    </row>
    <row r="3786" spans="2:18" x14ac:dyDescent="0.3">
      <c r="F3786" s="43"/>
      <c r="G3786" s="43"/>
    </row>
    <row r="3787" spans="2:18" x14ac:dyDescent="0.3">
      <c r="E3787" s="44"/>
      <c r="F3787" s="43"/>
      <c r="G3787" s="43"/>
    </row>
    <row r="3788" spans="2:18" x14ac:dyDescent="0.3">
      <c r="F3788" s="43"/>
      <c r="G3788" s="43"/>
    </row>
    <row r="3789" spans="2:18" x14ac:dyDescent="0.3">
      <c r="F3789" s="43"/>
      <c r="G3789" s="43"/>
    </row>
    <row r="3790" spans="2:18" x14ac:dyDescent="0.3">
      <c r="F3790" s="43"/>
      <c r="G3790" s="43"/>
    </row>
    <row r="3791" spans="2:18" x14ac:dyDescent="0.3">
      <c r="F3791" s="43"/>
      <c r="G3791" s="43"/>
    </row>
    <row r="3792" spans="2:18" x14ac:dyDescent="0.3">
      <c r="F3792" s="43"/>
      <c r="G3792" s="43"/>
    </row>
    <row r="3793" spans="6:18" x14ac:dyDescent="0.3">
      <c r="F3793" s="43"/>
      <c r="G3793" s="43"/>
    </row>
    <row r="3794" spans="6:18" x14ac:dyDescent="0.3">
      <c r="F3794" s="43"/>
      <c r="G3794" s="43"/>
    </row>
    <row r="3795" spans="6:18" x14ac:dyDescent="0.3">
      <c r="F3795" s="43"/>
      <c r="G3795" s="43"/>
      <c r="R3795" s="49"/>
    </row>
    <row r="3796" spans="6:18" x14ac:dyDescent="0.3">
      <c r="F3796" s="43"/>
      <c r="G3796" s="43"/>
    </row>
    <row r="3797" spans="6:18" x14ac:dyDescent="0.3">
      <c r="F3797" s="43"/>
      <c r="G3797" s="43"/>
    </row>
    <row r="3798" spans="6:18" x14ac:dyDescent="0.3">
      <c r="F3798" s="43"/>
      <c r="G3798" s="43"/>
    </row>
    <row r="3799" spans="6:18" x14ac:dyDescent="0.3">
      <c r="F3799" s="43"/>
      <c r="G3799" s="43"/>
      <c r="R3799" s="49"/>
    </row>
    <row r="3800" spans="6:18" x14ac:dyDescent="0.3">
      <c r="F3800" s="43"/>
      <c r="G3800" s="43"/>
    </row>
    <row r="3801" spans="6:18" x14ac:dyDescent="0.3">
      <c r="F3801" s="43"/>
      <c r="G3801" s="43"/>
    </row>
    <row r="3802" spans="6:18" x14ac:dyDescent="0.3">
      <c r="F3802" s="43"/>
      <c r="G3802" s="43"/>
    </row>
    <row r="3803" spans="6:18" x14ac:dyDescent="0.3">
      <c r="F3803" s="43"/>
      <c r="G3803" s="43"/>
    </row>
    <row r="3804" spans="6:18" x14ac:dyDescent="0.3">
      <c r="F3804" s="43"/>
      <c r="G3804" s="43"/>
      <c r="R3804" s="49"/>
    </row>
    <row r="3805" spans="6:18" x14ac:dyDescent="0.3">
      <c r="F3805" s="43"/>
      <c r="G3805" s="43"/>
    </row>
    <row r="3806" spans="6:18" x14ac:dyDescent="0.3">
      <c r="F3806" s="43"/>
      <c r="G3806" s="43"/>
    </row>
    <row r="3807" spans="6:18" x14ac:dyDescent="0.3">
      <c r="F3807" s="43"/>
      <c r="G3807" s="43"/>
    </row>
    <row r="3808" spans="6:18" x14ac:dyDescent="0.3">
      <c r="F3808" s="43"/>
      <c r="G3808" s="43"/>
    </row>
    <row r="3809" spans="5:18" x14ac:dyDescent="0.3">
      <c r="F3809" s="43"/>
      <c r="G3809" s="43"/>
      <c r="R3809" s="49"/>
    </row>
    <row r="3810" spans="5:18" x14ac:dyDescent="0.3">
      <c r="F3810" s="43"/>
      <c r="G3810" s="43"/>
      <c r="R3810" s="49"/>
    </row>
    <row r="3811" spans="5:18" x14ac:dyDescent="0.3">
      <c r="F3811" s="1"/>
      <c r="G3811" s="1"/>
    </row>
    <row r="3812" spans="5:18" x14ac:dyDescent="0.3">
      <c r="F3812" s="43"/>
      <c r="G3812" s="43"/>
      <c r="R3812" s="49"/>
    </row>
    <row r="3813" spans="5:18" x14ac:dyDescent="0.3">
      <c r="F3813" s="43"/>
      <c r="G3813" s="43"/>
    </row>
    <row r="3814" spans="5:18" x14ac:dyDescent="0.3">
      <c r="F3814" s="43"/>
      <c r="G3814" s="43"/>
      <c r="R3814" s="49"/>
    </row>
    <row r="3815" spans="5:18" x14ac:dyDescent="0.3">
      <c r="F3815" s="43"/>
      <c r="G3815" s="43"/>
      <c r="R3815" s="49"/>
    </row>
    <row r="3816" spans="5:18" x14ac:dyDescent="0.3">
      <c r="F3816" s="43"/>
      <c r="G3816" s="43"/>
      <c r="R3816" s="51"/>
    </row>
    <row r="3817" spans="5:18" x14ac:dyDescent="0.3">
      <c r="F3817" s="43"/>
      <c r="G3817" s="43"/>
      <c r="R3817" s="51"/>
    </row>
    <row r="3818" spans="5:18" x14ac:dyDescent="0.3">
      <c r="F3818" s="43"/>
      <c r="G3818" s="43"/>
      <c r="R3818" s="49"/>
    </row>
    <row r="3819" spans="5:18" x14ac:dyDescent="0.3">
      <c r="F3819" s="43"/>
      <c r="G3819" s="43"/>
      <c r="R3819" s="51"/>
    </row>
    <row r="3820" spans="5:18" x14ac:dyDescent="0.3">
      <c r="E3820" s="44"/>
      <c r="F3820" s="43"/>
      <c r="G3820" s="43"/>
    </row>
    <row r="3821" spans="5:18" x14ac:dyDescent="0.3">
      <c r="F3821" s="43"/>
      <c r="G3821" s="43"/>
      <c r="R3821" s="49"/>
    </row>
    <row r="3822" spans="5:18" x14ac:dyDescent="0.3">
      <c r="F3822" s="43"/>
      <c r="G3822" s="43"/>
    </row>
    <row r="3823" spans="5:18" x14ac:dyDescent="0.3">
      <c r="F3823" s="43"/>
      <c r="G3823" s="43"/>
      <c r="R3823" s="49"/>
    </row>
    <row r="3824" spans="5:18" x14ac:dyDescent="0.3">
      <c r="F3824" s="43"/>
      <c r="G3824" s="43"/>
      <c r="R3824" s="49"/>
    </row>
    <row r="3825" spans="6:18" x14ac:dyDescent="0.3">
      <c r="F3825" s="43"/>
      <c r="G3825" s="43"/>
      <c r="R3825" s="49"/>
    </row>
    <row r="3826" spans="6:18" x14ac:dyDescent="0.3">
      <c r="F3826" s="43"/>
      <c r="G3826" s="43"/>
      <c r="R3826" s="51"/>
    </row>
    <row r="3827" spans="6:18" x14ac:dyDescent="0.3">
      <c r="F3827" s="43"/>
      <c r="G3827" s="43"/>
      <c r="R3827" s="49"/>
    </row>
    <row r="3828" spans="6:18" x14ac:dyDescent="0.3">
      <c r="F3828" s="43"/>
      <c r="G3828" s="43"/>
      <c r="R3828" s="49"/>
    </row>
    <row r="3829" spans="6:18" x14ac:dyDescent="0.3">
      <c r="F3829" s="43"/>
      <c r="G3829" s="43"/>
    </row>
    <row r="3830" spans="6:18" x14ac:dyDescent="0.3">
      <c r="F3830" s="43"/>
      <c r="G3830" s="43"/>
    </row>
    <row r="3831" spans="6:18" x14ac:dyDescent="0.3">
      <c r="F3831" s="43"/>
      <c r="G3831" s="43"/>
    </row>
    <row r="3832" spans="6:18" x14ac:dyDescent="0.3">
      <c r="F3832" s="43"/>
      <c r="G3832" s="43"/>
      <c r="R3832" s="49"/>
    </row>
    <row r="3833" spans="6:18" x14ac:dyDescent="0.3">
      <c r="F3833" s="43"/>
      <c r="G3833" s="43"/>
    </row>
    <row r="3834" spans="6:18" x14ac:dyDescent="0.3">
      <c r="F3834" s="43"/>
      <c r="G3834" s="43"/>
    </row>
    <row r="3835" spans="6:18" x14ac:dyDescent="0.3">
      <c r="F3835" s="43"/>
      <c r="G3835" s="43"/>
    </row>
    <row r="3836" spans="6:18" x14ac:dyDescent="0.3">
      <c r="F3836" s="43"/>
      <c r="G3836" s="43"/>
    </row>
    <row r="3837" spans="6:18" x14ac:dyDescent="0.3">
      <c r="F3837" s="43"/>
      <c r="G3837" s="43"/>
      <c r="R3837" s="49"/>
    </row>
    <row r="3838" spans="6:18" x14ac:dyDescent="0.3">
      <c r="F3838" s="43"/>
      <c r="G3838" s="43"/>
      <c r="R3838" s="49"/>
    </row>
    <row r="3839" spans="6:18" x14ac:dyDescent="0.3">
      <c r="F3839" s="43"/>
      <c r="G3839" s="43"/>
    </row>
    <row r="3840" spans="6:18" x14ac:dyDescent="0.3">
      <c r="F3840" s="43"/>
      <c r="G3840" s="43"/>
      <c r="R3840" s="49"/>
    </row>
    <row r="3841" spans="2:18" x14ac:dyDescent="0.3">
      <c r="F3841" s="43"/>
      <c r="G3841" s="43"/>
    </row>
    <row r="3842" spans="2:18" x14ac:dyDescent="0.3">
      <c r="F3842" s="43"/>
      <c r="G3842" s="43"/>
      <c r="R3842" s="49"/>
    </row>
    <row r="3843" spans="2:18" x14ac:dyDescent="0.3">
      <c r="F3843" s="43"/>
      <c r="G3843" s="43"/>
    </row>
    <row r="3844" spans="2:18" x14ac:dyDescent="0.3">
      <c r="F3844" s="43"/>
      <c r="G3844" s="43"/>
    </row>
    <row r="3845" spans="2:18" x14ac:dyDescent="0.3">
      <c r="F3845" s="43"/>
      <c r="G3845" s="43"/>
    </row>
    <row r="3846" spans="2:18" x14ac:dyDescent="0.3">
      <c r="F3846" s="43"/>
      <c r="G3846" s="43"/>
    </row>
    <row r="3847" spans="2:18" x14ac:dyDescent="0.3">
      <c r="F3847" s="43"/>
      <c r="G3847" s="43"/>
    </row>
    <row r="3848" spans="2:18" x14ac:dyDescent="0.3">
      <c r="F3848" s="43"/>
      <c r="G3848" s="43"/>
      <c r="R3848" s="49"/>
    </row>
    <row r="3849" spans="2:18" x14ac:dyDescent="0.3">
      <c r="F3849" s="43"/>
      <c r="G3849" s="43"/>
    </row>
    <row r="3850" spans="2:18" x14ac:dyDescent="0.3">
      <c r="F3850" s="43"/>
      <c r="G3850" s="43"/>
    </row>
    <row r="3851" spans="2:18" x14ac:dyDescent="0.3">
      <c r="F3851" s="43"/>
      <c r="G3851" s="43"/>
      <c r="R3851" s="49"/>
    </row>
    <row r="3852" spans="2:18" x14ac:dyDescent="0.3">
      <c r="B3852" s="39"/>
      <c r="F3852" s="43"/>
      <c r="G3852" s="43"/>
      <c r="Q3852" s="39"/>
      <c r="R3852" s="49"/>
    </row>
    <row r="3853" spans="2:18" x14ac:dyDescent="0.3">
      <c r="B3853" s="39"/>
      <c r="F3853" s="43"/>
      <c r="G3853" s="43"/>
      <c r="Q3853" s="39"/>
      <c r="R3853" s="49"/>
    </row>
    <row r="3854" spans="2:18" x14ac:dyDescent="0.3">
      <c r="B3854" s="39"/>
      <c r="F3854" s="43"/>
      <c r="G3854" s="43"/>
      <c r="Q3854" s="39"/>
      <c r="R3854" s="49"/>
    </row>
    <row r="3855" spans="2:18" x14ac:dyDescent="0.3">
      <c r="F3855" s="43"/>
      <c r="G3855" s="43"/>
      <c r="R3855" s="49"/>
    </row>
    <row r="3856" spans="2:18" x14ac:dyDescent="0.3">
      <c r="B3856" s="39"/>
      <c r="F3856" s="43"/>
      <c r="G3856" s="43"/>
      <c r="Q3856" s="39"/>
      <c r="R3856" s="49"/>
    </row>
    <row r="3857" spans="6:18" x14ac:dyDescent="0.3">
      <c r="F3857" s="43"/>
      <c r="G3857" s="43"/>
    </row>
    <row r="3858" spans="6:18" x14ac:dyDescent="0.3">
      <c r="F3858" s="43"/>
      <c r="G3858" s="43"/>
    </row>
    <row r="3859" spans="6:18" x14ac:dyDescent="0.3">
      <c r="F3859" s="43"/>
      <c r="G3859" s="43"/>
      <c r="R3859" s="49"/>
    </row>
    <row r="3860" spans="6:18" x14ac:dyDescent="0.3">
      <c r="F3860" s="43"/>
      <c r="G3860" s="43"/>
      <c r="R3860" s="49"/>
    </row>
    <row r="3861" spans="6:18" x14ac:dyDescent="0.3">
      <c r="F3861" s="43"/>
      <c r="G3861" s="43"/>
    </row>
    <row r="3862" spans="6:18" x14ac:dyDescent="0.3">
      <c r="F3862" s="43"/>
      <c r="G3862" s="43"/>
      <c r="R3862" s="49"/>
    </row>
    <row r="3863" spans="6:18" x14ac:dyDescent="0.3">
      <c r="F3863" s="43"/>
      <c r="G3863" s="43"/>
      <c r="R3863" s="49"/>
    </row>
    <row r="3864" spans="6:18" x14ac:dyDescent="0.3">
      <c r="F3864" s="43"/>
      <c r="G3864" s="43"/>
    </row>
    <row r="3865" spans="6:18" x14ac:dyDescent="0.3">
      <c r="F3865" s="43"/>
      <c r="G3865" s="43"/>
      <c r="R3865" s="49"/>
    </row>
    <row r="3866" spans="6:18" x14ac:dyDescent="0.3">
      <c r="F3866" s="43"/>
      <c r="G3866" s="43"/>
      <c r="R3866" s="49"/>
    </row>
    <row r="3867" spans="6:18" x14ac:dyDescent="0.3">
      <c r="F3867" s="43"/>
      <c r="G3867" s="43"/>
    </row>
    <row r="3868" spans="6:18" x14ac:dyDescent="0.3">
      <c r="F3868" s="43"/>
      <c r="G3868" s="43"/>
      <c r="R3868" s="51"/>
    </row>
    <row r="3869" spans="6:18" x14ac:dyDescent="0.3">
      <c r="F3869" s="43"/>
      <c r="G3869" s="43"/>
      <c r="R3869" s="49"/>
    </row>
    <row r="3870" spans="6:18" x14ac:dyDescent="0.3">
      <c r="F3870" s="43"/>
      <c r="G3870" s="43"/>
      <c r="R3870" s="49"/>
    </row>
    <row r="3871" spans="6:18" x14ac:dyDescent="0.3">
      <c r="F3871" s="43"/>
      <c r="G3871" s="43"/>
    </row>
    <row r="3872" spans="6:18" x14ac:dyDescent="0.3">
      <c r="F3872" s="43"/>
      <c r="G3872" s="43"/>
    </row>
    <row r="3873" spans="6:18" x14ac:dyDescent="0.3">
      <c r="F3873" s="43"/>
      <c r="G3873" s="43"/>
    </row>
    <row r="3874" spans="6:18" x14ac:dyDescent="0.3">
      <c r="F3874" s="43"/>
      <c r="G3874" s="43"/>
    </row>
    <row r="3875" spans="6:18" x14ac:dyDescent="0.3">
      <c r="F3875" s="43"/>
      <c r="G3875" s="43"/>
      <c r="R3875" s="51"/>
    </row>
    <row r="3876" spans="6:18" x14ac:dyDescent="0.3">
      <c r="F3876" s="43"/>
      <c r="G3876" s="43"/>
    </row>
    <row r="3877" spans="6:18" x14ac:dyDescent="0.3">
      <c r="F3877" s="43"/>
      <c r="G3877" s="43"/>
      <c r="R3877" s="49"/>
    </row>
    <row r="3878" spans="6:18" x14ac:dyDescent="0.3">
      <c r="F3878" s="43"/>
      <c r="G3878" s="43"/>
      <c r="R3878" s="49"/>
    </row>
    <row r="3879" spans="6:18" x14ac:dyDescent="0.3">
      <c r="F3879" s="43"/>
      <c r="G3879" s="43"/>
      <c r="R3879" s="49"/>
    </row>
    <row r="3880" spans="6:18" x14ac:dyDescent="0.3">
      <c r="F3880" s="43"/>
      <c r="G3880" s="43"/>
    </row>
    <row r="3881" spans="6:18" x14ac:dyDescent="0.3">
      <c r="F3881" s="43"/>
      <c r="G3881" s="43"/>
    </row>
    <row r="3882" spans="6:18" x14ac:dyDescent="0.3">
      <c r="F3882" s="43"/>
      <c r="G3882" s="43"/>
    </row>
    <row r="3883" spans="6:18" x14ac:dyDescent="0.3">
      <c r="F3883" s="43"/>
      <c r="G3883" s="43"/>
    </row>
    <row r="3884" spans="6:18" x14ac:dyDescent="0.3">
      <c r="F3884" s="43"/>
      <c r="G3884" s="43"/>
    </row>
    <row r="3885" spans="6:18" x14ac:dyDescent="0.3">
      <c r="F3885" s="43"/>
      <c r="G3885" s="43"/>
      <c r="R3885" s="49"/>
    </row>
    <row r="3886" spans="6:18" x14ac:dyDescent="0.3">
      <c r="F3886" s="1"/>
      <c r="G3886" s="1"/>
    </row>
    <row r="3887" spans="6:18" x14ac:dyDescent="0.3">
      <c r="F3887" s="43"/>
      <c r="G3887" s="43"/>
    </row>
    <row r="3888" spans="6:18" x14ac:dyDescent="0.3">
      <c r="F3888" s="43"/>
      <c r="G3888" s="43"/>
      <c r="R3888" s="49"/>
    </row>
    <row r="3889" spans="6:18" x14ac:dyDescent="0.3">
      <c r="F3889" s="43"/>
      <c r="G3889" s="43"/>
      <c r="R3889" s="51"/>
    </row>
    <row r="3890" spans="6:18" x14ac:dyDescent="0.3">
      <c r="F3890" s="43"/>
      <c r="G3890" s="43"/>
      <c r="R3890" s="49"/>
    </row>
    <row r="3891" spans="6:18" x14ac:dyDescent="0.3">
      <c r="F3891" s="43"/>
      <c r="G3891" s="43"/>
    </row>
    <row r="3892" spans="6:18" x14ac:dyDescent="0.3">
      <c r="F3892" s="43"/>
      <c r="G3892" s="43"/>
    </row>
    <row r="3893" spans="6:18" x14ac:dyDescent="0.3">
      <c r="F3893" s="43"/>
      <c r="G3893" s="43"/>
    </row>
    <row r="3894" spans="6:18" x14ac:dyDescent="0.3">
      <c r="F3894" s="43"/>
      <c r="G3894" s="43"/>
    </row>
    <row r="3895" spans="6:18" x14ac:dyDescent="0.3">
      <c r="F3895" s="43"/>
      <c r="G3895" s="43"/>
    </row>
    <row r="3896" spans="6:18" x14ac:dyDescent="0.3">
      <c r="F3896" s="43"/>
      <c r="G3896" s="43"/>
    </row>
    <row r="3897" spans="6:18" x14ac:dyDescent="0.3">
      <c r="F3897" s="43"/>
      <c r="G3897" s="43"/>
    </row>
    <row r="3898" spans="6:18" x14ac:dyDescent="0.3">
      <c r="F3898" s="43"/>
      <c r="G3898" s="43"/>
    </row>
    <row r="3899" spans="6:18" x14ac:dyDescent="0.3">
      <c r="F3899" s="43"/>
      <c r="G3899" s="43"/>
    </row>
    <row r="3900" spans="6:18" x14ac:dyDescent="0.3">
      <c r="F3900" s="43"/>
      <c r="G3900" s="43"/>
    </row>
    <row r="3901" spans="6:18" x14ac:dyDescent="0.3">
      <c r="F3901" s="43"/>
      <c r="G3901" s="43"/>
    </row>
    <row r="3902" spans="6:18" x14ac:dyDescent="0.3">
      <c r="F3902" s="43"/>
      <c r="G3902" s="43"/>
    </row>
    <row r="3903" spans="6:18" x14ac:dyDescent="0.3">
      <c r="F3903" s="43"/>
      <c r="G3903" s="43"/>
    </row>
    <row r="3904" spans="6:18" x14ac:dyDescent="0.3">
      <c r="F3904" s="43"/>
      <c r="G3904" s="43"/>
    </row>
    <row r="3905" spans="6:7" x14ac:dyDescent="0.3">
      <c r="F3905" s="43"/>
      <c r="G3905" s="43"/>
    </row>
    <row r="3906" spans="6:7" x14ac:dyDescent="0.3">
      <c r="F3906" s="1"/>
      <c r="G3906" s="1"/>
    </row>
    <row r="3907" spans="6:7" x14ac:dyDescent="0.3">
      <c r="F3907" s="43"/>
      <c r="G3907" s="43"/>
    </row>
    <row r="3908" spans="6:7" x14ac:dyDescent="0.3">
      <c r="F3908" s="43"/>
      <c r="G3908" s="43"/>
    </row>
    <row r="3909" spans="6:7" x14ac:dyDescent="0.3">
      <c r="F3909" s="43"/>
      <c r="G3909" s="43"/>
    </row>
    <row r="3910" spans="6:7" x14ac:dyDescent="0.3">
      <c r="F3910" s="43"/>
      <c r="G3910" s="43"/>
    </row>
    <row r="3911" spans="6:7" x14ac:dyDescent="0.3">
      <c r="F3911" s="43"/>
      <c r="G3911" s="43"/>
    </row>
    <row r="3912" spans="6:7" x14ac:dyDescent="0.3">
      <c r="F3912" s="43"/>
      <c r="G3912" s="43"/>
    </row>
    <row r="3913" spans="6:7" x14ac:dyDescent="0.3">
      <c r="F3913" s="43"/>
      <c r="G3913" s="43"/>
    </row>
    <row r="3914" spans="6:7" x14ac:dyDescent="0.3">
      <c r="F3914" s="43"/>
      <c r="G3914" s="43"/>
    </row>
    <row r="3915" spans="6:7" x14ac:dyDescent="0.3">
      <c r="F3915" s="43"/>
      <c r="G3915" s="43"/>
    </row>
    <row r="3916" spans="6:7" x14ac:dyDescent="0.3">
      <c r="F3916" s="43"/>
      <c r="G3916" s="43"/>
    </row>
    <row r="3917" spans="6:7" x14ac:dyDescent="0.3">
      <c r="F3917" s="1"/>
      <c r="G3917" s="1"/>
    </row>
    <row r="3918" spans="6:7" x14ac:dyDescent="0.3">
      <c r="F3918" s="43"/>
      <c r="G3918" s="43"/>
    </row>
    <row r="3919" spans="6:7" x14ac:dyDescent="0.3">
      <c r="F3919" s="43"/>
      <c r="G3919" s="43"/>
    </row>
    <row r="3920" spans="6:7" x14ac:dyDescent="0.3">
      <c r="F3920" s="43"/>
      <c r="G3920" s="43"/>
    </row>
    <row r="3921" spans="6:7" x14ac:dyDescent="0.3">
      <c r="F3921" s="43"/>
      <c r="G3921" s="43"/>
    </row>
    <row r="3922" spans="6:7" x14ac:dyDescent="0.3">
      <c r="F3922" s="43"/>
      <c r="G3922" s="43"/>
    </row>
    <row r="3923" spans="6:7" x14ac:dyDescent="0.3">
      <c r="F3923" s="43"/>
      <c r="G3923" s="43"/>
    </row>
    <row r="3924" spans="6:7" x14ac:dyDescent="0.3">
      <c r="F3924" s="43"/>
      <c r="G3924" s="43"/>
    </row>
    <row r="3925" spans="6:7" x14ac:dyDescent="0.3">
      <c r="F3925" s="43"/>
      <c r="G3925" s="43"/>
    </row>
    <row r="3926" spans="6:7" x14ac:dyDescent="0.3">
      <c r="F3926" s="43"/>
      <c r="G3926" s="43"/>
    </row>
    <row r="3927" spans="6:7" x14ac:dyDescent="0.3">
      <c r="F3927" s="43"/>
      <c r="G3927" s="43"/>
    </row>
    <row r="3928" spans="6:7" x14ac:dyDescent="0.3">
      <c r="F3928" s="43"/>
      <c r="G3928" s="43"/>
    </row>
    <row r="3929" spans="6:7" x14ac:dyDescent="0.3">
      <c r="F3929" s="43"/>
      <c r="G3929" s="43"/>
    </row>
    <row r="3930" spans="6:7" x14ac:dyDescent="0.3">
      <c r="F3930" s="43"/>
      <c r="G3930" s="43"/>
    </row>
    <row r="3931" spans="6:7" x14ac:dyDescent="0.3">
      <c r="F3931" s="43"/>
      <c r="G3931" s="43"/>
    </row>
    <row r="3932" spans="6:7" x14ac:dyDescent="0.3">
      <c r="F3932" s="43"/>
      <c r="G3932" s="43"/>
    </row>
    <row r="3933" spans="6:7" x14ac:dyDescent="0.3">
      <c r="F3933" s="43"/>
      <c r="G3933" s="43"/>
    </row>
    <row r="3934" spans="6:7" x14ac:dyDescent="0.3">
      <c r="F3934" s="1"/>
      <c r="G3934" s="1"/>
    </row>
    <row r="3935" spans="6:7" x14ac:dyDescent="0.3">
      <c r="F3935" s="43"/>
      <c r="G3935" s="43"/>
    </row>
    <row r="3936" spans="6:7" x14ac:dyDescent="0.3">
      <c r="F3936" s="43"/>
      <c r="G3936" s="43"/>
    </row>
    <row r="3937" spans="6:7" x14ac:dyDescent="0.3">
      <c r="F3937" s="43"/>
      <c r="G3937" s="43"/>
    </row>
    <row r="3938" spans="6:7" x14ac:dyDescent="0.3">
      <c r="F3938" s="43"/>
      <c r="G3938" s="43"/>
    </row>
    <row r="3939" spans="6:7" x14ac:dyDescent="0.3">
      <c r="F3939" s="43"/>
      <c r="G3939" s="43"/>
    </row>
    <row r="3940" spans="6:7" x14ac:dyDescent="0.3">
      <c r="F3940" s="43"/>
      <c r="G3940" s="43"/>
    </row>
    <row r="3941" spans="6:7" x14ac:dyDescent="0.3">
      <c r="F3941" s="43"/>
      <c r="G3941" s="43"/>
    </row>
    <row r="3942" spans="6:7" x14ac:dyDescent="0.3">
      <c r="F3942" s="1"/>
      <c r="G3942" s="43"/>
    </row>
    <row r="3943" spans="6:7" x14ac:dyDescent="0.3">
      <c r="F3943" s="43"/>
      <c r="G3943" s="43"/>
    </row>
    <row r="3944" spans="6:7" x14ac:dyDescent="0.3">
      <c r="F3944" s="43"/>
      <c r="G3944" s="43"/>
    </row>
    <row r="3945" spans="6:7" x14ac:dyDescent="0.3">
      <c r="F3945" s="43"/>
      <c r="G3945" s="43"/>
    </row>
    <row r="3946" spans="6:7" x14ac:dyDescent="0.3">
      <c r="F3946" s="43"/>
      <c r="G3946" s="43"/>
    </row>
    <row r="3947" spans="6:7" x14ac:dyDescent="0.3">
      <c r="F3947" s="43"/>
      <c r="G3947" s="43"/>
    </row>
    <row r="3948" spans="6:7" x14ac:dyDescent="0.3">
      <c r="F3948" s="43"/>
      <c r="G3948" s="43"/>
    </row>
    <row r="3949" spans="6:7" x14ac:dyDescent="0.3">
      <c r="F3949" s="1"/>
      <c r="G3949" s="1"/>
    </row>
    <row r="3950" spans="6:7" x14ac:dyDescent="0.3">
      <c r="F3950" s="43"/>
      <c r="G3950" s="43"/>
    </row>
    <row r="3951" spans="6:7" x14ac:dyDescent="0.3">
      <c r="F3951" s="43"/>
      <c r="G3951" s="43"/>
    </row>
    <row r="3952" spans="6:7" x14ac:dyDescent="0.3">
      <c r="F3952" s="43"/>
      <c r="G3952" s="43"/>
    </row>
    <row r="3953" spans="6:18" x14ac:dyDescent="0.3">
      <c r="F3953" s="43"/>
      <c r="G3953" s="43"/>
    </row>
    <row r="3954" spans="6:18" x14ac:dyDescent="0.3">
      <c r="F3954" s="43"/>
      <c r="G3954" s="43"/>
    </row>
    <row r="3955" spans="6:18" x14ac:dyDescent="0.3">
      <c r="F3955" s="43"/>
      <c r="G3955" s="43"/>
    </row>
    <row r="3956" spans="6:18" x14ac:dyDescent="0.3">
      <c r="F3956" s="1"/>
      <c r="G3956" s="1"/>
    </row>
    <row r="3957" spans="6:18" x14ac:dyDescent="0.3">
      <c r="F3957" s="43"/>
      <c r="G3957" s="43"/>
      <c r="R3957" s="49"/>
    </row>
    <row r="3958" spans="6:18" x14ac:dyDescent="0.3">
      <c r="F3958" s="43"/>
      <c r="G3958" s="43"/>
    </row>
    <row r="3959" spans="6:18" x14ac:dyDescent="0.3">
      <c r="F3959" s="43"/>
      <c r="G3959" s="43"/>
      <c r="R3959" s="51"/>
    </row>
    <row r="3960" spans="6:18" x14ac:dyDescent="0.3">
      <c r="F3960" s="43"/>
      <c r="G3960" s="43"/>
      <c r="R3960" s="49"/>
    </row>
    <row r="3961" spans="6:18" x14ac:dyDescent="0.3">
      <c r="F3961" s="43"/>
      <c r="G3961" s="43"/>
    </row>
    <row r="3962" spans="6:18" x14ac:dyDescent="0.3">
      <c r="F3962" s="43"/>
      <c r="G3962" s="43"/>
    </row>
    <row r="3963" spans="6:18" x14ac:dyDescent="0.3">
      <c r="F3963" s="43"/>
      <c r="G3963" s="43"/>
    </row>
    <row r="3964" spans="6:18" x14ac:dyDescent="0.3">
      <c r="F3964" s="43"/>
      <c r="G3964" s="43"/>
    </row>
    <row r="3965" spans="6:18" x14ac:dyDescent="0.3">
      <c r="F3965" s="43"/>
      <c r="G3965" s="43"/>
    </row>
    <row r="3966" spans="6:18" x14ac:dyDescent="0.3">
      <c r="F3966" s="43"/>
      <c r="G3966" s="43"/>
    </row>
    <row r="3967" spans="6:18" x14ac:dyDescent="0.3">
      <c r="F3967" s="43"/>
      <c r="G3967" s="43"/>
    </row>
    <row r="3968" spans="6:18" x14ac:dyDescent="0.3">
      <c r="F3968" s="43"/>
      <c r="G3968" s="43"/>
    </row>
    <row r="3969" spans="6:7" x14ac:dyDescent="0.3">
      <c r="F3969" s="43"/>
      <c r="G3969" s="43"/>
    </row>
    <row r="3970" spans="6:7" x14ac:dyDescent="0.3">
      <c r="F3970" s="43"/>
      <c r="G3970" s="43"/>
    </row>
    <row r="3971" spans="6:7" x14ac:dyDescent="0.3">
      <c r="F3971" s="43"/>
      <c r="G3971" s="43"/>
    </row>
    <row r="3972" spans="6:7" x14ac:dyDescent="0.3">
      <c r="F3972" s="43"/>
      <c r="G3972" s="43"/>
    </row>
    <row r="3973" spans="6:7" x14ac:dyDescent="0.3">
      <c r="F3973" s="43"/>
      <c r="G3973" s="43"/>
    </row>
    <row r="3974" spans="6:7" x14ac:dyDescent="0.3">
      <c r="F3974" s="43"/>
      <c r="G3974" s="43"/>
    </row>
    <row r="3975" spans="6:7" x14ac:dyDescent="0.3">
      <c r="F3975" s="43"/>
      <c r="G3975" s="43"/>
    </row>
    <row r="3976" spans="6:7" x14ac:dyDescent="0.3">
      <c r="F3976" s="43"/>
      <c r="G3976" s="43"/>
    </row>
    <row r="3977" spans="6:7" x14ac:dyDescent="0.3">
      <c r="F3977" s="43"/>
      <c r="G3977" s="43"/>
    </row>
    <row r="3978" spans="6:7" x14ac:dyDescent="0.3">
      <c r="F3978" s="43"/>
      <c r="G3978" s="43"/>
    </row>
    <row r="3979" spans="6:7" x14ac:dyDescent="0.3">
      <c r="F3979" s="43"/>
      <c r="G3979" s="43"/>
    </row>
    <row r="3980" spans="6:7" x14ac:dyDescent="0.3">
      <c r="F3980" s="43"/>
      <c r="G3980" s="43"/>
    </row>
    <row r="3981" spans="6:7" x14ac:dyDescent="0.3">
      <c r="F3981" s="43"/>
      <c r="G3981" s="43"/>
    </row>
    <row r="3982" spans="6:7" x14ac:dyDescent="0.3">
      <c r="F3982" s="43"/>
      <c r="G3982" s="43"/>
    </row>
    <row r="3983" spans="6:7" x14ac:dyDescent="0.3">
      <c r="F3983" s="43"/>
      <c r="G3983" s="43"/>
    </row>
    <row r="3984" spans="6:7" x14ac:dyDescent="0.3">
      <c r="F3984" s="43"/>
      <c r="G3984" s="43"/>
    </row>
    <row r="3985" spans="6:7" x14ac:dyDescent="0.3">
      <c r="F3985" s="43"/>
      <c r="G3985" s="43"/>
    </row>
    <row r="3986" spans="6:7" x14ac:dyDescent="0.3">
      <c r="F3986" s="43"/>
      <c r="G3986" s="43"/>
    </row>
    <row r="3987" spans="6:7" x14ac:dyDescent="0.3">
      <c r="F3987" s="43"/>
      <c r="G3987" s="43"/>
    </row>
    <row r="3988" spans="6:7" x14ac:dyDescent="0.3">
      <c r="F3988" s="43"/>
      <c r="G3988" s="43"/>
    </row>
    <row r="3989" spans="6:7" x14ac:dyDescent="0.3">
      <c r="F3989" s="43"/>
      <c r="G3989" s="43"/>
    </row>
    <row r="3990" spans="6:7" x14ac:dyDescent="0.3">
      <c r="F3990" s="43"/>
      <c r="G3990" s="43"/>
    </row>
    <row r="3991" spans="6:7" x14ac:dyDescent="0.3">
      <c r="F3991" s="43"/>
      <c r="G3991" s="43"/>
    </row>
    <row r="3992" spans="6:7" x14ac:dyDescent="0.3">
      <c r="F3992" s="43"/>
      <c r="G3992" s="43"/>
    </row>
    <row r="3993" spans="6:7" x14ac:dyDescent="0.3">
      <c r="F3993" s="43"/>
      <c r="G3993" s="43"/>
    </row>
    <row r="3994" spans="6:7" x14ac:dyDescent="0.3">
      <c r="F3994" s="43"/>
      <c r="G3994" s="43"/>
    </row>
    <row r="3995" spans="6:7" x14ac:dyDescent="0.3">
      <c r="F3995" s="43"/>
      <c r="G3995" s="43"/>
    </row>
    <row r="3996" spans="6:7" x14ac:dyDescent="0.3">
      <c r="F3996" s="43"/>
      <c r="G3996" s="43"/>
    </row>
    <row r="3997" spans="6:7" x14ac:dyDescent="0.3">
      <c r="F3997" s="43"/>
      <c r="G3997" s="43"/>
    </row>
    <row r="3998" spans="6:7" x14ac:dyDescent="0.3">
      <c r="F3998" s="43"/>
      <c r="G3998" s="43"/>
    </row>
    <row r="3999" spans="6:7" x14ac:dyDescent="0.3">
      <c r="F3999" s="43"/>
      <c r="G3999" s="43"/>
    </row>
    <row r="4000" spans="6:7" x14ac:dyDescent="0.3">
      <c r="F4000" s="43"/>
      <c r="G4000" s="43"/>
    </row>
    <row r="4001" spans="6:7" x14ac:dyDescent="0.3">
      <c r="F4001" s="43"/>
      <c r="G4001" s="43"/>
    </row>
    <row r="4002" spans="6:7" x14ac:dyDescent="0.3">
      <c r="F4002" s="43"/>
      <c r="G4002" s="43"/>
    </row>
    <row r="4003" spans="6:7" x14ac:dyDescent="0.3">
      <c r="F4003" s="43"/>
      <c r="G4003" s="43"/>
    </row>
    <row r="4004" spans="6:7" x14ac:dyDescent="0.3">
      <c r="F4004" s="43"/>
      <c r="G4004" s="43"/>
    </row>
    <row r="4005" spans="6:7" x14ac:dyDescent="0.3">
      <c r="F4005" s="1"/>
      <c r="G4005" s="1"/>
    </row>
    <row r="4006" spans="6:7" x14ac:dyDescent="0.3">
      <c r="F4006" s="43"/>
      <c r="G4006" s="43"/>
    </row>
    <row r="4007" spans="6:7" x14ac:dyDescent="0.3">
      <c r="F4007" s="43"/>
      <c r="G4007" s="43"/>
    </row>
    <row r="4008" spans="6:7" x14ac:dyDescent="0.3">
      <c r="F4008" s="43"/>
      <c r="G4008" s="43"/>
    </row>
    <row r="4009" spans="6:7" x14ac:dyDescent="0.3">
      <c r="F4009" s="43"/>
      <c r="G4009" s="43"/>
    </row>
    <row r="4010" spans="6:7" x14ac:dyDescent="0.3">
      <c r="F4010" s="43"/>
      <c r="G4010" s="43"/>
    </row>
    <row r="4011" spans="6:7" x14ac:dyDescent="0.3">
      <c r="F4011" s="43"/>
      <c r="G4011" s="43"/>
    </row>
    <row r="4012" spans="6:7" x14ac:dyDescent="0.3">
      <c r="F4012" s="43"/>
      <c r="G4012" s="43"/>
    </row>
    <row r="4013" spans="6:7" x14ac:dyDescent="0.3">
      <c r="F4013" s="43"/>
      <c r="G4013" s="43"/>
    </row>
    <row r="4014" spans="6:7" x14ac:dyDescent="0.3">
      <c r="F4014" s="43"/>
      <c r="G4014" s="43"/>
    </row>
    <row r="4015" spans="6:7" x14ac:dyDescent="0.3">
      <c r="F4015" s="43"/>
      <c r="G4015" s="43"/>
    </row>
    <row r="4016" spans="6:7" x14ac:dyDescent="0.3">
      <c r="F4016" s="43"/>
      <c r="G4016" s="43"/>
    </row>
    <row r="4017" spans="6:7" x14ac:dyDescent="0.3">
      <c r="F4017" s="43"/>
      <c r="G4017" s="43"/>
    </row>
    <row r="4018" spans="6:7" x14ac:dyDescent="0.3">
      <c r="F4018" s="43"/>
      <c r="G4018" s="43"/>
    </row>
    <row r="4019" spans="6:7" x14ac:dyDescent="0.3">
      <c r="F4019" s="43"/>
      <c r="G4019" s="43"/>
    </row>
    <row r="4020" spans="6:7" x14ac:dyDescent="0.3">
      <c r="F4020" s="43"/>
      <c r="G4020" s="43"/>
    </row>
    <row r="4021" spans="6:7" x14ac:dyDescent="0.3">
      <c r="F4021" s="43"/>
      <c r="G4021" s="43"/>
    </row>
    <row r="4022" spans="6:7" x14ac:dyDescent="0.3">
      <c r="F4022" s="43"/>
      <c r="G4022" s="43"/>
    </row>
    <row r="4023" spans="6:7" x14ac:dyDescent="0.3">
      <c r="F4023" s="43"/>
      <c r="G4023" s="43"/>
    </row>
    <row r="4024" spans="6:7" x14ac:dyDescent="0.3">
      <c r="F4024" s="43"/>
      <c r="G4024" s="43"/>
    </row>
    <row r="4025" spans="6:7" x14ac:dyDescent="0.3">
      <c r="F4025" s="43"/>
      <c r="G4025" s="43"/>
    </row>
    <row r="4026" spans="6:7" x14ac:dyDescent="0.3">
      <c r="F4026" s="43"/>
      <c r="G4026" s="43"/>
    </row>
    <row r="4027" spans="6:7" x14ac:dyDescent="0.3">
      <c r="F4027" s="43"/>
      <c r="G4027" s="43"/>
    </row>
    <row r="4028" spans="6:7" x14ac:dyDescent="0.3">
      <c r="F4028" s="43"/>
      <c r="G4028" s="43"/>
    </row>
    <row r="4029" spans="6:7" x14ac:dyDescent="0.3">
      <c r="F4029" s="43"/>
      <c r="G4029" s="43"/>
    </row>
    <row r="4030" spans="6:7" x14ac:dyDescent="0.3">
      <c r="F4030" s="43"/>
      <c r="G4030" s="43"/>
    </row>
    <row r="4031" spans="6:7" x14ac:dyDescent="0.3">
      <c r="F4031" s="43"/>
      <c r="G4031" s="43"/>
    </row>
    <row r="4032" spans="6:7" x14ac:dyDescent="0.3">
      <c r="F4032" s="43"/>
      <c r="G4032" s="43"/>
    </row>
    <row r="4033" spans="6:7" x14ac:dyDescent="0.3">
      <c r="F4033" s="43"/>
      <c r="G4033" s="43"/>
    </row>
    <row r="4034" spans="6:7" x14ac:dyDescent="0.3">
      <c r="F4034" s="43"/>
      <c r="G4034" s="43"/>
    </row>
    <row r="4035" spans="6:7" x14ac:dyDescent="0.3">
      <c r="F4035" s="43"/>
      <c r="G4035" s="43"/>
    </row>
    <row r="4036" spans="6:7" x14ac:dyDescent="0.3">
      <c r="F4036" s="43"/>
      <c r="G4036" s="43"/>
    </row>
    <row r="4037" spans="6:7" x14ac:dyDescent="0.3">
      <c r="F4037" s="43"/>
      <c r="G4037" s="43"/>
    </row>
    <row r="4038" spans="6:7" x14ac:dyDescent="0.3">
      <c r="F4038" s="1"/>
      <c r="G4038" s="43"/>
    </row>
    <row r="4039" spans="6:7" x14ac:dyDescent="0.3">
      <c r="F4039" s="43"/>
      <c r="G4039" s="43"/>
    </row>
    <row r="4040" spans="6:7" x14ac:dyDescent="0.3">
      <c r="F4040" s="43"/>
      <c r="G4040" s="43"/>
    </row>
    <row r="4041" spans="6:7" x14ac:dyDescent="0.3">
      <c r="F4041" s="43"/>
      <c r="G4041" s="43"/>
    </row>
    <row r="4042" spans="6:7" x14ac:dyDescent="0.3">
      <c r="F4042" s="43"/>
      <c r="G4042" s="43"/>
    </row>
    <row r="4043" spans="6:7" x14ac:dyDescent="0.3">
      <c r="F4043" s="43"/>
      <c r="G4043" s="43"/>
    </row>
    <row r="4044" spans="6:7" x14ac:dyDescent="0.3">
      <c r="F4044" s="43"/>
      <c r="G4044" s="43"/>
    </row>
    <row r="4045" spans="6:7" x14ac:dyDescent="0.3">
      <c r="F4045" s="43"/>
      <c r="G4045" s="43"/>
    </row>
    <row r="4046" spans="6:7" x14ac:dyDescent="0.3">
      <c r="F4046" s="43"/>
      <c r="G4046" s="43"/>
    </row>
    <row r="4047" spans="6:7" x14ac:dyDescent="0.3">
      <c r="F4047" s="43"/>
      <c r="G4047" s="43"/>
    </row>
    <row r="4048" spans="6:7" x14ac:dyDescent="0.3">
      <c r="F4048" s="43"/>
      <c r="G4048" s="43"/>
    </row>
    <row r="4049" spans="5:7" x14ac:dyDescent="0.3">
      <c r="F4049" s="43"/>
      <c r="G4049" s="43"/>
    </row>
    <row r="4050" spans="5:7" x14ac:dyDescent="0.3">
      <c r="F4050" s="43"/>
      <c r="G4050" s="43"/>
    </row>
    <row r="4051" spans="5:7" x14ac:dyDescent="0.3">
      <c r="F4051" s="43"/>
      <c r="G4051" s="43"/>
    </row>
    <row r="4052" spans="5:7" x14ac:dyDescent="0.3">
      <c r="F4052" s="43"/>
      <c r="G4052" s="43"/>
    </row>
    <row r="4053" spans="5:7" x14ac:dyDescent="0.3">
      <c r="F4053" s="43"/>
      <c r="G4053" s="43"/>
    </row>
    <row r="4054" spans="5:7" x14ac:dyDescent="0.3">
      <c r="F4054" s="43"/>
      <c r="G4054" s="43"/>
    </row>
    <row r="4055" spans="5:7" x14ac:dyDescent="0.3">
      <c r="F4055" s="43"/>
      <c r="G4055" s="43"/>
    </row>
    <row r="4056" spans="5:7" x14ac:dyDescent="0.3">
      <c r="F4056" s="43"/>
      <c r="G4056" s="43"/>
    </row>
    <row r="4057" spans="5:7" x14ac:dyDescent="0.3">
      <c r="F4057" s="43"/>
      <c r="G4057" s="43"/>
    </row>
    <row r="4058" spans="5:7" x14ac:dyDescent="0.3">
      <c r="F4058" s="43"/>
      <c r="G4058" s="43"/>
    </row>
    <row r="4059" spans="5:7" x14ac:dyDescent="0.3">
      <c r="F4059" s="43"/>
      <c r="G4059" s="43"/>
    </row>
    <row r="4060" spans="5:7" x14ac:dyDescent="0.3">
      <c r="F4060" s="43"/>
      <c r="G4060" s="43"/>
    </row>
    <row r="4061" spans="5:7" x14ac:dyDescent="0.3">
      <c r="F4061" s="43"/>
      <c r="G4061" s="43"/>
    </row>
    <row r="4062" spans="5:7" x14ac:dyDescent="0.3">
      <c r="E4062" s="47"/>
      <c r="F4062" s="43"/>
      <c r="G4062" s="43"/>
    </row>
    <row r="4063" spans="5:7" x14ac:dyDescent="0.3">
      <c r="F4063" s="43"/>
      <c r="G4063" s="43"/>
    </row>
    <row r="4064" spans="5:7" x14ac:dyDescent="0.3">
      <c r="F4064" s="43"/>
      <c r="G4064" s="43"/>
    </row>
    <row r="4065" spans="5:7" x14ac:dyDescent="0.3">
      <c r="F4065" s="43"/>
      <c r="G4065" s="43"/>
    </row>
    <row r="4066" spans="5:7" x14ac:dyDescent="0.3">
      <c r="E4066" s="47"/>
      <c r="F4066" s="43"/>
      <c r="G4066" s="43"/>
    </row>
    <row r="4067" spans="5:7" x14ac:dyDescent="0.3">
      <c r="F4067" s="43"/>
      <c r="G4067" s="43"/>
    </row>
    <row r="4068" spans="5:7" x14ac:dyDescent="0.3">
      <c r="F4068" s="43"/>
      <c r="G4068" s="43"/>
    </row>
    <row r="4069" spans="5:7" x14ac:dyDescent="0.3">
      <c r="F4069" s="43"/>
      <c r="G4069" s="43"/>
    </row>
    <row r="4070" spans="5:7" x14ac:dyDescent="0.3">
      <c r="F4070" s="43"/>
      <c r="G4070" s="43"/>
    </row>
    <row r="4071" spans="5:7" x14ac:dyDescent="0.3">
      <c r="E4071" s="47"/>
      <c r="F4071" s="43"/>
      <c r="G4071" s="43"/>
    </row>
    <row r="4072" spans="5:7" x14ac:dyDescent="0.3">
      <c r="F4072" s="43"/>
      <c r="G4072" s="43"/>
    </row>
    <row r="4073" spans="5:7" x14ac:dyDescent="0.3">
      <c r="F4073" s="43"/>
      <c r="G4073" s="43"/>
    </row>
    <row r="4074" spans="5:7" x14ac:dyDescent="0.3">
      <c r="F4074" s="43"/>
      <c r="G4074" s="43"/>
    </row>
    <row r="4075" spans="5:7" x14ac:dyDescent="0.3">
      <c r="F4075" s="43"/>
      <c r="G4075" s="43"/>
    </row>
    <row r="4076" spans="5:7" x14ac:dyDescent="0.3">
      <c r="F4076" s="43"/>
      <c r="G4076" s="43"/>
    </row>
    <row r="4077" spans="5:7" x14ac:dyDescent="0.3">
      <c r="F4077" s="43"/>
      <c r="G4077" s="43"/>
    </row>
    <row r="4078" spans="5:7" x14ac:dyDescent="0.3">
      <c r="F4078" s="43"/>
      <c r="G4078" s="43"/>
    </row>
    <row r="4079" spans="5:7" x14ac:dyDescent="0.3">
      <c r="F4079" s="43"/>
      <c r="G4079" s="43"/>
    </row>
    <row r="4080" spans="5:7" x14ac:dyDescent="0.3">
      <c r="F4080" s="43"/>
      <c r="G4080" s="43"/>
    </row>
    <row r="4081" spans="2:18" x14ac:dyDescent="0.3">
      <c r="F4081" s="43"/>
      <c r="G4081" s="43"/>
    </row>
    <row r="4082" spans="2:18" x14ac:dyDescent="0.3">
      <c r="F4082" s="43"/>
      <c r="G4082" s="43"/>
    </row>
    <row r="4083" spans="2:18" x14ac:dyDescent="0.3">
      <c r="F4083" s="43"/>
      <c r="G4083" s="43"/>
    </row>
    <row r="4084" spans="2:18" x14ac:dyDescent="0.3">
      <c r="B4084" s="39"/>
      <c r="F4084" s="43"/>
      <c r="G4084" s="43"/>
      <c r="Q4084" s="39"/>
      <c r="R4084" s="49"/>
    </row>
    <row r="4085" spans="2:18" x14ac:dyDescent="0.3">
      <c r="F4085" s="43"/>
      <c r="G4085" s="43"/>
      <c r="R4085" s="49"/>
    </row>
    <row r="4086" spans="2:18" x14ac:dyDescent="0.3">
      <c r="F4086" s="43"/>
      <c r="G4086" s="43"/>
    </row>
    <row r="4087" spans="2:18" x14ac:dyDescent="0.3">
      <c r="F4087" s="1"/>
      <c r="G4087" s="1"/>
    </row>
    <row r="4088" spans="2:18" x14ac:dyDescent="0.3">
      <c r="B4088" s="39"/>
      <c r="F4088" s="43"/>
      <c r="G4088" s="43"/>
      <c r="Q4088" s="39"/>
      <c r="R4088" s="49"/>
    </row>
    <row r="4089" spans="2:18" x14ac:dyDescent="0.3">
      <c r="B4089" s="39"/>
      <c r="F4089" s="43"/>
      <c r="G4089" s="43"/>
      <c r="Q4089" s="39"/>
      <c r="R4089" s="49"/>
    </row>
    <row r="4090" spans="2:18" x14ac:dyDescent="0.3">
      <c r="F4090" s="43"/>
      <c r="G4090" s="43"/>
    </row>
    <row r="4091" spans="2:18" x14ac:dyDescent="0.3">
      <c r="B4091" s="39"/>
      <c r="F4091" s="43"/>
      <c r="G4091" s="43"/>
      <c r="Q4091" s="39"/>
      <c r="R4091" s="49"/>
    </row>
    <row r="4092" spans="2:18" x14ac:dyDescent="0.3">
      <c r="F4092" s="43"/>
      <c r="G4092" s="43"/>
    </row>
    <row r="4093" spans="2:18" x14ac:dyDescent="0.3">
      <c r="F4093" s="43"/>
      <c r="G4093" s="43"/>
    </row>
    <row r="4094" spans="2:18" x14ac:dyDescent="0.3">
      <c r="B4094" s="39"/>
      <c r="F4094" s="43"/>
      <c r="G4094" s="43"/>
      <c r="Q4094" s="39"/>
      <c r="R4094" s="49"/>
    </row>
    <row r="4095" spans="2:18" x14ac:dyDescent="0.3">
      <c r="F4095" s="43"/>
      <c r="G4095" s="43"/>
    </row>
    <row r="4096" spans="2:18" x14ac:dyDescent="0.3">
      <c r="F4096" s="43"/>
      <c r="G4096" s="43"/>
    </row>
    <row r="4097" spans="2:18" x14ac:dyDescent="0.3">
      <c r="F4097" s="43"/>
      <c r="G4097" s="43"/>
    </row>
    <row r="4098" spans="2:18" x14ac:dyDescent="0.3">
      <c r="F4098" s="43"/>
      <c r="G4098" s="43"/>
    </row>
    <row r="4099" spans="2:18" x14ac:dyDescent="0.3">
      <c r="B4099" s="39"/>
      <c r="F4099" s="43"/>
      <c r="G4099" s="43"/>
      <c r="Q4099" s="39"/>
    </row>
    <row r="4100" spans="2:18" x14ac:dyDescent="0.3">
      <c r="F4100" s="43"/>
      <c r="G4100" s="43"/>
      <c r="R4100" s="49"/>
    </row>
    <row r="4101" spans="2:18" x14ac:dyDescent="0.3">
      <c r="B4101" s="39"/>
      <c r="F4101" s="43"/>
      <c r="G4101" s="43"/>
      <c r="Q4101" s="39"/>
      <c r="R4101" s="49"/>
    </row>
    <row r="4102" spans="2:18" x14ac:dyDescent="0.3">
      <c r="F4102" s="43"/>
      <c r="G4102" s="43"/>
      <c r="R4102" s="49"/>
    </row>
    <row r="4103" spans="2:18" x14ac:dyDescent="0.3">
      <c r="F4103" s="43"/>
      <c r="G4103" s="43"/>
    </row>
    <row r="4104" spans="2:18" x14ac:dyDescent="0.3">
      <c r="F4104" s="43"/>
      <c r="G4104" s="43"/>
    </row>
    <row r="4105" spans="2:18" x14ac:dyDescent="0.3">
      <c r="F4105" s="43"/>
      <c r="G4105" s="43"/>
    </row>
    <row r="4106" spans="2:18" x14ac:dyDescent="0.3">
      <c r="F4106" s="43"/>
      <c r="G4106" s="43"/>
    </row>
    <row r="4107" spans="2:18" x14ac:dyDescent="0.3">
      <c r="F4107" s="43"/>
      <c r="G4107" s="43"/>
    </row>
    <row r="4108" spans="2:18" x14ac:dyDescent="0.3">
      <c r="F4108" s="43"/>
      <c r="G4108" s="43"/>
    </row>
    <row r="4109" spans="2:18" x14ac:dyDescent="0.3">
      <c r="F4109" s="43"/>
      <c r="G4109" s="43"/>
    </row>
    <row r="4110" spans="2:18" x14ac:dyDescent="0.3">
      <c r="B4110" s="39"/>
      <c r="F4110" s="43"/>
      <c r="G4110" s="43"/>
      <c r="Q4110" s="39"/>
    </row>
    <row r="4111" spans="2:18" x14ac:dyDescent="0.3">
      <c r="F4111" s="43"/>
      <c r="G4111" s="43"/>
    </row>
    <row r="4112" spans="2:18" x14ac:dyDescent="0.3">
      <c r="F4112" s="43"/>
      <c r="G4112" s="43"/>
    </row>
    <row r="4113" spans="2:18" x14ac:dyDescent="0.3">
      <c r="F4113" s="43"/>
      <c r="G4113" s="43"/>
    </row>
    <row r="4114" spans="2:18" x14ac:dyDescent="0.3">
      <c r="B4114" s="39"/>
      <c r="F4114" s="43"/>
      <c r="G4114" s="43"/>
      <c r="Q4114" s="39"/>
      <c r="R4114" s="49"/>
    </row>
    <row r="4115" spans="2:18" x14ac:dyDescent="0.3">
      <c r="F4115" s="43"/>
      <c r="G4115" s="43"/>
    </row>
    <row r="4116" spans="2:18" x14ac:dyDescent="0.3">
      <c r="B4116" s="39"/>
      <c r="F4116" s="43"/>
      <c r="G4116" s="43"/>
      <c r="Q4116" s="39"/>
      <c r="R4116" s="49"/>
    </row>
    <row r="4117" spans="2:18" x14ac:dyDescent="0.3">
      <c r="B4117" s="39"/>
      <c r="F4117" s="43"/>
      <c r="G4117" s="43"/>
      <c r="Q4117" s="39"/>
      <c r="R4117" s="49"/>
    </row>
    <row r="4118" spans="2:18" x14ac:dyDescent="0.3">
      <c r="F4118" s="43"/>
      <c r="G4118" s="43"/>
    </row>
    <row r="4119" spans="2:18" x14ac:dyDescent="0.3">
      <c r="F4119" s="43"/>
      <c r="G4119" s="43"/>
    </row>
    <row r="4120" spans="2:18" x14ac:dyDescent="0.3">
      <c r="F4120" s="43"/>
      <c r="G4120" s="43"/>
    </row>
    <row r="4121" spans="2:18" x14ac:dyDescent="0.3">
      <c r="F4121" s="43"/>
      <c r="G4121" s="43"/>
    </row>
    <row r="4122" spans="2:18" x14ac:dyDescent="0.3">
      <c r="F4122" s="43"/>
      <c r="G4122" s="43"/>
    </row>
    <row r="4123" spans="2:18" x14ac:dyDescent="0.3">
      <c r="F4123" s="43"/>
      <c r="G4123" s="43"/>
    </row>
    <row r="4124" spans="2:18" x14ac:dyDescent="0.3">
      <c r="F4124" s="43"/>
      <c r="G4124" s="43"/>
    </row>
    <row r="4125" spans="2:18" x14ac:dyDescent="0.3">
      <c r="F4125" s="43"/>
      <c r="G4125" s="43"/>
    </row>
    <row r="4126" spans="2:18" x14ac:dyDescent="0.3">
      <c r="F4126" s="43"/>
      <c r="G4126" s="43"/>
    </row>
    <row r="4127" spans="2:18" x14ac:dyDescent="0.3">
      <c r="F4127" s="43"/>
      <c r="G4127" s="43"/>
    </row>
    <row r="4128" spans="2:18" x14ac:dyDescent="0.3">
      <c r="F4128" s="43"/>
      <c r="G4128" s="43"/>
    </row>
    <row r="4129" spans="6:7" x14ac:dyDescent="0.3">
      <c r="F4129" s="43"/>
      <c r="G4129" s="43"/>
    </row>
    <row r="4130" spans="6:7" x14ac:dyDescent="0.3">
      <c r="F4130" s="43"/>
      <c r="G4130" s="43"/>
    </row>
    <row r="4131" spans="6:7" x14ac:dyDescent="0.3">
      <c r="F4131" s="43"/>
      <c r="G4131" s="43"/>
    </row>
    <row r="4132" spans="6:7" x14ac:dyDescent="0.3">
      <c r="F4132" s="43"/>
      <c r="G4132" s="43"/>
    </row>
    <row r="4133" spans="6:7" x14ac:dyDescent="0.3">
      <c r="F4133" s="43"/>
      <c r="G4133" s="43"/>
    </row>
    <row r="4134" spans="6:7" x14ac:dyDescent="0.3">
      <c r="F4134" s="43"/>
      <c r="G4134" s="43"/>
    </row>
    <row r="4135" spans="6:7" x14ac:dyDescent="0.3">
      <c r="F4135" s="43"/>
      <c r="G4135" s="43"/>
    </row>
    <row r="4136" spans="6:7" x14ac:dyDescent="0.3">
      <c r="F4136" s="43"/>
      <c r="G4136" s="43"/>
    </row>
    <row r="4137" spans="6:7" x14ac:dyDescent="0.3">
      <c r="F4137" s="43"/>
      <c r="G4137" s="43"/>
    </row>
    <row r="4138" spans="6:7" x14ac:dyDescent="0.3">
      <c r="F4138" s="43"/>
      <c r="G4138" s="43"/>
    </row>
    <row r="4139" spans="6:7" x14ac:dyDescent="0.3">
      <c r="F4139" s="43"/>
      <c r="G4139" s="43"/>
    </row>
    <row r="4140" spans="6:7" x14ac:dyDescent="0.3">
      <c r="F4140" s="43"/>
      <c r="G4140" s="43"/>
    </row>
    <row r="4141" spans="6:7" x14ac:dyDescent="0.3">
      <c r="F4141" s="43"/>
      <c r="G4141" s="43"/>
    </row>
    <row r="4142" spans="6:7" x14ac:dyDescent="0.3">
      <c r="F4142" s="43"/>
      <c r="G4142" s="43"/>
    </row>
    <row r="4143" spans="6:7" x14ac:dyDescent="0.3">
      <c r="F4143" s="43"/>
      <c r="G4143" s="43"/>
    </row>
    <row r="4144" spans="6:7" x14ac:dyDescent="0.3">
      <c r="F4144" s="1"/>
      <c r="G4144" s="1"/>
    </row>
    <row r="4145" spans="6:7" x14ac:dyDescent="0.3">
      <c r="F4145" s="43"/>
      <c r="G4145" s="43"/>
    </row>
    <row r="4146" spans="6:7" x14ac:dyDescent="0.3">
      <c r="F4146" s="43"/>
      <c r="G4146" s="43"/>
    </row>
    <row r="4147" spans="6:7" x14ac:dyDescent="0.3">
      <c r="F4147" s="43"/>
      <c r="G4147" s="43"/>
    </row>
    <row r="4148" spans="6:7" x14ac:dyDescent="0.3">
      <c r="F4148" s="43"/>
      <c r="G4148" s="43"/>
    </row>
    <row r="4149" spans="6:7" x14ac:dyDescent="0.3">
      <c r="F4149" s="43"/>
      <c r="G4149" s="43"/>
    </row>
    <row r="4150" spans="6:7" x14ac:dyDescent="0.3">
      <c r="F4150" s="43"/>
      <c r="G4150" s="43"/>
    </row>
    <row r="4151" spans="6:7" x14ac:dyDescent="0.3">
      <c r="F4151" s="43"/>
      <c r="G4151" s="43"/>
    </row>
    <row r="4152" spans="6:7" x14ac:dyDescent="0.3">
      <c r="F4152" s="43"/>
      <c r="G4152" s="43"/>
    </row>
    <row r="4153" spans="6:7" x14ac:dyDescent="0.3">
      <c r="F4153" s="43"/>
      <c r="G4153" s="43"/>
    </row>
    <row r="4154" spans="6:7" x14ac:dyDescent="0.3">
      <c r="F4154" s="43"/>
      <c r="G4154" s="43"/>
    </row>
    <row r="4155" spans="6:7" x14ac:dyDescent="0.3">
      <c r="F4155" s="43"/>
      <c r="G4155" s="43"/>
    </row>
    <row r="4156" spans="6:7" x14ac:dyDescent="0.3">
      <c r="F4156" s="43"/>
      <c r="G4156" s="43"/>
    </row>
    <row r="4157" spans="6:7" x14ac:dyDescent="0.3">
      <c r="F4157" s="43"/>
      <c r="G4157" s="43"/>
    </row>
    <row r="4158" spans="6:7" x14ac:dyDescent="0.3">
      <c r="F4158" s="43"/>
      <c r="G4158" s="43"/>
    </row>
    <row r="4159" spans="6:7" x14ac:dyDescent="0.3">
      <c r="F4159" s="43"/>
      <c r="G4159" s="43"/>
    </row>
    <row r="4160" spans="6:7" x14ac:dyDescent="0.3">
      <c r="F4160" s="43"/>
      <c r="G4160" s="43"/>
    </row>
    <row r="4161" spans="6:7" x14ac:dyDescent="0.3">
      <c r="F4161" s="43"/>
      <c r="G4161" s="43"/>
    </row>
    <row r="4162" spans="6:7" x14ac:dyDescent="0.3">
      <c r="F4162" s="1"/>
      <c r="G4162" s="1"/>
    </row>
    <row r="4163" spans="6:7" x14ac:dyDescent="0.3">
      <c r="F4163" s="43"/>
      <c r="G4163" s="43"/>
    </row>
    <row r="4164" spans="6:7" x14ac:dyDescent="0.3">
      <c r="F4164" s="43"/>
      <c r="G4164" s="43"/>
    </row>
    <row r="4165" spans="6:7" x14ac:dyDescent="0.3">
      <c r="F4165" s="43"/>
      <c r="G4165" s="43"/>
    </row>
    <row r="4166" spans="6:7" x14ac:dyDescent="0.3">
      <c r="F4166" s="43"/>
      <c r="G4166" s="43"/>
    </row>
    <row r="4167" spans="6:7" x14ac:dyDescent="0.3">
      <c r="F4167" s="1"/>
      <c r="G4167" s="1"/>
    </row>
    <row r="4168" spans="6:7" x14ac:dyDescent="0.3">
      <c r="F4168" s="43"/>
      <c r="G4168" s="43"/>
    </row>
    <row r="4169" spans="6:7" x14ac:dyDescent="0.3">
      <c r="F4169" s="43"/>
      <c r="G4169" s="43"/>
    </row>
    <row r="4170" spans="6:7" x14ac:dyDescent="0.3">
      <c r="F4170" s="43"/>
      <c r="G4170" s="43"/>
    </row>
    <row r="4171" spans="6:7" x14ac:dyDescent="0.3">
      <c r="F4171" s="43"/>
      <c r="G4171" s="43"/>
    </row>
    <row r="4172" spans="6:7" x14ac:dyDescent="0.3">
      <c r="F4172" s="1"/>
      <c r="G4172" s="1"/>
    </row>
    <row r="4173" spans="6:7" x14ac:dyDescent="0.3">
      <c r="F4173" s="43"/>
      <c r="G4173" s="43"/>
    </row>
    <row r="4174" spans="6:7" x14ac:dyDescent="0.3">
      <c r="F4174" s="43"/>
      <c r="G4174" s="43"/>
    </row>
    <row r="4175" spans="6:7" x14ac:dyDescent="0.3">
      <c r="F4175" s="43"/>
      <c r="G4175" s="43"/>
    </row>
    <row r="4176" spans="6:7" x14ac:dyDescent="0.3">
      <c r="F4176" s="43"/>
      <c r="G4176" s="43"/>
    </row>
    <row r="4177" spans="6:18" x14ac:dyDescent="0.3">
      <c r="F4177" s="43"/>
      <c r="G4177" s="43"/>
    </row>
    <row r="4178" spans="6:18" x14ac:dyDescent="0.3">
      <c r="F4178" s="43"/>
      <c r="G4178" s="43"/>
    </row>
    <row r="4179" spans="6:18" x14ac:dyDescent="0.3">
      <c r="F4179" s="43"/>
      <c r="G4179" s="43"/>
    </row>
    <row r="4180" spans="6:18" x14ac:dyDescent="0.3">
      <c r="F4180" s="43"/>
      <c r="G4180" s="43"/>
    </row>
    <row r="4181" spans="6:18" x14ac:dyDescent="0.3">
      <c r="F4181" s="43"/>
      <c r="G4181" s="43"/>
      <c r="R4181" s="50"/>
    </row>
    <row r="4182" spans="6:18" x14ac:dyDescent="0.3">
      <c r="F4182" s="43"/>
      <c r="G4182" s="43"/>
    </row>
    <row r="4183" spans="6:18" x14ac:dyDescent="0.3">
      <c r="F4183" s="43"/>
      <c r="G4183" s="43"/>
    </row>
    <row r="4184" spans="6:18" x14ac:dyDescent="0.3">
      <c r="F4184" s="43"/>
      <c r="G4184" s="43"/>
    </row>
    <row r="4185" spans="6:18" x14ac:dyDescent="0.3">
      <c r="F4185" s="43"/>
      <c r="G4185" s="43"/>
    </row>
    <row r="4186" spans="6:18" x14ac:dyDescent="0.3">
      <c r="F4186" s="43"/>
      <c r="G4186" s="43"/>
    </row>
    <row r="4187" spans="6:18" x14ac:dyDescent="0.3">
      <c r="F4187" s="43"/>
      <c r="G4187" s="43"/>
    </row>
    <row r="4188" spans="6:18" x14ac:dyDescent="0.3">
      <c r="F4188" s="43"/>
      <c r="G4188" s="43"/>
    </row>
    <row r="4189" spans="6:18" x14ac:dyDescent="0.3">
      <c r="F4189" s="43"/>
      <c r="G4189" s="43"/>
    </row>
    <row r="4190" spans="6:18" x14ac:dyDescent="0.3">
      <c r="F4190" s="1"/>
      <c r="G4190" s="1"/>
    </row>
    <row r="4191" spans="6:18" x14ac:dyDescent="0.3">
      <c r="F4191" s="43"/>
      <c r="G4191" s="43"/>
    </row>
    <row r="4192" spans="6:18" x14ac:dyDescent="0.3">
      <c r="F4192" s="43"/>
      <c r="G4192" s="43"/>
    </row>
    <row r="4193" spans="6:7" x14ac:dyDescent="0.3">
      <c r="F4193" s="43"/>
      <c r="G4193" s="43"/>
    </row>
    <row r="4194" spans="6:7" x14ac:dyDescent="0.3">
      <c r="F4194" s="43"/>
      <c r="G4194" s="43"/>
    </row>
    <row r="4195" spans="6:7" x14ac:dyDescent="0.3">
      <c r="F4195" s="43"/>
      <c r="G4195" s="43"/>
    </row>
    <row r="4196" spans="6:7" x14ac:dyDescent="0.3">
      <c r="F4196" s="43"/>
      <c r="G4196" s="43"/>
    </row>
    <row r="4197" spans="6:7" x14ac:dyDescent="0.3">
      <c r="F4197" s="43"/>
      <c r="G4197" s="43"/>
    </row>
    <row r="4198" spans="6:7" x14ac:dyDescent="0.3">
      <c r="F4198" s="43"/>
      <c r="G4198" s="43"/>
    </row>
    <row r="4199" spans="6:7" x14ac:dyDescent="0.3">
      <c r="F4199" s="43"/>
      <c r="G4199" s="43"/>
    </row>
    <row r="4200" spans="6:7" x14ac:dyDescent="0.3">
      <c r="F4200" s="43"/>
      <c r="G4200" s="43"/>
    </row>
    <row r="4201" spans="6:7" x14ac:dyDescent="0.3">
      <c r="F4201" s="43"/>
      <c r="G4201" s="43"/>
    </row>
    <row r="4202" spans="6:7" x14ac:dyDescent="0.3">
      <c r="F4202" s="43"/>
      <c r="G4202" s="43"/>
    </row>
    <row r="4203" spans="6:7" x14ac:dyDescent="0.3">
      <c r="F4203" s="43"/>
      <c r="G4203" s="43"/>
    </row>
    <row r="4204" spans="6:7" x14ac:dyDescent="0.3">
      <c r="F4204" s="43"/>
      <c r="G4204" s="43"/>
    </row>
    <row r="4205" spans="6:7" x14ac:dyDescent="0.3">
      <c r="F4205" s="43"/>
      <c r="G4205" s="43"/>
    </row>
    <row r="4206" spans="6:7" x14ac:dyDescent="0.3">
      <c r="F4206" s="43"/>
      <c r="G4206" s="43"/>
    </row>
    <row r="4207" spans="6:7" x14ac:dyDescent="0.3">
      <c r="F4207" s="43"/>
      <c r="G4207" s="43"/>
    </row>
    <row r="4208" spans="6:7" x14ac:dyDescent="0.3">
      <c r="F4208" s="43"/>
      <c r="G4208" s="43"/>
    </row>
    <row r="4209" spans="6:7" x14ac:dyDescent="0.3">
      <c r="F4209" s="43"/>
      <c r="G4209" s="43"/>
    </row>
    <row r="4210" spans="6:7" x14ac:dyDescent="0.3">
      <c r="F4210" s="43"/>
      <c r="G4210" s="43"/>
    </row>
    <row r="4211" spans="6:7" x14ac:dyDescent="0.3">
      <c r="F4211" s="43"/>
      <c r="G4211" s="43"/>
    </row>
    <row r="4212" spans="6:7" x14ac:dyDescent="0.3">
      <c r="F4212" s="43"/>
      <c r="G4212" s="43"/>
    </row>
    <row r="4213" spans="6:7" x14ac:dyDescent="0.3">
      <c r="F4213" s="43"/>
      <c r="G4213" s="43"/>
    </row>
    <row r="4214" spans="6:7" x14ac:dyDescent="0.3">
      <c r="F4214" s="43"/>
      <c r="G4214" s="43"/>
    </row>
    <row r="4215" spans="6:7" x14ac:dyDescent="0.3">
      <c r="F4215" s="43"/>
      <c r="G4215" s="43"/>
    </row>
    <row r="4216" spans="6:7" x14ac:dyDescent="0.3">
      <c r="F4216" s="43"/>
      <c r="G4216" s="43"/>
    </row>
    <row r="4217" spans="6:7" x14ac:dyDescent="0.3">
      <c r="F4217" s="43"/>
      <c r="G4217" s="43"/>
    </row>
    <row r="4218" spans="6:7" x14ac:dyDescent="0.3">
      <c r="F4218" s="43"/>
      <c r="G4218" s="43"/>
    </row>
    <row r="4219" spans="6:7" x14ac:dyDescent="0.3">
      <c r="F4219" s="43"/>
      <c r="G4219" s="43"/>
    </row>
    <row r="4220" spans="6:7" x14ac:dyDescent="0.3">
      <c r="F4220" s="43"/>
      <c r="G4220" s="43"/>
    </row>
    <row r="4221" spans="6:7" x14ac:dyDescent="0.3">
      <c r="F4221" s="43"/>
      <c r="G4221" s="43"/>
    </row>
    <row r="4222" spans="6:7" x14ac:dyDescent="0.3">
      <c r="F4222" s="43"/>
      <c r="G4222" s="43"/>
    </row>
    <row r="4223" spans="6:7" x14ac:dyDescent="0.3">
      <c r="F4223" s="43"/>
      <c r="G4223" s="43"/>
    </row>
    <row r="4224" spans="6:7" x14ac:dyDescent="0.3">
      <c r="F4224" s="43"/>
      <c r="G4224" s="43"/>
    </row>
    <row r="4225" spans="6:7" x14ac:dyDescent="0.3">
      <c r="F4225" s="43"/>
      <c r="G4225" s="43"/>
    </row>
    <row r="4226" spans="6:7" x14ac:dyDescent="0.3">
      <c r="F4226" s="43"/>
      <c r="G4226" s="43"/>
    </row>
    <row r="4227" spans="6:7" x14ac:dyDescent="0.3">
      <c r="F4227" s="43"/>
      <c r="G4227" s="43"/>
    </row>
    <row r="4228" spans="6:7" x14ac:dyDescent="0.3">
      <c r="F4228" s="43"/>
      <c r="G4228" s="43"/>
    </row>
    <row r="4229" spans="6:7" x14ac:dyDescent="0.3">
      <c r="F4229" s="43"/>
      <c r="G4229" s="43"/>
    </row>
    <row r="4230" spans="6:7" x14ac:dyDescent="0.3">
      <c r="F4230" s="43"/>
      <c r="G4230" s="43"/>
    </row>
    <row r="4231" spans="6:7" x14ac:dyDescent="0.3">
      <c r="F4231" s="43"/>
      <c r="G4231" s="43"/>
    </row>
    <row r="4232" spans="6:7" x14ac:dyDescent="0.3">
      <c r="F4232" s="43"/>
      <c r="G4232" s="43"/>
    </row>
    <row r="4233" spans="6:7" x14ac:dyDescent="0.3">
      <c r="F4233" s="43"/>
      <c r="G4233" s="43"/>
    </row>
    <row r="4234" spans="6:7" x14ac:dyDescent="0.3">
      <c r="F4234" s="43"/>
      <c r="G4234" s="43"/>
    </row>
    <row r="4235" spans="6:7" x14ac:dyDescent="0.3">
      <c r="F4235" s="43"/>
      <c r="G4235" s="43"/>
    </row>
    <row r="4236" spans="6:7" x14ac:dyDescent="0.3">
      <c r="F4236" s="43"/>
      <c r="G4236" s="43"/>
    </row>
    <row r="4237" spans="6:7" x14ac:dyDescent="0.3">
      <c r="F4237" s="43"/>
      <c r="G4237" s="43"/>
    </row>
    <row r="4238" spans="6:7" x14ac:dyDescent="0.3">
      <c r="F4238" s="43"/>
      <c r="G4238" s="43"/>
    </row>
    <row r="4239" spans="6:7" x14ac:dyDescent="0.3">
      <c r="F4239" s="43"/>
      <c r="G4239" s="43"/>
    </row>
    <row r="4240" spans="6:7" x14ac:dyDescent="0.3">
      <c r="F4240" s="43"/>
      <c r="G4240" s="43"/>
    </row>
    <row r="4241" spans="6:7" x14ac:dyDescent="0.3">
      <c r="F4241" s="43"/>
      <c r="G4241" s="43"/>
    </row>
    <row r="4242" spans="6:7" x14ac:dyDescent="0.3">
      <c r="F4242" s="43"/>
      <c r="G4242" s="43"/>
    </row>
    <row r="4243" spans="6:7" x14ac:dyDescent="0.3">
      <c r="F4243" s="43"/>
      <c r="G4243" s="43"/>
    </row>
    <row r="4244" spans="6:7" x14ac:dyDescent="0.3">
      <c r="F4244" s="43"/>
      <c r="G4244" s="43"/>
    </row>
    <row r="4245" spans="6:7" x14ac:dyDescent="0.3">
      <c r="F4245" s="43"/>
      <c r="G4245" s="43"/>
    </row>
    <row r="4246" spans="6:7" x14ac:dyDescent="0.3">
      <c r="F4246" s="43"/>
      <c r="G4246" s="43"/>
    </row>
    <row r="4247" spans="6:7" x14ac:dyDescent="0.3">
      <c r="F4247" s="43"/>
      <c r="G4247" s="43"/>
    </row>
    <row r="4248" spans="6:7" x14ac:dyDescent="0.3">
      <c r="F4248" s="43"/>
      <c r="G4248" s="43"/>
    </row>
    <row r="4249" spans="6:7" x14ac:dyDescent="0.3">
      <c r="F4249" s="43"/>
      <c r="G4249" s="43"/>
    </row>
    <row r="4250" spans="6:7" x14ac:dyDescent="0.3">
      <c r="F4250" s="43"/>
      <c r="G4250" s="43"/>
    </row>
    <row r="4251" spans="6:7" x14ac:dyDescent="0.3">
      <c r="F4251" s="43"/>
      <c r="G4251" s="43"/>
    </row>
    <row r="4252" spans="6:7" x14ac:dyDescent="0.3">
      <c r="F4252" s="43"/>
      <c r="G4252" s="43"/>
    </row>
    <row r="4253" spans="6:7" x14ac:dyDescent="0.3">
      <c r="F4253" s="43"/>
      <c r="G4253" s="43"/>
    </row>
    <row r="4254" spans="6:7" x14ac:dyDescent="0.3">
      <c r="F4254" s="43"/>
      <c r="G4254" s="43"/>
    </row>
    <row r="4255" spans="6:7" x14ac:dyDescent="0.3">
      <c r="F4255" s="43"/>
      <c r="G4255" s="43"/>
    </row>
    <row r="4256" spans="6:7" x14ac:dyDescent="0.3">
      <c r="F4256" s="43"/>
      <c r="G4256" s="43"/>
    </row>
    <row r="4257" spans="6:7" x14ac:dyDescent="0.3">
      <c r="F4257" s="43"/>
      <c r="G4257" s="43"/>
    </row>
    <row r="4258" spans="6:7" x14ac:dyDescent="0.3">
      <c r="F4258" s="43"/>
      <c r="G4258" s="43"/>
    </row>
    <row r="4259" spans="6:7" x14ac:dyDescent="0.3">
      <c r="F4259" s="43"/>
      <c r="G4259" s="43"/>
    </row>
    <row r="4260" spans="6:7" x14ac:dyDescent="0.3">
      <c r="F4260" s="43"/>
      <c r="G4260" s="43"/>
    </row>
    <row r="4261" spans="6:7" x14ac:dyDescent="0.3">
      <c r="F4261" s="43"/>
      <c r="G4261" s="43"/>
    </row>
    <row r="4262" spans="6:7" x14ac:dyDescent="0.3">
      <c r="F4262" s="43"/>
      <c r="G4262" s="43"/>
    </row>
    <row r="4263" spans="6:7" x14ac:dyDescent="0.3">
      <c r="F4263" s="43"/>
      <c r="G4263" s="43"/>
    </row>
    <row r="4264" spans="6:7" x14ac:dyDescent="0.3">
      <c r="F4264" s="43"/>
      <c r="G4264" s="43"/>
    </row>
    <row r="4265" spans="6:7" x14ac:dyDescent="0.3">
      <c r="F4265" s="43"/>
      <c r="G4265" s="43"/>
    </row>
    <row r="4266" spans="6:7" x14ac:dyDescent="0.3">
      <c r="F4266" s="43"/>
      <c r="G4266" s="43"/>
    </row>
    <row r="4267" spans="6:7" x14ac:dyDescent="0.3">
      <c r="F4267" s="43"/>
      <c r="G4267" s="43"/>
    </row>
    <row r="4268" spans="6:7" x14ac:dyDescent="0.3">
      <c r="F4268" s="43"/>
      <c r="G4268" s="43"/>
    </row>
    <row r="4269" spans="6:7" x14ac:dyDescent="0.3">
      <c r="F4269" s="43"/>
      <c r="G4269" s="43"/>
    </row>
    <row r="4270" spans="6:7" x14ac:dyDescent="0.3">
      <c r="F4270" s="43"/>
      <c r="G4270" s="43"/>
    </row>
    <row r="4271" spans="6:7" x14ac:dyDescent="0.3">
      <c r="F4271" s="43"/>
      <c r="G4271" s="43"/>
    </row>
    <row r="4272" spans="6:7" x14ac:dyDescent="0.3">
      <c r="F4272" s="43"/>
      <c r="G4272" s="43"/>
    </row>
    <row r="4273" spans="6:7" x14ac:dyDescent="0.3">
      <c r="F4273" s="43"/>
      <c r="G4273" s="43"/>
    </row>
    <row r="4274" spans="6:7" x14ac:dyDescent="0.3">
      <c r="F4274" s="43"/>
      <c r="G4274" s="43"/>
    </row>
    <row r="4275" spans="6:7" x14ac:dyDescent="0.3">
      <c r="F4275" s="43"/>
      <c r="G4275" s="43"/>
    </row>
    <row r="4276" spans="6:7" x14ac:dyDescent="0.3">
      <c r="F4276" s="43"/>
      <c r="G4276" s="43"/>
    </row>
    <row r="4277" spans="6:7" x14ac:dyDescent="0.3">
      <c r="F4277" s="43"/>
      <c r="G4277" s="43"/>
    </row>
    <row r="4278" spans="6:7" x14ac:dyDescent="0.3">
      <c r="F4278" s="43"/>
      <c r="G4278" s="43"/>
    </row>
    <row r="4279" spans="6:7" x14ac:dyDescent="0.3">
      <c r="F4279" s="43"/>
      <c r="G4279" s="43"/>
    </row>
    <row r="4280" spans="6:7" x14ac:dyDescent="0.3">
      <c r="F4280" s="43"/>
      <c r="G4280" s="43"/>
    </row>
    <row r="4281" spans="6:7" x14ac:dyDescent="0.3">
      <c r="F4281" s="43"/>
      <c r="G4281" s="43"/>
    </row>
    <row r="4282" spans="6:7" x14ac:dyDescent="0.3">
      <c r="F4282" s="1"/>
      <c r="G4282" s="1"/>
    </row>
    <row r="4283" spans="6:7" x14ac:dyDescent="0.3">
      <c r="F4283" s="43"/>
      <c r="G4283" s="43"/>
    </row>
    <row r="4284" spans="6:7" x14ac:dyDescent="0.3">
      <c r="F4284" s="43"/>
      <c r="G4284" s="43"/>
    </row>
    <row r="4285" spans="6:7" x14ac:dyDescent="0.3">
      <c r="F4285" s="43"/>
      <c r="G4285" s="43"/>
    </row>
    <row r="4286" spans="6:7" x14ac:dyDescent="0.3">
      <c r="F4286" s="43"/>
      <c r="G4286" s="43"/>
    </row>
    <row r="4287" spans="6:7" x14ac:dyDescent="0.3">
      <c r="F4287" s="43"/>
      <c r="G4287" s="43"/>
    </row>
    <row r="4288" spans="6:7" x14ac:dyDescent="0.3">
      <c r="F4288" s="43"/>
      <c r="G4288" s="43"/>
    </row>
    <row r="4289" spans="6:7" x14ac:dyDescent="0.3">
      <c r="F4289" s="43"/>
      <c r="G4289" s="43"/>
    </row>
    <row r="4290" spans="6:7" x14ac:dyDescent="0.3">
      <c r="F4290" s="43"/>
      <c r="G4290" s="43"/>
    </row>
    <row r="4291" spans="6:7" x14ac:dyDescent="0.3">
      <c r="F4291" s="43"/>
      <c r="G4291" s="43"/>
    </row>
    <row r="4292" spans="6:7" x14ac:dyDescent="0.3">
      <c r="F4292" s="43"/>
      <c r="G4292" s="43"/>
    </row>
    <row r="4293" spans="6:7" x14ac:dyDescent="0.3">
      <c r="F4293" s="43"/>
      <c r="G4293" s="43"/>
    </row>
    <row r="4294" spans="6:7" x14ac:dyDescent="0.3">
      <c r="F4294" s="43"/>
      <c r="G4294" s="43"/>
    </row>
    <row r="4295" spans="6:7" x14ac:dyDescent="0.3">
      <c r="F4295" s="43"/>
      <c r="G4295" s="43"/>
    </row>
    <row r="4296" spans="6:7" x14ac:dyDescent="0.3">
      <c r="F4296" s="43"/>
      <c r="G4296" s="43"/>
    </row>
    <row r="4297" spans="6:7" x14ac:dyDescent="0.3">
      <c r="F4297" s="43"/>
      <c r="G4297" s="43"/>
    </row>
    <row r="4298" spans="6:7" x14ac:dyDescent="0.3">
      <c r="F4298" s="43"/>
      <c r="G4298" s="43"/>
    </row>
    <row r="4299" spans="6:7" x14ac:dyDescent="0.3">
      <c r="F4299" s="43"/>
      <c r="G4299" s="43"/>
    </row>
    <row r="4300" spans="6:7" x14ac:dyDescent="0.3">
      <c r="F4300" s="43"/>
      <c r="G4300" s="43"/>
    </row>
    <row r="4301" spans="6:7" x14ac:dyDescent="0.3">
      <c r="F4301" s="43"/>
      <c r="G4301" s="43"/>
    </row>
    <row r="4302" spans="6:7" x14ac:dyDescent="0.3">
      <c r="F4302" s="43"/>
      <c r="G4302" s="43"/>
    </row>
    <row r="4303" spans="6:7" x14ac:dyDescent="0.3">
      <c r="F4303" s="43"/>
      <c r="G4303" s="43"/>
    </row>
    <row r="4304" spans="6:7" x14ac:dyDescent="0.3">
      <c r="F4304" s="43"/>
      <c r="G4304" s="43"/>
    </row>
    <row r="4305" spans="6:7" x14ac:dyDescent="0.3">
      <c r="F4305" s="43"/>
      <c r="G4305" s="43"/>
    </row>
    <row r="4306" spans="6:7" x14ac:dyDescent="0.3">
      <c r="F4306" s="43"/>
      <c r="G4306" s="43"/>
    </row>
    <row r="4307" spans="6:7" x14ac:dyDescent="0.3">
      <c r="F4307" s="43"/>
      <c r="G4307" s="43"/>
    </row>
    <row r="4308" spans="6:7" x14ac:dyDescent="0.3">
      <c r="F4308" s="43"/>
      <c r="G4308" s="43"/>
    </row>
    <row r="4309" spans="6:7" x14ac:dyDescent="0.3">
      <c r="F4309" s="43"/>
      <c r="G4309" s="43"/>
    </row>
    <row r="4310" spans="6:7" x14ac:dyDescent="0.3">
      <c r="F4310" s="1"/>
      <c r="G4310" s="1"/>
    </row>
    <row r="4311" spans="6:7" x14ac:dyDescent="0.3">
      <c r="F4311" s="43"/>
      <c r="G4311" s="43"/>
    </row>
    <row r="4312" spans="6:7" x14ac:dyDescent="0.3">
      <c r="F4312" s="43"/>
      <c r="G4312" s="43"/>
    </row>
    <row r="4313" spans="6:7" x14ac:dyDescent="0.3">
      <c r="F4313" s="43"/>
      <c r="G4313" s="43"/>
    </row>
    <row r="4314" spans="6:7" x14ac:dyDescent="0.3">
      <c r="F4314" s="1"/>
      <c r="G4314" s="1"/>
    </row>
    <row r="4315" spans="6:7" x14ac:dyDescent="0.3">
      <c r="F4315" s="43"/>
      <c r="G4315" s="43"/>
    </row>
    <row r="4316" spans="6:7" x14ac:dyDescent="0.3">
      <c r="F4316" s="43"/>
      <c r="G4316" s="43"/>
    </row>
    <row r="4317" spans="6:7" x14ac:dyDescent="0.3">
      <c r="F4317" s="43"/>
      <c r="G4317" s="43"/>
    </row>
    <row r="4318" spans="6:7" x14ac:dyDescent="0.3">
      <c r="F4318" s="43"/>
      <c r="G4318" s="43"/>
    </row>
    <row r="4319" spans="6:7" x14ac:dyDescent="0.3">
      <c r="F4319" s="43"/>
      <c r="G4319" s="43"/>
    </row>
    <row r="4320" spans="6:7" x14ac:dyDescent="0.3">
      <c r="F4320" s="43"/>
      <c r="G4320" s="43"/>
    </row>
    <row r="4321" spans="6:7" x14ac:dyDescent="0.3">
      <c r="F4321" s="43"/>
      <c r="G4321" s="43"/>
    </row>
    <row r="4322" spans="6:7" x14ac:dyDescent="0.3">
      <c r="F4322" s="43"/>
      <c r="G4322" s="43"/>
    </row>
    <row r="4323" spans="6:7" x14ac:dyDescent="0.3">
      <c r="F4323" s="43"/>
      <c r="G4323" s="43"/>
    </row>
    <row r="4324" spans="6:7" x14ac:dyDescent="0.3">
      <c r="F4324" s="43"/>
      <c r="G4324" s="43"/>
    </row>
    <row r="4325" spans="6:7" x14ac:dyDescent="0.3">
      <c r="F4325" s="43"/>
      <c r="G4325" s="43"/>
    </row>
    <row r="4326" spans="6:7" x14ac:dyDescent="0.3">
      <c r="F4326" s="43"/>
      <c r="G4326" s="43"/>
    </row>
    <row r="4327" spans="6:7" x14ac:dyDescent="0.3">
      <c r="F4327" s="43"/>
      <c r="G4327" s="43"/>
    </row>
    <row r="4328" spans="6:7" x14ac:dyDescent="0.3">
      <c r="F4328" s="43"/>
      <c r="G4328" s="43"/>
    </row>
    <row r="4329" spans="6:7" x14ac:dyDescent="0.3">
      <c r="F4329" s="43"/>
      <c r="G4329" s="43"/>
    </row>
    <row r="4330" spans="6:7" x14ac:dyDescent="0.3">
      <c r="F4330" s="43"/>
      <c r="G4330" s="43"/>
    </row>
    <row r="4331" spans="6:7" x14ac:dyDescent="0.3">
      <c r="F4331" s="43"/>
      <c r="G4331" s="43"/>
    </row>
    <row r="4332" spans="6:7" x14ac:dyDescent="0.3">
      <c r="F4332" s="43"/>
      <c r="G4332" s="43"/>
    </row>
    <row r="4333" spans="6:7" x14ac:dyDescent="0.3">
      <c r="F4333" s="43"/>
      <c r="G4333" s="43"/>
    </row>
    <row r="4334" spans="6:7" x14ac:dyDescent="0.3">
      <c r="F4334" s="43"/>
      <c r="G4334" s="43"/>
    </row>
    <row r="4335" spans="6:7" x14ac:dyDescent="0.3">
      <c r="F4335" s="43"/>
      <c r="G4335" s="43"/>
    </row>
    <row r="4336" spans="6:7" x14ac:dyDescent="0.3">
      <c r="F4336" s="43"/>
      <c r="G4336" s="43"/>
    </row>
    <row r="4337" spans="6:18" x14ac:dyDescent="0.3">
      <c r="F4337" s="43"/>
      <c r="G4337" s="43"/>
    </row>
    <row r="4338" spans="6:18" x14ac:dyDescent="0.3">
      <c r="F4338" s="43"/>
      <c r="G4338" s="43"/>
    </row>
    <row r="4339" spans="6:18" x14ac:dyDescent="0.3">
      <c r="F4339" s="43"/>
      <c r="G4339" s="43"/>
    </row>
    <row r="4340" spans="6:18" x14ac:dyDescent="0.3">
      <c r="F4340" s="43"/>
      <c r="G4340" s="43"/>
    </row>
    <row r="4341" spans="6:18" x14ac:dyDescent="0.3">
      <c r="F4341" s="43"/>
      <c r="G4341" s="43"/>
    </row>
    <row r="4342" spans="6:18" x14ac:dyDescent="0.3">
      <c r="F4342" s="43"/>
      <c r="G4342" s="43"/>
    </row>
    <row r="4343" spans="6:18" x14ac:dyDescent="0.3">
      <c r="F4343" s="43"/>
      <c r="G4343" s="43"/>
    </row>
    <row r="4344" spans="6:18" x14ac:dyDescent="0.3">
      <c r="F4344" s="43"/>
      <c r="G4344" s="43"/>
    </row>
    <row r="4345" spans="6:18" x14ac:dyDescent="0.3">
      <c r="F4345" s="43"/>
      <c r="G4345" s="43"/>
    </row>
    <row r="4346" spans="6:18" x14ac:dyDescent="0.3">
      <c r="F4346" s="43"/>
      <c r="G4346" s="43"/>
    </row>
    <row r="4347" spans="6:18" x14ac:dyDescent="0.3">
      <c r="F4347" s="43"/>
      <c r="G4347" s="43"/>
      <c r="R4347" s="51"/>
    </row>
    <row r="4348" spans="6:18" x14ac:dyDescent="0.3">
      <c r="F4348" s="43"/>
      <c r="G4348" s="43"/>
    </row>
    <row r="4349" spans="6:18" x14ac:dyDescent="0.3">
      <c r="F4349" s="43"/>
      <c r="G4349" s="43"/>
    </row>
    <row r="4350" spans="6:18" x14ac:dyDescent="0.3">
      <c r="F4350" s="43"/>
      <c r="G4350" s="43"/>
    </row>
    <row r="4351" spans="6:18" x14ac:dyDescent="0.3">
      <c r="F4351" s="43"/>
      <c r="G4351" s="43"/>
    </row>
    <row r="4352" spans="6:18" x14ac:dyDescent="0.3">
      <c r="F4352" s="43"/>
      <c r="G4352" s="43"/>
    </row>
    <row r="4353" spans="5:7" x14ac:dyDescent="0.3">
      <c r="F4353" s="43"/>
      <c r="G4353" s="43"/>
    </row>
    <row r="4354" spans="5:7" x14ac:dyDescent="0.3">
      <c r="F4354" s="1"/>
      <c r="G4354" s="1"/>
    </row>
    <row r="4355" spans="5:7" x14ac:dyDescent="0.3">
      <c r="E4355" s="47"/>
      <c r="F4355" s="43"/>
      <c r="G4355" s="43"/>
    </row>
    <row r="4356" spans="5:7" x14ac:dyDescent="0.3">
      <c r="F4356" s="43"/>
      <c r="G4356" s="43"/>
    </row>
    <row r="4357" spans="5:7" x14ac:dyDescent="0.3">
      <c r="F4357" s="43"/>
      <c r="G4357" s="43"/>
    </row>
    <row r="4358" spans="5:7" x14ac:dyDescent="0.3">
      <c r="F4358" s="43"/>
      <c r="G4358" s="43"/>
    </row>
    <row r="4359" spans="5:7" x14ac:dyDescent="0.3">
      <c r="F4359" s="43"/>
      <c r="G4359" s="43"/>
    </row>
    <row r="4360" spans="5:7" x14ac:dyDescent="0.3">
      <c r="F4360" s="43"/>
      <c r="G4360" s="43"/>
    </row>
    <row r="4361" spans="5:7" x14ac:dyDescent="0.3">
      <c r="F4361" s="43"/>
      <c r="G4361" s="43"/>
    </row>
    <row r="4362" spans="5:7" x14ac:dyDescent="0.3">
      <c r="F4362" s="43"/>
      <c r="G4362" s="43"/>
    </row>
    <row r="4363" spans="5:7" x14ac:dyDescent="0.3">
      <c r="F4363" s="43"/>
      <c r="G4363" s="43"/>
    </row>
    <row r="4364" spans="5:7" x14ac:dyDescent="0.3">
      <c r="F4364" s="43"/>
      <c r="G4364" s="43"/>
    </row>
    <row r="4365" spans="5:7" x14ac:dyDescent="0.3">
      <c r="F4365" s="43"/>
      <c r="G4365" s="43"/>
    </row>
    <row r="4366" spans="5:7" x14ac:dyDescent="0.3">
      <c r="F4366" s="43"/>
      <c r="G4366" s="43"/>
    </row>
    <row r="4367" spans="5:7" x14ac:dyDescent="0.3">
      <c r="F4367" s="43"/>
      <c r="G4367" s="43"/>
    </row>
    <row r="4368" spans="5:7" x14ac:dyDescent="0.3">
      <c r="F4368" s="43"/>
      <c r="G4368" s="43"/>
    </row>
    <row r="4369" spans="6:7" x14ac:dyDescent="0.3">
      <c r="F4369" s="43"/>
      <c r="G4369" s="43"/>
    </row>
    <row r="4370" spans="6:7" x14ac:dyDescent="0.3">
      <c r="F4370" s="43"/>
      <c r="G4370" s="43"/>
    </row>
    <row r="4371" spans="6:7" x14ac:dyDescent="0.3">
      <c r="F4371" s="43"/>
      <c r="G4371" s="43"/>
    </row>
    <row r="4372" spans="6:7" x14ac:dyDescent="0.3">
      <c r="F4372" s="43"/>
      <c r="G4372" s="43"/>
    </row>
    <row r="4373" spans="6:7" x14ac:dyDescent="0.3">
      <c r="F4373" s="43"/>
      <c r="G4373" s="43"/>
    </row>
    <row r="4374" spans="6:7" x14ac:dyDescent="0.3">
      <c r="F4374" s="43"/>
      <c r="G4374" s="43"/>
    </row>
    <row r="4375" spans="6:7" x14ac:dyDescent="0.3">
      <c r="F4375" s="43"/>
      <c r="G4375" s="43"/>
    </row>
    <row r="4376" spans="6:7" x14ac:dyDescent="0.3">
      <c r="F4376" s="43"/>
      <c r="G4376" s="43"/>
    </row>
    <row r="4377" spans="6:7" x14ac:dyDescent="0.3">
      <c r="F4377" s="43"/>
      <c r="G4377" s="43"/>
    </row>
    <row r="4378" spans="6:7" x14ac:dyDescent="0.3">
      <c r="F4378" s="43"/>
      <c r="G4378" s="43"/>
    </row>
    <row r="4379" spans="6:7" x14ac:dyDescent="0.3">
      <c r="F4379" s="43"/>
      <c r="G4379" s="43"/>
    </row>
    <row r="4380" spans="6:7" x14ac:dyDescent="0.3">
      <c r="F4380" s="43"/>
      <c r="G4380" s="43"/>
    </row>
    <row r="4381" spans="6:7" x14ac:dyDescent="0.3">
      <c r="F4381" s="43"/>
      <c r="G4381" s="43"/>
    </row>
    <row r="4382" spans="6:7" x14ac:dyDescent="0.3">
      <c r="F4382" s="43"/>
      <c r="G4382" s="43"/>
    </row>
    <row r="4383" spans="6:7" x14ac:dyDescent="0.3">
      <c r="F4383" s="43"/>
      <c r="G4383" s="43"/>
    </row>
    <row r="4384" spans="6:7" x14ac:dyDescent="0.3">
      <c r="F4384" s="43"/>
      <c r="G4384" s="43"/>
    </row>
    <row r="4385" spans="5:7" x14ac:dyDescent="0.3">
      <c r="F4385" s="43"/>
      <c r="G4385" s="43"/>
    </row>
    <row r="4386" spans="5:7" x14ac:dyDescent="0.3">
      <c r="F4386" s="43"/>
      <c r="G4386" s="43"/>
    </row>
    <row r="4387" spans="5:7" x14ac:dyDescent="0.3">
      <c r="F4387" s="43"/>
      <c r="G4387" s="43"/>
    </row>
    <row r="4388" spans="5:7" x14ac:dyDescent="0.3">
      <c r="F4388" s="43"/>
      <c r="G4388" s="43"/>
    </row>
    <row r="4389" spans="5:7" x14ac:dyDescent="0.3">
      <c r="F4389" s="43"/>
      <c r="G4389" s="43"/>
    </row>
    <row r="4390" spans="5:7" x14ac:dyDescent="0.3">
      <c r="F4390" s="43"/>
      <c r="G4390" s="43"/>
    </row>
    <row r="4391" spans="5:7" x14ac:dyDescent="0.3">
      <c r="F4391" s="43"/>
      <c r="G4391" s="43"/>
    </row>
    <row r="4392" spans="5:7" x14ac:dyDescent="0.3">
      <c r="F4392" s="43"/>
      <c r="G4392" s="43"/>
    </row>
    <row r="4393" spans="5:7" x14ac:dyDescent="0.3">
      <c r="F4393" s="43"/>
      <c r="G4393" s="43"/>
    </row>
    <row r="4394" spans="5:7" x14ac:dyDescent="0.3">
      <c r="F4394" s="43"/>
      <c r="G4394" s="43"/>
    </row>
    <row r="4395" spans="5:7" x14ac:dyDescent="0.3">
      <c r="E4395" s="44"/>
      <c r="F4395" s="43"/>
      <c r="G4395" s="43"/>
    </row>
    <row r="4396" spans="5:7" x14ac:dyDescent="0.3">
      <c r="F4396" s="43"/>
      <c r="G4396" s="43"/>
    </row>
    <row r="4397" spans="5:7" x14ac:dyDescent="0.3">
      <c r="F4397" s="43"/>
      <c r="G4397" s="43"/>
    </row>
    <row r="4398" spans="5:7" x14ac:dyDescent="0.3">
      <c r="F4398" s="43"/>
      <c r="G4398" s="43"/>
    </row>
    <row r="4399" spans="5:7" x14ac:dyDescent="0.3">
      <c r="F4399" s="43"/>
      <c r="G4399" s="43"/>
    </row>
    <row r="4400" spans="5:7" x14ac:dyDescent="0.3">
      <c r="F4400" s="43"/>
      <c r="G4400" s="43"/>
    </row>
    <row r="4401" spans="5:7" x14ac:dyDescent="0.3">
      <c r="F4401" s="43"/>
      <c r="G4401" s="43"/>
    </row>
    <row r="4402" spans="5:7" x14ac:dyDescent="0.3">
      <c r="F4402" s="43"/>
      <c r="G4402" s="43"/>
    </row>
    <row r="4403" spans="5:7" x14ac:dyDescent="0.3">
      <c r="F4403" s="43"/>
      <c r="G4403" s="43"/>
    </row>
    <row r="4404" spans="5:7" x14ac:dyDescent="0.3">
      <c r="F4404" s="43"/>
      <c r="G4404" s="43"/>
    </row>
    <row r="4405" spans="5:7" x14ac:dyDescent="0.3">
      <c r="F4405" s="43"/>
      <c r="G4405" s="43"/>
    </row>
    <row r="4406" spans="5:7" x14ac:dyDescent="0.3">
      <c r="F4406" s="43"/>
      <c r="G4406" s="43"/>
    </row>
    <row r="4407" spans="5:7" x14ac:dyDescent="0.3">
      <c r="F4407" s="43"/>
      <c r="G4407" s="43"/>
    </row>
    <row r="4408" spans="5:7" x14ac:dyDescent="0.3">
      <c r="E4408" s="44"/>
      <c r="F4408" s="43"/>
      <c r="G4408" s="43"/>
    </row>
    <row r="4409" spans="5:7" x14ac:dyDescent="0.3">
      <c r="F4409" s="43"/>
      <c r="G4409" s="43"/>
    </row>
    <row r="4410" spans="5:7" x14ac:dyDescent="0.3">
      <c r="F4410" s="43"/>
      <c r="G4410" s="43"/>
    </row>
    <row r="4411" spans="5:7" x14ac:dyDescent="0.3">
      <c r="F4411" s="1"/>
      <c r="G4411" s="1"/>
    </row>
    <row r="4412" spans="5:7" x14ac:dyDescent="0.3">
      <c r="F4412" s="43"/>
      <c r="G4412" s="43"/>
    </row>
    <row r="4413" spans="5:7" x14ac:dyDescent="0.3">
      <c r="F4413" s="43"/>
      <c r="G4413" s="43"/>
    </row>
    <row r="4414" spans="5:7" x14ac:dyDescent="0.3">
      <c r="F4414" s="43"/>
      <c r="G4414" s="43"/>
    </row>
    <row r="4415" spans="5:7" x14ac:dyDescent="0.3">
      <c r="F4415" s="43"/>
      <c r="G4415" s="43"/>
    </row>
    <row r="4416" spans="5:7" x14ac:dyDescent="0.3">
      <c r="F4416" s="43"/>
      <c r="G4416" s="43"/>
    </row>
    <row r="4417" spans="5:7" x14ac:dyDescent="0.3">
      <c r="F4417" s="43"/>
      <c r="G4417" s="43"/>
    </row>
    <row r="4418" spans="5:7" x14ac:dyDescent="0.3">
      <c r="F4418" s="43"/>
      <c r="G4418" s="43"/>
    </row>
    <row r="4419" spans="5:7" x14ac:dyDescent="0.3">
      <c r="F4419" s="43"/>
      <c r="G4419" s="43"/>
    </row>
    <row r="4420" spans="5:7" x14ac:dyDescent="0.3">
      <c r="F4420" s="43"/>
      <c r="G4420" s="43"/>
    </row>
    <row r="4421" spans="5:7" x14ac:dyDescent="0.3">
      <c r="F4421" s="43"/>
      <c r="G4421" s="43"/>
    </row>
    <row r="4422" spans="5:7" x14ac:dyDescent="0.3">
      <c r="F4422" s="43"/>
      <c r="G4422" s="43"/>
    </row>
    <row r="4423" spans="5:7" x14ac:dyDescent="0.3">
      <c r="E4423" s="47"/>
      <c r="F4423" s="43"/>
      <c r="G4423" s="43"/>
    </row>
    <row r="4424" spans="5:7" x14ac:dyDescent="0.3">
      <c r="F4424" s="43"/>
      <c r="G4424" s="43"/>
    </row>
    <row r="4425" spans="5:7" x14ac:dyDescent="0.3">
      <c r="F4425" s="43"/>
      <c r="G4425" s="43"/>
    </row>
    <row r="4426" spans="5:7" x14ac:dyDescent="0.3">
      <c r="F4426" s="43"/>
      <c r="G4426" s="43"/>
    </row>
    <row r="4427" spans="5:7" x14ac:dyDescent="0.3">
      <c r="F4427" s="43"/>
      <c r="G4427" s="43"/>
    </row>
    <row r="4428" spans="5:7" x14ac:dyDescent="0.3">
      <c r="F4428" s="43"/>
      <c r="G4428" s="43"/>
    </row>
    <row r="4429" spans="5:7" x14ac:dyDescent="0.3">
      <c r="F4429" s="1"/>
      <c r="G4429" s="1"/>
    </row>
    <row r="4430" spans="5:7" x14ac:dyDescent="0.3">
      <c r="F4430" s="43"/>
      <c r="G4430" s="43"/>
    </row>
    <row r="4431" spans="5:7" x14ac:dyDescent="0.3">
      <c r="F4431" s="43"/>
      <c r="G4431" s="43"/>
    </row>
    <row r="4432" spans="5:7" x14ac:dyDescent="0.3">
      <c r="F4432" s="43"/>
      <c r="G4432" s="43"/>
    </row>
    <row r="4433" spans="6:7" x14ac:dyDescent="0.3">
      <c r="F4433" s="43"/>
      <c r="G4433" s="43"/>
    </row>
    <row r="4434" spans="6:7" x14ac:dyDescent="0.3">
      <c r="F4434" s="43"/>
      <c r="G4434" s="43"/>
    </row>
    <row r="4435" spans="6:7" x14ac:dyDescent="0.3">
      <c r="F4435" s="1"/>
      <c r="G4435" s="1"/>
    </row>
    <row r="4436" spans="6:7" x14ac:dyDescent="0.3">
      <c r="F4436" s="43"/>
      <c r="G4436" s="43"/>
    </row>
    <row r="4437" spans="6:7" x14ac:dyDescent="0.3">
      <c r="F4437" s="43"/>
      <c r="G4437" s="43"/>
    </row>
    <row r="4438" spans="6:7" x14ac:dyDescent="0.3">
      <c r="F4438" s="43"/>
      <c r="G4438" s="43"/>
    </row>
    <row r="4439" spans="6:7" x14ac:dyDescent="0.3">
      <c r="F4439" s="43"/>
      <c r="G4439" s="43"/>
    </row>
    <row r="4440" spans="6:7" x14ac:dyDescent="0.3">
      <c r="F4440" s="43"/>
      <c r="G4440" s="43"/>
    </row>
    <row r="4441" spans="6:7" x14ac:dyDescent="0.3">
      <c r="F4441" s="43"/>
      <c r="G4441" s="1"/>
    </row>
    <row r="4442" spans="6:7" x14ac:dyDescent="0.3">
      <c r="F4442" s="43"/>
      <c r="G4442" s="43"/>
    </row>
    <row r="4443" spans="6:7" x14ac:dyDescent="0.3">
      <c r="F4443" s="43"/>
      <c r="G4443" s="43"/>
    </row>
    <row r="4444" spans="6:7" x14ac:dyDescent="0.3">
      <c r="F4444" s="43"/>
      <c r="G4444" s="43"/>
    </row>
    <row r="4445" spans="6:7" x14ac:dyDescent="0.3">
      <c r="F4445" s="43"/>
      <c r="G4445" s="43"/>
    </row>
    <row r="4446" spans="6:7" x14ac:dyDescent="0.3">
      <c r="F4446" s="43"/>
      <c r="G4446" s="43"/>
    </row>
    <row r="4447" spans="6:7" x14ac:dyDescent="0.3">
      <c r="F4447" s="43"/>
      <c r="G4447" s="43"/>
    </row>
    <row r="4448" spans="6:7" x14ac:dyDescent="0.3">
      <c r="F4448" s="43"/>
      <c r="G4448" s="43"/>
    </row>
    <row r="4449" spans="6:7" x14ac:dyDescent="0.3">
      <c r="F4449" s="43"/>
      <c r="G4449" s="43"/>
    </row>
    <row r="4450" spans="6:7" x14ac:dyDescent="0.3">
      <c r="F4450" s="43"/>
      <c r="G4450" s="43"/>
    </row>
    <row r="4451" spans="6:7" x14ac:dyDescent="0.3">
      <c r="F4451" s="43"/>
      <c r="G4451" s="43"/>
    </row>
    <row r="4452" spans="6:7" x14ac:dyDescent="0.3">
      <c r="F4452" s="43"/>
      <c r="G4452" s="43"/>
    </row>
    <row r="4453" spans="6:7" x14ac:dyDescent="0.3">
      <c r="F4453" s="43"/>
      <c r="G4453" s="43"/>
    </row>
    <row r="4454" spans="6:7" x14ac:dyDescent="0.3">
      <c r="F4454" s="43"/>
      <c r="G4454" s="43"/>
    </row>
    <row r="4455" spans="6:7" x14ac:dyDescent="0.3">
      <c r="F4455" s="43"/>
      <c r="G4455" s="43"/>
    </row>
    <row r="4456" spans="6:7" x14ac:dyDescent="0.3">
      <c r="F4456" s="43"/>
      <c r="G4456" s="43"/>
    </row>
    <row r="4457" spans="6:7" x14ac:dyDescent="0.3">
      <c r="F4457" s="43"/>
      <c r="G4457" s="43"/>
    </row>
    <row r="4458" spans="6:7" x14ac:dyDescent="0.3">
      <c r="F4458" s="43"/>
      <c r="G4458" s="43"/>
    </row>
    <row r="4459" spans="6:7" x14ac:dyDescent="0.3">
      <c r="F4459" s="43"/>
      <c r="G4459" s="43"/>
    </row>
    <row r="4460" spans="6:7" x14ac:dyDescent="0.3">
      <c r="F4460" s="43"/>
      <c r="G4460" s="43"/>
    </row>
    <row r="4461" spans="6:7" x14ac:dyDescent="0.3">
      <c r="F4461" s="43"/>
      <c r="G4461" s="43"/>
    </row>
    <row r="4462" spans="6:7" x14ac:dyDescent="0.3">
      <c r="F4462" s="43"/>
      <c r="G4462" s="43"/>
    </row>
    <row r="4463" spans="6:7" x14ac:dyDescent="0.3">
      <c r="F4463" s="43"/>
      <c r="G4463" s="43"/>
    </row>
    <row r="4464" spans="6:7" x14ac:dyDescent="0.3">
      <c r="F4464" s="43"/>
      <c r="G4464" s="43"/>
    </row>
    <row r="4465" spans="6:7" x14ac:dyDescent="0.3">
      <c r="F4465" s="43"/>
      <c r="G4465" s="43"/>
    </row>
    <row r="4466" spans="6:7" x14ac:dyDescent="0.3">
      <c r="F4466" s="43"/>
      <c r="G4466" s="43"/>
    </row>
    <row r="4467" spans="6:7" x14ac:dyDescent="0.3">
      <c r="F4467" s="1"/>
      <c r="G4467" s="1"/>
    </row>
    <row r="4468" spans="6:7" x14ac:dyDescent="0.3">
      <c r="F4468" s="43"/>
      <c r="G4468" s="43"/>
    </row>
    <row r="4469" spans="6:7" x14ac:dyDescent="0.3">
      <c r="F4469" s="43"/>
      <c r="G4469" s="43"/>
    </row>
    <row r="4470" spans="6:7" x14ac:dyDescent="0.3">
      <c r="F4470" s="43"/>
      <c r="G4470" s="43"/>
    </row>
    <row r="4471" spans="6:7" x14ac:dyDescent="0.3">
      <c r="F4471" s="43"/>
      <c r="G4471" s="43"/>
    </row>
    <row r="4472" spans="6:7" x14ac:dyDescent="0.3">
      <c r="F4472" s="43"/>
      <c r="G4472" s="43"/>
    </row>
    <row r="4473" spans="6:7" x14ac:dyDescent="0.3">
      <c r="F4473" s="43"/>
      <c r="G4473" s="43"/>
    </row>
    <row r="4474" spans="6:7" x14ac:dyDescent="0.3">
      <c r="F4474" s="43"/>
      <c r="G4474" s="43"/>
    </row>
    <row r="4475" spans="6:7" x14ac:dyDescent="0.3">
      <c r="F4475" s="43"/>
      <c r="G4475" s="43"/>
    </row>
    <row r="4476" spans="6:7" x14ac:dyDescent="0.3">
      <c r="F4476" s="43"/>
      <c r="G4476" s="43"/>
    </row>
    <row r="4477" spans="6:7" x14ac:dyDescent="0.3">
      <c r="F4477" s="43"/>
      <c r="G4477" s="43"/>
    </row>
    <row r="4478" spans="6:7" x14ac:dyDescent="0.3">
      <c r="F4478" s="43"/>
      <c r="G4478" s="43"/>
    </row>
    <row r="4479" spans="6:7" x14ac:dyDescent="0.3">
      <c r="F4479" s="43"/>
      <c r="G4479" s="43"/>
    </row>
    <row r="4480" spans="6:7" x14ac:dyDescent="0.3">
      <c r="F4480" s="43"/>
      <c r="G4480" s="43"/>
    </row>
    <row r="4481" spans="6:7" x14ac:dyDescent="0.3">
      <c r="F4481" s="43"/>
      <c r="G4481" s="43"/>
    </row>
    <row r="4482" spans="6:7" x14ac:dyDescent="0.3">
      <c r="F4482" s="43"/>
      <c r="G4482" s="43"/>
    </row>
    <row r="4483" spans="6:7" x14ac:dyDescent="0.3">
      <c r="F4483" s="43"/>
      <c r="G4483" s="43"/>
    </row>
    <row r="4484" spans="6:7" x14ac:dyDescent="0.3">
      <c r="F4484" s="43"/>
      <c r="G4484" s="43"/>
    </row>
    <row r="4485" spans="6:7" x14ac:dyDescent="0.3">
      <c r="F4485" s="43"/>
      <c r="G4485" s="43"/>
    </row>
    <row r="4486" spans="6:7" x14ac:dyDescent="0.3">
      <c r="F4486" s="43"/>
      <c r="G4486" s="43"/>
    </row>
    <row r="4487" spans="6:7" x14ac:dyDescent="0.3">
      <c r="F4487" s="1"/>
      <c r="G4487" s="1"/>
    </row>
    <row r="4488" spans="6:7" x14ac:dyDescent="0.3">
      <c r="F4488" s="43"/>
      <c r="G4488" s="43"/>
    </row>
    <row r="4489" spans="6:7" x14ac:dyDescent="0.3">
      <c r="F4489" s="43"/>
      <c r="G4489" s="43"/>
    </row>
    <row r="4490" spans="6:7" x14ac:dyDescent="0.3">
      <c r="F4490" s="43"/>
      <c r="G4490" s="43"/>
    </row>
    <row r="4491" spans="6:7" x14ac:dyDescent="0.3">
      <c r="F4491" s="43"/>
      <c r="G4491" s="43"/>
    </row>
    <row r="4492" spans="6:7" x14ac:dyDescent="0.3">
      <c r="F4492" s="43"/>
      <c r="G4492" s="43"/>
    </row>
    <row r="4493" spans="6:7" x14ac:dyDescent="0.3">
      <c r="F4493" s="43"/>
      <c r="G4493" s="43"/>
    </row>
    <row r="4494" spans="6:7" x14ac:dyDescent="0.3">
      <c r="F4494" s="43"/>
      <c r="G4494" s="43"/>
    </row>
    <row r="4495" spans="6:7" x14ac:dyDescent="0.3">
      <c r="F4495" s="43"/>
      <c r="G4495" s="43"/>
    </row>
    <row r="4496" spans="6:7" x14ac:dyDescent="0.3">
      <c r="F4496" s="43"/>
      <c r="G4496" s="43"/>
    </row>
    <row r="4497" spans="6:7" x14ac:dyDescent="0.3">
      <c r="F4497" s="43"/>
      <c r="G4497" s="43"/>
    </row>
    <row r="4498" spans="6:7" x14ac:dyDescent="0.3">
      <c r="F4498" s="43"/>
      <c r="G4498" s="43"/>
    </row>
    <row r="4499" spans="6:7" x14ac:dyDescent="0.3">
      <c r="F4499" s="43"/>
      <c r="G4499" s="43"/>
    </row>
    <row r="4500" spans="6:7" x14ac:dyDescent="0.3">
      <c r="F4500" s="43"/>
      <c r="G4500" s="43"/>
    </row>
    <row r="4501" spans="6:7" x14ac:dyDescent="0.3">
      <c r="F4501" s="43"/>
      <c r="G4501" s="43"/>
    </row>
    <row r="4502" spans="6:7" x14ac:dyDescent="0.3">
      <c r="F4502" s="43"/>
      <c r="G4502" s="43"/>
    </row>
    <row r="4503" spans="6:7" x14ac:dyDescent="0.3">
      <c r="F4503" s="43"/>
      <c r="G4503" s="43"/>
    </row>
    <row r="4504" spans="6:7" x14ac:dyDescent="0.3">
      <c r="F4504" s="43"/>
      <c r="G4504" s="43"/>
    </row>
    <row r="4505" spans="6:7" x14ac:dyDescent="0.3">
      <c r="F4505" s="43"/>
      <c r="G4505" s="43"/>
    </row>
    <row r="4506" spans="6:7" x14ac:dyDescent="0.3">
      <c r="F4506" s="43"/>
      <c r="G4506" s="43"/>
    </row>
    <row r="4507" spans="6:7" x14ac:dyDescent="0.3">
      <c r="F4507" s="43"/>
      <c r="G4507" s="43"/>
    </row>
    <row r="4508" spans="6:7" x14ac:dyDescent="0.3">
      <c r="F4508" s="43"/>
      <c r="G4508" s="43"/>
    </row>
    <row r="4509" spans="6:7" x14ac:dyDescent="0.3">
      <c r="F4509" s="43"/>
      <c r="G4509" s="43"/>
    </row>
    <row r="4510" spans="6:7" x14ac:dyDescent="0.3">
      <c r="F4510" s="43"/>
      <c r="G4510" s="43"/>
    </row>
    <row r="4511" spans="6:7" x14ac:dyDescent="0.3">
      <c r="F4511" s="43"/>
      <c r="G4511" s="43"/>
    </row>
    <row r="4512" spans="6:7" x14ac:dyDescent="0.3">
      <c r="F4512" s="43"/>
      <c r="G4512" s="43"/>
    </row>
    <row r="4513" spans="6:7" x14ac:dyDescent="0.3">
      <c r="F4513" s="43"/>
      <c r="G4513" s="43"/>
    </row>
    <row r="4514" spans="6:7" x14ac:dyDescent="0.3">
      <c r="F4514" s="43"/>
      <c r="G4514" s="43"/>
    </row>
    <row r="4515" spans="6:7" x14ac:dyDescent="0.3">
      <c r="F4515" s="43"/>
      <c r="G4515" s="43"/>
    </row>
    <row r="4516" spans="6:7" x14ac:dyDescent="0.3">
      <c r="F4516" s="43"/>
      <c r="G4516" s="43"/>
    </row>
    <row r="4517" spans="6:7" x14ac:dyDescent="0.3">
      <c r="F4517" s="43"/>
      <c r="G4517" s="43"/>
    </row>
    <row r="4518" spans="6:7" x14ac:dyDescent="0.3">
      <c r="F4518" s="43"/>
      <c r="G4518" s="43"/>
    </row>
    <row r="4519" spans="6:7" x14ac:dyDescent="0.3">
      <c r="F4519" s="43"/>
      <c r="G4519" s="43"/>
    </row>
    <row r="4520" spans="6:7" x14ac:dyDescent="0.3">
      <c r="F4520" s="43"/>
      <c r="G4520" s="43"/>
    </row>
    <row r="4521" spans="6:7" x14ac:dyDescent="0.3">
      <c r="F4521" s="43"/>
      <c r="G4521" s="43"/>
    </row>
    <row r="4522" spans="6:7" x14ac:dyDescent="0.3">
      <c r="F4522" s="43"/>
      <c r="G4522" s="43"/>
    </row>
    <row r="4523" spans="6:7" x14ac:dyDescent="0.3">
      <c r="F4523" s="43"/>
      <c r="G4523" s="43"/>
    </row>
    <row r="4524" spans="6:7" x14ac:dyDescent="0.3">
      <c r="F4524" s="43"/>
      <c r="G4524" s="43"/>
    </row>
    <row r="4525" spans="6:7" x14ac:dyDescent="0.3">
      <c r="F4525" s="43"/>
      <c r="G4525" s="43"/>
    </row>
    <row r="4526" spans="6:7" x14ac:dyDescent="0.3">
      <c r="F4526" s="43"/>
      <c r="G4526" s="43"/>
    </row>
    <row r="4527" spans="6:7" x14ac:dyDescent="0.3">
      <c r="F4527" s="43"/>
      <c r="G4527" s="43"/>
    </row>
    <row r="4528" spans="6:7" x14ac:dyDescent="0.3">
      <c r="F4528" s="43"/>
      <c r="G4528" s="43"/>
    </row>
    <row r="4529" spans="6:7" x14ac:dyDescent="0.3">
      <c r="F4529" s="43"/>
      <c r="G4529" s="43"/>
    </row>
    <row r="4530" spans="6:7" x14ac:dyDescent="0.3">
      <c r="F4530" s="43"/>
      <c r="G4530" s="43"/>
    </row>
    <row r="4531" spans="6:7" x14ac:dyDescent="0.3">
      <c r="F4531" s="43"/>
      <c r="G4531" s="43"/>
    </row>
    <row r="4532" spans="6:7" x14ac:dyDescent="0.3">
      <c r="F4532" s="43"/>
      <c r="G4532" s="43"/>
    </row>
    <row r="4533" spans="6:7" x14ac:dyDescent="0.3">
      <c r="F4533" s="43"/>
      <c r="G4533" s="43"/>
    </row>
    <row r="4534" spans="6:7" x14ac:dyDescent="0.3">
      <c r="F4534" s="43"/>
      <c r="G4534" s="43"/>
    </row>
    <row r="4535" spans="6:7" x14ac:dyDescent="0.3">
      <c r="F4535" s="43"/>
      <c r="G4535" s="43"/>
    </row>
    <row r="4536" spans="6:7" x14ac:dyDescent="0.3">
      <c r="F4536" s="43"/>
      <c r="G4536" s="43"/>
    </row>
    <row r="4537" spans="6:7" x14ac:dyDescent="0.3">
      <c r="F4537" s="43"/>
      <c r="G4537" s="43"/>
    </row>
    <row r="4538" spans="6:7" x14ac:dyDescent="0.3">
      <c r="F4538" s="43"/>
      <c r="G4538" s="43"/>
    </row>
    <row r="4539" spans="6:7" x14ac:dyDescent="0.3">
      <c r="F4539" s="43"/>
      <c r="G4539" s="43"/>
    </row>
    <row r="4540" spans="6:7" x14ac:dyDescent="0.3">
      <c r="F4540" s="43"/>
      <c r="G4540" s="43"/>
    </row>
    <row r="4541" spans="6:7" x14ac:dyDescent="0.3">
      <c r="F4541" s="43"/>
      <c r="G4541" s="43"/>
    </row>
    <row r="4542" spans="6:7" x14ac:dyDescent="0.3">
      <c r="F4542" s="43"/>
      <c r="G4542" s="43"/>
    </row>
    <row r="4543" spans="6:7" x14ac:dyDescent="0.3">
      <c r="F4543" s="43"/>
      <c r="G4543" s="43"/>
    </row>
    <row r="4544" spans="6:7" x14ac:dyDescent="0.3">
      <c r="F4544" s="43"/>
      <c r="G4544" s="43"/>
    </row>
    <row r="4545" spans="6:7" x14ac:dyDescent="0.3">
      <c r="F4545" s="43"/>
      <c r="G4545" s="43"/>
    </row>
    <row r="4546" spans="6:7" x14ac:dyDescent="0.3">
      <c r="F4546" s="43"/>
      <c r="G4546" s="43"/>
    </row>
    <row r="4547" spans="6:7" x14ac:dyDescent="0.3">
      <c r="F4547" s="43"/>
      <c r="G4547" s="43"/>
    </row>
    <row r="4548" spans="6:7" x14ac:dyDescent="0.3">
      <c r="F4548" s="43"/>
      <c r="G4548" s="43"/>
    </row>
    <row r="4549" spans="6:7" x14ac:dyDescent="0.3">
      <c r="F4549" s="43"/>
      <c r="G4549" s="43"/>
    </row>
    <row r="4550" spans="6:7" x14ac:dyDescent="0.3">
      <c r="F4550" s="43"/>
      <c r="G4550" s="43"/>
    </row>
    <row r="4551" spans="6:7" x14ac:dyDescent="0.3">
      <c r="F4551" s="43"/>
      <c r="G4551" s="43"/>
    </row>
    <row r="4552" spans="6:7" x14ac:dyDescent="0.3">
      <c r="F4552" s="43"/>
      <c r="G4552" s="43"/>
    </row>
    <row r="4553" spans="6:7" x14ac:dyDescent="0.3">
      <c r="F4553" s="43"/>
      <c r="G4553" s="43"/>
    </row>
    <row r="4554" spans="6:7" x14ac:dyDescent="0.3">
      <c r="F4554" s="43"/>
      <c r="G4554" s="43"/>
    </row>
    <row r="4555" spans="6:7" x14ac:dyDescent="0.3">
      <c r="F4555" s="43"/>
      <c r="G4555" s="43"/>
    </row>
    <row r="4556" spans="6:7" x14ac:dyDescent="0.3">
      <c r="F4556" s="43"/>
      <c r="G4556" s="43"/>
    </row>
    <row r="4557" spans="6:7" x14ac:dyDescent="0.3">
      <c r="F4557" s="43"/>
      <c r="G4557" s="43"/>
    </row>
    <row r="4558" spans="6:7" x14ac:dyDescent="0.3">
      <c r="F4558" s="43"/>
      <c r="G4558" s="43"/>
    </row>
    <row r="4559" spans="6:7" x14ac:dyDescent="0.3">
      <c r="F4559" s="43"/>
      <c r="G4559" s="43"/>
    </row>
    <row r="4560" spans="6:7" x14ac:dyDescent="0.3">
      <c r="F4560" s="43"/>
      <c r="G4560" s="43"/>
    </row>
    <row r="4561" spans="1:7" x14ac:dyDescent="0.3">
      <c r="F4561" s="43"/>
      <c r="G4561" s="43"/>
    </row>
    <row r="4562" spans="1:7" x14ac:dyDescent="0.3">
      <c r="F4562" s="43"/>
      <c r="G4562" s="43"/>
    </row>
    <row r="4563" spans="1:7" x14ac:dyDescent="0.3">
      <c r="F4563" s="43"/>
      <c r="G4563" s="43"/>
    </row>
    <row r="4564" spans="1:7" x14ac:dyDescent="0.3">
      <c r="F4564" s="1"/>
      <c r="G4564" s="1"/>
    </row>
    <row r="4565" spans="1:7" x14ac:dyDescent="0.3">
      <c r="F4565" s="43"/>
      <c r="G4565" s="43"/>
    </row>
    <row r="4566" spans="1:7" x14ac:dyDescent="0.3">
      <c r="F4566" s="43"/>
      <c r="G4566" s="43"/>
    </row>
    <row r="4567" spans="1:7" x14ac:dyDescent="0.3">
      <c r="F4567" s="43"/>
      <c r="G4567" s="43"/>
    </row>
    <row r="4568" spans="1:7" x14ac:dyDescent="0.3">
      <c r="F4568" s="43"/>
      <c r="G4568" s="43"/>
    </row>
    <row r="4569" spans="1:7" x14ac:dyDescent="0.3">
      <c r="F4569" s="43"/>
      <c r="G4569" s="43"/>
    </row>
    <row r="4570" spans="1:7" x14ac:dyDescent="0.3">
      <c r="F4570" s="43"/>
      <c r="G4570" s="43"/>
    </row>
    <row r="4571" spans="1:7" x14ac:dyDescent="0.3">
      <c r="F4571" s="43"/>
      <c r="G4571" s="43"/>
    </row>
    <row r="4572" spans="1:7" x14ac:dyDescent="0.3">
      <c r="F4572" s="43"/>
      <c r="G4572" s="43"/>
    </row>
    <row r="4573" spans="1:7" x14ac:dyDescent="0.3">
      <c r="F4573" s="43"/>
      <c r="G4573" s="43"/>
    </row>
    <row r="4574" spans="1:7" x14ac:dyDescent="0.3">
      <c r="F4574" s="43"/>
      <c r="G4574" s="43"/>
    </row>
    <row r="4575" spans="1:7" x14ac:dyDescent="0.3">
      <c r="A4575" s="46"/>
      <c r="F4575" s="43"/>
      <c r="G4575" s="43"/>
    </row>
    <row r="4576" spans="1:7" x14ac:dyDescent="0.3">
      <c r="F4576" s="43"/>
      <c r="G4576" s="43"/>
    </row>
    <row r="4577" spans="6:18" x14ac:dyDescent="0.3">
      <c r="F4577" s="43"/>
      <c r="G4577" s="43"/>
    </row>
    <row r="4578" spans="6:18" x14ac:dyDescent="0.3">
      <c r="F4578" s="43"/>
      <c r="G4578" s="43"/>
    </row>
    <row r="4579" spans="6:18" x14ac:dyDescent="0.3">
      <c r="F4579" s="43"/>
      <c r="G4579" s="43"/>
    </row>
    <row r="4580" spans="6:18" x14ac:dyDescent="0.3">
      <c r="F4580" s="43"/>
      <c r="G4580" s="43"/>
    </row>
    <row r="4581" spans="6:18" x14ac:dyDescent="0.3">
      <c r="F4581" s="43"/>
      <c r="G4581" s="43"/>
    </row>
    <row r="4582" spans="6:18" x14ac:dyDescent="0.3">
      <c r="F4582" s="43"/>
      <c r="G4582" s="43"/>
    </row>
    <row r="4583" spans="6:18" x14ac:dyDescent="0.3">
      <c r="F4583" s="43"/>
      <c r="G4583" s="43"/>
    </row>
    <row r="4584" spans="6:18" x14ac:dyDescent="0.3">
      <c r="F4584" s="43"/>
      <c r="G4584" s="43"/>
    </row>
    <row r="4585" spans="6:18" x14ac:dyDescent="0.3">
      <c r="F4585" s="43"/>
      <c r="G4585" s="43"/>
      <c r="R4585" s="50"/>
    </row>
    <row r="4586" spans="6:18" x14ac:dyDescent="0.3">
      <c r="F4586" s="43"/>
      <c r="G4586" s="43"/>
    </row>
    <row r="4587" spans="6:18" x14ac:dyDescent="0.3">
      <c r="F4587" s="1"/>
      <c r="G4587" s="1"/>
    </row>
    <row r="4588" spans="6:18" x14ac:dyDescent="0.3">
      <c r="F4588" s="43"/>
      <c r="G4588" s="43"/>
    </row>
    <row r="4589" spans="6:18" x14ac:dyDescent="0.3">
      <c r="F4589" s="43"/>
      <c r="G4589" s="43"/>
    </row>
    <row r="4590" spans="6:18" x14ac:dyDescent="0.3">
      <c r="F4590" s="43"/>
      <c r="G4590" s="43"/>
    </row>
    <row r="4591" spans="6:18" x14ac:dyDescent="0.3">
      <c r="F4591" s="43"/>
      <c r="G4591" s="43"/>
    </row>
    <row r="4592" spans="6:18" x14ac:dyDescent="0.3">
      <c r="F4592" s="43"/>
      <c r="G4592" s="43"/>
    </row>
    <row r="4593" spans="6:7" x14ac:dyDescent="0.3">
      <c r="F4593" s="43"/>
      <c r="G4593" s="43"/>
    </row>
    <row r="4594" spans="6:7" x14ac:dyDescent="0.3">
      <c r="F4594" s="43"/>
      <c r="G4594" s="43"/>
    </row>
    <row r="4595" spans="6:7" x14ac:dyDescent="0.3">
      <c r="F4595" s="43"/>
      <c r="G4595" s="43"/>
    </row>
    <row r="4596" spans="6:7" x14ac:dyDescent="0.3">
      <c r="F4596" s="43"/>
      <c r="G4596" s="43"/>
    </row>
    <row r="4597" spans="6:7" x14ac:dyDescent="0.3">
      <c r="F4597" s="43"/>
      <c r="G4597" s="43"/>
    </row>
    <row r="4598" spans="6:7" x14ac:dyDescent="0.3">
      <c r="F4598" s="43"/>
      <c r="G4598" s="43"/>
    </row>
    <row r="4599" spans="6:7" x14ac:dyDescent="0.3">
      <c r="F4599" s="43"/>
      <c r="G4599" s="43"/>
    </row>
    <row r="4600" spans="6:7" x14ac:dyDescent="0.3">
      <c r="F4600" s="43"/>
      <c r="G4600" s="43"/>
    </row>
    <row r="4601" spans="6:7" x14ac:dyDescent="0.3">
      <c r="F4601" s="43"/>
      <c r="G4601" s="43"/>
    </row>
    <row r="4602" spans="6:7" x14ac:dyDescent="0.3">
      <c r="F4602" s="43"/>
      <c r="G4602" s="43"/>
    </row>
    <row r="4603" spans="6:7" x14ac:dyDescent="0.3">
      <c r="F4603" s="43"/>
      <c r="G4603" s="43"/>
    </row>
    <row r="4604" spans="6:7" x14ac:dyDescent="0.3">
      <c r="F4604" s="43"/>
      <c r="G4604" s="43"/>
    </row>
    <row r="4605" spans="6:7" x14ac:dyDescent="0.3">
      <c r="F4605" s="43"/>
      <c r="G4605" s="43"/>
    </row>
    <row r="4606" spans="6:7" x14ac:dyDescent="0.3">
      <c r="F4606" s="43"/>
      <c r="G4606" s="43"/>
    </row>
    <row r="4607" spans="6:7" x14ac:dyDescent="0.3">
      <c r="F4607" s="43"/>
      <c r="G4607" s="43"/>
    </row>
    <row r="4608" spans="6:7" x14ac:dyDescent="0.3">
      <c r="F4608" s="43"/>
      <c r="G4608" s="43"/>
    </row>
    <row r="4609" spans="5:7" x14ac:dyDescent="0.3">
      <c r="F4609" s="43"/>
      <c r="G4609" s="43"/>
    </row>
    <row r="4610" spans="5:7" x14ac:dyDescent="0.3">
      <c r="F4610" s="43"/>
      <c r="G4610" s="43"/>
    </row>
    <row r="4611" spans="5:7" x14ac:dyDescent="0.3">
      <c r="F4611" s="43"/>
      <c r="G4611" s="43"/>
    </row>
    <row r="4612" spans="5:7" x14ac:dyDescent="0.3">
      <c r="F4612" s="43"/>
      <c r="G4612" s="43"/>
    </row>
    <row r="4613" spans="5:7" x14ac:dyDescent="0.3">
      <c r="F4613" s="43"/>
      <c r="G4613" s="43"/>
    </row>
    <row r="4614" spans="5:7" x14ac:dyDescent="0.3">
      <c r="F4614" s="43"/>
      <c r="G4614" s="43"/>
    </row>
    <row r="4615" spans="5:7" x14ac:dyDescent="0.3">
      <c r="F4615" s="43"/>
      <c r="G4615" s="43"/>
    </row>
    <row r="4616" spans="5:7" x14ac:dyDescent="0.3">
      <c r="F4616" s="43"/>
      <c r="G4616" s="43"/>
    </row>
    <row r="4617" spans="5:7" x14ac:dyDescent="0.3">
      <c r="F4617" s="43"/>
      <c r="G4617" s="43"/>
    </row>
    <row r="4618" spans="5:7" x14ac:dyDescent="0.3">
      <c r="F4618" s="43"/>
      <c r="G4618" s="43"/>
    </row>
    <row r="4619" spans="5:7" x14ac:dyDescent="0.3">
      <c r="F4619" s="43"/>
      <c r="G4619" s="43"/>
    </row>
    <row r="4620" spans="5:7" x14ac:dyDescent="0.3">
      <c r="E4620" s="44"/>
      <c r="F4620" s="43"/>
      <c r="G4620" s="43"/>
    </row>
    <row r="4621" spans="5:7" x14ac:dyDescent="0.3">
      <c r="F4621" s="43"/>
      <c r="G4621" s="43"/>
    </row>
    <row r="4622" spans="5:7" x14ac:dyDescent="0.3">
      <c r="F4622" s="43"/>
      <c r="G4622" s="43"/>
    </row>
    <row r="4623" spans="5:7" x14ac:dyDescent="0.3">
      <c r="F4623" s="43"/>
      <c r="G4623" s="43"/>
    </row>
    <row r="4624" spans="5:7" x14ac:dyDescent="0.3">
      <c r="F4624" s="43"/>
      <c r="G4624" s="43"/>
    </row>
    <row r="4625" spans="6:7" x14ac:dyDescent="0.3">
      <c r="F4625" s="1"/>
      <c r="G4625" s="1"/>
    </row>
    <row r="4626" spans="6:7" x14ac:dyDescent="0.3">
      <c r="F4626" s="43"/>
      <c r="G4626" s="43"/>
    </row>
    <row r="4627" spans="6:7" x14ac:dyDescent="0.3">
      <c r="F4627" s="43"/>
      <c r="G4627" s="43"/>
    </row>
    <row r="4628" spans="6:7" x14ac:dyDescent="0.3">
      <c r="F4628" s="43"/>
      <c r="G4628" s="43"/>
    </row>
    <row r="4629" spans="6:7" x14ac:dyDescent="0.3">
      <c r="F4629" s="43"/>
      <c r="G4629" s="43"/>
    </row>
    <row r="4630" spans="6:7" x14ac:dyDescent="0.3">
      <c r="F4630" s="43"/>
      <c r="G4630" s="43"/>
    </row>
    <row r="4631" spans="6:7" x14ac:dyDescent="0.3">
      <c r="F4631" s="1"/>
      <c r="G4631" s="1"/>
    </row>
    <row r="4632" spans="6:7" x14ac:dyDescent="0.3">
      <c r="F4632" s="43"/>
      <c r="G4632" s="43"/>
    </row>
    <row r="4633" spans="6:7" x14ac:dyDescent="0.3">
      <c r="F4633" s="43"/>
      <c r="G4633" s="43"/>
    </row>
    <row r="4634" spans="6:7" x14ac:dyDescent="0.3">
      <c r="F4634" s="43"/>
      <c r="G4634" s="43"/>
    </row>
    <row r="4635" spans="6:7" x14ac:dyDescent="0.3">
      <c r="F4635" s="43"/>
      <c r="G4635" s="43"/>
    </row>
    <row r="4636" spans="6:7" x14ac:dyDescent="0.3">
      <c r="F4636" s="43"/>
      <c r="G4636" s="43"/>
    </row>
    <row r="4637" spans="6:7" x14ac:dyDescent="0.3">
      <c r="F4637" s="43"/>
      <c r="G4637" s="43"/>
    </row>
    <row r="4638" spans="6:7" x14ac:dyDescent="0.3">
      <c r="F4638" s="43"/>
      <c r="G4638" s="43"/>
    </row>
    <row r="4639" spans="6:7" x14ac:dyDescent="0.3">
      <c r="F4639" s="43"/>
      <c r="G4639" s="43"/>
    </row>
    <row r="4640" spans="6:7" x14ac:dyDescent="0.3">
      <c r="F4640" s="43"/>
      <c r="G4640" s="43"/>
    </row>
    <row r="4641" spans="6:7" x14ac:dyDescent="0.3">
      <c r="F4641" s="43"/>
      <c r="G4641" s="43"/>
    </row>
    <row r="4642" spans="6:7" x14ac:dyDescent="0.3">
      <c r="F4642" s="43"/>
      <c r="G4642" s="43"/>
    </row>
    <row r="4643" spans="6:7" x14ac:dyDescent="0.3">
      <c r="F4643" s="43"/>
      <c r="G4643" s="43"/>
    </row>
    <row r="4644" spans="6:7" x14ac:dyDescent="0.3">
      <c r="F4644" s="43"/>
      <c r="G4644" s="43"/>
    </row>
    <row r="4645" spans="6:7" x14ac:dyDescent="0.3">
      <c r="F4645" s="43"/>
      <c r="G4645" s="43"/>
    </row>
    <row r="4646" spans="6:7" x14ac:dyDescent="0.3">
      <c r="F4646" s="43"/>
      <c r="G4646" s="43"/>
    </row>
    <row r="4647" spans="6:7" x14ac:dyDescent="0.3">
      <c r="F4647" s="43"/>
      <c r="G4647" s="43"/>
    </row>
    <row r="4648" spans="6:7" x14ac:dyDescent="0.3">
      <c r="F4648" s="43"/>
      <c r="G4648" s="43"/>
    </row>
    <row r="4649" spans="6:7" x14ac:dyDescent="0.3">
      <c r="F4649" s="43"/>
      <c r="G4649" s="43"/>
    </row>
    <row r="4650" spans="6:7" x14ac:dyDescent="0.3">
      <c r="F4650" s="43"/>
      <c r="G4650" s="43"/>
    </row>
    <row r="4651" spans="6:7" x14ac:dyDescent="0.3">
      <c r="F4651" s="43"/>
      <c r="G4651" s="43"/>
    </row>
    <row r="4652" spans="6:7" x14ac:dyDescent="0.3">
      <c r="F4652" s="43"/>
      <c r="G4652" s="43"/>
    </row>
    <row r="4653" spans="6:7" x14ac:dyDescent="0.3">
      <c r="F4653" s="43"/>
      <c r="G4653" s="43"/>
    </row>
    <row r="4654" spans="6:7" x14ac:dyDescent="0.3">
      <c r="F4654" s="43"/>
      <c r="G4654" s="43"/>
    </row>
    <row r="4655" spans="6:7" x14ac:dyDescent="0.3">
      <c r="F4655" s="43"/>
      <c r="G4655" s="43"/>
    </row>
    <row r="4656" spans="6:7" x14ac:dyDescent="0.3">
      <c r="F4656" s="43"/>
      <c r="G4656" s="43"/>
    </row>
    <row r="4657" spans="6:7" x14ac:dyDescent="0.3">
      <c r="F4657" s="43"/>
      <c r="G4657" s="43"/>
    </row>
    <row r="4658" spans="6:7" x14ac:dyDescent="0.3">
      <c r="F4658" s="43"/>
      <c r="G4658" s="43"/>
    </row>
    <row r="4659" spans="6:7" x14ac:dyDescent="0.3">
      <c r="F4659" s="43"/>
      <c r="G4659" s="43"/>
    </row>
    <row r="4660" spans="6:7" x14ac:dyDescent="0.3">
      <c r="F4660" s="43"/>
      <c r="G4660" s="43"/>
    </row>
    <row r="4661" spans="6:7" x14ac:dyDescent="0.3">
      <c r="F4661" s="43"/>
      <c r="G4661" s="43"/>
    </row>
    <row r="4662" spans="6:7" x14ac:dyDescent="0.3">
      <c r="F4662" s="43"/>
      <c r="G4662" s="43"/>
    </row>
    <row r="4663" spans="6:7" x14ac:dyDescent="0.3">
      <c r="F4663" s="43"/>
      <c r="G4663" s="43"/>
    </row>
    <row r="4664" spans="6:7" x14ac:dyDescent="0.3">
      <c r="F4664" s="43"/>
      <c r="G4664" s="43"/>
    </row>
    <row r="4665" spans="6:7" x14ac:dyDescent="0.3">
      <c r="F4665" s="43"/>
      <c r="G4665" s="43"/>
    </row>
    <row r="4666" spans="6:7" x14ac:dyDescent="0.3">
      <c r="F4666" s="43"/>
      <c r="G4666" s="43"/>
    </row>
    <row r="4667" spans="6:7" x14ac:dyDescent="0.3">
      <c r="F4667" s="43"/>
      <c r="G4667" s="43"/>
    </row>
    <row r="4668" spans="6:7" x14ac:dyDescent="0.3">
      <c r="F4668" s="43"/>
      <c r="G4668" s="43"/>
    </row>
    <row r="4669" spans="6:7" x14ac:dyDescent="0.3">
      <c r="F4669" s="43"/>
      <c r="G4669" s="43"/>
    </row>
    <row r="4670" spans="6:7" x14ac:dyDescent="0.3">
      <c r="F4670" s="43"/>
      <c r="G4670" s="43"/>
    </row>
    <row r="4671" spans="6:7" x14ac:dyDescent="0.3">
      <c r="F4671" s="43"/>
      <c r="G4671" s="43"/>
    </row>
    <row r="4672" spans="6:7" x14ac:dyDescent="0.3">
      <c r="F4672" s="43"/>
      <c r="G4672" s="43"/>
    </row>
    <row r="4673" spans="6:7" x14ac:dyDescent="0.3">
      <c r="F4673" s="43"/>
      <c r="G4673" s="43"/>
    </row>
    <row r="4674" spans="6:7" x14ac:dyDescent="0.3">
      <c r="F4674" s="43"/>
      <c r="G4674" s="43"/>
    </row>
    <row r="4675" spans="6:7" x14ac:dyDescent="0.3">
      <c r="F4675" s="43"/>
      <c r="G4675" s="43"/>
    </row>
    <row r="4676" spans="6:7" x14ac:dyDescent="0.3">
      <c r="F4676" s="43"/>
      <c r="G4676" s="43"/>
    </row>
    <row r="4677" spans="6:7" x14ac:dyDescent="0.3">
      <c r="F4677" s="43"/>
      <c r="G4677" s="43"/>
    </row>
    <row r="4678" spans="6:7" x14ac:dyDescent="0.3">
      <c r="F4678" s="43"/>
      <c r="G4678" s="43"/>
    </row>
    <row r="4679" spans="6:7" x14ac:dyDescent="0.3">
      <c r="F4679" s="43"/>
      <c r="G4679" s="43"/>
    </row>
    <row r="4680" spans="6:7" x14ac:dyDescent="0.3">
      <c r="F4680" s="43"/>
      <c r="G4680" s="43"/>
    </row>
    <row r="4681" spans="6:7" x14ac:dyDescent="0.3">
      <c r="F4681" s="43"/>
      <c r="G4681" s="43"/>
    </row>
    <row r="4682" spans="6:7" x14ac:dyDescent="0.3">
      <c r="F4682" s="43"/>
      <c r="G4682" s="43"/>
    </row>
    <row r="4683" spans="6:7" x14ac:dyDescent="0.3">
      <c r="F4683" s="43"/>
      <c r="G4683" s="43"/>
    </row>
    <row r="4684" spans="6:7" x14ac:dyDescent="0.3">
      <c r="F4684" s="43"/>
      <c r="G4684" s="43"/>
    </row>
    <row r="4685" spans="6:7" x14ac:dyDescent="0.3">
      <c r="F4685" s="43"/>
      <c r="G4685" s="43"/>
    </row>
    <row r="4686" spans="6:7" x14ac:dyDescent="0.3">
      <c r="F4686" s="43"/>
      <c r="G4686" s="43"/>
    </row>
    <row r="4687" spans="6:7" x14ac:dyDescent="0.3">
      <c r="F4687" s="43"/>
      <c r="G4687" s="43"/>
    </row>
    <row r="4688" spans="6:7" x14ac:dyDescent="0.3">
      <c r="F4688" s="43"/>
      <c r="G4688" s="43"/>
    </row>
    <row r="4689" spans="6:7" x14ac:dyDescent="0.3">
      <c r="F4689" s="43"/>
      <c r="G4689" s="43"/>
    </row>
    <row r="4690" spans="6:7" x14ac:dyDescent="0.3">
      <c r="F4690" s="43"/>
      <c r="G4690" s="43"/>
    </row>
    <row r="4691" spans="6:7" x14ac:dyDescent="0.3">
      <c r="F4691" s="43"/>
      <c r="G4691" s="43"/>
    </row>
    <row r="4692" spans="6:7" x14ac:dyDescent="0.3">
      <c r="F4692" s="43"/>
      <c r="G4692" s="43"/>
    </row>
    <row r="4693" spans="6:7" x14ac:dyDescent="0.3">
      <c r="F4693" s="43"/>
      <c r="G4693" s="43"/>
    </row>
    <row r="4694" spans="6:7" x14ac:dyDescent="0.3">
      <c r="F4694" s="43"/>
      <c r="G4694" s="43"/>
    </row>
    <row r="4695" spans="6:7" x14ac:dyDescent="0.3">
      <c r="F4695" s="43"/>
      <c r="G4695" s="43"/>
    </row>
    <row r="4696" spans="6:7" x14ac:dyDescent="0.3">
      <c r="F4696" s="43"/>
      <c r="G4696" s="43"/>
    </row>
    <row r="4697" spans="6:7" x14ac:dyDescent="0.3">
      <c r="F4697" s="43"/>
      <c r="G4697" s="43"/>
    </row>
    <row r="4698" spans="6:7" x14ac:dyDescent="0.3">
      <c r="F4698" s="43"/>
      <c r="G4698" s="43"/>
    </row>
    <row r="4699" spans="6:7" x14ac:dyDescent="0.3">
      <c r="F4699" s="43"/>
      <c r="G4699" s="43"/>
    </row>
    <row r="4700" spans="6:7" x14ac:dyDescent="0.3">
      <c r="F4700" s="43"/>
      <c r="G4700" s="43"/>
    </row>
    <row r="4701" spans="6:7" x14ac:dyDescent="0.3">
      <c r="F4701" s="43"/>
      <c r="G4701" s="43"/>
    </row>
    <row r="4702" spans="6:7" x14ac:dyDescent="0.3">
      <c r="F4702" s="43"/>
      <c r="G4702" s="43"/>
    </row>
    <row r="4703" spans="6:7" x14ac:dyDescent="0.3">
      <c r="F4703" s="43"/>
      <c r="G4703" s="43"/>
    </row>
    <row r="4704" spans="6:7" x14ac:dyDescent="0.3">
      <c r="F4704" s="43"/>
      <c r="G4704" s="43"/>
    </row>
    <row r="4705" spans="5:7" x14ac:dyDescent="0.3">
      <c r="F4705" s="43"/>
      <c r="G4705" s="43"/>
    </row>
    <row r="4706" spans="5:7" x14ac:dyDescent="0.3">
      <c r="F4706" s="43"/>
      <c r="G4706" s="43"/>
    </row>
    <row r="4707" spans="5:7" x14ac:dyDescent="0.3">
      <c r="F4707" s="43"/>
      <c r="G4707" s="43"/>
    </row>
    <row r="4708" spans="5:7" x14ac:dyDescent="0.3">
      <c r="F4708" s="43"/>
      <c r="G4708" s="43"/>
    </row>
    <row r="4709" spans="5:7" x14ac:dyDescent="0.3">
      <c r="F4709" s="43"/>
      <c r="G4709" s="43"/>
    </row>
    <row r="4710" spans="5:7" x14ac:dyDescent="0.3">
      <c r="F4710" s="43"/>
      <c r="G4710" s="43"/>
    </row>
    <row r="4711" spans="5:7" x14ac:dyDescent="0.3">
      <c r="E4711" s="44"/>
      <c r="F4711" s="43"/>
      <c r="G4711" s="43"/>
    </row>
    <row r="4712" spans="5:7" x14ac:dyDescent="0.3">
      <c r="F4712" s="43"/>
      <c r="G4712" s="43"/>
    </row>
    <row r="4713" spans="5:7" x14ac:dyDescent="0.3">
      <c r="F4713" s="43"/>
      <c r="G4713" s="43"/>
    </row>
    <row r="4714" spans="5:7" x14ac:dyDescent="0.3">
      <c r="F4714" s="43"/>
      <c r="G4714" s="43"/>
    </row>
    <row r="4715" spans="5:7" x14ac:dyDescent="0.3">
      <c r="F4715" s="43"/>
      <c r="G4715" s="43"/>
    </row>
    <row r="4716" spans="5:7" x14ac:dyDescent="0.3">
      <c r="F4716" s="43"/>
      <c r="G4716" s="43"/>
    </row>
    <row r="4717" spans="5:7" x14ac:dyDescent="0.3">
      <c r="F4717" s="43"/>
      <c r="G4717" s="43"/>
    </row>
    <row r="4718" spans="5:7" x14ac:dyDescent="0.3">
      <c r="F4718" s="43"/>
      <c r="G4718" s="43"/>
    </row>
    <row r="4719" spans="5:7" x14ac:dyDescent="0.3">
      <c r="F4719" s="43"/>
      <c r="G4719" s="43"/>
    </row>
    <row r="4720" spans="5:7" x14ac:dyDescent="0.3">
      <c r="F4720" s="43"/>
      <c r="G4720" s="43"/>
    </row>
    <row r="4721" spans="6:7" x14ac:dyDescent="0.3">
      <c r="F4721" s="43"/>
      <c r="G4721" s="43"/>
    </row>
    <row r="4722" spans="6:7" x14ac:dyDescent="0.3">
      <c r="F4722" s="43"/>
      <c r="G4722" s="43"/>
    </row>
    <row r="4723" spans="6:7" x14ac:dyDescent="0.3">
      <c r="F4723" s="43"/>
      <c r="G4723" s="43"/>
    </row>
    <row r="4724" spans="6:7" x14ac:dyDescent="0.3">
      <c r="F4724" s="43"/>
      <c r="G4724" s="43"/>
    </row>
    <row r="4725" spans="6:7" x14ac:dyDescent="0.3">
      <c r="F4725" s="43"/>
      <c r="G4725" s="43"/>
    </row>
    <row r="4726" spans="6:7" x14ac:dyDescent="0.3">
      <c r="F4726" s="43"/>
      <c r="G4726" s="43"/>
    </row>
    <row r="4727" spans="6:7" x14ac:dyDescent="0.3">
      <c r="F4727" s="43"/>
      <c r="G4727" s="43"/>
    </row>
    <row r="4728" spans="6:7" x14ac:dyDescent="0.3">
      <c r="F4728" s="43"/>
      <c r="G4728" s="43"/>
    </row>
    <row r="4729" spans="6:7" x14ac:dyDescent="0.3">
      <c r="F4729" s="43"/>
      <c r="G4729" s="43"/>
    </row>
    <row r="4730" spans="6:7" x14ac:dyDescent="0.3">
      <c r="F4730" s="43"/>
      <c r="G4730" s="43"/>
    </row>
    <row r="4731" spans="6:7" x14ac:dyDescent="0.3">
      <c r="F4731" s="43"/>
      <c r="G4731" s="43"/>
    </row>
    <row r="4732" spans="6:7" x14ac:dyDescent="0.3">
      <c r="F4732" s="43"/>
      <c r="G4732" s="43"/>
    </row>
    <row r="4733" spans="6:7" x14ac:dyDescent="0.3">
      <c r="F4733" s="43"/>
      <c r="G4733" s="43"/>
    </row>
    <row r="4734" spans="6:7" x14ac:dyDescent="0.3">
      <c r="F4734" s="43"/>
      <c r="G4734" s="43"/>
    </row>
    <row r="4735" spans="6:7" x14ac:dyDescent="0.3">
      <c r="F4735" s="43"/>
      <c r="G4735" s="43"/>
    </row>
    <row r="4736" spans="6:7" x14ac:dyDescent="0.3">
      <c r="F4736" s="1"/>
      <c r="G4736" s="1"/>
    </row>
    <row r="4737" spans="6:7" x14ac:dyDescent="0.3">
      <c r="F4737" s="43"/>
      <c r="G4737" s="43"/>
    </row>
    <row r="4738" spans="6:7" x14ac:dyDescent="0.3">
      <c r="F4738" s="43"/>
      <c r="G4738" s="43"/>
    </row>
    <row r="4739" spans="6:7" x14ac:dyDescent="0.3">
      <c r="F4739" s="43"/>
      <c r="G4739" s="43"/>
    </row>
    <row r="4740" spans="6:7" x14ac:dyDescent="0.3">
      <c r="F4740" s="43"/>
      <c r="G4740" s="43"/>
    </row>
    <row r="4741" spans="6:7" x14ac:dyDescent="0.3">
      <c r="F4741" s="43"/>
      <c r="G4741" s="43"/>
    </row>
    <row r="4742" spans="6:7" x14ac:dyDescent="0.3">
      <c r="F4742" s="43"/>
      <c r="G4742" s="43"/>
    </row>
    <row r="4743" spans="6:7" x14ac:dyDescent="0.3">
      <c r="F4743" s="43"/>
      <c r="G4743" s="43"/>
    </row>
    <row r="4744" spans="6:7" x14ac:dyDescent="0.3">
      <c r="F4744" s="43"/>
      <c r="G4744" s="43"/>
    </row>
    <row r="4745" spans="6:7" x14ac:dyDescent="0.3">
      <c r="F4745" s="43"/>
      <c r="G4745" s="43"/>
    </row>
    <row r="4746" spans="6:7" x14ac:dyDescent="0.3">
      <c r="F4746" s="43"/>
      <c r="G4746" s="43"/>
    </row>
    <row r="4747" spans="6:7" x14ac:dyDescent="0.3">
      <c r="F4747" s="43"/>
      <c r="G4747" s="43"/>
    </row>
    <row r="4748" spans="6:7" x14ac:dyDescent="0.3">
      <c r="F4748" s="1"/>
      <c r="G4748" s="1"/>
    </row>
    <row r="4749" spans="6:7" x14ac:dyDescent="0.3">
      <c r="F4749" s="43"/>
      <c r="G4749" s="43"/>
    </row>
    <row r="4750" spans="6:7" x14ac:dyDescent="0.3">
      <c r="F4750" s="43"/>
      <c r="G4750" s="43"/>
    </row>
    <row r="4751" spans="6:7" x14ac:dyDescent="0.3">
      <c r="F4751" s="43"/>
      <c r="G4751" s="43"/>
    </row>
    <row r="4752" spans="6:7" x14ac:dyDescent="0.3">
      <c r="F4752" s="43"/>
      <c r="G4752" s="43"/>
    </row>
    <row r="4753" spans="6:7" x14ac:dyDescent="0.3">
      <c r="F4753" s="43"/>
      <c r="G4753" s="43"/>
    </row>
    <row r="4754" spans="6:7" x14ac:dyDescent="0.3">
      <c r="F4754" s="43"/>
      <c r="G4754" s="43"/>
    </row>
    <row r="4755" spans="6:7" x14ac:dyDescent="0.3">
      <c r="F4755" s="43"/>
      <c r="G4755" s="43"/>
    </row>
    <row r="4756" spans="6:7" x14ac:dyDescent="0.3">
      <c r="F4756" s="43"/>
      <c r="G4756" s="43"/>
    </row>
    <row r="4757" spans="6:7" x14ac:dyDescent="0.3">
      <c r="F4757" s="43"/>
      <c r="G4757" s="43"/>
    </row>
    <row r="4758" spans="6:7" x14ac:dyDescent="0.3">
      <c r="F4758" s="43"/>
      <c r="G4758" s="43"/>
    </row>
    <row r="4759" spans="6:7" x14ac:dyDescent="0.3">
      <c r="F4759" s="43"/>
      <c r="G4759" s="43"/>
    </row>
    <row r="4760" spans="6:7" x14ac:dyDescent="0.3">
      <c r="F4760" s="43"/>
      <c r="G4760" s="43"/>
    </row>
    <row r="4761" spans="6:7" x14ac:dyDescent="0.3">
      <c r="F4761" s="43"/>
      <c r="G4761" s="43"/>
    </row>
    <row r="4762" spans="6:7" x14ac:dyDescent="0.3">
      <c r="F4762" s="43"/>
      <c r="G4762" s="43"/>
    </row>
    <row r="4763" spans="6:7" x14ac:dyDescent="0.3">
      <c r="F4763" s="43"/>
      <c r="G4763" s="43"/>
    </row>
    <row r="4764" spans="6:7" x14ac:dyDescent="0.3">
      <c r="F4764" s="43"/>
      <c r="G4764" s="43"/>
    </row>
    <row r="4765" spans="6:7" x14ac:dyDescent="0.3">
      <c r="F4765" s="43"/>
      <c r="G4765" s="43"/>
    </row>
    <row r="4766" spans="6:7" x14ac:dyDescent="0.3">
      <c r="F4766" s="43"/>
      <c r="G4766" s="43"/>
    </row>
    <row r="4767" spans="6:7" x14ac:dyDescent="0.3">
      <c r="F4767" s="43"/>
      <c r="G4767" s="43"/>
    </row>
    <row r="4768" spans="6:7" x14ac:dyDescent="0.3">
      <c r="F4768" s="43"/>
      <c r="G4768" s="43"/>
    </row>
    <row r="4769" spans="6:7" x14ac:dyDescent="0.3">
      <c r="F4769" s="43"/>
      <c r="G4769" s="43"/>
    </row>
    <row r="4770" spans="6:7" x14ac:dyDescent="0.3">
      <c r="F4770" s="43"/>
      <c r="G4770" s="43"/>
    </row>
    <row r="4771" spans="6:7" x14ac:dyDescent="0.3">
      <c r="F4771" s="43"/>
      <c r="G4771" s="43"/>
    </row>
    <row r="4772" spans="6:7" x14ac:dyDescent="0.3">
      <c r="F4772" s="43"/>
      <c r="G4772" s="43"/>
    </row>
    <row r="4773" spans="6:7" x14ac:dyDescent="0.3">
      <c r="F4773" s="43"/>
      <c r="G4773" s="43"/>
    </row>
    <row r="4774" spans="6:7" x14ac:dyDescent="0.3">
      <c r="F4774" s="43"/>
      <c r="G4774" s="43"/>
    </row>
    <row r="4775" spans="6:7" x14ac:dyDescent="0.3">
      <c r="F4775" s="43"/>
      <c r="G4775" s="43"/>
    </row>
    <row r="4776" spans="6:7" x14ac:dyDescent="0.3">
      <c r="F4776" s="43"/>
      <c r="G4776" s="43"/>
    </row>
    <row r="4777" spans="6:7" x14ac:dyDescent="0.3">
      <c r="F4777" s="43"/>
      <c r="G4777" s="43"/>
    </row>
    <row r="4778" spans="6:7" x14ac:dyDescent="0.3">
      <c r="F4778" s="43"/>
      <c r="G4778" s="43"/>
    </row>
    <row r="4779" spans="6:7" x14ac:dyDescent="0.3">
      <c r="F4779" s="43"/>
      <c r="G4779" s="43"/>
    </row>
    <row r="4780" spans="6:7" x14ac:dyDescent="0.3">
      <c r="F4780" s="43"/>
      <c r="G4780" s="43"/>
    </row>
    <row r="4781" spans="6:7" x14ac:dyDescent="0.3">
      <c r="F4781" s="43"/>
      <c r="G4781" s="43"/>
    </row>
    <row r="4782" spans="6:7" x14ac:dyDescent="0.3">
      <c r="F4782" s="43"/>
      <c r="G4782" s="43"/>
    </row>
    <row r="4783" spans="6:7" x14ac:dyDescent="0.3">
      <c r="F4783" s="43"/>
      <c r="G4783" s="43"/>
    </row>
    <row r="4784" spans="6:7" x14ac:dyDescent="0.3">
      <c r="F4784" s="43"/>
      <c r="G4784" s="43"/>
    </row>
    <row r="4785" spans="6:7" x14ac:dyDescent="0.3">
      <c r="F4785" s="43"/>
      <c r="G4785" s="43"/>
    </row>
    <row r="4786" spans="6:7" x14ac:dyDescent="0.3">
      <c r="F4786" s="43"/>
      <c r="G4786" s="43"/>
    </row>
    <row r="4787" spans="6:7" x14ac:dyDescent="0.3">
      <c r="F4787" s="43"/>
      <c r="G4787" s="43"/>
    </row>
    <row r="4788" spans="6:7" x14ac:dyDescent="0.3">
      <c r="F4788" s="43"/>
      <c r="G4788" s="43"/>
    </row>
    <row r="4789" spans="6:7" x14ac:dyDescent="0.3">
      <c r="F4789" s="43"/>
      <c r="G4789" s="43"/>
    </row>
    <row r="4790" spans="6:7" x14ac:dyDescent="0.3">
      <c r="F4790" s="43"/>
      <c r="G4790" s="43"/>
    </row>
    <row r="4791" spans="6:7" x14ac:dyDescent="0.3">
      <c r="F4791" s="43"/>
      <c r="G4791" s="43"/>
    </row>
    <row r="4792" spans="6:7" x14ac:dyDescent="0.3">
      <c r="F4792" s="43"/>
      <c r="G4792" s="43"/>
    </row>
    <row r="4793" spans="6:7" x14ac:dyDescent="0.3">
      <c r="F4793" s="43"/>
      <c r="G4793" s="43"/>
    </row>
    <row r="4794" spans="6:7" x14ac:dyDescent="0.3">
      <c r="F4794" s="43"/>
      <c r="G4794" s="43"/>
    </row>
    <row r="4795" spans="6:7" x14ac:dyDescent="0.3">
      <c r="F4795" s="43"/>
      <c r="G4795" s="43"/>
    </row>
    <row r="4796" spans="6:7" x14ac:dyDescent="0.3">
      <c r="F4796" s="43"/>
      <c r="G4796" s="43"/>
    </row>
    <row r="4797" spans="6:7" x14ac:dyDescent="0.3">
      <c r="F4797" s="43"/>
      <c r="G4797" s="43"/>
    </row>
    <row r="4798" spans="6:7" x14ac:dyDescent="0.3">
      <c r="F4798" s="43"/>
      <c r="G4798" s="43"/>
    </row>
    <row r="4799" spans="6:7" x14ac:dyDescent="0.3">
      <c r="F4799" s="43"/>
      <c r="G4799" s="43"/>
    </row>
    <row r="4800" spans="6:7" x14ac:dyDescent="0.3">
      <c r="F4800" s="43"/>
      <c r="G4800" s="43"/>
    </row>
    <row r="4801" spans="6:7" x14ac:dyDescent="0.3">
      <c r="F4801" s="43"/>
      <c r="G4801" s="43"/>
    </row>
    <row r="4802" spans="6:7" x14ac:dyDescent="0.3">
      <c r="F4802" s="43"/>
      <c r="G4802" s="43"/>
    </row>
    <row r="4803" spans="6:7" x14ac:dyDescent="0.3">
      <c r="F4803" s="43"/>
      <c r="G4803" s="43"/>
    </row>
    <row r="4804" spans="6:7" x14ac:dyDescent="0.3">
      <c r="F4804" s="43"/>
      <c r="G4804" s="43"/>
    </row>
    <row r="4805" spans="6:7" x14ac:dyDescent="0.3">
      <c r="F4805" s="43"/>
      <c r="G4805" s="43"/>
    </row>
    <row r="4806" spans="6:7" x14ac:dyDescent="0.3">
      <c r="F4806" s="43"/>
      <c r="G4806" s="43"/>
    </row>
    <row r="4807" spans="6:7" x14ac:dyDescent="0.3">
      <c r="F4807" s="43"/>
      <c r="G4807" s="43"/>
    </row>
    <row r="4808" spans="6:7" x14ac:dyDescent="0.3">
      <c r="F4808" s="43"/>
      <c r="G4808" s="43"/>
    </row>
    <row r="4809" spans="6:7" x14ac:dyDescent="0.3">
      <c r="F4809" s="43"/>
      <c r="G4809" s="43"/>
    </row>
    <row r="4810" spans="6:7" x14ac:dyDescent="0.3">
      <c r="F4810" s="43"/>
      <c r="G4810" s="43"/>
    </row>
    <row r="4811" spans="6:7" x14ac:dyDescent="0.3">
      <c r="F4811" s="43"/>
      <c r="G4811" s="43"/>
    </row>
    <row r="4812" spans="6:7" x14ac:dyDescent="0.3">
      <c r="F4812" s="43"/>
      <c r="G4812" s="43"/>
    </row>
    <row r="4813" spans="6:7" x14ac:dyDescent="0.3">
      <c r="F4813" s="43"/>
      <c r="G4813" s="43"/>
    </row>
    <row r="4814" spans="6:7" x14ac:dyDescent="0.3">
      <c r="F4814" s="43"/>
      <c r="G4814" s="43"/>
    </row>
    <row r="4815" spans="6:7" x14ac:dyDescent="0.3">
      <c r="F4815" s="43"/>
      <c r="G4815" s="43"/>
    </row>
    <row r="4816" spans="6:7" x14ac:dyDescent="0.3">
      <c r="F4816" s="43"/>
      <c r="G4816" s="43"/>
    </row>
    <row r="4817" spans="6:7" x14ac:dyDescent="0.3">
      <c r="F4817" s="43"/>
      <c r="G4817" s="43"/>
    </row>
    <row r="4818" spans="6:7" x14ac:dyDescent="0.3">
      <c r="F4818" s="43"/>
      <c r="G4818" s="43"/>
    </row>
    <row r="4819" spans="6:7" x14ac:dyDescent="0.3">
      <c r="F4819" s="43"/>
      <c r="G4819" s="43"/>
    </row>
    <row r="4820" spans="6:7" x14ac:dyDescent="0.3">
      <c r="F4820" s="1"/>
      <c r="G4820" s="1"/>
    </row>
    <row r="4821" spans="6:7" x14ac:dyDescent="0.3">
      <c r="F4821" s="43"/>
      <c r="G4821" s="43"/>
    </row>
    <row r="4822" spans="6:7" x14ac:dyDescent="0.3">
      <c r="F4822" s="43"/>
      <c r="G4822" s="43"/>
    </row>
    <row r="4823" spans="6:7" x14ac:dyDescent="0.3">
      <c r="F4823" s="43"/>
      <c r="G4823" s="43"/>
    </row>
    <row r="4824" spans="6:7" x14ac:dyDescent="0.3">
      <c r="F4824" s="43"/>
      <c r="G4824" s="43"/>
    </row>
    <row r="4825" spans="6:7" x14ac:dyDescent="0.3">
      <c r="F4825" s="43"/>
      <c r="G4825" s="43"/>
    </row>
    <row r="4826" spans="6:7" x14ac:dyDescent="0.3">
      <c r="F4826" s="43"/>
      <c r="G4826" s="43"/>
    </row>
    <row r="4827" spans="6:7" x14ac:dyDescent="0.3">
      <c r="F4827" s="43"/>
      <c r="G4827" s="43"/>
    </row>
    <row r="4828" spans="6:7" x14ac:dyDescent="0.3">
      <c r="F4828" s="43"/>
      <c r="G4828" s="43"/>
    </row>
    <row r="4829" spans="6:7" x14ac:dyDescent="0.3">
      <c r="F4829" s="43"/>
      <c r="G4829" s="43"/>
    </row>
    <row r="4830" spans="6:7" x14ac:dyDescent="0.3">
      <c r="F4830" s="1"/>
      <c r="G4830" s="1"/>
    </row>
    <row r="4831" spans="6:7" x14ac:dyDescent="0.3">
      <c r="F4831" s="43"/>
      <c r="G4831" s="43"/>
    </row>
    <row r="4832" spans="6:7" x14ac:dyDescent="0.3">
      <c r="F4832" s="43"/>
      <c r="G4832" s="43"/>
    </row>
    <row r="4833" spans="6:14" x14ac:dyDescent="0.3">
      <c r="F4833" s="43"/>
      <c r="G4833" s="43"/>
    </row>
    <row r="4834" spans="6:14" x14ac:dyDescent="0.3">
      <c r="F4834" s="43"/>
      <c r="G4834" s="43"/>
    </row>
    <row r="4835" spans="6:14" x14ac:dyDescent="0.3">
      <c r="F4835" s="43"/>
      <c r="G4835" s="43"/>
    </row>
    <row r="4836" spans="6:14" x14ac:dyDescent="0.3">
      <c r="F4836" s="43"/>
      <c r="G4836" s="43"/>
    </row>
    <row r="4837" spans="6:14" x14ac:dyDescent="0.3">
      <c r="F4837" s="43"/>
      <c r="G4837" s="43"/>
    </row>
    <row r="4838" spans="6:14" x14ac:dyDescent="0.3">
      <c r="F4838" s="43"/>
      <c r="G4838" s="43"/>
    </row>
    <row r="4839" spans="6:14" x14ac:dyDescent="0.3">
      <c r="F4839" s="43"/>
      <c r="G4839" s="43"/>
      <c r="N4839" s="46"/>
    </row>
    <row r="4840" spans="6:14" x14ac:dyDescent="0.3">
      <c r="F4840" s="43"/>
      <c r="G4840" s="43"/>
    </row>
    <row r="4841" spans="6:14" x14ac:dyDescent="0.3">
      <c r="F4841" s="43"/>
      <c r="G4841" s="43"/>
    </row>
    <row r="4842" spans="6:14" x14ac:dyDescent="0.3">
      <c r="F4842" s="43"/>
      <c r="G4842" s="43"/>
    </row>
    <row r="4843" spans="6:14" x14ac:dyDescent="0.3">
      <c r="F4843" s="43"/>
      <c r="G4843" s="43"/>
    </row>
    <row r="4844" spans="6:14" x14ac:dyDescent="0.3">
      <c r="F4844" s="43"/>
      <c r="G4844" s="43"/>
    </row>
    <row r="4845" spans="6:14" x14ac:dyDescent="0.3">
      <c r="F4845" s="43"/>
      <c r="G4845" s="43"/>
    </row>
    <row r="4846" spans="6:14" x14ac:dyDescent="0.3">
      <c r="F4846" s="43"/>
      <c r="G4846" s="43"/>
    </row>
    <row r="4847" spans="6:14" x14ac:dyDescent="0.3">
      <c r="F4847" s="43"/>
      <c r="G4847" s="43"/>
    </row>
    <row r="4848" spans="6:14" x14ac:dyDescent="0.3">
      <c r="F4848" s="43"/>
      <c r="G4848" s="43"/>
    </row>
    <row r="4849" spans="6:18" x14ac:dyDescent="0.3">
      <c r="F4849" s="43"/>
      <c r="G4849" s="43"/>
    </row>
    <row r="4850" spans="6:18" x14ac:dyDescent="0.3">
      <c r="F4850" s="43"/>
      <c r="G4850" s="43"/>
    </row>
    <row r="4851" spans="6:18" x14ac:dyDescent="0.3">
      <c r="F4851" s="43"/>
      <c r="G4851" s="43"/>
      <c r="N4851" s="46"/>
    </row>
    <row r="4852" spans="6:18" x14ac:dyDescent="0.3">
      <c r="F4852" s="43"/>
      <c r="G4852" s="43"/>
    </row>
    <row r="4853" spans="6:18" x14ac:dyDescent="0.3">
      <c r="F4853" s="43"/>
      <c r="G4853" s="43"/>
      <c r="R4853" s="51"/>
    </row>
    <row r="4854" spans="6:18" x14ac:dyDescent="0.3">
      <c r="F4854" s="43"/>
      <c r="G4854" s="43"/>
    </row>
    <row r="4855" spans="6:18" x14ac:dyDescent="0.3">
      <c r="F4855" s="43"/>
      <c r="G4855" s="43"/>
    </row>
    <row r="4856" spans="6:18" x14ac:dyDescent="0.3">
      <c r="F4856" s="43"/>
      <c r="G4856" s="43"/>
    </row>
    <row r="4857" spans="6:18" x14ac:dyDescent="0.3">
      <c r="F4857" s="43"/>
      <c r="G4857" s="43"/>
    </row>
    <row r="4858" spans="6:18" x14ac:dyDescent="0.3">
      <c r="F4858" s="43"/>
      <c r="G4858" s="43"/>
    </row>
    <row r="4859" spans="6:18" x14ac:dyDescent="0.3">
      <c r="F4859" s="43"/>
      <c r="G4859" s="43"/>
    </row>
    <row r="4860" spans="6:18" x14ac:dyDescent="0.3">
      <c r="F4860" s="43"/>
      <c r="G4860" s="43"/>
    </row>
    <row r="4861" spans="6:18" x14ac:dyDescent="0.3">
      <c r="F4861" s="43"/>
      <c r="G4861" s="43"/>
    </row>
    <row r="4862" spans="6:18" x14ac:dyDescent="0.3">
      <c r="F4862" s="43"/>
      <c r="G4862" s="43"/>
    </row>
    <row r="4863" spans="6:18" x14ac:dyDescent="0.3">
      <c r="F4863" s="43"/>
      <c r="G4863" s="43"/>
    </row>
    <row r="4864" spans="6:18" x14ac:dyDescent="0.3">
      <c r="F4864" s="43"/>
      <c r="G4864" s="43"/>
    </row>
    <row r="4865" spans="5:7" x14ac:dyDescent="0.3">
      <c r="F4865" s="43"/>
      <c r="G4865" s="43"/>
    </row>
    <row r="4866" spans="5:7" x14ac:dyDescent="0.3">
      <c r="F4866" s="43"/>
      <c r="G4866" s="43"/>
    </row>
    <row r="4867" spans="5:7" x14ac:dyDescent="0.3">
      <c r="F4867" s="43"/>
      <c r="G4867" s="43"/>
    </row>
    <row r="4868" spans="5:7" x14ac:dyDescent="0.3">
      <c r="F4868" s="43"/>
      <c r="G4868" s="43"/>
    </row>
    <row r="4869" spans="5:7" x14ac:dyDescent="0.3">
      <c r="F4869" s="43"/>
      <c r="G4869" s="43"/>
    </row>
    <row r="4870" spans="5:7" x14ac:dyDescent="0.3">
      <c r="E4870" s="47"/>
      <c r="F4870" s="43"/>
      <c r="G4870" s="43"/>
    </row>
    <row r="4871" spans="5:7" x14ac:dyDescent="0.3">
      <c r="F4871" s="43"/>
      <c r="G4871" s="43"/>
    </row>
    <row r="4872" spans="5:7" x14ac:dyDescent="0.3">
      <c r="F4872" s="43"/>
      <c r="G4872" s="43"/>
    </row>
    <row r="4873" spans="5:7" x14ac:dyDescent="0.3">
      <c r="F4873" s="43"/>
      <c r="G4873" s="43"/>
    </row>
    <row r="4874" spans="5:7" x14ac:dyDescent="0.3">
      <c r="F4874" s="43"/>
      <c r="G4874" s="43"/>
    </row>
    <row r="4875" spans="5:7" x14ac:dyDescent="0.3">
      <c r="F4875" s="43"/>
      <c r="G4875" s="43"/>
    </row>
    <row r="4876" spans="5:7" x14ac:dyDescent="0.3">
      <c r="F4876" s="43"/>
      <c r="G4876" s="43"/>
    </row>
    <row r="4877" spans="5:7" x14ac:dyDescent="0.3">
      <c r="F4877" s="43"/>
      <c r="G4877" s="43"/>
    </row>
    <row r="4878" spans="5:7" x14ac:dyDescent="0.3">
      <c r="F4878" s="43"/>
      <c r="G4878" s="43"/>
    </row>
    <row r="4879" spans="5:7" x14ac:dyDescent="0.3">
      <c r="F4879" s="43"/>
      <c r="G4879" s="43"/>
    </row>
    <row r="4880" spans="5:7" x14ac:dyDescent="0.3">
      <c r="E4880" s="47"/>
      <c r="F4880" s="43"/>
      <c r="G4880" s="43"/>
    </row>
    <row r="4881" spans="6:7" x14ac:dyDescent="0.3">
      <c r="F4881" s="43"/>
      <c r="G4881" s="43"/>
    </row>
    <row r="4882" spans="6:7" x14ac:dyDescent="0.3">
      <c r="F4882" s="43"/>
      <c r="G4882" s="43"/>
    </row>
    <row r="4883" spans="6:7" x14ac:dyDescent="0.3">
      <c r="F4883" s="43"/>
      <c r="G4883" s="43"/>
    </row>
    <row r="4884" spans="6:7" x14ac:dyDescent="0.3">
      <c r="F4884" s="43"/>
      <c r="G4884" s="43"/>
    </row>
    <row r="4885" spans="6:7" x14ac:dyDescent="0.3">
      <c r="F4885" s="43"/>
      <c r="G4885" s="43"/>
    </row>
    <row r="4886" spans="6:7" x14ac:dyDescent="0.3">
      <c r="F4886" s="43"/>
      <c r="G4886" s="43"/>
    </row>
    <row r="4887" spans="6:7" x14ac:dyDescent="0.3">
      <c r="F4887" s="43"/>
      <c r="G4887" s="43"/>
    </row>
    <row r="4888" spans="6:7" x14ac:dyDescent="0.3">
      <c r="F4888" s="43"/>
      <c r="G4888" s="43"/>
    </row>
    <row r="4889" spans="6:7" x14ac:dyDescent="0.3">
      <c r="F4889" s="43"/>
      <c r="G4889" s="43"/>
    </row>
    <row r="4890" spans="6:7" x14ac:dyDescent="0.3">
      <c r="F4890" s="43"/>
      <c r="G4890" s="43"/>
    </row>
    <row r="4891" spans="6:7" x14ac:dyDescent="0.3">
      <c r="F4891" s="43"/>
      <c r="G4891" s="43"/>
    </row>
    <row r="4892" spans="6:7" x14ac:dyDescent="0.3">
      <c r="F4892" s="43"/>
      <c r="G4892" s="43"/>
    </row>
    <row r="4893" spans="6:7" x14ac:dyDescent="0.3">
      <c r="F4893" s="43"/>
      <c r="G4893" s="43"/>
    </row>
    <row r="4894" spans="6:7" x14ac:dyDescent="0.3">
      <c r="F4894" s="43"/>
      <c r="G4894" s="43"/>
    </row>
    <row r="4895" spans="6:7" x14ac:dyDescent="0.3">
      <c r="F4895" s="43"/>
      <c r="G4895" s="43"/>
    </row>
    <row r="4896" spans="6:7" x14ac:dyDescent="0.3">
      <c r="F4896" s="43"/>
      <c r="G4896" s="43"/>
    </row>
    <row r="4897" spans="6:7" x14ac:dyDescent="0.3">
      <c r="F4897" s="43"/>
      <c r="G4897" s="43"/>
    </row>
    <row r="4898" spans="6:7" x14ac:dyDescent="0.3">
      <c r="F4898" s="43"/>
      <c r="G4898" s="43"/>
    </row>
    <row r="4899" spans="6:7" x14ac:dyDescent="0.3">
      <c r="F4899" s="43"/>
      <c r="G4899" s="43"/>
    </row>
    <row r="4900" spans="6:7" x14ac:dyDescent="0.3">
      <c r="F4900" s="43"/>
      <c r="G4900" s="43"/>
    </row>
    <row r="4901" spans="6:7" x14ac:dyDescent="0.3">
      <c r="F4901" s="43"/>
      <c r="G4901" s="43"/>
    </row>
    <row r="4902" spans="6:7" x14ac:dyDescent="0.3">
      <c r="F4902" s="43"/>
      <c r="G4902" s="43"/>
    </row>
    <row r="4903" spans="6:7" x14ac:dyDescent="0.3">
      <c r="F4903" s="43"/>
      <c r="G4903" s="43"/>
    </row>
    <row r="4904" spans="6:7" x14ac:dyDescent="0.3">
      <c r="F4904" s="43"/>
      <c r="G4904" s="43"/>
    </row>
    <row r="4905" spans="6:7" x14ac:dyDescent="0.3">
      <c r="F4905" s="43"/>
      <c r="G4905" s="43"/>
    </row>
    <row r="4906" spans="6:7" x14ac:dyDescent="0.3">
      <c r="F4906" s="43"/>
      <c r="G4906" s="43"/>
    </row>
    <row r="4907" spans="6:7" x14ac:dyDescent="0.3">
      <c r="F4907" s="43"/>
      <c r="G4907" s="43"/>
    </row>
    <row r="4908" spans="6:7" x14ac:dyDescent="0.3">
      <c r="F4908" s="43"/>
      <c r="G4908" s="43"/>
    </row>
    <row r="4909" spans="6:7" x14ac:dyDescent="0.3">
      <c r="F4909" s="43"/>
      <c r="G4909" s="43"/>
    </row>
    <row r="4910" spans="6:7" x14ac:dyDescent="0.3">
      <c r="F4910" s="43"/>
      <c r="G4910" s="43"/>
    </row>
    <row r="4911" spans="6:7" x14ac:dyDescent="0.3">
      <c r="F4911" s="43"/>
      <c r="G4911" s="43"/>
    </row>
    <row r="4912" spans="6:7" x14ac:dyDescent="0.3">
      <c r="F4912" s="43"/>
      <c r="G4912" s="43"/>
    </row>
    <row r="4913" spans="6:7" x14ac:dyDescent="0.3">
      <c r="F4913" s="43"/>
      <c r="G4913" s="43"/>
    </row>
    <row r="4914" spans="6:7" x14ac:dyDescent="0.3">
      <c r="F4914" s="43"/>
      <c r="G4914" s="43"/>
    </row>
    <row r="4915" spans="6:7" x14ac:dyDescent="0.3">
      <c r="F4915" s="1"/>
      <c r="G4915" s="1"/>
    </row>
    <row r="4916" spans="6:7" x14ac:dyDescent="0.3">
      <c r="F4916" s="43"/>
      <c r="G4916" s="43"/>
    </row>
    <row r="4917" spans="6:7" x14ac:dyDescent="0.3">
      <c r="F4917" s="43"/>
      <c r="G4917" s="43"/>
    </row>
    <row r="4918" spans="6:7" x14ac:dyDescent="0.3">
      <c r="F4918" s="43"/>
      <c r="G4918" s="43"/>
    </row>
    <row r="4919" spans="6:7" x14ac:dyDescent="0.3">
      <c r="F4919" s="43"/>
      <c r="G4919" s="43"/>
    </row>
    <row r="4920" spans="6:7" x14ac:dyDescent="0.3">
      <c r="F4920" s="43"/>
      <c r="G4920" s="43"/>
    </row>
    <row r="4921" spans="6:7" x14ac:dyDescent="0.3">
      <c r="F4921" s="43"/>
      <c r="G4921" s="43"/>
    </row>
    <row r="4922" spans="6:7" x14ac:dyDescent="0.3">
      <c r="F4922" s="43"/>
      <c r="G4922" s="43"/>
    </row>
    <row r="4923" spans="6:7" x14ac:dyDescent="0.3">
      <c r="F4923" s="43"/>
      <c r="G4923" s="43"/>
    </row>
    <row r="4924" spans="6:7" x14ac:dyDescent="0.3">
      <c r="F4924" s="43"/>
      <c r="G4924" s="43"/>
    </row>
    <row r="4925" spans="6:7" x14ac:dyDescent="0.3">
      <c r="F4925" s="43"/>
      <c r="G4925" s="43"/>
    </row>
    <row r="4926" spans="6:7" x14ac:dyDescent="0.3">
      <c r="F4926" s="43"/>
      <c r="G4926" s="43"/>
    </row>
    <row r="4927" spans="6:7" x14ac:dyDescent="0.3">
      <c r="F4927" s="43"/>
      <c r="G4927" s="43"/>
    </row>
    <row r="4928" spans="6:7" x14ac:dyDescent="0.3">
      <c r="F4928" s="43"/>
      <c r="G4928" s="43"/>
    </row>
    <row r="4929" spans="6:7" x14ac:dyDescent="0.3">
      <c r="F4929" s="43"/>
      <c r="G4929" s="43"/>
    </row>
    <row r="4930" spans="6:7" x14ac:dyDescent="0.3">
      <c r="F4930" s="43"/>
      <c r="G4930" s="43"/>
    </row>
    <row r="4931" spans="6:7" x14ac:dyDescent="0.3">
      <c r="F4931" s="43"/>
      <c r="G4931" s="43"/>
    </row>
    <row r="4932" spans="6:7" x14ac:dyDescent="0.3">
      <c r="F4932" s="43"/>
      <c r="G4932" s="43"/>
    </row>
    <row r="4933" spans="6:7" x14ac:dyDescent="0.3">
      <c r="F4933" s="43"/>
      <c r="G4933" s="43"/>
    </row>
    <row r="4934" spans="6:7" x14ac:dyDescent="0.3">
      <c r="F4934" s="43"/>
      <c r="G4934" s="43"/>
    </row>
    <row r="4935" spans="6:7" x14ac:dyDescent="0.3">
      <c r="F4935" s="43"/>
      <c r="G4935" s="43"/>
    </row>
    <row r="4936" spans="6:7" x14ac:dyDescent="0.3">
      <c r="F4936" s="43"/>
      <c r="G4936" s="43"/>
    </row>
    <row r="4937" spans="6:7" x14ac:dyDescent="0.3">
      <c r="F4937" s="43"/>
      <c r="G4937" s="43"/>
    </row>
    <row r="4938" spans="6:7" x14ac:dyDescent="0.3">
      <c r="F4938" s="43"/>
      <c r="G4938" s="43"/>
    </row>
    <row r="4939" spans="6:7" x14ac:dyDescent="0.3">
      <c r="F4939" s="43"/>
      <c r="G4939" s="43"/>
    </row>
    <row r="4940" spans="6:7" x14ac:dyDescent="0.3">
      <c r="F4940" s="43"/>
      <c r="G4940" s="43"/>
    </row>
    <row r="4941" spans="6:7" x14ac:dyDescent="0.3">
      <c r="F4941" s="43"/>
      <c r="G4941" s="43"/>
    </row>
    <row r="4942" spans="6:7" x14ac:dyDescent="0.3">
      <c r="F4942" s="43"/>
      <c r="G4942" s="43"/>
    </row>
    <row r="4943" spans="6:7" x14ac:dyDescent="0.3">
      <c r="F4943" s="43"/>
      <c r="G4943" s="43"/>
    </row>
    <row r="4944" spans="6:7" x14ac:dyDescent="0.3">
      <c r="F4944" s="43"/>
      <c r="G4944" s="43"/>
    </row>
    <row r="4945" spans="5:7" x14ac:dyDescent="0.3">
      <c r="F4945" s="43"/>
      <c r="G4945" s="43"/>
    </row>
    <row r="4946" spans="5:7" x14ac:dyDescent="0.3">
      <c r="F4946" s="43"/>
      <c r="G4946" s="43"/>
    </row>
    <row r="4947" spans="5:7" x14ac:dyDescent="0.3">
      <c r="F4947" s="43"/>
      <c r="G4947" s="43"/>
    </row>
    <row r="4948" spans="5:7" x14ac:dyDescent="0.3">
      <c r="F4948" s="43"/>
      <c r="G4948" s="43"/>
    </row>
    <row r="4949" spans="5:7" x14ac:dyDescent="0.3">
      <c r="F4949" s="43"/>
      <c r="G4949" s="43"/>
    </row>
    <row r="4950" spans="5:7" x14ac:dyDescent="0.3">
      <c r="E4950" s="47"/>
      <c r="F4950" s="43"/>
      <c r="G4950" s="43"/>
    </row>
    <row r="4951" spans="5:7" x14ac:dyDescent="0.3">
      <c r="F4951" s="43"/>
      <c r="G4951" s="43"/>
    </row>
    <row r="4952" spans="5:7" x14ac:dyDescent="0.3">
      <c r="F4952" s="1"/>
      <c r="G4952" s="1"/>
    </row>
    <row r="4953" spans="5:7" x14ac:dyDescent="0.3">
      <c r="F4953" s="43"/>
      <c r="G4953" s="43"/>
    </row>
    <row r="4954" spans="5:7" x14ac:dyDescent="0.3">
      <c r="F4954" s="43"/>
      <c r="G4954" s="43"/>
    </row>
    <row r="4955" spans="5:7" x14ac:dyDescent="0.3">
      <c r="F4955" s="43"/>
      <c r="G4955" s="43"/>
    </row>
    <row r="4956" spans="5:7" x14ac:dyDescent="0.3">
      <c r="F4956" s="43"/>
      <c r="G4956" s="43"/>
    </row>
    <row r="4957" spans="5:7" x14ac:dyDescent="0.3">
      <c r="F4957" s="43"/>
      <c r="G4957" s="43"/>
    </row>
    <row r="4958" spans="5:7" x14ac:dyDescent="0.3">
      <c r="F4958" s="43"/>
      <c r="G4958" s="43"/>
    </row>
    <row r="4959" spans="5:7" x14ac:dyDescent="0.3">
      <c r="F4959" s="43"/>
      <c r="G4959" s="43"/>
    </row>
    <row r="4960" spans="5:7" x14ac:dyDescent="0.3">
      <c r="F4960" s="43"/>
      <c r="G4960" s="43"/>
    </row>
    <row r="4961" spans="6:7" x14ac:dyDescent="0.3">
      <c r="F4961" s="43"/>
      <c r="G4961" s="43"/>
    </row>
    <row r="4962" spans="6:7" x14ac:dyDescent="0.3">
      <c r="F4962" s="43"/>
      <c r="G4962" s="43"/>
    </row>
    <row r="4963" spans="6:7" x14ac:dyDescent="0.3">
      <c r="F4963" s="43"/>
      <c r="G4963" s="43"/>
    </row>
    <row r="4964" spans="6:7" x14ac:dyDescent="0.3">
      <c r="F4964" s="43"/>
      <c r="G4964" s="43"/>
    </row>
    <row r="4965" spans="6:7" x14ac:dyDescent="0.3">
      <c r="F4965" s="43"/>
      <c r="G4965" s="43"/>
    </row>
    <row r="4966" spans="6:7" x14ac:dyDescent="0.3">
      <c r="F4966" s="43"/>
      <c r="G4966" s="43"/>
    </row>
    <row r="4967" spans="6:7" x14ac:dyDescent="0.3">
      <c r="F4967" s="43"/>
      <c r="G4967" s="43"/>
    </row>
    <row r="4968" spans="6:7" x14ac:dyDescent="0.3">
      <c r="F4968" s="43"/>
      <c r="G4968" s="43"/>
    </row>
    <row r="4969" spans="6:7" x14ac:dyDescent="0.3">
      <c r="F4969" s="43"/>
      <c r="G4969" s="43"/>
    </row>
    <row r="4970" spans="6:7" x14ac:dyDescent="0.3">
      <c r="F4970" s="43"/>
      <c r="G4970" s="43"/>
    </row>
    <row r="4971" spans="6:7" x14ac:dyDescent="0.3">
      <c r="F4971" s="43"/>
      <c r="G4971" s="43"/>
    </row>
    <row r="4972" spans="6:7" x14ac:dyDescent="0.3">
      <c r="F4972" s="43"/>
      <c r="G4972" s="43"/>
    </row>
    <row r="4973" spans="6:7" x14ac:dyDescent="0.3">
      <c r="F4973" s="43"/>
      <c r="G4973" s="43"/>
    </row>
    <row r="4974" spans="6:7" x14ac:dyDescent="0.3">
      <c r="F4974" s="43"/>
      <c r="G4974" s="43"/>
    </row>
    <row r="4975" spans="6:7" x14ac:dyDescent="0.3">
      <c r="F4975" s="43"/>
      <c r="G4975" s="43"/>
    </row>
    <row r="4976" spans="6:7" x14ac:dyDescent="0.3">
      <c r="F4976" s="43"/>
      <c r="G4976" s="43"/>
    </row>
    <row r="4977" spans="6:7" x14ac:dyDescent="0.3">
      <c r="F4977" s="43"/>
      <c r="G4977" s="43"/>
    </row>
    <row r="4978" spans="6:7" x14ac:dyDescent="0.3">
      <c r="F4978" s="43"/>
      <c r="G4978" s="43"/>
    </row>
    <row r="4979" spans="6:7" x14ac:dyDescent="0.3">
      <c r="F4979" s="43"/>
      <c r="G4979" s="43"/>
    </row>
    <row r="4980" spans="6:7" x14ac:dyDescent="0.3">
      <c r="F4980" s="43"/>
      <c r="G4980" s="43"/>
    </row>
    <row r="4981" spans="6:7" x14ac:dyDescent="0.3">
      <c r="F4981" s="1"/>
      <c r="G4981" s="1"/>
    </row>
    <row r="4982" spans="6:7" x14ac:dyDescent="0.3">
      <c r="F4982" s="43"/>
      <c r="G4982" s="43"/>
    </row>
    <row r="4983" spans="6:7" x14ac:dyDescent="0.3">
      <c r="F4983" s="43"/>
      <c r="G4983" s="43"/>
    </row>
    <row r="4984" spans="6:7" x14ac:dyDescent="0.3">
      <c r="F4984" s="43"/>
      <c r="G4984" s="43"/>
    </row>
    <row r="4985" spans="6:7" x14ac:dyDescent="0.3">
      <c r="F4985" s="43"/>
      <c r="G4985" s="43"/>
    </row>
    <row r="4986" spans="6:7" x14ac:dyDescent="0.3">
      <c r="F4986" s="43"/>
      <c r="G4986" s="43"/>
    </row>
    <row r="4987" spans="6:7" x14ac:dyDescent="0.3">
      <c r="F4987" s="43"/>
      <c r="G4987" s="43"/>
    </row>
    <row r="4988" spans="6:7" x14ac:dyDescent="0.3">
      <c r="F4988" s="43"/>
      <c r="G4988" s="43"/>
    </row>
    <row r="4989" spans="6:7" x14ac:dyDescent="0.3">
      <c r="F4989" s="43"/>
      <c r="G4989" s="43"/>
    </row>
    <row r="4990" spans="6:7" x14ac:dyDescent="0.3">
      <c r="F4990" s="43"/>
      <c r="G4990" s="43"/>
    </row>
    <row r="4991" spans="6:7" x14ac:dyDescent="0.3">
      <c r="F4991" s="43"/>
      <c r="G4991" s="43"/>
    </row>
    <row r="4992" spans="6:7" x14ac:dyDescent="0.3">
      <c r="F4992" s="43"/>
      <c r="G4992" s="43"/>
    </row>
    <row r="4993" spans="6:7" x14ac:dyDescent="0.3">
      <c r="F4993" s="43"/>
      <c r="G4993" s="43"/>
    </row>
    <row r="4994" spans="6:7" x14ac:dyDescent="0.3">
      <c r="F4994" s="43"/>
      <c r="G4994" s="43"/>
    </row>
    <row r="4995" spans="6:7" x14ac:dyDescent="0.3">
      <c r="F4995" s="43"/>
      <c r="G4995" s="43"/>
    </row>
    <row r="4996" spans="6:7" x14ac:dyDescent="0.3">
      <c r="F4996" s="43"/>
      <c r="G4996" s="43"/>
    </row>
    <row r="4997" spans="6:7" x14ac:dyDescent="0.3">
      <c r="F4997" s="43"/>
      <c r="G4997" s="43"/>
    </row>
    <row r="4998" spans="6:7" x14ac:dyDescent="0.3">
      <c r="F4998" s="43"/>
      <c r="G4998" s="43"/>
    </row>
    <row r="4999" spans="6:7" x14ac:dyDescent="0.3">
      <c r="F4999" s="43"/>
      <c r="G4999" s="43"/>
    </row>
    <row r="5000" spans="6:7" x14ac:dyDescent="0.3">
      <c r="F5000" s="43"/>
      <c r="G5000" s="43"/>
    </row>
    <row r="5001" spans="6:7" x14ac:dyDescent="0.3">
      <c r="F5001" s="43"/>
      <c r="G5001" s="43"/>
    </row>
    <row r="5002" spans="6:7" x14ac:dyDescent="0.3">
      <c r="F5002" s="43"/>
      <c r="G5002" s="43"/>
    </row>
    <row r="5003" spans="6:7" x14ac:dyDescent="0.3">
      <c r="F5003" s="43"/>
      <c r="G5003" s="43"/>
    </row>
    <row r="5004" spans="6:7" x14ac:dyDescent="0.3">
      <c r="F5004" s="43"/>
      <c r="G5004" s="43"/>
    </row>
    <row r="5005" spans="6:7" x14ac:dyDescent="0.3">
      <c r="F5005" s="43"/>
      <c r="G5005" s="43"/>
    </row>
    <row r="5006" spans="6:7" x14ac:dyDescent="0.3">
      <c r="F5006" s="43"/>
      <c r="G5006" s="43"/>
    </row>
    <row r="5007" spans="6:7" x14ac:dyDescent="0.3">
      <c r="F5007" s="43"/>
      <c r="G5007" s="43"/>
    </row>
    <row r="5008" spans="6:7" x14ac:dyDescent="0.3">
      <c r="F5008" s="1"/>
      <c r="G5008" s="43"/>
    </row>
    <row r="5009" spans="6:7" x14ac:dyDescent="0.3">
      <c r="F5009" s="43"/>
      <c r="G5009" s="43"/>
    </row>
    <row r="5010" spans="6:7" x14ac:dyDescent="0.3">
      <c r="F5010" s="43"/>
      <c r="G5010" s="43"/>
    </row>
    <row r="5011" spans="6:7" x14ac:dyDescent="0.3">
      <c r="F5011" s="43"/>
      <c r="G5011" s="43"/>
    </row>
    <row r="5012" spans="6:7" x14ac:dyDescent="0.3">
      <c r="F5012" s="43"/>
      <c r="G5012" s="43"/>
    </row>
    <row r="5013" spans="6:7" x14ac:dyDescent="0.3">
      <c r="F5013" s="43"/>
      <c r="G5013" s="43"/>
    </row>
    <row r="5014" spans="6:7" x14ac:dyDescent="0.3">
      <c r="F5014" s="43"/>
      <c r="G5014" s="43"/>
    </row>
    <row r="5015" spans="6:7" x14ac:dyDescent="0.3">
      <c r="F5015" s="43"/>
      <c r="G5015" s="43"/>
    </row>
    <row r="5016" spans="6:7" x14ac:dyDescent="0.3">
      <c r="F5016" s="43"/>
      <c r="G5016" s="43"/>
    </row>
    <row r="5017" spans="6:7" x14ac:dyDescent="0.3">
      <c r="F5017" s="43"/>
      <c r="G5017" s="43"/>
    </row>
    <row r="5018" spans="6:7" x14ac:dyDescent="0.3">
      <c r="F5018" s="43"/>
      <c r="G5018" s="43"/>
    </row>
    <row r="5019" spans="6:7" x14ac:dyDescent="0.3">
      <c r="F5019" s="43"/>
      <c r="G5019" s="43"/>
    </row>
    <row r="5020" spans="6:7" x14ac:dyDescent="0.3">
      <c r="F5020" s="43"/>
      <c r="G5020" s="43"/>
    </row>
    <row r="5021" spans="6:7" x14ac:dyDescent="0.3">
      <c r="F5021" s="43"/>
      <c r="G5021" s="43"/>
    </row>
    <row r="5022" spans="6:7" x14ac:dyDescent="0.3">
      <c r="F5022" s="43"/>
      <c r="G5022" s="43"/>
    </row>
    <row r="5023" spans="6:7" x14ac:dyDescent="0.3">
      <c r="F5023" s="43"/>
      <c r="G5023" s="43"/>
    </row>
    <row r="5024" spans="6:7" x14ac:dyDescent="0.3">
      <c r="F5024" s="43"/>
      <c r="G5024" s="43"/>
    </row>
    <row r="5025" spans="6:7" x14ac:dyDescent="0.3">
      <c r="F5025" s="43"/>
      <c r="G5025" s="43"/>
    </row>
    <row r="5026" spans="6:7" x14ac:dyDescent="0.3">
      <c r="F5026" s="43"/>
      <c r="G5026" s="43"/>
    </row>
    <row r="5027" spans="6:7" x14ac:dyDescent="0.3">
      <c r="F5027" s="43"/>
      <c r="G5027" s="43"/>
    </row>
    <row r="5028" spans="6:7" x14ac:dyDescent="0.3">
      <c r="F5028" s="43"/>
      <c r="G5028" s="43"/>
    </row>
    <row r="5029" spans="6:7" x14ac:dyDescent="0.3">
      <c r="F5029" s="43"/>
      <c r="G5029" s="43"/>
    </row>
    <row r="5030" spans="6:7" x14ac:dyDescent="0.3">
      <c r="F5030" s="43"/>
      <c r="G5030" s="43"/>
    </row>
    <row r="5031" spans="6:7" x14ac:dyDescent="0.3">
      <c r="F5031" s="43"/>
      <c r="G5031" s="43"/>
    </row>
    <row r="5032" spans="6:7" x14ac:dyDescent="0.3">
      <c r="F5032" s="43"/>
      <c r="G5032" s="43"/>
    </row>
    <row r="5033" spans="6:7" x14ac:dyDescent="0.3">
      <c r="F5033" s="43"/>
      <c r="G5033" s="43"/>
    </row>
    <row r="5034" spans="6:7" x14ac:dyDescent="0.3">
      <c r="F5034" s="43"/>
      <c r="G5034" s="43"/>
    </row>
    <row r="5035" spans="6:7" x14ac:dyDescent="0.3">
      <c r="F5035" s="43"/>
      <c r="G5035" s="43"/>
    </row>
    <row r="5036" spans="6:7" x14ac:dyDescent="0.3">
      <c r="F5036" s="1"/>
      <c r="G5036" s="1"/>
    </row>
    <row r="5037" spans="6:7" x14ac:dyDescent="0.3">
      <c r="F5037" s="43"/>
      <c r="G5037" s="43"/>
    </row>
    <row r="5038" spans="6:7" x14ac:dyDescent="0.3">
      <c r="F5038" s="43"/>
      <c r="G5038" s="43"/>
    </row>
    <row r="5039" spans="6:7" x14ac:dyDescent="0.3">
      <c r="F5039" s="43"/>
      <c r="G5039" s="43"/>
    </row>
    <row r="5040" spans="6:7" x14ac:dyDescent="0.3">
      <c r="F5040" s="43"/>
      <c r="G5040" s="43"/>
    </row>
    <row r="5041" spans="6:7" x14ac:dyDescent="0.3">
      <c r="F5041" s="43"/>
      <c r="G5041" s="43"/>
    </row>
    <row r="5042" spans="6:7" x14ac:dyDescent="0.3">
      <c r="F5042" s="43"/>
      <c r="G5042" s="43"/>
    </row>
    <row r="5043" spans="6:7" x14ac:dyDescent="0.3">
      <c r="F5043" s="43"/>
      <c r="G5043" s="43"/>
    </row>
    <row r="5044" spans="6:7" x14ac:dyDescent="0.3">
      <c r="F5044" s="43"/>
      <c r="G5044" s="43"/>
    </row>
    <row r="5045" spans="6:7" x14ac:dyDescent="0.3">
      <c r="F5045" s="43"/>
      <c r="G5045" s="43"/>
    </row>
    <row r="5046" spans="6:7" x14ac:dyDescent="0.3">
      <c r="F5046" s="43"/>
      <c r="G5046" s="43"/>
    </row>
    <row r="5047" spans="6:7" x14ac:dyDescent="0.3">
      <c r="F5047" s="43"/>
      <c r="G5047" s="43"/>
    </row>
    <row r="5048" spans="6:7" x14ac:dyDescent="0.3">
      <c r="F5048" s="43"/>
      <c r="G5048" s="43"/>
    </row>
    <row r="5049" spans="6:7" x14ac:dyDescent="0.3">
      <c r="F5049" s="43"/>
      <c r="G5049" s="43"/>
    </row>
    <row r="5050" spans="6:7" x14ac:dyDescent="0.3">
      <c r="F5050" s="43"/>
      <c r="G5050" s="43"/>
    </row>
    <row r="5051" spans="6:7" x14ac:dyDescent="0.3">
      <c r="F5051" s="43"/>
      <c r="G5051" s="43"/>
    </row>
    <row r="5052" spans="6:7" x14ac:dyDescent="0.3">
      <c r="F5052" s="43"/>
      <c r="G5052" s="43"/>
    </row>
    <row r="5053" spans="6:7" x14ac:dyDescent="0.3">
      <c r="F5053" s="43"/>
      <c r="G5053" s="43"/>
    </row>
    <row r="5054" spans="6:7" x14ac:dyDescent="0.3">
      <c r="F5054" s="43"/>
      <c r="G5054" s="43"/>
    </row>
    <row r="5055" spans="6:7" x14ac:dyDescent="0.3">
      <c r="F5055" s="43"/>
      <c r="G5055" s="43"/>
    </row>
    <row r="5056" spans="6:7" x14ac:dyDescent="0.3">
      <c r="F5056" s="43"/>
      <c r="G5056" s="43"/>
    </row>
    <row r="5057" spans="6:7" x14ac:dyDescent="0.3">
      <c r="F5057" s="43"/>
      <c r="G5057" s="43"/>
    </row>
    <row r="5058" spans="6:7" x14ac:dyDescent="0.3">
      <c r="F5058" s="43"/>
      <c r="G5058" s="43"/>
    </row>
    <row r="5059" spans="6:7" x14ac:dyDescent="0.3">
      <c r="F5059" s="43"/>
      <c r="G5059" s="43"/>
    </row>
    <row r="5060" spans="6:7" x14ac:dyDescent="0.3">
      <c r="F5060" s="43"/>
      <c r="G5060" s="43"/>
    </row>
    <row r="5061" spans="6:7" x14ac:dyDescent="0.3">
      <c r="F5061" s="43"/>
      <c r="G5061" s="43"/>
    </row>
    <row r="5062" spans="6:7" x14ac:dyDescent="0.3">
      <c r="F5062" s="43"/>
      <c r="G5062" s="43"/>
    </row>
    <row r="5063" spans="6:7" x14ac:dyDescent="0.3">
      <c r="F5063" s="43"/>
      <c r="G5063" s="43"/>
    </row>
    <row r="5064" spans="6:7" x14ac:dyDescent="0.3">
      <c r="F5064" s="43"/>
      <c r="G5064" s="43"/>
    </row>
    <row r="5065" spans="6:7" x14ac:dyDescent="0.3">
      <c r="F5065" s="43"/>
      <c r="G5065" s="43"/>
    </row>
    <row r="5066" spans="6:7" x14ac:dyDescent="0.3">
      <c r="F5066" s="43"/>
      <c r="G5066" s="43"/>
    </row>
    <row r="5067" spans="6:7" x14ac:dyDescent="0.3">
      <c r="F5067" s="43"/>
      <c r="G5067" s="43"/>
    </row>
    <row r="5068" spans="6:7" x14ac:dyDescent="0.3">
      <c r="F5068" s="43"/>
      <c r="G5068" s="43"/>
    </row>
    <row r="5069" spans="6:7" x14ac:dyDescent="0.3">
      <c r="F5069" s="43"/>
      <c r="G5069" s="43"/>
    </row>
    <row r="5070" spans="6:7" x14ac:dyDescent="0.3">
      <c r="F5070" s="43"/>
      <c r="G5070" s="43"/>
    </row>
    <row r="5071" spans="6:7" x14ac:dyDescent="0.3">
      <c r="F5071" s="43"/>
      <c r="G5071" s="43"/>
    </row>
    <row r="5072" spans="6:7" x14ac:dyDescent="0.3">
      <c r="F5072" s="43"/>
      <c r="G5072" s="43"/>
    </row>
    <row r="5073" spans="6:7" x14ac:dyDescent="0.3">
      <c r="F5073" s="43"/>
      <c r="G5073" s="43"/>
    </row>
    <row r="5074" spans="6:7" x14ac:dyDescent="0.3">
      <c r="F5074" s="43"/>
      <c r="G5074" s="43"/>
    </row>
    <row r="5075" spans="6:7" x14ac:dyDescent="0.3">
      <c r="F5075" s="43"/>
      <c r="G5075" s="43"/>
    </row>
    <row r="5076" spans="6:7" x14ac:dyDescent="0.3">
      <c r="F5076" s="43"/>
      <c r="G5076" s="43"/>
    </row>
    <row r="5077" spans="6:7" x14ac:dyDescent="0.3">
      <c r="F5077" s="43"/>
      <c r="G5077" s="43"/>
    </row>
    <row r="5078" spans="6:7" x14ac:dyDescent="0.3">
      <c r="F5078" s="43"/>
      <c r="G5078" s="43"/>
    </row>
    <row r="5079" spans="6:7" x14ac:dyDescent="0.3">
      <c r="F5079" s="43"/>
      <c r="G5079" s="43"/>
    </row>
    <row r="5080" spans="6:7" x14ac:dyDescent="0.3">
      <c r="F5080" s="43"/>
      <c r="G5080" s="43"/>
    </row>
    <row r="5081" spans="6:7" x14ac:dyDescent="0.3">
      <c r="F5081" s="43"/>
      <c r="G5081" s="43"/>
    </row>
    <row r="5082" spans="6:7" x14ac:dyDescent="0.3">
      <c r="F5082" s="43"/>
      <c r="G5082" s="43"/>
    </row>
    <row r="5083" spans="6:7" x14ac:dyDescent="0.3">
      <c r="F5083" s="43"/>
      <c r="G5083" s="43"/>
    </row>
    <row r="5084" spans="6:7" x14ac:dyDescent="0.3">
      <c r="F5084" s="43"/>
      <c r="G5084" s="43"/>
    </row>
    <row r="5085" spans="6:7" x14ac:dyDescent="0.3">
      <c r="F5085" s="43"/>
      <c r="G5085" s="43"/>
    </row>
    <row r="5086" spans="6:7" x14ac:dyDescent="0.3">
      <c r="F5086" s="43"/>
      <c r="G5086" s="43"/>
    </row>
    <row r="5087" spans="6:7" x14ac:dyDescent="0.3">
      <c r="F5087" s="43"/>
      <c r="G5087" s="43"/>
    </row>
    <row r="5088" spans="6:7" x14ac:dyDescent="0.3">
      <c r="F5088" s="43"/>
      <c r="G5088" s="43"/>
    </row>
    <row r="5089" spans="6:7" x14ac:dyDescent="0.3">
      <c r="F5089" s="43"/>
      <c r="G5089" s="43"/>
    </row>
    <row r="5090" spans="6:7" x14ac:dyDescent="0.3">
      <c r="F5090" s="43"/>
      <c r="G5090" s="43"/>
    </row>
    <row r="5091" spans="6:7" x14ac:dyDescent="0.3">
      <c r="F5091" s="43"/>
      <c r="G5091" s="43"/>
    </row>
    <row r="5092" spans="6:7" x14ac:dyDescent="0.3">
      <c r="F5092" s="43"/>
      <c r="G5092" s="43"/>
    </row>
    <row r="5093" spans="6:7" x14ac:dyDescent="0.3">
      <c r="F5093" s="43"/>
      <c r="G5093" s="43"/>
    </row>
    <row r="5094" spans="6:7" x14ac:dyDescent="0.3">
      <c r="F5094" s="43"/>
      <c r="G5094" s="43"/>
    </row>
    <row r="5095" spans="6:7" x14ac:dyDescent="0.3">
      <c r="F5095" s="43"/>
      <c r="G5095" s="43"/>
    </row>
    <row r="5096" spans="6:7" x14ac:dyDescent="0.3">
      <c r="F5096" s="43"/>
      <c r="G5096" s="43"/>
    </row>
    <row r="5097" spans="6:7" x14ac:dyDescent="0.3">
      <c r="F5097" s="43"/>
      <c r="G5097" s="43"/>
    </row>
    <row r="5098" spans="6:7" x14ac:dyDescent="0.3">
      <c r="F5098" s="43"/>
      <c r="G5098" s="43"/>
    </row>
    <row r="5099" spans="6:7" x14ac:dyDescent="0.3">
      <c r="F5099" s="43"/>
      <c r="G5099" s="43"/>
    </row>
    <row r="5100" spans="6:7" x14ac:dyDescent="0.3">
      <c r="F5100" s="43"/>
      <c r="G5100" s="43"/>
    </row>
    <row r="5101" spans="6:7" x14ac:dyDescent="0.3">
      <c r="F5101" s="43"/>
      <c r="G5101" s="43"/>
    </row>
    <row r="5102" spans="6:7" x14ac:dyDescent="0.3">
      <c r="F5102" s="43"/>
      <c r="G5102" s="43"/>
    </row>
    <row r="5103" spans="6:7" x14ac:dyDescent="0.3">
      <c r="F5103" s="43"/>
      <c r="G5103" s="43"/>
    </row>
    <row r="5104" spans="6:7" x14ac:dyDescent="0.3">
      <c r="F5104" s="43"/>
      <c r="G5104" s="43"/>
    </row>
    <row r="5105" spans="5:7" x14ac:dyDescent="0.3">
      <c r="F5105" s="43"/>
      <c r="G5105" s="43"/>
    </row>
    <row r="5106" spans="5:7" x14ac:dyDescent="0.3">
      <c r="F5106" s="43"/>
      <c r="G5106" s="43"/>
    </row>
    <row r="5107" spans="5:7" x14ac:dyDescent="0.3">
      <c r="F5107" s="43"/>
      <c r="G5107" s="43"/>
    </row>
    <row r="5108" spans="5:7" x14ac:dyDescent="0.3">
      <c r="F5108" s="43"/>
      <c r="G5108" s="43"/>
    </row>
    <row r="5109" spans="5:7" x14ac:dyDescent="0.3">
      <c r="F5109" s="43"/>
      <c r="G5109" s="43"/>
    </row>
    <row r="5110" spans="5:7" x14ac:dyDescent="0.3">
      <c r="E5110" s="47"/>
      <c r="F5110" s="43"/>
      <c r="G5110" s="43"/>
    </row>
    <row r="5111" spans="5:7" x14ac:dyDescent="0.3">
      <c r="F5111" s="43"/>
      <c r="G5111" s="43"/>
    </row>
    <row r="5112" spans="5:7" x14ac:dyDescent="0.3">
      <c r="F5112" s="43"/>
      <c r="G5112" s="43"/>
    </row>
    <row r="5113" spans="5:7" x14ac:dyDescent="0.3">
      <c r="F5113" s="43"/>
      <c r="G5113" s="43"/>
    </row>
    <row r="5114" spans="5:7" x14ac:dyDescent="0.3">
      <c r="F5114" s="43"/>
      <c r="G5114" s="43"/>
    </row>
    <row r="5115" spans="5:7" x14ac:dyDescent="0.3">
      <c r="F5115" s="43"/>
      <c r="G5115" s="43"/>
    </row>
    <row r="5116" spans="5:7" x14ac:dyDescent="0.3">
      <c r="F5116" s="43"/>
      <c r="G5116" s="43"/>
    </row>
    <row r="5117" spans="5:7" x14ac:dyDescent="0.3">
      <c r="F5117" s="43"/>
      <c r="G5117" s="43"/>
    </row>
    <row r="5118" spans="5:7" x14ac:dyDescent="0.3">
      <c r="F5118" s="43"/>
      <c r="G5118" s="43"/>
    </row>
    <row r="5119" spans="5:7" x14ac:dyDescent="0.3">
      <c r="F5119" s="43"/>
      <c r="G5119" s="43"/>
    </row>
    <row r="5120" spans="5:7" x14ac:dyDescent="0.3">
      <c r="F5120" s="43"/>
      <c r="G5120" s="43"/>
    </row>
    <row r="5121" spans="6:7" x14ac:dyDescent="0.3">
      <c r="F5121" s="43"/>
      <c r="G5121" s="43"/>
    </row>
    <row r="5122" spans="6:7" x14ac:dyDescent="0.3">
      <c r="F5122" s="43"/>
      <c r="G5122" s="43"/>
    </row>
    <row r="5123" spans="6:7" x14ac:dyDescent="0.3">
      <c r="F5123" s="43"/>
      <c r="G5123" s="43"/>
    </row>
    <row r="5124" spans="6:7" x14ac:dyDescent="0.3">
      <c r="F5124" s="43"/>
      <c r="G5124" s="43"/>
    </row>
    <row r="5125" spans="6:7" x14ac:dyDescent="0.3">
      <c r="F5125" s="43"/>
      <c r="G5125" s="43"/>
    </row>
    <row r="5126" spans="6:7" x14ac:dyDescent="0.3">
      <c r="F5126" s="43"/>
      <c r="G5126" s="43"/>
    </row>
    <row r="5127" spans="6:7" x14ac:dyDescent="0.3">
      <c r="F5127" s="43"/>
      <c r="G5127" s="43"/>
    </row>
    <row r="5128" spans="6:7" x14ac:dyDescent="0.3">
      <c r="F5128" s="43"/>
      <c r="G5128" s="43"/>
    </row>
    <row r="5129" spans="6:7" x14ac:dyDescent="0.3">
      <c r="F5129" s="43"/>
      <c r="G5129" s="43"/>
    </row>
    <row r="5130" spans="6:7" x14ac:dyDescent="0.3">
      <c r="F5130" s="43"/>
      <c r="G5130" s="43"/>
    </row>
    <row r="5131" spans="6:7" x14ac:dyDescent="0.3">
      <c r="F5131" s="43"/>
      <c r="G5131" s="43"/>
    </row>
    <row r="5132" spans="6:7" x14ac:dyDescent="0.3">
      <c r="F5132" s="43"/>
      <c r="G5132" s="43"/>
    </row>
    <row r="5133" spans="6:7" x14ac:dyDescent="0.3">
      <c r="F5133" s="43"/>
      <c r="G5133" s="43"/>
    </row>
    <row r="5134" spans="6:7" x14ac:dyDescent="0.3">
      <c r="F5134" s="43"/>
      <c r="G5134" s="43"/>
    </row>
    <row r="5135" spans="6:7" x14ac:dyDescent="0.3">
      <c r="F5135" s="43"/>
      <c r="G5135" s="43"/>
    </row>
    <row r="5136" spans="6:7" x14ac:dyDescent="0.3">
      <c r="F5136" s="43"/>
      <c r="G5136" s="43"/>
    </row>
    <row r="5137" spans="5:7" x14ac:dyDescent="0.3">
      <c r="F5137" s="43"/>
      <c r="G5137" s="43"/>
    </row>
    <row r="5138" spans="5:7" x14ac:dyDescent="0.3">
      <c r="F5138" s="43"/>
      <c r="G5138" s="43"/>
    </row>
    <row r="5139" spans="5:7" x14ac:dyDescent="0.3">
      <c r="F5139" s="43"/>
      <c r="G5139" s="43"/>
    </row>
    <row r="5140" spans="5:7" x14ac:dyDescent="0.3">
      <c r="F5140" s="43"/>
      <c r="G5140" s="43"/>
    </row>
    <row r="5141" spans="5:7" x14ac:dyDescent="0.3">
      <c r="F5141" s="43"/>
      <c r="G5141" s="43"/>
    </row>
    <row r="5142" spans="5:7" x14ac:dyDescent="0.3">
      <c r="F5142" s="43"/>
      <c r="G5142" s="43"/>
    </row>
    <row r="5143" spans="5:7" x14ac:dyDescent="0.3">
      <c r="F5143" s="43"/>
      <c r="G5143" s="43"/>
    </row>
    <row r="5144" spans="5:7" x14ac:dyDescent="0.3">
      <c r="F5144" s="43"/>
      <c r="G5144" s="43"/>
    </row>
    <row r="5145" spans="5:7" x14ac:dyDescent="0.3">
      <c r="F5145" s="43"/>
      <c r="G5145" s="43"/>
    </row>
    <row r="5146" spans="5:7" x14ac:dyDescent="0.3">
      <c r="F5146" s="43"/>
      <c r="G5146" s="43"/>
    </row>
    <row r="5147" spans="5:7" x14ac:dyDescent="0.3">
      <c r="F5147" s="43"/>
      <c r="G5147" s="43"/>
    </row>
    <row r="5148" spans="5:7" x14ac:dyDescent="0.3">
      <c r="F5148" s="43"/>
      <c r="G5148" s="43"/>
    </row>
    <row r="5149" spans="5:7" x14ac:dyDescent="0.3">
      <c r="F5149" s="43"/>
      <c r="G5149" s="43"/>
    </row>
    <row r="5150" spans="5:7" x14ac:dyDescent="0.3">
      <c r="F5150" s="43"/>
      <c r="G5150" s="43"/>
    </row>
    <row r="5151" spans="5:7" x14ac:dyDescent="0.3">
      <c r="E5151" s="44"/>
      <c r="F5151" s="43"/>
      <c r="G5151" s="43"/>
    </row>
    <row r="5152" spans="5:7" x14ac:dyDescent="0.3">
      <c r="F5152" s="43"/>
      <c r="G5152" s="43"/>
    </row>
    <row r="5153" spans="6:7" x14ac:dyDescent="0.3">
      <c r="F5153" s="43"/>
      <c r="G5153" s="43"/>
    </row>
    <row r="5154" spans="6:7" x14ac:dyDescent="0.3">
      <c r="F5154" s="43"/>
      <c r="G5154" s="43"/>
    </row>
    <row r="5155" spans="6:7" x14ac:dyDescent="0.3">
      <c r="F5155" s="43"/>
      <c r="G5155" s="43"/>
    </row>
    <row r="5156" spans="6:7" x14ac:dyDescent="0.3">
      <c r="F5156" s="43"/>
      <c r="G5156" s="43"/>
    </row>
    <row r="5157" spans="6:7" x14ac:dyDescent="0.3">
      <c r="F5157" s="43"/>
      <c r="G5157" s="43"/>
    </row>
    <row r="5158" spans="6:7" x14ac:dyDescent="0.3">
      <c r="F5158" s="43"/>
      <c r="G5158" s="43"/>
    </row>
    <row r="5159" spans="6:7" x14ac:dyDescent="0.3">
      <c r="F5159" s="43"/>
      <c r="G5159" s="43"/>
    </row>
    <row r="5160" spans="6:7" x14ac:dyDescent="0.3">
      <c r="F5160" s="43"/>
      <c r="G5160" s="43"/>
    </row>
    <row r="5161" spans="6:7" x14ac:dyDescent="0.3">
      <c r="F5161" s="43"/>
      <c r="G5161" s="43"/>
    </row>
    <row r="5162" spans="6:7" x14ac:dyDescent="0.3">
      <c r="F5162" s="43"/>
      <c r="G5162" s="43"/>
    </row>
    <row r="5163" spans="6:7" x14ac:dyDescent="0.3">
      <c r="F5163" s="43"/>
      <c r="G5163" s="43"/>
    </row>
    <row r="5164" spans="6:7" x14ac:dyDescent="0.3">
      <c r="F5164" s="43"/>
      <c r="G5164" s="43"/>
    </row>
    <row r="5165" spans="6:7" x14ac:dyDescent="0.3">
      <c r="F5165" s="43"/>
      <c r="G5165" s="43"/>
    </row>
    <row r="5166" spans="6:7" x14ac:dyDescent="0.3">
      <c r="F5166" s="43"/>
      <c r="G5166" s="43"/>
    </row>
    <row r="5167" spans="6:7" x14ac:dyDescent="0.3">
      <c r="F5167" s="43"/>
      <c r="G5167" s="43"/>
    </row>
    <row r="5168" spans="6:7" x14ac:dyDescent="0.3">
      <c r="F5168" s="43"/>
      <c r="G5168" s="43"/>
    </row>
    <row r="5169" spans="6:18" x14ac:dyDescent="0.3">
      <c r="F5169" s="43"/>
      <c r="G5169" s="43"/>
    </row>
    <row r="5170" spans="6:18" x14ac:dyDescent="0.3">
      <c r="F5170" s="43"/>
      <c r="G5170" s="43"/>
    </row>
    <row r="5171" spans="6:18" x14ac:dyDescent="0.3">
      <c r="F5171" s="43"/>
      <c r="G5171" s="43"/>
    </row>
    <row r="5172" spans="6:18" x14ac:dyDescent="0.3">
      <c r="F5172" s="43"/>
      <c r="G5172" s="43"/>
    </row>
    <row r="5173" spans="6:18" x14ac:dyDescent="0.3">
      <c r="F5173" s="43"/>
      <c r="G5173" s="43"/>
    </row>
    <row r="5174" spans="6:18" x14ac:dyDescent="0.3">
      <c r="F5174" s="43"/>
      <c r="G5174" s="43"/>
    </row>
    <row r="5175" spans="6:18" x14ac:dyDescent="0.3">
      <c r="F5175" s="43"/>
      <c r="G5175" s="43"/>
    </row>
    <row r="5176" spans="6:18" x14ac:dyDescent="0.3">
      <c r="F5176" s="43"/>
      <c r="G5176" s="43"/>
    </row>
    <row r="5177" spans="6:18" x14ac:dyDescent="0.3">
      <c r="F5177" s="43"/>
      <c r="G5177" s="43"/>
    </row>
    <row r="5178" spans="6:18" x14ac:dyDescent="0.3">
      <c r="F5178" s="43"/>
      <c r="G5178" s="43"/>
    </row>
    <row r="5179" spans="6:18" x14ac:dyDescent="0.3">
      <c r="F5179" s="43"/>
      <c r="G5179" s="43"/>
    </row>
    <row r="5180" spans="6:18" x14ac:dyDescent="0.3">
      <c r="F5180" s="43"/>
      <c r="G5180" s="43"/>
    </row>
    <row r="5181" spans="6:18" x14ac:dyDescent="0.3">
      <c r="F5181" s="43"/>
      <c r="G5181" s="43"/>
    </row>
    <row r="5182" spans="6:18" x14ac:dyDescent="0.3">
      <c r="F5182" s="43"/>
      <c r="G5182" s="43"/>
      <c r="R5182" s="51"/>
    </row>
    <row r="5183" spans="6:18" x14ac:dyDescent="0.3">
      <c r="F5183" s="43"/>
      <c r="G5183" s="43"/>
    </row>
    <row r="5184" spans="6:18" x14ac:dyDescent="0.3">
      <c r="F5184" s="43"/>
      <c r="G5184" s="43"/>
    </row>
    <row r="5185" spans="6:7" x14ac:dyDescent="0.3">
      <c r="F5185" s="43"/>
      <c r="G5185" s="43"/>
    </row>
    <row r="5186" spans="6:7" x14ac:dyDescent="0.3">
      <c r="F5186" s="43"/>
      <c r="G5186" s="43"/>
    </row>
    <row r="5187" spans="6:7" x14ac:dyDescent="0.3">
      <c r="F5187" s="43"/>
      <c r="G5187" s="43"/>
    </row>
    <row r="5188" spans="6:7" x14ac:dyDescent="0.3">
      <c r="F5188" s="43"/>
      <c r="G5188" s="43"/>
    </row>
    <row r="5189" spans="6:7" x14ac:dyDescent="0.3">
      <c r="F5189" s="43"/>
      <c r="G5189" s="43"/>
    </row>
    <row r="5190" spans="6:7" x14ac:dyDescent="0.3">
      <c r="F5190" s="43"/>
      <c r="G5190" s="43"/>
    </row>
    <row r="5191" spans="6:7" x14ac:dyDescent="0.3">
      <c r="F5191" s="43"/>
      <c r="G5191" s="43"/>
    </row>
    <row r="5192" spans="6:7" x14ac:dyDescent="0.3">
      <c r="F5192" s="43"/>
      <c r="G5192" s="43"/>
    </row>
    <row r="5193" spans="6:7" x14ac:dyDescent="0.3">
      <c r="F5193" s="1"/>
      <c r="G5193" s="1"/>
    </row>
    <row r="5194" spans="6:7" x14ac:dyDescent="0.3">
      <c r="F5194" s="43"/>
      <c r="G5194" s="43"/>
    </row>
    <row r="5195" spans="6:7" x14ac:dyDescent="0.3">
      <c r="F5195" s="43"/>
      <c r="G5195" s="43"/>
    </row>
    <row r="5196" spans="6:7" x14ac:dyDescent="0.3">
      <c r="F5196" s="43"/>
      <c r="G5196" s="43"/>
    </row>
    <row r="5197" spans="6:7" x14ac:dyDescent="0.3">
      <c r="F5197" s="43"/>
      <c r="G5197" s="43"/>
    </row>
    <row r="5198" spans="6:7" x14ac:dyDescent="0.3">
      <c r="F5198" s="43"/>
      <c r="G5198" s="43"/>
    </row>
    <row r="5199" spans="6:7" x14ac:dyDescent="0.3">
      <c r="F5199" s="43"/>
      <c r="G5199" s="43"/>
    </row>
    <row r="5200" spans="6:7" x14ac:dyDescent="0.3">
      <c r="F5200" s="43"/>
      <c r="G5200" s="43"/>
    </row>
    <row r="5201" spans="1:7" x14ac:dyDescent="0.3">
      <c r="F5201" s="43"/>
      <c r="G5201" s="43"/>
    </row>
    <row r="5202" spans="1:7" x14ac:dyDescent="0.3">
      <c r="F5202" s="43"/>
      <c r="G5202" s="43"/>
    </row>
    <row r="5203" spans="1:7" x14ac:dyDescent="0.3">
      <c r="F5203" s="43"/>
      <c r="G5203" s="43"/>
    </row>
    <row r="5204" spans="1:7" x14ac:dyDescent="0.3">
      <c r="F5204" s="43"/>
      <c r="G5204" s="43"/>
    </row>
    <row r="5205" spans="1:7" x14ac:dyDescent="0.3">
      <c r="F5205" s="43"/>
      <c r="G5205" s="43"/>
    </row>
    <row r="5206" spans="1:7" x14ac:dyDescent="0.3">
      <c r="F5206" s="43"/>
      <c r="G5206" s="43"/>
    </row>
    <row r="5207" spans="1:7" x14ac:dyDescent="0.3">
      <c r="F5207" s="43"/>
      <c r="G5207" s="43"/>
    </row>
    <row r="5208" spans="1:7" x14ac:dyDescent="0.3">
      <c r="F5208" s="43"/>
      <c r="G5208" s="43"/>
    </row>
    <row r="5209" spans="1:7" x14ac:dyDescent="0.3">
      <c r="F5209" s="43"/>
      <c r="G5209" s="43"/>
    </row>
    <row r="5210" spans="1:7" x14ac:dyDescent="0.3">
      <c r="A5210" s="44"/>
      <c r="F5210" s="43"/>
      <c r="G5210" s="43"/>
    </row>
    <row r="5211" spans="1:7" x14ac:dyDescent="0.3">
      <c r="F5211" s="43"/>
      <c r="G5211" s="43"/>
    </row>
    <row r="5212" spans="1:7" x14ac:dyDescent="0.3">
      <c r="F5212" s="43"/>
      <c r="G5212" s="43"/>
    </row>
    <row r="5213" spans="1:7" x14ac:dyDescent="0.3">
      <c r="F5213" s="43"/>
      <c r="G5213" s="43"/>
    </row>
    <row r="5214" spans="1:7" x14ac:dyDescent="0.3">
      <c r="F5214" s="43"/>
      <c r="G5214" s="43"/>
    </row>
    <row r="5215" spans="1:7" x14ac:dyDescent="0.3">
      <c r="F5215" s="43"/>
      <c r="G5215" s="43"/>
    </row>
    <row r="5216" spans="1:7" x14ac:dyDescent="0.3">
      <c r="F5216" s="43"/>
      <c r="G5216" s="43"/>
    </row>
    <row r="5217" spans="6:7" x14ac:dyDescent="0.3">
      <c r="F5217" s="43"/>
      <c r="G5217" s="43"/>
    </row>
    <row r="5218" spans="6:7" x14ac:dyDescent="0.3">
      <c r="F5218" s="43"/>
      <c r="G5218" s="43"/>
    </row>
    <row r="5219" spans="6:7" x14ac:dyDescent="0.3">
      <c r="F5219" s="43"/>
      <c r="G5219" s="43"/>
    </row>
    <row r="5220" spans="6:7" x14ac:dyDescent="0.3">
      <c r="F5220" s="43"/>
      <c r="G5220" s="43"/>
    </row>
    <row r="5221" spans="6:7" x14ac:dyDescent="0.3">
      <c r="F5221" s="43"/>
      <c r="G5221" s="43"/>
    </row>
    <row r="5222" spans="6:7" x14ac:dyDescent="0.3">
      <c r="F5222" s="43"/>
      <c r="G5222" s="43"/>
    </row>
    <row r="5223" spans="6:7" x14ac:dyDescent="0.3">
      <c r="F5223" s="43"/>
      <c r="G5223" s="43"/>
    </row>
    <row r="5224" spans="6:7" x14ac:dyDescent="0.3">
      <c r="F5224" s="43"/>
      <c r="G5224" s="43"/>
    </row>
    <row r="5225" spans="6:7" x14ac:dyDescent="0.3">
      <c r="F5225" s="43"/>
      <c r="G5225" s="43"/>
    </row>
    <row r="5226" spans="6:7" x14ac:dyDescent="0.3">
      <c r="F5226" s="43"/>
      <c r="G5226" s="43"/>
    </row>
    <row r="5227" spans="6:7" x14ac:dyDescent="0.3">
      <c r="F5227" s="43"/>
      <c r="G5227" s="43"/>
    </row>
    <row r="5228" spans="6:7" x14ac:dyDescent="0.3">
      <c r="F5228" s="43"/>
      <c r="G5228" s="43"/>
    </row>
    <row r="5229" spans="6:7" x14ac:dyDescent="0.3">
      <c r="F5229" s="43"/>
      <c r="G5229" s="43"/>
    </row>
    <row r="5230" spans="6:7" x14ac:dyDescent="0.3">
      <c r="F5230" s="43"/>
      <c r="G5230" s="43"/>
    </row>
    <row r="5231" spans="6:7" x14ac:dyDescent="0.3">
      <c r="F5231" s="43"/>
      <c r="G5231" s="43"/>
    </row>
    <row r="5232" spans="6:7" x14ac:dyDescent="0.3">
      <c r="F5232" s="43"/>
      <c r="G5232" s="43"/>
    </row>
    <row r="5233" spans="1:7" x14ac:dyDescent="0.3">
      <c r="F5233" s="43"/>
      <c r="G5233" s="43"/>
    </row>
    <row r="5234" spans="1:7" x14ac:dyDescent="0.3">
      <c r="F5234" s="43"/>
      <c r="G5234" s="43"/>
    </row>
    <row r="5235" spans="1:7" x14ac:dyDescent="0.3">
      <c r="F5235" s="43"/>
      <c r="G5235" s="43"/>
    </row>
    <row r="5236" spans="1:7" x14ac:dyDescent="0.3">
      <c r="F5236" s="43"/>
      <c r="G5236" s="43"/>
    </row>
    <row r="5237" spans="1:7" x14ac:dyDescent="0.3">
      <c r="F5237" s="43"/>
      <c r="G5237" s="43"/>
    </row>
    <row r="5238" spans="1:7" x14ac:dyDescent="0.3">
      <c r="F5238" s="43"/>
      <c r="G5238" s="43"/>
    </row>
    <row r="5239" spans="1:7" x14ac:dyDescent="0.3">
      <c r="F5239" s="43"/>
      <c r="G5239" s="43"/>
    </row>
    <row r="5240" spans="1:7" x14ac:dyDescent="0.3">
      <c r="F5240" s="43"/>
      <c r="G5240" s="43"/>
    </row>
    <row r="5241" spans="1:7" x14ac:dyDescent="0.3">
      <c r="F5241" s="43"/>
      <c r="G5241" s="43"/>
    </row>
    <row r="5242" spans="1:7" x14ac:dyDescent="0.3">
      <c r="F5242" s="43"/>
      <c r="G5242" s="43"/>
    </row>
    <row r="5243" spans="1:7" x14ac:dyDescent="0.3">
      <c r="F5243" s="1"/>
      <c r="G5243" s="1"/>
    </row>
    <row r="5244" spans="1:7" x14ac:dyDescent="0.3">
      <c r="F5244" s="43"/>
      <c r="G5244" s="43"/>
    </row>
    <row r="5245" spans="1:7" x14ac:dyDescent="0.3">
      <c r="F5245" s="43"/>
      <c r="G5245" s="43"/>
    </row>
    <row r="5246" spans="1:7" x14ac:dyDescent="0.3">
      <c r="F5246" s="43"/>
      <c r="G5246" s="43"/>
    </row>
    <row r="5247" spans="1:7" x14ac:dyDescent="0.3">
      <c r="A5247" s="44"/>
      <c r="F5247" s="43"/>
      <c r="G5247" s="43"/>
    </row>
    <row r="5248" spans="1:7" x14ac:dyDescent="0.3">
      <c r="F5248" s="43"/>
      <c r="G5248" s="43"/>
    </row>
    <row r="5249" spans="6:7" x14ac:dyDescent="0.3">
      <c r="F5249" s="43"/>
      <c r="G5249" s="43"/>
    </row>
    <row r="5250" spans="6:7" x14ac:dyDescent="0.3">
      <c r="F5250" s="43"/>
      <c r="G5250" s="43"/>
    </row>
    <row r="5251" spans="6:7" x14ac:dyDescent="0.3">
      <c r="F5251" s="43"/>
      <c r="G5251" s="43"/>
    </row>
    <row r="5252" spans="6:7" x14ac:dyDescent="0.3">
      <c r="F5252" s="43"/>
      <c r="G5252" s="43"/>
    </row>
    <row r="5253" spans="6:7" x14ac:dyDescent="0.3">
      <c r="F5253" s="43"/>
      <c r="G5253" s="43"/>
    </row>
    <row r="5254" spans="6:7" x14ac:dyDescent="0.3">
      <c r="F5254" s="43"/>
      <c r="G5254" s="43"/>
    </row>
    <row r="5255" spans="6:7" x14ac:dyDescent="0.3">
      <c r="F5255" s="43"/>
      <c r="G5255" s="43"/>
    </row>
    <row r="5256" spans="6:7" x14ac:dyDescent="0.3">
      <c r="F5256" s="43"/>
      <c r="G5256" s="43"/>
    </row>
    <row r="5257" spans="6:7" x14ac:dyDescent="0.3">
      <c r="F5257" s="43"/>
      <c r="G5257" s="43"/>
    </row>
    <row r="5258" spans="6:7" x14ac:dyDescent="0.3">
      <c r="F5258" s="43"/>
      <c r="G5258" s="43"/>
    </row>
    <row r="5259" spans="6:7" x14ac:dyDescent="0.3">
      <c r="F5259" s="43"/>
      <c r="G5259" s="43"/>
    </row>
    <row r="5260" spans="6:7" x14ac:dyDescent="0.3">
      <c r="F5260" s="43"/>
      <c r="G5260" s="43"/>
    </row>
    <row r="5261" spans="6:7" x14ac:dyDescent="0.3">
      <c r="F5261" s="43"/>
      <c r="G5261" s="43"/>
    </row>
    <row r="5262" spans="6:7" x14ac:dyDescent="0.3">
      <c r="F5262" s="43"/>
      <c r="G5262" s="43"/>
    </row>
    <row r="5263" spans="6:7" x14ac:dyDescent="0.3">
      <c r="F5263" s="43"/>
      <c r="G5263" s="43"/>
    </row>
    <row r="5264" spans="6:7" x14ac:dyDescent="0.3">
      <c r="F5264" s="43"/>
      <c r="G5264" s="43"/>
    </row>
    <row r="5265" spans="6:7" x14ac:dyDescent="0.3">
      <c r="F5265" s="43"/>
      <c r="G5265" s="43"/>
    </row>
    <row r="5266" spans="6:7" x14ac:dyDescent="0.3">
      <c r="F5266" s="43"/>
      <c r="G5266" s="43"/>
    </row>
    <row r="5267" spans="6:7" x14ac:dyDescent="0.3">
      <c r="F5267" s="43"/>
      <c r="G5267" s="43"/>
    </row>
    <row r="5268" spans="6:7" x14ac:dyDescent="0.3">
      <c r="F5268" s="43"/>
      <c r="G5268" s="43"/>
    </row>
    <row r="5269" spans="6:7" x14ac:dyDescent="0.3">
      <c r="F5269" s="43"/>
      <c r="G5269" s="43"/>
    </row>
    <row r="5270" spans="6:7" x14ac:dyDescent="0.3">
      <c r="F5270" s="43"/>
      <c r="G5270" s="43"/>
    </row>
    <row r="5271" spans="6:7" x14ac:dyDescent="0.3">
      <c r="F5271" s="43"/>
      <c r="G5271" s="43"/>
    </row>
    <row r="5272" spans="6:7" x14ac:dyDescent="0.3">
      <c r="F5272" s="1"/>
      <c r="G5272" s="1"/>
    </row>
    <row r="5273" spans="6:7" x14ac:dyDescent="0.3">
      <c r="F5273" s="43"/>
      <c r="G5273" s="43"/>
    </row>
    <row r="5274" spans="6:7" x14ac:dyDescent="0.3">
      <c r="F5274" s="43"/>
      <c r="G5274" s="43"/>
    </row>
    <row r="5275" spans="6:7" x14ac:dyDescent="0.3">
      <c r="F5275" s="43"/>
      <c r="G5275" s="43"/>
    </row>
    <row r="5276" spans="6:7" x14ac:dyDescent="0.3">
      <c r="F5276" s="43"/>
      <c r="G5276" s="43"/>
    </row>
    <row r="5277" spans="6:7" x14ac:dyDescent="0.3">
      <c r="F5277" s="43"/>
      <c r="G5277" s="43"/>
    </row>
    <row r="5278" spans="6:7" x14ac:dyDescent="0.3">
      <c r="F5278" s="43"/>
      <c r="G5278" s="43"/>
    </row>
    <row r="5279" spans="6:7" x14ac:dyDescent="0.3">
      <c r="F5279" s="43"/>
      <c r="G5279" s="43"/>
    </row>
    <row r="5280" spans="6:7" x14ac:dyDescent="0.3">
      <c r="F5280" s="43"/>
      <c r="G5280" s="43"/>
    </row>
    <row r="5281" spans="6:7" x14ac:dyDescent="0.3">
      <c r="F5281" s="43"/>
      <c r="G5281" s="43"/>
    </row>
    <row r="5282" spans="6:7" x14ac:dyDescent="0.3">
      <c r="F5282" s="43"/>
      <c r="G5282" s="43"/>
    </row>
    <row r="5283" spans="6:7" x14ac:dyDescent="0.3">
      <c r="F5283" s="43"/>
      <c r="G5283" s="43"/>
    </row>
    <row r="5284" spans="6:7" x14ac:dyDescent="0.3">
      <c r="F5284" s="43"/>
      <c r="G5284" s="43"/>
    </row>
    <row r="5285" spans="6:7" x14ac:dyDescent="0.3">
      <c r="F5285" s="43"/>
      <c r="G5285" s="43"/>
    </row>
    <row r="5286" spans="6:7" x14ac:dyDescent="0.3">
      <c r="F5286" s="43"/>
      <c r="G5286" s="43"/>
    </row>
    <row r="5287" spans="6:7" x14ac:dyDescent="0.3">
      <c r="F5287" s="43"/>
      <c r="G5287" s="43"/>
    </row>
    <row r="5288" spans="6:7" x14ac:dyDescent="0.3">
      <c r="F5288" s="43"/>
      <c r="G5288" s="43"/>
    </row>
    <row r="5289" spans="6:7" x14ac:dyDescent="0.3">
      <c r="F5289" s="43"/>
      <c r="G5289" s="43"/>
    </row>
    <row r="5290" spans="6:7" x14ac:dyDescent="0.3">
      <c r="F5290" s="43"/>
      <c r="G5290" s="43"/>
    </row>
    <row r="5291" spans="6:7" x14ac:dyDescent="0.3">
      <c r="F5291" s="43"/>
      <c r="G5291" s="43"/>
    </row>
    <row r="5292" spans="6:7" x14ac:dyDescent="0.3">
      <c r="F5292" s="43"/>
      <c r="G5292" s="43"/>
    </row>
    <row r="5293" spans="6:7" x14ac:dyDescent="0.3">
      <c r="F5293" s="43"/>
      <c r="G5293" s="43"/>
    </row>
    <row r="5294" spans="6:7" x14ac:dyDescent="0.3">
      <c r="F5294" s="43"/>
      <c r="G5294" s="43"/>
    </row>
    <row r="5295" spans="6:7" x14ac:dyDescent="0.3">
      <c r="F5295" s="43"/>
      <c r="G5295" s="43"/>
    </row>
    <row r="5296" spans="6:7" x14ac:dyDescent="0.3">
      <c r="F5296" s="43"/>
      <c r="G5296" s="43"/>
    </row>
    <row r="5297" spans="6:7" x14ac:dyDescent="0.3">
      <c r="F5297" s="43"/>
      <c r="G5297" s="43"/>
    </row>
    <row r="5298" spans="6:7" x14ac:dyDescent="0.3">
      <c r="F5298" s="43"/>
      <c r="G5298" s="43"/>
    </row>
    <row r="5299" spans="6:7" x14ac:dyDescent="0.3">
      <c r="F5299" s="43"/>
      <c r="G5299" s="43"/>
    </row>
    <row r="5300" spans="6:7" x14ac:dyDescent="0.3">
      <c r="F5300" s="43"/>
      <c r="G5300" s="43"/>
    </row>
    <row r="5301" spans="6:7" x14ac:dyDescent="0.3">
      <c r="F5301" s="43"/>
      <c r="G5301" s="43"/>
    </row>
    <row r="5302" spans="6:7" x14ac:dyDescent="0.3">
      <c r="F5302" s="43"/>
      <c r="G5302" s="43"/>
    </row>
    <row r="5303" spans="6:7" x14ac:dyDescent="0.3">
      <c r="F5303" s="43"/>
      <c r="G5303" s="43"/>
    </row>
    <row r="5304" spans="6:7" x14ac:dyDescent="0.3">
      <c r="F5304" s="43"/>
      <c r="G5304" s="43"/>
    </row>
    <row r="5305" spans="6:7" x14ac:dyDescent="0.3">
      <c r="F5305" s="43"/>
      <c r="G5305" s="43"/>
    </row>
    <row r="5306" spans="6:7" x14ac:dyDescent="0.3">
      <c r="F5306" s="43"/>
      <c r="G5306" s="43"/>
    </row>
    <row r="5307" spans="6:7" x14ac:dyDescent="0.3">
      <c r="F5307" s="43"/>
      <c r="G5307" s="43"/>
    </row>
    <row r="5308" spans="6:7" x14ac:dyDescent="0.3">
      <c r="F5308" s="43"/>
      <c r="G5308" s="43"/>
    </row>
    <row r="5309" spans="6:7" x14ac:dyDescent="0.3">
      <c r="F5309" s="43"/>
      <c r="G5309" s="43"/>
    </row>
    <row r="5310" spans="6:7" x14ac:dyDescent="0.3">
      <c r="F5310" s="43"/>
      <c r="G5310" s="43"/>
    </row>
    <row r="5311" spans="6:7" x14ac:dyDescent="0.3">
      <c r="F5311" s="43"/>
      <c r="G5311" s="43"/>
    </row>
    <row r="5312" spans="6:7" x14ac:dyDescent="0.3">
      <c r="F5312" s="43"/>
      <c r="G5312" s="43"/>
    </row>
    <row r="5313" spans="5:7" x14ac:dyDescent="0.3">
      <c r="F5313" s="43"/>
      <c r="G5313" s="43"/>
    </row>
    <row r="5314" spans="5:7" x14ac:dyDescent="0.3">
      <c r="E5314" s="47"/>
      <c r="F5314" s="43"/>
      <c r="G5314" s="43"/>
    </row>
    <row r="5315" spans="5:7" x14ac:dyDescent="0.3">
      <c r="F5315" s="43"/>
      <c r="G5315" s="43"/>
    </row>
    <row r="5316" spans="5:7" x14ac:dyDescent="0.3">
      <c r="F5316" s="43"/>
      <c r="G5316" s="43"/>
    </row>
    <row r="5317" spans="5:7" x14ac:dyDescent="0.3">
      <c r="F5317" s="43"/>
      <c r="G5317" s="43"/>
    </row>
    <row r="5318" spans="5:7" x14ac:dyDescent="0.3">
      <c r="F5318" s="43"/>
      <c r="G5318" s="43"/>
    </row>
    <row r="5319" spans="5:7" x14ac:dyDescent="0.3">
      <c r="F5319" s="43"/>
      <c r="G5319" s="43"/>
    </row>
    <row r="5320" spans="5:7" x14ac:dyDescent="0.3">
      <c r="F5320" s="43"/>
      <c r="G5320" s="43"/>
    </row>
    <row r="5321" spans="5:7" x14ac:dyDescent="0.3">
      <c r="F5321" s="43"/>
      <c r="G5321" s="43"/>
    </row>
    <row r="5322" spans="5:7" x14ac:dyDescent="0.3">
      <c r="F5322" s="43"/>
      <c r="G5322" s="43"/>
    </row>
    <row r="5323" spans="5:7" x14ac:dyDescent="0.3">
      <c r="F5323" s="43"/>
      <c r="G5323" s="43"/>
    </row>
    <row r="5324" spans="5:7" x14ac:dyDescent="0.3">
      <c r="F5324" s="43"/>
      <c r="G5324" s="43"/>
    </row>
    <row r="5325" spans="5:7" x14ac:dyDescent="0.3">
      <c r="F5325" s="43"/>
      <c r="G5325" s="43"/>
    </row>
    <row r="5326" spans="5:7" x14ac:dyDescent="0.3">
      <c r="F5326" s="43"/>
      <c r="G5326" s="43"/>
    </row>
    <row r="5327" spans="5:7" x14ac:dyDescent="0.3">
      <c r="F5327" s="43"/>
      <c r="G5327" s="43"/>
    </row>
    <row r="5328" spans="5:7" x14ac:dyDescent="0.3">
      <c r="F5328" s="43"/>
      <c r="G5328" s="43"/>
    </row>
    <row r="5329" spans="6:7" x14ac:dyDescent="0.3">
      <c r="F5329" s="43"/>
      <c r="G5329" s="43"/>
    </row>
    <row r="5330" spans="6:7" x14ac:dyDescent="0.3">
      <c r="F5330" s="43"/>
      <c r="G5330" s="43"/>
    </row>
    <row r="5331" spans="6:7" x14ac:dyDescent="0.3">
      <c r="F5331" s="43"/>
      <c r="G5331" s="43"/>
    </row>
    <row r="5332" spans="6:7" x14ac:dyDescent="0.3">
      <c r="F5332" s="43"/>
      <c r="G5332" s="43"/>
    </row>
    <row r="5333" spans="6:7" x14ac:dyDescent="0.3">
      <c r="F5333" s="43"/>
      <c r="G5333" s="43"/>
    </row>
    <row r="5334" spans="6:7" x14ac:dyDescent="0.3">
      <c r="F5334" s="43"/>
      <c r="G5334" s="43"/>
    </row>
    <row r="5335" spans="6:7" x14ac:dyDescent="0.3">
      <c r="F5335" s="43"/>
      <c r="G5335" s="43"/>
    </row>
    <row r="5336" spans="6:7" x14ac:dyDescent="0.3">
      <c r="F5336" s="43"/>
      <c r="G5336" s="43"/>
    </row>
    <row r="5337" spans="6:7" x14ac:dyDescent="0.3">
      <c r="F5337" s="43"/>
      <c r="G5337" s="43"/>
    </row>
    <row r="5338" spans="6:7" x14ac:dyDescent="0.3">
      <c r="F5338" s="43"/>
      <c r="G5338" s="43"/>
    </row>
    <row r="5339" spans="6:7" x14ac:dyDescent="0.3">
      <c r="F5339" s="43"/>
      <c r="G5339" s="43"/>
    </row>
    <row r="5340" spans="6:7" x14ac:dyDescent="0.3">
      <c r="F5340" s="43"/>
      <c r="G5340" s="43"/>
    </row>
    <row r="5341" spans="6:7" x14ac:dyDescent="0.3">
      <c r="F5341" s="43"/>
      <c r="G5341" s="43"/>
    </row>
    <row r="5342" spans="6:7" x14ac:dyDescent="0.3">
      <c r="F5342" s="43"/>
      <c r="G5342" s="43"/>
    </row>
    <row r="5343" spans="6:7" x14ac:dyDescent="0.3">
      <c r="F5343" s="43"/>
      <c r="G5343" s="43"/>
    </row>
    <row r="5344" spans="6:7" x14ac:dyDescent="0.3">
      <c r="F5344" s="43"/>
      <c r="G5344" s="43"/>
    </row>
    <row r="5345" spans="6:7" x14ac:dyDescent="0.3">
      <c r="F5345" s="43"/>
      <c r="G5345" s="43"/>
    </row>
    <row r="5346" spans="6:7" x14ac:dyDescent="0.3">
      <c r="F5346" s="43"/>
      <c r="G5346" s="43"/>
    </row>
    <row r="5347" spans="6:7" x14ac:dyDescent="0.3">
      <c r="F5347" s="43"/>
      <c r="G5347" s="43"/>
    </row>
    <row r="5348" spans="6:7" x14ac:dyDescent="0.3">
      <c r="F5348" s="43"/>
      <c r="G5348" s="43"/>
    </row>
    <row r="5349" spans="6:7" x14ac:dyDescent="0.3">
      <c r="F5349" s="43"/>
      <c r="G5349" s="43"/>
    </row>
    <row r="5350" spans="6:7" x14ac:dyDescent="0.3">
      <c r="F5350" s="43"/>
      <c r="G5350" s="43"/>
    </row>
    <row r="5351" spans="6:7" x14ac:dyDescent="0.3">
      <c r="F5351" s="43"/>
      <c r="G5351" s="43"/>
    </row>
    <row r="5352" spans="6:7" x14ac:dyDescent="0.3">
      <c r="F5352" s="43"/>
      <c r="G5352" s="43"/>
    </row>
    <row r="5353" spans="6:7" x14ac:dyDescent="0.3">
      <c r="F5353" s="43"/>
      <c r="G5353" s="43"/>
    </row>
    <row r="5354" spans="6:7" x14ac:dyDescent="0.3">
      <c r="F5354" s="43"/>
      <c r="G5354" s="43"/>
    </row>
    <row r="5355" spans="6:7" x14ac:dyDescent="0.3">
      <c r="F5355" s="43"/>
      <c r="G5355" s="43"/>
    </row>
    <row r="5356" spans="6:7" x14ac:dyDescent="0.3">
      <c r="F5356" s="43"/>
      <c r="G5356" s="43"/>
    </row>
    <row r="5357" spans="6:7" x14ac:dyDescent="0.3">
      <c r="F5357" s="43"/>
      <c r="G5357" s="43"/>
    </row>
    <row r="5358" spans="6:7" x14ac:dyDescent="0.3">
      <c r="F5358" s="43"/>
      <c r="G5358" s="43"/>
    </row>
    <row r="5359" spans="6:7" x14ac:dyDescent="0.3">
      <c r="F5359" s="43"/>
      <c r="G5359" s="43"/>
    </row>
    <row r="5360" spans="6:7" x14ac:dyDescent="0.3">
      <c r="F5360" s="43"/>
      <c r="G5360" s="43"/>
    </row>
    <row r="5361" spans="6:7" x14ac:dyDescent="0.3">
      <c r="F5361" s="43"/>
      <c r="G5361" s="43"/>
    </row>
    <row r="5362" spans="6:7" x14ac:dyDescent="0.3">
      <c r="F5362" s="43"/>
      <c r="G5362" s="43"/>
    </row>
    <row r="5363" spans="6:7" x14ac:dyDescent="0.3">
      <c r="F5363" s="43"/>
      <c r="G5363" s="43"/>
    </row>
    <row r="5364" spans="6:7" x14ac:dyDescent="0.3">
      <c r="F5364" s="43"/>
      <c r="G5364" s="43"/>
    </row>
    <row r="5365" spans="6:7" x14ac:dyDescent="0.3">
      <c r="F5365" s="43"/>
      <c r="G5365" s="43"/>
    </row>
    <row r="5366" spans="6:7" x14ac:dyDescent="0.3">
      <c r="F5366" s="43"/>
      <c r="G5366" s="43"/>
    </row>
    <row r="5367" spans="6:7" x14ac:dyDescent="0.3">
      <c r="F5367" s="43"/>
      <c r="G5367" s="43"/>
    </row>
    <row r="5368" spans="6:7" x14ac:dyDescent="0.3">
      <c r="F5368" s="43"/>
      <c r="G5368" s="43"/>
    </row>
    <row r="5369" spans="6:7" x14ac:dyDescent="0.3">
      <c r="F5369" s="43"/>
      <c r="G5369" s="43"/>
    </row>
    <row r="5370" spans="6:7" x14ac:dyDescent="0.3">
      <c r="F5370" s="43"/>
      <c r="G5370" s="43"/>
    </row>
    <row r="5371" spans="6:7" x14ac:dyDescent="0.3">
      <c r="F5371" s="43"/>
      <c r="G5371" s="43"/>
    </row>
    <row r="5372" spans="6:7" x14ac:dyDescent="0.3">
      <c r="F5372" s="43"/>
      <c r="G5372" s="43"/>
    </row>
    <row r="5373" spans="6:7" x14ac:dyDescent="0.3">
      <c r="F5373" s="43"/>
      <c r="G5373" s="43"/>
    </row>
    <row r="5374" spans="6:7" x14ac:dyDescent="0.3">
      <c r="F5374" s="43"/>
      <c r="G5374" s="43"/>
    </row>
    <row r="5375" spans="6:7" x14ac:dyDescent="0.3">
      <c r="F5375" s="43"/>
      <c r="G5375" s="43"/>
    </row>
    <row r="5376" spans="6:7" x14ac:dyDescent="0.3">
      <c r="F5376" s="43"/>
      <c r="G5376" s="43"/>
    </row>
    <row r="5377" spans="6:7" x14ac:dyDescent="0.3">
      <c r="F5377" s="43"/>
      <c r="G5377" s="43"/>
    </row>
    <row r="5378" spans="6:7" x14ac:dyDescent="0.3">
      <c r="F5378" s="43"/>
      <c r="G5378" s="43"/>
    </row>
    <row r="5379" spans="6:7" x14ac:dyDescent="0.3">
      <c r="F5379" s="43"/>
      <c r="G5379" s="43"/>
    </row>
    <row r="5380" spans="6:7" x14ac:dyDescent="0.3">
      <c r="F5380" s="43"/>
      <c r="G5380" s="43"/>
    </row>
    <row r="5381" spans="6:7" x14ac:dyDescent="0.3">
      <c r="F5381" s="43"/>
      <c r="G5381" s="43"/>
    </row>
    <row r="5382" spans="6:7" x14ac:dyDescent="0.3">
      <c r="F5382" s="43"/>
      <c r="G5382" s="43"/>
    </row>
    <row r="5383" spans="6:7" x14ac:dyDescent="0.3">
      <c r="F5383" s="43"/>
      <c r="G5383" s="43"/>
    </row>
    <row r="5384" spans="6:7" x14ac:dyDescent="0.3">
      <c r="F5384" s="43"/>
      <c r="G5384" s="43"/>
    </row>
    <row r="5385" spans="6:7" x14ac:dyDescent="0.3">
      <c r="F5385" s="43"/>
      <c r="G5385" s="43"/>
    </row>
    <row r="5386" spans="6:7" x14ac:dyDescent="0.3">
      <c r="F5386" s="43"/>
      <c r="G5386" s="43"/>
    </row>
    <row r="5387" spans="6:7" x14ac:dyDescent="0.3">
      <c r="F5387" s="43"/>
      <c r="G5387" s="43"/>
    </row>
    <row r="5388" spans="6:7" x14ac:dyDescent="0.3">
      <c r="F5388" s="43"/>
      <c r="G5388" s="43"/>
    </row>
    <row r="5389" spans="6:7" x14ac:dyDescent="0.3">
      <c r="F5389" s="43"/>
      <c r="G5389" s="43"/>
    </row>
    <row r="5390" spans="6:7" x14ac:dyDescent="0.3">
      <c r="F5390" s="43"/>
      <c r="G5390" s="43"/>
    </row>
    <row r="5391" spans="6:7" x14ac:dyDescent="0.3">
      <c r="F5391" s="43"/>
      <c r="G5391" s="43"/>
    </row>
    <row r="5392" spans="6:7" x14ac:dyDescent="0.3">
      <c r="F5392" s="43"/>
      <c r="G5392" s="43"/>
    </row>
    <row r="5393" spans="6:7" x14ac:dyDescent="0.3">
      <c r="F5393" s="43"/>
      <c r="G5393" s="43"/>
    </row>
    <row r="5394" spans="6:7" x14ac:dyDescent="0.3">
      <c r="F5394" s="43"/>
      <c r="G5394" s="43"/>
    </row>
    <row r="5395" spans="6:7" x14ac:dyDescent="0.3">
      <c r="F5395" s="43"/>
      <c r="G5395" s="43"/>
    </row>
    <row r="5396" spans="6:7" x14ac:dyDescent="0.3">
      <c r="F5396" s="43"/>
      <c r="G5396" s="43"/>
    </row>
    <row r="5397" spans="6:7" x14ac:dyDescent="0.3">
      <c r="F5397" s="43"/>
      <c r="G5397" s="43"/>
    </row>
    <row r="5398" spans="6:7" x14ac:dyDescent="0.3">
      <c r="F5398" s="43"/>
      <c r="G5398" s="43"/>
    </row>
    <row r="5399" spans="6:7" x14ac:dyDescent="0.3">
      <c r="F5399" s="43"/>
      <c r="G5399" s="43"/>
    </row>
    <row r="5400" spans="6:7" x14ac:dyDescent="0.3">
      <c r="F5400" s="43"/>
      <c r="G5400" s="43"/>
    </row>
    <row r="5401" spans="6:7" x14ac:dyDescent="0.3">
      <c r="F5401" s="43"/>
      <c r="G5401" s="43"/>
    </row>
    <row r="5402" spans="6:7" x14ac:dyDescent="0.3">
      <c r="F5402" s="43"/>
      <c r="G5402" s="43"/>
    </row>
    <row r="5403" spans="6:7" x14ac:dyDescent="0.3">
      <c r="F5403" s="43"/>
      <c r="G5403" s="43"/>
    </row>
    <row r="5404" spans="6:7" x14ac:dyDescent="0.3">
      <c r="F5404" s="43"/>
      <c r="G5404" s="43"/>
    </row>
    <row r="5405" spans="6:7" x14ac:dyDescent="0.3">
      <c r="F5405" s="43"/>
      <c r="G5405" s="43"/>
    </row>
    <row r="5406" spans="6:7" x14ac:dyDescent="0.3">
      <c r="F5406" s="43"/>
      <c r="G5406" s="43"/>
    </row>
    <row r="5407" spans="6:7" x14ac:dyDescent="0.3">
      <c r="F5407" s="43"/>
      <c r="G5407" s="43"/>
    </row>
    <row r="5408" spans="6:7" x14ac:dyDescent="0.3">
      <c r="F5408" s="43"/>
      <c r="G5408" s="43"/>
    </row>
    <row r="5409" spans="6:14" x14ac:dyDescent="0.3">
      <c r="F5409" s="1"/>
      <c r="G5409" s="1"/>
    </row>
    <row r="5410" spans="6:14" x14ac:dyDescent="0.3">
      <c r="F5410" s="43"/>
      <c r="G5410" s="43"/>
    </row>
    <row r="5411" spans="6:14" x14ac:dyDescent="0.3">
      <c r="F5411" s="43"/>
      <c r="G5411" s="43"/>
    </row>
    <row r="5412" spans="6:14" x14ac:dyDescent="0.3">
      <c r="F5412" s="43"/>
      <c r="G5412" s="43"/>
    </row>
    <row r="5413" spans="6:14" x14ac:dyDescent="0.3">
      <c r="F5413" s="43"/>
      <c r="G5413" s="43"/>
    </row>
    <row r="5414" spans="6:14" x14ac:dyDescent="0.3">
      <c r="F5414" s="43"/>
      <c r="G5414" s="43"/>
      <c r="N5414" s="46"/>
    </row>
    <row r="5415" spans="6:14" x14ac:dyDescent="0.3">
      <c r="F5415" s="43"/>
      <c r="G5415" s="43"/>
    </row>
    <row r="5416" spans="6:14" x14ac:dyDescent="0.3">
      <c r="F5416" s="43"/>
      <c r="G5416" s="43"/>
    </row>
    <row r="5417" spans="6:14" x14ac:dyDescent="0.3">
      <c r="F5417" s="43"/>
      <c r="G5417" s="43"/>
    </row>
    <row r="5418" spans="6:14" x14ac:dyDescent="0.3">
      <c r="F5418" s="43"/>
      <c r="G5418" s="43"/>
    </row>
    <row r="5419" spans="6:14" x14ac:dyDescent="0.3">
      <c r="F5419" s="43"/>
      <c r="G5419" s="43"/>
    </row>
    <row r="5420" spans="6:14" x14ac:dyDescent="0.3">
      <c r="F5420" s="43"/>
      <c r="G5420" s="43"/>
    </row>
    <row r="5421" spans="6:14" x14ac:dyDescent="0.3">
      <c r="F5421" s="43"/>
      <c r="G5421" s="43"/>
    </row>
    <row r="5422" spans="6:14" x14ac:dyDescent="0.3">
      <c r="F5422" s="43"/>
      <c r="G5422" s="43"/>
    </row>
    <row r="5423" spans="6:14" x14ac:dyDescent="0.3">
      <c r="F5423" s="1"/>
      <c r="G5423" s="1"/>
    </row>
    <row r="5424" spans="6:14" x14ac:dyDescent="0.3">
      <c r="F5424" s="43"/>
      <c r="G5424" s="43"/>
    </row>
    <row r="5425" spans="6:7" x14ac:dyDescent="0.3">
      <c r="F5425" s="43"/>
      <c r="G5425" s="43"/>
    </row>
    <row r="5426" spans="6:7" x14ac:dyDescent="0.3">
      <c r="F5426" s="43"/>
      <c r="G5426" s="43"/>
    </row>
    <row r="5427" spans="6:7" x14ac:dyDescent="0.3">
      <c r="F5427" s="43"/>
      <c r="G5427" s="43"/>
    </row>
    <row r="5428" spans="6:7" x14ac:dyDescent="0.3">
      <c r="F5428" s="1"/>
      <c r="G5428" s="1"/>
    </row>
    <row r="5429" spans="6:7" x14ac:dyDescent="0.3">
      <c r="F5429" s="43"/>
      <c r="G5429" s="43"/>
    </row>
    <row r="5430" spans="6:7" x14ac:dyDescent="0.3">
      <c r="F5430" s="43"/>
      <c r="G5430" s="43"/>
    </row>
    <row r="5431" spans="6:7" x14ac:dyDescent="0.3">
      <c r="F5431" s="43"/>
      <c r="G5431" s="43"/>
    </row>
    <row r="5432" spans="6:7" x14ac:dyDescent="0.3">
      <c r="F5432" s="43"/>
      <c r="G5432" s="43"/>
    </row>
    <row r="5433" spans="6:7" x14ac:dyDescent="0.3">
      <c r="F5433" s="43"/>
      <c r="G5433" s="43"/>
    </row>
    <row r="5434" spans="6:7" x14ac:dyDescent="0.3">
      <c r="F5434" s="43"/>
      <c r="G5434" s="43"/>
    </row>
    <row r="5435" spans="6:7" x14ac:dyDescent="0.3">
      <c r="F5435" s="43"/>
      <c r="G5435" s="43"/>
    </row>
    <row r="5436" spans="6:7" x14ac:dyDescent="0.3">
      <c r="F5436" s="43"/>
      <c r="G5436" s="43"/>
    </row>
    <row r="5437" spans="6:7" x14ac:dyDescent="0.3">
      <c r="F5437" s="43"/>
      <c r="G5437" s="43"/>
    </row>
    <row r="5438" spans="6:7" x14ac:dyDescent="0.3">
      <c r="F5438" s="43"/>
      <c r="G5438" s="43"/>
    </row>
    <row r="5439" spans="6:7" x14ac:dyDescent="0.3">
      <c r="F5439" s="43"/>
      <c r="G5439" s="43"/>
    </row>
    <row r="5440" spans="6:7" x14ac:dyDescent="0.3">
      <c r="F5440" s="43"/>
      <c r="G5440" s="43"/>
    </row>
    <row r="5441" spans="6:7" x14ac:dyDescent="0.3">
      <c r="F5441" s="43"/>
      <c r="G5441" s="43"/>
    </row>
    <row r="5442" spans="6:7" x14ac:dyDescent="0.3">
      <c r="F5442" s="43"/>
      <c r="G5442" s="43"/>
    </row>
    <row r="5443" spans="6:7" x14ac:dyDescent="0.3">
      <c r="F5443" s="43"/>
      <c r="G5443" s="43"/>
    </row>
    <row r="5444" spans="6:7" x14ac:dyDescent="0.3">
      <c r="F5444" s="43"/>
      <c r="G5444" s="43"/>
    </row>
    <row r="5445" spans="6:7" x14ac:dyDescent="0.3">
      <c r="F5445" s="43"/>
      <c r="G5445" s="43"/>
    </row>
    <row r="5446" spans="6:7" x14ac:dyDescent="0.3">
      <c r="F5446" s="43"/>
      <c r="G5446" s="43"/>
    </row>
    <row r="5447" spans="6:7" x14ac:dyDescent="0.3">
      <c r="F5447" s="43"/>
      <c r="G5447" s="43"/>
    </row>
    <row r="5448" spans="6:7" x14ac:dyDescent="0.3">
      <c r="F5448" s="43"/>
      <c r="G5448" s="43"/>
    </row>
    <row r="5449" spans="6:7" x14ac:dyDescent="0.3">
      <c r="F5449" s="43"/>
      <c r="G5449" s="43"/>
    </row>
    <row r="5450" spans="6:7" x14ac:dyDescent="0.3">
      <c r="F5450" s="43"/>
      <c r="G5450" s="43"/>
    </row>
    <row r="5451" spans="6:7" x14ac:dyDescent="0.3">
      <c r="F5451" s="43"/>
      <c r="G5451" s="43"/>
    </row>
    <row r="5452" spans="6:7" x14ac:dyDescent="0.3">
      <c r="F5452" s="43"/>
      <c r="G5452" s="43"/>
    </row>
    <row r="5453" spans="6:7" x14ac:dyDescent="0.3">
      <c r="F5453" s="43"/>
      <c r="G5453" s="43"/>
    </row>
    <row r="5454" spans="6:7" x14ac:dyDescent="0.3">
      <c r="F5454" s="43"/>
      <c r="G5454" s="43"/>
    </row>
    <row r="5455" spans="6:7" x14ac:dyDescent="0.3">
      <c r="F5455" s="43"/>
      <c r="G5455" s="43"/>
    </row>
    <row r="5456" spans="6:7" x14ac:dyDescent="0.3">
      <c r="F5456" s="43"/>
      <c r="G5456" s="43"/>
    </row>
    <row r="5457" spans="6:7" x14ac:dyDescent="0.3">
      <c r="F5457" s="43"/>
      <c r="G5457" s="43"/>
    </row>
    <row r="5458" spans="6:7" x14ac:dyDescent="0.3">
      <c r="F5458" s="43"/>
      <c r="G5458" s="43"/>
    </row>
    <row r="5459" spans="6:7" x14ac:dyDescent="0.3">
      <c r="F5459" s="43"/>
      <c r="G5459" s="43"/>
    </row>
    <row r="5460" spans="6:7" x14ac:dyDescent="0.3">
      <c r="F5460" s="43"/>
      <c r="G5460" s="43"/>
    </row>
    <row r="5461" spans="6:7" x14ac:dyDescent="0.3">
      <c r="F5461" s="43"/>
      <c r="G5461" s="43"/>
    </row>
    <row r="5462" spans="6:7" x14ac:dyDescent="0.3">
      <c r="F5462" s="43"/>
      <c r="G5462" s="43"/>
    </row>
    <row r="5463" spans="6:7" x14ac:dyDescent="0.3">
      <c r="F5463" s="43"/>
      <c r="G5463" s="43"/>
    </row>
    <row r="5464" spans="6:7" x14ac:dyDescent="0.3">
      <c r="F5464" s="43"/>
      <c r="G5464" s="43"/>
    </row>
    <row r="5465" spans="6:7" x14ac:dyDescent="0.3">
      <c r="F5465" s="43"/>
      <c r="G5465" s="43"/>
    </row>
    <row r="5466" spans="6:7" x14ac:dyDescent="0.3">
      <c r="F5466" s="43"/>
      <c r="G5466" s="43"/>
    </row>
    <row r="5467" spans="6:7" x14ac:dyDescent="0.3">
      <c r="F5467" s="43"/>
      <c r="G5467" s="43"/>
    </row>
    <row r="5468" spans="6:7" x14ac:dyDescent="0.3">
      <c r="F5468" s="43"/>
      <c r="G5468" s="43"/>
    </row>
    <row r="5469" spans="6:7" x14ac:dyDescent="0.3">
      <c r="F5469" s="43"/>
      <c r="G5469" s="43"/>
    </row>
    <row r="5470" spans="6:7" x14ac:dyDescent="0.3">
      <c r="F5470" s="43"/>
      <c r="G5470" s="43"/>
    </row>
    <row r="5471" spans="6:7" x14ac:dyDescent="0.3">
      <c r="F5471" s="43"/>
      <c r="G5471" s="43"/>
    </row>
    <row r="5472" spans="6:7" x14ac:dyDescent="0.3">
      <c r="F5472" s="43"/>
      <c r="G5472" s="43"/>
    </row>
    <row r="5473" spans="6:7" x14ac:dyDescent="0.3">
      <c r="F5473" s="43"/>
      <c r="G5473" s="43"/>
    </row>
    <row r="5474" spans="6:7" x14ac:dyDescent="0.3">
      <c r="F5474" s="43"/>
      <c r="G5474" s="43"/>
    </row>
    <row r="5475" spans="6:7" x14ac:dyDescent="0.3">
      <c r="F5475" s="43"/>
      <c r="G5475" s="43"/>
    </row>
    <row r="5476" spans="6:7" x14ac:dyDescent="0.3">
      <c r="F5476" s="43"/>
      <c r="G5476" s="43"/>
    </row>
    <row r="5477" spans="6:7" x14ac:dyDescent="0.3">
      <c r="F5477" s="43"/>
      <c r="G5477" s="43"/>
    </row>
    <row r="5478" spans="6:7" x14ac:dyDescent="0.3">
      <c r="F5478" s="43"/>
      <c r="G5478" s="43"/>
    </row>
    <row r="5479" spans="6:7" x14ac:dyDescent="0.3">
      <c r="F5479" s="43"/>
      <c r="G5479" s="43"/>
    </row>
    <row r="5480" spans="6:7" x14ac:dyDescent="0.3">
      <c r="F5480" s="43"/>
      <c r="G5480" s="43"/>
    </row>
    <row r="5481" spans="6:7" x14ac:dyDescent="0.3">
      <c r="F5481" s="43"/>
      <c r="G5481" s="43"/>
    </row>
    <row r="5482" spans="6:7" x14ac:dyDescent="0.3">
      <c r="F5482" s="43"/>
      <c r="G5482" s="43"/>
    </row>
    <row r="5483" spans="6:7" x14ac:dyDescent="0.3">
      <c r="F5483" s="43"/>
      <c r="G5483" s="43"/>
    </row>
    <row r="5484" spans="6:7" x14ac:dyDescent="0.3">
      <c r="F5484" s="43"/>
      <c r="G5484" s="43"/>
    </row>
    <row r="5485" spans="6:7" x14ac:dyDescent="0.3">
      <c r="F5485" s="43"/>
      <c r="G5485" s="43"/>
    </row>
    <row r="5486" spans="6:7" x14ac:dyDescent="0.3">
      <c r="F5486" s="43"/>
      <c r="G5486" s="43"/>
    </row>
    <row r="5487" spans="6:7" x14ac:dyDescent="0.3">
      <c r="F5487" s="43"/>
      <c r="G5487" s="43"/>
    </row>
    <row r="5488" spans="6:7" x14ac:dyDescent="0.3">
      <c r="F5488" s="43"/>
      <c r="G5488" s="43"/>
    </row>
    <row r="5489" spans="6:7" x14ac:dyDescent="0.3">
      <c r="F5489" s="43"/>
      <c r="G5489" s="43"/>
    </row>
    <row r="5490" spans="6:7" x14ac:dyDescent="0.3">
      <c r="F5490" s="43"/>
      <c r="G5490" s="43"/>
    </row>
    <row r="5491" spans="6:7" x14ac:dyDescent="0.3">
      <c r="F5491" s="43"/>
      <c r="G5491" s="43"/>
    </row>
    <row r="5492" spans="6:7" x14ac:dyDescent="0.3">
      <c r="F5492" s="43"/>
      <c r="G5492" s="43"/>
    </row>
    <row r="5493" spans="6:7" x14ac:dyDescent="0.3">
      <c r="F5493" s="43"/>
      <c r="G5493" s="43"/>
    </row>
    <row r="5494" spans="6:7" x14ac:dyDescent="0.3">
      <c r="F5494" s="43"/>
      <c r="G5494" s="43"/>
    </row>
    <row r="5495" spans="6:7" x14ac:dyDescent="0.3">
      <c r="F5495" s="43"/>
      <c r="G5495" s="43"/>
    </row>
    <row r="5496" spans="6:7" x14ac:dyDescent="0.3">
      <c r="F5496" s="43"/>
      <c r="G5496" s="43"/>
    </row>
    <row r="5497" spans="6:7" x14ac:dyDescent="0.3">
      <c r="F5497" s="43"/>
      <c r="G5497" s="43"/>
    </row>
    <row r="5498" spans="6:7" x14ac:dyDescent="0.3">
      <c r="F5498" s="43"/>
      <c r="G5498" s="43"/>
    </row>
    <row r="5499" spans="6:7" x14ac:dyDescent="0.3">
      <c r="F5499" s="43"/>
      <c r="G5499" s="43"/>
    </row>
    <row r="5500" spans="6:7" x14ac:dyDescent="0.3">
      <c r="F5500" s="43"/>
      <c r="G5500" s="43"/>
    </row>
    <row r="5501" spans="6:7" x14ac:dyDescent="0.3">
      <c r="F5501" s="43"/>
      <c r="G5501" s="43"/>
    </row>
    <row r="5502" spans="6:7" x14ac:dyDescent="0.3">
      <c r="F5502" s="43"/>
      <c r="G5502" s="43"/>
    </row>
    <row r="5503" spans="6:7" x14ac:dyDescent="0.3">
      <c r="F5503" s="43"/>
      <c r="G5503" s="43"/>
    </row>
    <row r="5504" spans="6:7" x14ac:dyDescent="0.3">
      <c r="F5504" s="43"/>
      <c r="G5504" s="43"/>
    </row>
    <row r="5505" spans="6:7" x14ac:dyDescent="0.3">
      <c r="F5505" s="43"/>
      <c r="G5505" s="43"/>
    </row>
    <row r="5506" spans="6:7" x14ac:dyDescent="0.3">
      <c r="F5506" s="43"/>
      <c r="G5506" s="43"/>
    </row>
    <row r="5507" spans="6:7" x14ac:dyDescent="0.3">
      <c r="F5507" s="43"/>
      <c r="G5507" s="43"/>
    </row>
    <row r="5508" spans="6:7" x14ac:dyDescent="0.3">
      <c r="F5508" s="43"/>
      <c r="G5508" s="43"/>
    </row>
    <row r="5509" spans="6:7" x14ac:dyDescent="0.3">
      <c r="F5509" s="43"/>
      <c r="G5509" s="43"/>
    </row>
    <row r="5510" spans="6:7" x14ac:dyDescent="0.3">
      <c r="F5510" s="43"/>
      <c r="G5510" s="43"/>
    </row>
    <row r="5511" spans="6:7" x14ac:dyDescent="0.3">
      <c r="F5511" s="43"/>
      <c r="G5511" s="43"/>
    </row>
    <row r="5512" spans="6:7" x14ac:dyDescent="0.3">
      <c r="F5512" s="43"/>
      <c r="G5512" s="43"/>
    </row>
    <row r="5513" spans="6:7" x14ac:dyDescent="0.3">
      <c r="F5513" s="43"/>
      <c r="G5513" s="43"/>
    </row>
    <row r="5514" spans="6:7" x14ac:dyDescent="0.3">
      <c r="F5514" s="43"/>
      <c r="G5514" s="43"/>
    </row>
    <row r="5515" spans="6:7" x14ac:dyDescent="0.3">
      <c r="F5515" s="43"/>
      <c r="G5515" s="43"/>
    </row>
    <row r="5516" spans="6:7" x14ac:dyDescent="0.3">
      <c r="F5516" s="43"/>
      <c r="G5516" s="43"/>
    </row>
    <row r="5517" spans="6:7" x14ac:dyDescent="0.3">
      <c r="F5517" s="43"/>
      <c r="G5517" s="43"/>
    </row>
    <row r="5518" spans="6:7" x14ac:dyDescent="0.3">
      <c r="F5518" s="43"/>
      <c r="G5518" s="43"/>
    </row>
    <row r="5519" spans="6:7" x14ac:dyDescent="0.3">
      <c r="F5519" s="43"/>
      <c r="G5519" s="43"/>
    </row>
    <row r="5520" spans="6:7" x14ac:dyDescent="0.3">
      <c r="F5520" s="43"/>
      <c r="G5520" s="43"/>
    </row>
    <row r="5521" spans="6:7" x14ac:dyDescent="0.3">
      <c r="F5521" s="43"/>
      <c r="G5521" s="43"/>
    </row>
    <row r="5522" spans="6:7" x14ac:dyDescent="0.3">
      <c r="F5522" s="43"/>
      <c r="G5522" s="43"/>
    </row>
    <row r="5523" spans="6:7" x14ac:dyDescent="0.3">
      <c r="F5523" s="43"/>
      <c r="G5523" s="43"/>
    </row>
    <row r="5524" spans="6:7" x14ac:dyDescent="0.3">
      <c r="F5524" s="43"/>
      <c r="G5524" s="43"/>
    </row>
    <row r="5525" spans="6:7" x14ac:dyDescent="0.3">
      <c r="F5525" s="43"/>
      <c r="G5525" s="43"/>
    </row>
    <row r="5526" spans="6:7" x14ac:dyDescent="0.3">
      <c r="F5526" s="43"/>
      <c r="G5526" s="43"/>
    </row>
    <row r="5527" spans="6:7" x14ac:dyDescent="0.3">
      <c r="F5527" s="43"/>
      <c r="G5527" s="43"/>
    </row>
    <row r="5528" spans="6:7" x14ac:dyDescent="0.3">
      <c r="F5528" s="43"/>
      <c r="G5528" s="43"/>
    </row>
    <row r="5529" spans="6:7" x14ac:dyDescent="0.3">
      <c r="F5529" s="43"/>
      <c r="G5529" s="43"/>
    </row>
    <row r="5530" spans="6:7" x14ac:dyDescent="0.3">
      <c r="F5530" s="43"/>
      <c r="G5530" s="43"/>
    </row>
    <row r="5531" spans="6:7" x14ac:dyDescent="0.3">
      <c r="F5531" s="1"/>
      <c r="G5531" s="1"/>
    </row>
    <row r="5532" spans="6:7" x14ac:dyDescent="0.3">
      <c r="F5532" s="43"/>
      <c r="G5532" s="43"/>
    </row>
    <row r="5533" spans="6:7" x14ac:dyDescent="0.3">
      <c r="F5533" s="43"/>
      <c r="G5533" s="43"/>
    </row>
    <row r="5534" spans="6:7" x14ac:dyDescent="0.3">
      <c r="F5534" s="43"/>
      <c r="G5534" s="43"/>
    </row>
    <row r="5535" spans="6:7" x14ac:dyDescent="0.3">
      <c r="F5535" s="43"/>
      <c r="G5535" s="43"/>
    </row>
    <row r="5536" spans="6:7" x14ac:dyDescent="0.3">
      <c r="F5536" s="43"/>
      <c r="G5536" s="43"/>
    </row>
    <row r="5537" spans="6:7" x14ac:dyDescent="0.3">
      <c r="F5537" s="43"/>
      <c r="G5537" s="43"/>
    </row>
    <row r="5538" spans="6:7" x14ac:dyDescent="0.3">
      <c r="F5538" s="43"/>
      <c r="G5538" s="43"/>
    </row>
    <row r="5539" spans="6:7" x14ac:dyDescent="0.3">
      <c r="F5539" s="43"/>
      <c r="G5539" s="43"/>
    </row>
    <row r="5540" spans="6:7" x14ac:dyDescent="0.3">
      <c r="F5540" s="43"/>
      <c r="G5540" s="43"/>
    </row>
    <row r="5541" spans="6:7" x14ac:dyDescent="0.3">
      <c r="F5541" s="43"/>
      <c r="G5541" s="43"/>
    </row>
    <row r="5542" spans="6:7" x14ac:dyDescent="0.3">
      <c r="F5542" s="43"/>
      <c r="G5542" s="43"/>
    </row>
    <row r="5543" spans="6:7" x14ac:dyDescent="0.3">
      <c r="F5543" s="43"/>
      <c r="G5543" s="43"/>
    </row>
    <row r="5544" spans="6:7" x14ac:dyDescent="0.3">
      <c r="F5544" s="43"/>
      <c r="G5544" s="43"/>
    </row>
    <row r="5545" spans="6:7" x14ac:dyDescent="0.3">
      <c r="F5545" s="43"/>
      <c r="G5545" s="43"/>
    </row>
    <row r="5546" spans="6:7" x14ac:dyDescent="0.3">
      <c r="F5546" s="43"/>
      <c r="G5546" s="43"/>
    </row>
    <row r="5547" spans="6:7" x14ac:dyDescent="0.3">
      <c r="F5547" s="43"/>
      <c r="G5547" s="43"/>
    </row>
    <row r="5548" spans="6:7" x14ac:dyDescent="0.3">
      <c r="F5548" s="43"/>
      <c r="G5548" s="43"/>
    </row>
    <row r="5549" spans="6:7" x14ac:dyDescent="0.3">
      <c r="F5549" s="43"/>
      <c r="G5549" s="43"/>
    </row>
    <row r="5550" spans="6:7" x14ac:dyDescent="0.3">
      <c r="F5550" s="43"/>
      <c r="G5550" s="43"/>
    </row>
    <row r="5551" spans="6:7" x14ac:dyDescent="0.3">
      <c r="F5551" s="43"/>
      <c r="G5551" s="43"/>
    </row>
    <row r="5552" spans="6:7" x14ac:dyDescent="0.3">
      <c r="F5552" s="43"/>
      <c r="G5552" s="43"/>
    </row>
    <row r="5553" spans="5:7" x14ac:dyDescent="0.3">
      <c r="F5553" s="43"/>
      <c r="G5553" s="43"/>
    </row>
    <row r="5554" spans="5:7" x14ac:dyDescent="0.3">
      <c r="F5554" s="43"/>
      <c r="G5554" s="43"/>
    </row>
    <row r="5555" spans="5:7" x14ac:dyDescent="0.3">
      <c r="F5555" s="43"/>
      <c r="G5555" s="43"/>
    </row>
    <row r="5556" spans="5:7" x14ac:dyDescent="0.3">
      <c r="F5556" s="43"/>
      <c r="G5556" s="43"/>
    </row>
    <row r="5557" spans="5:7" x14ac:dyDescent="0.3">
      <c r="F5557" s="43"/>
      <c r="G5557" s="43"/>
    </row>
    <row r="5558" spans="5:7" x14ac:dyDescent="0.3">
      <c r="F5558" s="43"/>
      <c r="G5558" s="43"/>
    </row>
    <row r="5559" spans="5:7" x14ac:dyDescent="0.3">
      <c r="F5559" s="43"/>
      <c r="G5559" s="43"/>
    </row>
    <row r="5560" spans="5:7" x14ac:dyDescent="0.3">
      <c r="F5560" s="43"/>
      <c r="G5560" s="43"/>
    </row>
    <row r="5561" spans="5:7" x14ac:dyDescent="0.3">
      <c r="E5561" s="44"/>
      <c r="F5561" s="43"/>
      <c r="G5561" s="43"/>
    </row>
    <row r="5562" spans="5:7" x14ac:dyDescent="0.3">
      <c r="F5562" s="43"/>
      <c r="G5562" s="43"/>
    </row>
    <row r="5563" spans="5:7" x14ac:dyDescent="0.3">
      <c r="F5563" s="43"/>
      <c r="G5563" s="43"/>
    </row>
    <row r="5564" spans="5:7" x14ac:dyDescent="0.3">
      <c r="F5564" s="43"/>
      <c r="G5564" s="43"/>
    </row>
    <row r="5565" spans="5:7" x14ac:dyDescent="0.3">
      <c r="F5565" s="43"/>
      <c r="G5565" s="43"/>
    </row>
    <row r="5566" spans="5:7" x14ac:dyDescent="0.3">
      <c r="F5566" s="43"/>
      <c r="G5566" s="43"/>
    </row>
    <row r="5567" spans="5:7" x14ac:dyDescent="0.3">
      <c r="F5567" s="43"/>
      <c r="G5567" s="43"/>
    </row>
    <row r="5568" spans="5:7" x14ac:dyDescent="0.3">
      <c r="F5568" s="43"/>
      <c r="G5568" s="43"/>
    </row>
    <row r="5569" spans="6:7" x14ac:dyDescent="0.3">
      <c r="F5569" s="43"/>
      <c r="G5569" s="43"/>
    </row>
    <row r="5570" spans="6:7" x14ac:dyDescent="0.3">
      <c r="F5570" s="43"/>
      <c r="G5570" s="43"/>
    </row>
    <row r="5571" spans="6:7" x14ac:dyDescent="0.3">
      <c r="F5571" s="43"/>
      <c r="G5571" s="43"/>
    </row>
    <row r="5572" spans="6:7" x14ac:dyDescent="0.3">
      <c r="F5572" s="43"/>
      <c r="G5572" s="43"/>
    </row>
    <row r="5573" spans="6:7" x14ac:dyDescent="0.3">
      <c r="F5573" s="43"/>
      <c r="G5573" s="43"/>
    </row>
    <row r="5574" spans="6:7" x14ac:dyDescent="0.3">
      <c r="F5574" s="43"/>
      <c r="G5574" s="43"/>
    </row>
    <row r="5575" spans="6:7" x14ac:dyDescent="0.3">
      <c r="F5575" s="43"/>
      <c r="G5575" s="43"/>
    </row>
    <row r="5576" spans="6:7" x14ac:dyDescent="0.3">
      <c r="F5576" s="43"/>
      <c r="G5576" s="43"/>
    </row>
    <row r="5577" spans="6:7" x14ac:dyDescent="0.3">
      <c r="F5577" s="43"/>
      <c r="G5577" s="43"/>
    </row>
    <row r="5578" spans="6:7" x14ac:dyDescent="0.3">
      <c r="F5578" s="43"/>
      <c r="G5578" s="43"/>
    </row>
    <row r="5579" spans="6:7" x14ac:dyDescent="0.3">
      <c r="F5579" s="43"/>
      <c r="G5579" s="43"/>
    </row>
    <row r="5580" spans="6:7" x14ac:dyDescent="0.3">
      <c r="F5580" s="43"/>
      <c r="G5580" s="43"/>
    </row>
    <row r="5581" spans="6:7" x14ac:dyDescent="0.3">
      <c r="F5581" s="43"/>
      <c r="G5581" s="43"/>
    </row>
    <row r="5582" spans="6:7" x14ac:dyDescent="0.3">
      <c r="F5582" s="43"/>
      <c r="G5582" s="43"/>
    </row>
    <row r="5583" spans="6:7" x14ac:dyDescent="0.3">
      <c r="F5583" s="43"/>
      <c r="G5583" s="43"/>
    </row>
    <row r="5584" spans="6:7" x14ac:dyDescent="0.3">
      <c r="F5584" s="43"/>
      <c r="G5584" s="43"/>
    </row>
    <row r="5585" spans="6:7" x14ac:dyDescent="0.3">
      <c r="F5585" s="43"/>
      <c r="G5585" s="43"/>
    </row>
    <row r="5586" spans="6:7" x14ac:dyDescent="0.3">
      <c r="F5586" s="43"/>
      <c r="G5586" s="43"/>
    </row>
    <row r="5587" spans="6:7" x14ac:dyDescent="0.3">
      <c r="F5587" s="43"/>
      <c r="G5587" s="43"/>
    </row>
    <row r="5588" spans="6:7" x14ac:dyDescent="0.3">
      <c r="F5588" s="43"/>
      <c r="G5588" s="43"/>
    </row>
    <row r="5589" spans="6:7" x14ac:dyDescent="0.3">
      <c r="F5589" s="43"/>
      <c r="G5589" s="43"/>
    </row>
    <row r="5590" spans="6:7" x14ac:dyDescent="0.3">
      <c r="F5590" s="43"/>
      <c r="G5590" s="43"/>
    </row>
    <row r="5591" spans="6:7" x14ac:dyDescent="0.3">
      <c r="F5591" s="43"/>
      <c r="G5591" s="43"/>
    </row>
    <row r="5592" spans="6:7" x14ac:dyDescent="0.3">
      <c r="F5592" s="43"/>
      <c r="G5592" s="43"/>
    </row>
    <row r="5593" spans="6:7" x14ac:dyDescent="0.3">
      <c r="F5593" s="43"/>
      <c r="G5593" s="43"/>
    </row>
    <row r="5594" spans="6:7" x14ac:dyDescent="0.3">
      <c r="F5594" s="43"/>
      <c r="G5594" s="43"/>
    </row>
    <row r="5595" spans="6:7" x14ac:dyDescent="0.3">
      <c r="F5595" s="43"/>
      <c r="G5595" s="43"/>
    </row>
    <row r="5596" spans="6:7" x14ac:dyDescent="0.3">
      <c r="F5596" s="43"/>
      <c r="G5596" s="43"/>
    </row>
    <row r="5597" spans="6:7" x14ac:dyDescent="0.3">
      <c r="F5597" s="43"/>
      <c r="G5597" s="43"/>
    </row>
    <row r="5598" spans="6:7" x14ac:dyDescent="0.3">
      <c r="F5598" s="43"/>
      <c r="G5598" s="43"/>
    </row>
    <row r="5599" spans="6:7" x14ac:dyDescent="0.3">
      <c r="F5599" s="43"/>
      <c r="G5599" s="43"/>
    </row>
    <row r="5600" spans="6:7" x14ac:dyDescent="0.3">
      <c r="F5600" s="43"/>
      <c r="G5600" s="43"/>
    </row>
    <row r="5601" spans="6:7" x14ac:dyDescent="0.3">
      <c r="F5601" s="43"/>
      <c r="G5601" s="43"/>
    </row>
    <row r="5602" spans="6:7" x14ac:dyDescent="0.3">
      <c r="F5602" s="43"/>
      <c r="G5602" s="43"/>
    </row>
    <row r="5603" spans="6:7" x14ac:dyDescent="0.3">
      <c r="F5603" s="43"/>
      <c r="G5603" s="43"/>
    </row>
    <row r="5604" spans="6:7" x14ac:dyDescent="0.3">
      <c r="F5604" s="43"/>
      <c r="G5604" s="43"/>
    </row>
    <row r="5605" spans="6:7" x14ac:dyDescent="0.3">
      <c r="F5605" s="43"/>
      <c r="G5605" s="43"/>
    </row>
    <row r="5606" spans="6:7" x14ac:dyDescent="0.3">
      <c r="F5606" s="43"/>
      <c r="G5606" s="43"/>
    </row>
    <row r="5607" spans="6:7" x14ac:dyDescent="0.3">
      <c r="F5607" s="43"/>
      <c r="G5607" s="43"/>
    </row>
    <row r="5608" spans="6:7" x14ac:dyDescent="0.3">
      <c r="F5608" s="43"/>
      <c r="G5608" s="43"/>
    </row>
    <row r="5609" spans="6:7" x14ac:dyDescent="0.3">
      <c r="F5609" s="43"/>
      <c r="G5609" s="43"/>
    </row>
    <row r="5610" spans="6:7" x14ac:dyDescent="0.3">
      <c r="F5610" s="43"/>
      <c r="G5610" s="43"/>
    </row>
    <row r="5611" spans="6:7" x14ac:dyDescent="0.3">
      <c r="F5611" s="43"/>
      <c r="G5611" s="43"/>
    </row>
    <row r="5612" spans="6:7" x14ac:dyDescent="0.3">
      <c r="F5612" s="43"/>
      <c r="G5612" s="43"/>
    </row>
    <row r="5613" spans="6:7" x14ac:dyDescent="0.3">
      <c r="F5613" s="43"/>
      <c r="G5613" s="43"/>
    </row>
    <row r="5614" spans="6:7" x14ac:dyDescent="0.3">
      <c r="F5614" s="43"/>
      <c r="G5614" s="43"/>
    </row>
    <row r="5615" spans="6:7" x14ac:dyDescent="0.3">
      <c r="F5615" s="43"/>
      <c r="G5615" s="43"/>
    </row>
    <row r="5616" spans="6:7" x14ac:dyDescent="0.3">
      <c r="F5616" s="43"/>
      <c r="G5616" s="43"/>
    </row>
    <row r="5617" spans="6:7" x14ac:dyDescent="0.3">
      <c r="F5617" s="43"/>
      <c r="G5617" s="43"/>
    </row>
    <row r="5618" spans="6:7" x14ac:dyDescent="0.3">
      <c r="F5618" s="43"/>
      <c r="G5618" s="43"/>
    </row>
    <row r="5619" spans="6:7" x14ac:dyDescent="0.3">
      <c r="F5619" s="43"/>
      <c r="G5619" s="43"/>
    </row>
    <row r="5620" spans="6:7" x14ac:dyDescent="0.3">
      <c r="F5620" s="43"/>
      <c r="G5620" s="43"/>
    </row>
    <row r="5621" spans="6:7" x14ac:dyDescent="0.3">
      <c r="F5621" s="43"/>
      <c r="G5621" s="43"/>
    </row>
    <row r="5622" spans="6:7" x14ac:dyDescent="0.3">
      <c r="F5622" s="43"/>
      <c r="G5622" s="43"/>
    </row>
    <row r="5623" spans="6:7" x14ac:dyDescent="0.3">
      <c r="F5623" s="43"/>
      <c r="G5623" s="43"/>
    </row>
  </sheetData>
  <autoFilter ref="A2:R67" xr:uid="{97BB3B96-51BF-4A1B-899B-CF103D28EC74}"/>
  <sortState xmlns:xlrd2="http://schemas.microsoft.com/office/spreadsheetml/2017/richdata2" ref="A3:P80">
    <sortCondition descending="1" ref="F2:F80"/>
  </sortState>
  <dataConsolidate/>
  <dataValidations count="2">
    <dataValidation type="list" allowBlank="1" showInputMessage="1" showErrorMessage="1" sqref="S3:S608" xr:uid="{806CDD26-F789-4180-ABE3-AF4DBDE4A62E}">
      <formula1>MONDAY_ITEMS</formula1>
    </dataValidation>
    <dataValidation type="list" allowBlank="1" showInputMessage="1" showErrorMessage="1" sqref="T3" xr:uid="{703D029A-9A4E-435B-A1F2-9A3159085981}">
      <formula1>MONDAY_SUBITEMS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9660D2-3A51-4F28-9BA3-C5174307FACA}">
          <x14:formula1>
            <xm:f>Reference!$V$7:$V$18</xm:f>
          </x14:formula1>
          <xm:sqref>Q215:Q216 Q3:Q20 Q27 Q29:Q31 Q35 Q40:Q41 Q43 Q49:Q50 Q52 Q56:Q59 Q62:Q64 Q66 Q68 Q70 Q86:Q89 Q91:Q93 Q96:Q98 Q100:Q102 Q113 Q122 Q143 Q195:Q196 Q202 Q23:Q25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E6245-8DB9-4947-BCB8-1FFE254EB8D7}">
  <sheetPr codeName="Sheet8"/>
  <dimension ref="A1:B23"/>
  <sheetViews>
    <sheetView workbookViewId="0">
      <selection activeCell="B23" sqref="B23"/>
    </sheetView>
  </sheetViews>
  <sheetFormatPr defaultRowHeight="14.4" x14ac:dyDescent="0.3"/>
  <cols>
    <col min="1" max="1" width="29.33203125" customWidth="1"/>
    <col min="2" max="2" width="70.109375" customWidth="1"/>
    <col min="4" max="4" width="50.21875" customWidth="1"/>
  </cols>
  <sheetData>
    <row r="1" spans="1:2" x14ac:dyDescent="0.3">
      <c r="A1" t="s">
        <v>10025</v>
      </c>
      <c r="B1" t="s">
        <v>10004</v>
      </c>
    </row>
    <row r="2" spans="1:2" x14ac:dyDescent="0.3">
      <c r="A2" t="s">
        <v>10001</v>
      </c>
    </row>
    <row r="3" spans="1:2" x14ac:dyDescent="0.3">
      <c r="A3" t="s">
        <v>10026</v>
      </c>
      <c r="B3" t="s">
        <v>10005</v>
      </c>
    </row>
    <row r="4" spans="1:2" x14ac:dyDescent="0.3">
      <c r="A4" t="s">
        <v>9993</v>
      </c>
      <c r="B4" s="1">
        <v>45295</v>
      </c>
    </row>
    <row r="5" spans="1:2" x14ac:dyDescent="0.3">
      <c r="A5" t="s">
        <v>9994</v>
      </c>
      <c r="B5">
        <v>-10</v>
      </c>
    </row>
    <row r="6" spans="1:2" x14ac:dyDescent="0.3">
      <c r="A6" t="s">
        <v>9995</v>
      </c>
      <c r="B6" s="1">
        <f>settings__startdateval+settings__offsetval</f>
        <v>45285</v>
      </c>
    </row>
    <row r="7" spans="1:2" x14ac:dyDescent="0.3">
      <c r="A7" t="s">
        <v>9996</v>
      </c>
    </row>
    <row r="8" spans="1:2" x14ac:dyDescent="0.3">
      <c r="A8" t="s">
        <v>9997</v>
      </c>
    </row>
    <row r="9" spans="1:2" x14ac:dyDescent="0.3">
      <c r="A9" t="s">
        <v>9998</v>
      </c>
      <c r="B9">
        <v>2179453202528</v>
      </c>
    </row>
    <row r="10" spans="1:2" x14ac:dyDescent="0.3">
      <c r="A10" t="s">
        <v>9999</v>
      </c>
      <c r="B10" t="s">
        <v>10002</v>
      </c>
    </row>
    <row r="11" spans="1:2" x14ac:dyDescent="0.3">
      <c r="A11" t="s">
        <v>10007</v>
      </c>
      <c r="B11" s="1">
        <v>45294</v>
      </c>
    </row>
    <row r="12" spans="1:2" x14ac:dyDescent="0.3">
      <c r="A12" t="s">
        <v>10008</v>
      </c>
      <c r="B12" s="58">
        <v>0.375</v>
      </c>
    </row>
    <row r="13" spans="1:2" x14ac:dyDescent="0.3">
      <c r="A13" t="s">
        <v>10009</v>
      </c>
      <c r="B13" t="s">
        <v>26</v>
      </c>
    </row>
    <row r="14" spans="1:2" x14ac:dyDescent="0.3">
      <c r="A14" t="s">
        <v>10010</v>
      </c>
      <c r="B14" t="s">
        <v>10021</v>
      </c>
    </row>
    <row r="15" spans="1:2" x14ac:dyDescent="0.3">
      <c r="A15" t="s">
        <v>10011</v>
      </c>
      <c r="B15" t="s">
        <v>227</v>
      </c>
    </row>
    <row r="16" spans="1:2" x14ac:dyDescent="0.3">
      <c r="A16" t="s">
        <v>10012</v>
      </c>
      <c r="B16" t="s">
        <v>10022</v>
      </c>
    </row>
    <row r="17" spans="1:2" x14ac:dyDescent="0.3">
      <c r="A17" t="s">
        <v>10017</v>
      </c>
    </row>
    <row r="18" spans="1:2" x14ac:dyDescent="0.3">
      <c r="A18" t="s">
        <v>10018</v>
      </c>
      <c r="B18" t="str">
        <f>INDEX(MONDAY_ITEMID,MATCH(additem__mondaysubitemval,MONDAY_SUBITEMS_DISPLAY,0))</f>
        <v>5765833187</v>
      </c>
    </row>
    <row r="19" spans="1:2" x14ac:dyDescent="0.3">
      <c r="A19" t="s">
        <v>10019</v>
      </c>
      <c r="B19" t="str">
        <f>INDEX(MONDAY_ITEMID,MATCH(additem__mondayitemval,MONDAY_ITEMS_DISPLAY,0))</f>
        <v>5765833187</v>
      </c>
    </row>
    <row r="20" spans="1:2" x14ac:dyDescent="0.3">
      <c r="A20" t="s">
        <v>10020</v>
      </c>
      <c r="B20">
        <v>60</v>
      </c>
    </row>
    <row r="21" spans="1:2" x14ac:dyDescent="0.3">
      <c r="A21" t="s">
        <v>10023</v>
      </c>
      <c r="B21" t="s">
        <v>10023</v>
      </c>
    </row>
    <row r="22" spans="1:2" x14ac:dyDescent="0.3">
      <c r="A22" t="s">
        <v>10024</v>
      </c>
      <c r="B22" t="s">
        <v>10024</v>
      </c>
    </row>
    <row r="23" spans="1:2" x14ac:dyDescent="0.3">
      <c r="A23" t="s">
        <v>10031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0C08-7BCD-4423-A864-EDB39874CE7E}">
  <sheetPr codeName="Sheet4"/>
  <dimension ref="C5"/>
  <sheetViews>
    <sheetView showFormulas="1" workbookViewId="0">
      <selection activeCell="A4" sqref="A4:B9"/>
    </sheetView>
  </sheetViews>
  <sheetFormatPr defaultRowHeight="14.4" x14ac:dyDescent="0.3"/>
  <cols>
    <col min="2" max="3" width="9" bestFit="1" customWidth="1"/>
  </cols>
  <sheetData>
    <row r="5" spans="3:3" x14ac:dyDescent="0.3">
      <c r="C5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93986-4B71-4784-B3AD-0D5C4C8DF049}">
  <sheetPr codeName="Sheet7"/>
  <dimension ref="A2:R4964"/>
  <sheetViews>
    <sheetView workbookViewId="0">
      <selection activeCell="B15" sqref="B15"/>
    </sheetView>
  </sheetViews>
  <sheetFormatPr defaultRowHeight="14.4" x14ac:dyDescent="0.3"/>
  <cols>
    <col min="1" max="1" width="29" customWidth="1"/>
    <col min="2" max="2" width="14.88671875" customWidth="1"/>
    <col min="3" max="3" width="10.44140625" bestFit="1" customWidth="1"/>
    <col min="4" max="4" width="12.88671875" bestFit="1" customWidth="1"/>
    <col min="5" max="5" width="11.6640625" bestFit="1" customWidth="1"/>
    <col min="6" max="6" width="15.5546875" bestFit="1" customWidth="1"/>
    <col min="7" max="7" width="16.33203125" bestFit="1" customWidth="1"/>
    <col min="8" max="11" width="10.44140625" customWidth="1"/>
    <col min="14" max="14" width="41.44140625" customWidth="1"/>
    <col min="15" max="15" width="13.88671875" customWidth="1"/>
    <col min="16" max="16" width="19.77734375" hidden="1" customWidth="1"/>
    <col min="17" max="17" width="12.21875" customWidth="1"/>
    <col min="18" max="18" width="13.109375" customWidth="1"/>
  </cols>
  <sheetData>
    <row r="2" spans="1:18" x14ac:dyDescent="0.3">
      <c r="A2" t="s">
        <v>0</v>
      </c>
      <c r="B2" t="s">
        <v>406</v>
      </c>
      <c r="C2" t="s">
        <v>1</v>
      </c>
      <c r="D2" t="s">
        <v>2</v>
      </c>
      <c r="E2" t="s">
        <v>3</v>
      </c>
      <c r="F2" s="43" t="s">
        <v>4</v>
      </c>
      <c r="G2" s="43" t="s">
        <v>46</v>
      </c>
      <c r="H2" t="s">
        <v>187</v>
      </c>
      <c r="I2" t="s">
        <v>188</v>
      </c>
      <c r="J2" t="s">
        <v>189</v>
      </c>
      <c r="K2" t="s">
        <v>190</v>
      </c>
      <c r="L2" t="s">
        <v>191</v>
      </c>
      <c r="M2" t="s">
        <v>192</v>
      </c>
      <c r="N2" t="s">
        <v>193</v>
      </c>
      <c r="O2" t="s">
        <v>194</v>
      </c>
      <c r="P2" t="s">
        <v>407</v>
      </c>
      <c r="Q2" t="s">
        <v>408</v>
      </c>
      <c r="R2" t="s">
        <v>409</v>
      </c>
    </row>
    <row r="3" spans="1:18" x14ac:dyDescent="0.3">
      <c r="A3" t="s">
        <v>64</v>
      </c>
      <c r="C3">
        <v>1440</v>
      </c>
      <c r="D3" t="s">
        <v>10</v>
      </c>
      <c r="F3" s="43">
        <v>45217</v>
      </c>
      <c r="G3" s="43">
        <v>45218</v>
      </c>
      <c r="H3">
        <v>0</v>
      </c>
      <c r="I3">
        <v>0</v>
      </c>
      <c r="J3">
        <v>0</v>
      </c>
      <c r="K3">
        <v>0</v>
      </c>
      <c r="L3">
        <v>2023</v>
      </c>
      <c r="N3" t="s">
        <v>65</v>
      </c>
      <c r="O3" t="s">
        <v>48</v>
      </c>
      <c r="P3" t="s">
        <v>385</v>
      </c>
    </row>
    <row r="4" spans="1:18" x14ac:dyDescent="0.3">
      <c r="A4" t="s">
        <v>63</v>
      </c>
      <c r="C4">
        <v>30</v>
      </c>
      <c r="D4" t="s">
        <v>256</v>
      </c>
      <c r="F4" s="43">
        <v>45196</v>
      </c>
      <c r="G4" s="43">
        <v>949997.9993055556</v>
      </c>
      <c r="H4">
        <v>13</v>
      </c>
      <c r="I4">
        <v>0</v>
      </c>
      <c r="J4">
        <v>13</v>
      </c>
      <c r="K4">
        <v>30</v>
      </c>
      <c r="L4">
        <v>2023</v>
      </c>
      <c r="N4" t="s">
        <v>47</v>
      </c>
      <c r="O4" t="s">
        <v>47</v>
      </c>
      <c r="P4" t="s">
        <v>181</v>
      </c>
    </row>
    <row r="5" spans="1:18" x14ac:dyDescent="0.3">
      <c r="A5" t="s">
        <v>257</v>
      </c>
      <c r="C5">
        <v>14400</v>
      </c>
      <c r="D5" t="s">
        <v>10</v>
      </c>
      <c r="F5" s="43">
        <v>45128</v>
      </c>
      <c r="G5" s="43">
        <v>45138</v>
      </c>
      <c r="H5">
        <v>0</v>
      </c>
      <c r="I5">
        <v>0</v>
      </c>
      <c r="J5">
        <v>0</v>
      </c>
      <c r="K5">
        <v>0</v>
      </c>
      <c r="L5">
        <v>2023</v>
      </c>
      <c r="M5" t="s">
        <v>33</v>
      </c>
      <c r="N5" t="s">
        <v>258</v>
      </c>
      <c r="O5" t="s">
        <v>48</v>
      </c>
      <c r="P5" t="s">
        <v>259</v>
      </c>
    </row>
    <row r="6" spans="1:18" x14ac:dyDescent="0.3">
      <c r="A6" t="s">
        <v>24</v>
      </c>
      <c r="C6">
        <v>30</v>
      </c>
      <c r="D6" t="s">
        <v>10</v>
      </c>
      <c r="F6" s="43">
        <v>45125.541666666664</v>
      </c>
      <c r="G6" s="43">
        <v>45125.5625</v>
      </c>
      <c r="H6">
        <v>13</v>
      </c>
      <c r="I6">
        <v>0</v>
      </c>
      <c r="J6">
        <v>13</v>
      </c>
      <c r="K6">
        <v>30</v>
      </c>
      <c r="L6">
        <v>2023</v>
      </c>
      <c r="N6" t="s">
        <v>47</v>
      </c>
      <c r="O6" t="s">
        <v>47</v>
      </c>
      <c r="P6" t="s">
        <v>321</v>
      </c>
    </row>
    <row r="7" spans="1:18" x14ac:dyDescent="0.3">
      <c r="A7" t="s">
        <v>66</v>
      </c>
      <c r="C7">
        <v>300</v>
      </c>
      <c r="D7" t="s">
        <v>10</v>
      </c>
      <c r="F7" s="43">
        <v>45118.291666666664</v>
      </c>
      <c r="G7" s="43">
        <v>45118.5</v>
      </c>
      <c r="H7">
        <v>7</v>
      </c>
      <c r="I7">
        <v>0</v>
      </c>
      <c r="J7">
        <v>12</v>
      </c>
      <c r="K7">
        <v>0</v>
      </c>
      <c r="L7">
        <v>2023</v>
      </c>
      <c r="N7" t="s">
        <v>56</v>
      </c>
      <c r="O7" t="s">
        <v>50</v>
      </c>
      <c r="P7" t="s">
        <v>183</v>
      </c>
    </row>
    <row r="8" spans="1:18" x14ac:dyDescent="0.3">
      <c r="A8" t="s">
        <v>140</v>
      </c>
      <c r="C8">
        <v>5760</v>
      </c>
      <c r="D8" t="s">
        <v>10</v>
      </c>
      <c r="F8" s="43">
        <v>45118</v>
      </c>
      <c r="G8" s="43">
        <v>45122</v>
      </c>
      <c r="H8">
        <v>0</v>
      </c>
      <c r="I8">
        <v>0</v>
      </c>
      <c r="J8">
        <v>0</v>
      </c>
      <c r="K8">
        <v>0</v>
      </c>
      <c r="L8">
        <v>2023</v>
      </c>
      <c r="N8" t="s">
        <v>141</v>
      </c>
      <c r="O8" t="s">
        <v>52</v>
      </c>
      <c r="P8" t="s">
        <v>329</v>
      </c>
    </row>
    <row r="9" spans="1:18" x14ac:dyDescent="0.3">
      <c r="A9" t="s">
        <v>121</v>
      </c>
      <c r="C9">
        <v>90</v>
      </c>
      <c r="D9" t="s">
        <v>10</v>
      </c>
      <c r="F9" s="43">
        <v>45117.3125</v>
      </c>
      <c r="G9" s="43">
        <v>45117.375</v>
      </c>
      <c r="H9">
        <v>7</v>
      </c>
      <c r="I9">
        <v>30</v>
      </c>
      <c r="J9">
        <v>9</v>
      </c>
      <c r="K9">
        <v>0</v>
      </c>
      <c r="L9">
        <v>2023</v>
      </c>
      <c r="N9" t="s">
        <v>122</v>
      </c>
      <c r="O9" t="s">
        <v>6</v>
      </c>
      <c r="P9" t="s">
        <v>311</v>
      </c>
    </row>
    <row r="10" spans="1:18" x14ac:dyDescent="0.3">
      <c r="A10" t="s">
        <v>260</v>
      </c>
      <c r="C10">
        <v>10080</v>
      </c>
      <c r="D10" t="s">
        <v>10</v>
      </c>
      <c r="E10" s="44"/>
      <c r="F10" s="43">
        <v>45100</v>
      </c>
      <c r="G10" s="43">
        <v>45107</v>
      </c>
      <c r="H10">
        <v>0</v>
      </c>
      <c r="I10">
        <v>0</v>
      </c>
      <c r="J10">
        <v>0</v>
      </c>
      <c r="K10">
        <v>0</v>
      </c>
      <c r="L10">
        <v>2023</v>
      </c>
      <c r="M10" t="s">
        <v>33</v>
      </c>
      <c r="N10" t="s">
        <v>258</v>
      </c>
      <c r="O10" t="s">
        <v>48</v>
      </c>
      <c r="P10" t="s">
        <v>261</v>
      </c>
    </row>
    <row r="11" spans="1:18" x14ac:dyDescent="0.3">
      <c r="A11" t="s">
        <v>9086</v>
      </c>
      <c r="C11">
        <v>30</v>
      </c>
      <c r="D11" t="s">
        <v>10</v>
      </c>
      <c r="F11" s="43">
        <v>45098.541666666664</v>
      </c>
      <c r="G11" s="43">
        <v>45098.5625</v>
      </c>
      <c r="H11">
        <v>13</v>
      </c>
      <c r="I11">
        <v>0</v>
      </c>
      <c r="J11">
        <v>13</v>
      </c>
      <c r="K11">
        <v>30</v>
      </c>
      <c r="L11">
        <v>2023</v>
      </c>
      <c r="N11" t="s">
        <v>9087</v>
      </c>
      <c r="O11" t="s">
        <v>48</v>
      </c>
      <c r="P11" t="s">
        <v>9088</v>
      </c>
    </row>
    <row r="12" spans="1:18" x14ac:dyDescent="0.3">
      <c r="A12" t="s">
        <v>9093</v>
      </c>
      <c r="C12">
        <v>30</v>
      </c>
      <c r="D12" t="s">
        <v>10</v>
      </c>
      <c r="F12" s="43">
        <v>45098.375</v>
      </c>
      <c r="G12" s="43">
        <v>45098.395833333336</v>
      </c>
      <c r="H12">
        <v>9</v>
      </c>
      <c r="I12">
        <v>0</v>
      </c>
      <c r="J12">
        <v>9</v>
      </c>
      <c r="K12">
        <v>30</v>
      </c>
      <c r="L12">
        <v>2023</v>
      </c>
      <c r="N12" t="s">
        <v>9094</v>
      </c>
      <c r="O12" t="s">
        <v>48</v>
      </c>
      <c r="P12" t="s">
        <v>9095</v>
      </c>
    </row>
    <row r="13" spans="1:18" x14ac:dyDescent="0.3">
      <c r="A13" t="s">
        <v>427</v>
      </c>
      <c r="C13">
        <v>60</v>
      </c>
      <c r="D13" t="s">
        <v>10</v>
      </c>
      <c r="F13" s="43">
        <v>45097.5</v>
      </c>
      <c r="G13" s="43">
        <v>45097.541666666664</v>
      </c>
      <c r="H13">
        <v>12</v>
      </c>
      <c r="I13">
        <v>0</v>
      </c>
      <c r="J13">
        <v>13</v>
      </c>
      <c r="K13">
        <v>0</v>
      </c>
      <c r="L13">
        <v>2023</v>
      </c>
      <c r="N13" t="s">
        <v>428</v>
      </c>
      <c r="O13" t="s">
        <v>429</v>
      </c>
      <c r="P13" t="s">
        <v>430</v>
      </c>
    </row>
    <row r="14" spans="1:18" x14ac:dyDescent="0.3">
      <c r="A14" t="s">
        <v>397</v>
      </c>
      <c r="C14">
        <v>30</v>
      </c>
      <c r="D14" t="s">
        <v>10</v>
      </c>
      <c r="F14" s="43">
        <v>45097.3125</v>
      </c>
      <c r="G14" s="43">
        <v>45097.333333333336</v>
      </c>
      <c r="H14">
        <v>7</v>
      </c>
      <c r="I14">
        <v>30</v>
      </c>
      <c r="J14">
        <v>8</v>
      </c>
      <c r="K14">
        <v>0</v>
      </c>
      <c r="L14">
        <v>2023</v>
      </c>
      <c r="N14" t="s">
        <v>8987</v>
      </c>
      <c r="O14" t="s">
        <v>398</v>
      </c>
      <c r="P14" t="s">
        <v>399</v>
      </c>
    </row>
    <row r="15" spans="1:18" x14ac:dyDescent="0.3">
      <c r="A15" t="s">
        <v>2097</v>
      </c>
      <c r="B15" s="42" t="s">
        <v>160</v>
      </c>
      <c r="C15">
        <v>30</v>
      </c>
      <c r="D15" t="s">
        <v>10</v>
      </c>
      <c r="E15">
        <v>4660522355</v>
      </c>
      <c r="F15" s="43">
        <v>45094.416666666664</v>
      </c>
      <c r="G15" s="43">
        <v>45094.4375</v>
      </c>
      <c r="H15">
        <v>10</v>
      </c>
      <c r="I15">
        <v>0</v>
      </c>
      <c r="J15">
        <v>10</v>
      </c>
      <c r="K15">
        <v>30</v>
      </c>
      <c r="L15">
        <v>2023</v>
      </c>
      <c r="N15" t="s">
        <v>47</v>
      </c>
      <c r="O15" t="s">
        <v>47</v>
      </c>
      <c r="P15" t="s">
        <v>9104</v>
      </c>
      <c r="Q15" s="42" t="s">
        <v>160</v>
      </c>
      <c r="R15" s="45" t="s">
        <v>9105</v>
      </c>
    </row>
    <row r="16" spans="1:18" x14ac:dyDescent="0.3">
      <c r="A16" t="s">
        <v>9102</v>
      </c>
      <c r="B16" s="42" t="s">
        <v>160</v>
      </c>
      <c r="C16">
        <v>30</v>
      </c>
      <c r="D16" t="s">
        <v>10</v>
      </c>
      <c r="E16">
        <v>4574061084</v>
      </c>
      <c r="F16" s="43">
        <v>45094.25</v>
      </c>
      <c r="G16" s="43">
        <v>45094.270833333336</v>
      </c>
      <c r="H16">
        <v>6</v>
      </c>
      <c r="I16">
        <v>0</v>
      </c>
      <c r="J16">
        <v>6</v>
      </c>
      <c r="K16">
        <v>30</v>
      </c>
      <c r="L16">
        <v>2023</v>
      </c>
      <c r="N16" t="s">
        <v>47</v>
      </c>
      <c r="O16" t="s">
        <v>47</v>
      </c>
      <c r="P16" t="s">
        <v>9103</v>
      </c>
      <c r="Q16" s="42" t="s">
        <v>160</v>
      </c>
      <c r="R16" s="40" t="s">
        <v>9114</v>
      </c>
    </row>
    <row r="17" spans="1:18" x14ac:dyDescent="0.3">
      <c r="A17" t="s">
        <v>2097</v>
      </c>
      <c r="B17" s="42" t="s">
        <v>160</v>
      </c>
      <c r="C17">
        <v>30</v>
      </c>
      <c r="D17" t="s">
        <v>10</v>
      </c>
      <c r="E17">
        <v>4660522355</v>
      </c>
      <c r="F17" s="43">
        <v>45094.229166666664</v>
      </c>
      <c r="G17" s="43">
        <v>45094.25</v>
      </c>
      <c r="H17">
        <v>5</v>
      </c>
      <c r="I17">
        <v>30</v>
      </c>
      <c r="J17">
        <v>6</v>
      </c>
      <c r="K17">
        <v>0</v>
      </c>
      <c r="L17">
        <v>2023</v>
      </c>
      <c r="N17" t="s">
        <v>47</v>
      </c>
      <c r="O17" t="s">
        <v>47</v>
      </c>
      <c r="P17" t="s">
        <v>9101</v>
      </c>
      <c r="Q17" s="42" t="s">
        <v>160</v>
      </c>
      <c r="R17" s="45" t="s">
        <v>9105</v>
      </c>
    </row>
    <row r="18" spans="1:18" x14ac:dyDescent="0.3">
      <c r="A18" t="s">
        <v>9099</v>
      </c>
      <c r="B18" s="39" t="s">
        <v>223</v>
      </c>
      <c r="C18">
        <v>60</v>
      </c>
      <c r="D18" t="s">
        <v>10</v>
      </c>
      <c r="E18">
        <v>4661050667</v>
      </c>
      <c r="F18" s="43">
        <v>45093.791666666664</v>
      </c>
      <c r="G18" s="43">
        <v>45093.833333333336</v>
      </c>
      <c r="H18">
        <v>19</v>
      </c>
      <c r="I18">
        <v>0</v>
      </c>
      <c r="J18">
        <v>20</v>
      </c>
      <c r="K18">
        <v>0</v>
      </c>
      <c r="L18">
        <v>2023</v>
      </c>
      <c r="N18" t="s">
        <v>47</v>
      </c>
      <c r="O18" t="s">
        <v>47</v>
      </c>
      <c r="P18" t="s">
        <v>9100</v>
      </c>
      <c r="Q18" s="39" t="s">
        <v>223</v>
      </c>
      <c r="R18">
        <v>4661050667</v>
      </c>
    </row>
    <row r="19" spans="1:18" x14ac:dyDescent="0.3">
      <c r="A19" t="s">
        <v>9096</v>
      </c>
      <c r="B19" s="39" t="s">
        <v>223</v>
      </c>
      <c r="C19">
        <v>80</v>
      </c>
      <c r="D19" t="s">
        <v>10</v>
      </c>
      <c r="E19">
        <v>4661050667</v>
      </c>
      <c r="F19" s="43">
        <v>45093.666666666664</v>
      </c>
      <c r="G19" s="43">
        <v>45093.722222222219</v>
      </c>
      <c r="H19">
        <v>16</v>
      </c>
      <c r="I19">
        <v>0</v>
      </c>
      <c r="J19">
        <v>17</v>
      </c>
      <c r="K19">
        <v>20</v>
      </c>
      <c r="L19">
        <v>2023</v>
      </c>
      <c r="N19" t="s">
        <v>47</v>
      </c>
      <c r="O19" t="s">
        <v>47</v>
      </c>
      <c r="P19" t="s">
        <v>9098</v>
      </c>
      <c r="Q19" s="39" t="s">
        <v>223</v>
      </c>
      <c r="R19">
        <v>4661050667</v>
      </c>
    </row>
    <row r="20" spans="1:18" x14ac:dyDescent="0.3">
      <c r="A20" t="s">
        <v>9096</v>
      </c>
      <c r="B20" s="39" t="s">
        <v>223</v>
      </c>
      <c r="C20">
        <v>30</v>
      </c>
      <c r="D20" t="s">
        <v>10</v>
      </c>
      <c r="E20">
        <v>4661050667</v>
      </c>
      <c r="F20" s="43">
        <v>45093.583333333336</v>
      </c>
      <c r="G20" s="43">
        <v>45093.604166666664</v>
      </c>
      <c r="H20">
        <v>14</v>
      </c>
      <c r="I20">
        <v>0</v>
      </c>
      <c r="J20">
        <v>14</v>
      </c>
      <c r="K20">
        <v>30</v>
      </c>
      <c r="L20">
        <v>2023</v>
      </c>
      <c r="N20" t="s">
        <v>47</v>
      </c>
      <c r="O20" t="s">
        <v>47</v>
      </c>
      <c r="P20" t="s">
        <v>9097</v>
      </c>
      <c r="Q20" s="39" t="s">
        <v>223</v>
      </c>
      <c r="R20">
        <v>4661050667</v>
      </c>
    </row>
    <row r="21" spans="1:18" x14ac:dyDescent="0.3">
      <c r="A21" t="s">
        <v>9055</v>
      </c>
      <c r="C21">
        <v>60</v>
      </c>
      <c r="D21" t="s">
        <v>10</v>
      </c>
      <c r="F21" s="43">
        <v>45093.541666666664</v>
      </c>
      <c r="G21" s="43">
        <v>45093.583333333336</v>
      </c>
      <c r="H21">
        <v>13</v>
      </c>
      <c r="I21">
        <v>0</v>
      </c>
      <c r="J21">
        <v>14</v>
      </c>
      <c r="K21">
        <v>0</v>
      </c>
      <c r="L21">
        <v>2023</v>
      </c>
      <c r="N21" t="s">
        <v>9056</v>
      </c>
      <c r="O21" t="s">
        <v>48</v>
      </c>
      <c r="P21" t="s">
        <v>9057</v>
      </c>
    </row>
    <row r="22" spans="1:18" x14ac:dyDescent="0.3">
      <c r="A22" t="s">
        <v>9091</v>
      </c>
      <c r="C22">
        <v>20</v>
      </c>
      <c r="D22" t="s">
        <v>10</v>
      </c>
      <c r="F22" s="43">
        <v>45093.4375</v>
      </c>
      <c r="G22" s="43">
        <v>45093.451388888891</v>
      </c>
      <c r="H22">
        <v>10</v>
      </c>
      <c r="I22">
        <v>30</v>
      </c>
      <c r="J22">
        <v>10</v>
      </c>
      <c r="K22">
        <v>50</v>
      </c>
      <c r="L22">
        <v>2023</v>
      </c>
      <c r="N22" t="s">
        <v>47</v>
      </c>
      <c r="O22" t="s">
        <v>47</v>
      </c>
      <c r="P22" t="s">
        <v>9092</v>
      </c>
    </row>
    <row r="23" spans="1:18" x14ac:dyDescent="0.3">
      <c r="A23" t="s">
        <v>9089</v>
      </c>
      <c r="B23" s="39" t="s">
        <v>223</v>
      </c>
      <c r="C23">
        <v>30</v>
      </c>
      <c r="D23" t="s">
        <v>10</v>
      </c>
      <c r="E23">
        <v>4613026922</v>
      </c>
      <c r="F23" s="43">
        <v>45093.416666666664</v>
      </c>
      <c r="G23" s="43">
        <v>45093.4375</v>
      </c>
      <c r="H23">
        <v>10</v>
      </c>
      <c r="I23">
        <v>0</v>
      </c>
      <c r="J23">
        <v>10</v>
      </c>
      <c r="K23">
        <v>30</v>
      </c>
      <c r="L23">
        <v>2023</v>
      </c>
      <c r="N23" t="s">
        <v>47</v>
      </c>
      <c r="O23" t="s">
        <v>47</v>
      </c>
      <c r="P23" t="s">
        <v>9090</v>
      </c>
      <c r="Q23" s="39" t="s">
        <v>223</v>
      </c>
      <c r="R23" s="41" t="s">
        <v>9106</v>
      </c>
    </row>
    <row r="24" spans="1:18" x14ac:dyDescent="0.3">
      <c r="A24" t="s">
        <v>9084</v>
      </c>
      <c r="B24" s="42" t="s">
        <v>160</v>
      </c>
      <c r="C24">
        <v>60</v>
      </c>
      <c r="D24" t="s">
        <v>10</v>
      </c>
      <c r="E24">
        <v>4653325515</v>
      </c>
      <c r="F24" s="43">
        <v>45093.34375</v>
      </c>
      <c r="G24" s="43">
        <v>45093.385416666664</v>
      </c>
      <c r="H24">
        <v>8</v>
      </c>
      <c r="I24">
        <v>15</v>
      </c>
      <c r="J24">
        <v>9</v>
      </c>
      <c r="K24">
        <v>15</v>
      </c>
      <c r="L24">
        <v>2023</v>
      </c>
      <c r="N24" t="s">
        <v>47</v>
      </c>
      <c r="O24" t="s">
        <v>47</v>
      </c>
      <c r="P24" t="s">
        <v>9085</v>
      </c>
      <c r="Q24" s="42" t="s">
        <v>160</v>
      </c>
      <c r="R24" s="45" t="s">
        <v>9107</v>
      </c>
    </row>
    <row r="25" spans="1:18" x14ac:dyDescent="0.3">
      <c r="A25" t="s">
        <v>9080</v>
      </c>
      <c r="C25">
        <v>30</v>
      </c>
      <c r="D25" t="s">
        <v>10</v>
      </c>
      <c r="F25" s="43">
        <v>45093.3125</v>
      </c>
      <c r="G25" s="43">
        <v>45093.333333333336</v>
      </c>
      <c r="H25">
        <v>7</v>
      </c>
      <c r="I25">
        <v>30</v>
      </c>
      <c r="J25">
        <v>8</v>
      </c>
      <c r="K25">
        <v>0</v>
      </c>
      <c r="L25">
        <v>2023</v>
      </c>
      <c r="N25" t="s">
        <v>47</v>
      </c>
      <c r="O25" t="s">
        <v>47</v>
      </c>
      <c r="P25" t="s">
        <v>9081</v>
      </c>
    </row>
    <row r="26" spans="1:18" x14ac:dyDescent="0.3">
      <c r="A26" t="s">
        <v>9082</v>
      </c>
      <c r="C26">
        <v>30</v>
      </c>
      <c r="D26" t="s">
        <v>10</v>
      </c>
      <c r="F26" s="43">
        <v>45093.291666666664</v>
      </c>
      <c r="G26" s="43">
        <v>45093.3125</v>
      </c>
      <c r="H26">
        <v>7</v>
      </c>
      <c r="I26">
        <v>0</v>
      </c>
      <c r="J26">
        <v>7</v>
      </c>
      <c r="K26">
        <v>30</v>
      </c>
      <c r="L26">
        <v>2023</v>
      </c>
      <c r="N26" t="s">
        <v>47</v>
      </c>
      <c r="O26" t="s">
        <v>47</v>
      </c>
      <c r="P26" t="s">
        <v>9083</v>
      </c>
    </row>
    <row r="27" spans="1:18" x14ac:dyDescent="0.3">
      <c r="A27" t="s">
        <v>9077</v>
      </c>
      <c r="B27" s="42" t="s">
        <v>160</v>
      </c>
      <c r="C27">
        <v>75</v>
      </c>
      <c r="D27" t="s">
        <v>10</v>
      </c>
      <c r="E27">
        <v>4653325515</v>
      </c>
      <c r="F27" s="43">
        <v>45093.229166666664</v>
      </c>
      <c r="G27" s="43">
        <v>45093.28125</v>
      </c>
      <c r="H27">
        <v>5</v>
      </c>
      <c r="I27">
        <v>30</v>
      </c>
      <c r="J27">
        <v>6</v>
      </c>
      <c r="K27">
        <v>45</v>
      </c>
      <c r="L27">
        <v>2023</v>
      </c>
      <c r="N27" t="s">
        <v>47</v>
      </c>
      <c r="O27" t="s">
        <v>47</v>
      </c>
      <c r="P27" t="s">
        <v>9079</v>
      </c>
      <c r="Q27" s="42" t="s">
        <v>160</v>
      </c>
      <c r="R27" s="45" t="s">
        <v>9107</v>
      </c>
    </row>
    <row r="28" spans="1:18" x14ac:dyDescent="0.3">
      <c r="A28" t="s">
        <v>413</v>
      </c>
      <c r="C28">
        <v>45</v>
      </c>
      <c r="D28" t="s">
        <v>256</v>
      </c>
      <c r="F28" s="43">
        <v>45093</v>
      </c>
      <c r="G28" s="43">
        <v>45261</v>
      </c>
      <c r="H28">
        <v>10</v>
      </c>
      <c r="I28">
        <v>0</v>
      </c>
      <c r="J28">
        <v>10</v>
      </c>
      <c r="K28">
        <v>45</v>
      </c>
      <c r="L28">
        <v>2023</v>
      </c>
      <c r="N28" t="s">
        <v>414</v>
      </c>
      <c r="O28" t="s">
        <v>50</v>
      </c>
      <c r="P28" t="s">
        <v>415</v>
      </c>
    </row>
    <row r="29" spans="1:18" x14ac:dyDescent="0.3">
      <c r="A29" t="s">
        <v>9077</v>
      </c>
      <c r="B29" s="42" t="s">
        <v>160</v>
      </c>
      <c r="C29">
        <v>60</v>
      </c>
      <c r="D29" t="s">
        <v>10</v>
      </c>
      <c r="E29">
        <v>4653325515</v>
      </c>
      <c r="F29" s="43">
        <v>45092.75</v>
      </c>
      <c r="G29" s="43">
        <v>45092.791666666664</v>
      </c>
      <c r="H29">
        <v>18</v>
      </c>
      <c r="I29">
        <v>0</v>
      </c>
      <c r="J29">
        <v>19</v>
      </c>
      <c r="K29">
        <v>0</v>
      </c>
      <c r="L29">
        <v>2023</v>
      </c>
      <c r="N29" t="s">
        <v>47</v>
      </c>
      <c r="O29" t="s">
        <v>47</v>
      </c>
      <c r="P29" t="s">
        <v>9078</v>
      </c>
      <c r="Q29" s="42" t="s">
        <v>160</v>
      </c>
      <c r="R29" s="45" t="s">
        <v>9107</v>
      </c>
    </row>
    <row r="30" spans="1:18" x14ac:dyDescent="0.3">
      <c r="A30" t="s">
        <v>9075</v>
      </c>
      <c r="B30" s="42" t="s">
        <v>160</v>
      </c>
      <c r="C30">
        <v>30</v>
      </c>
      <c r="D30" t="s">
        <v>10</v>
      </c>
      <c r="E30">
        <v>4653325515</v>
      </c>
      <c r="F30" s="43">
        <v>45092.722222222219</v>
      </c>
      <c r="G30" s="43">
        <v>45092.743055555555</v>
      </c>
      <c r="H30">
        <v>17</v>
      </c>
      <c r="I30">
        <v>20</v>
      </c>
      <c r="J30">
        <v>17</v>
      </c>
      <c r="K30">
        <v>50</v>
      </c>
      <c r="L30">
        <v>2023</v>
      </c>
      <c r="N30" t="s">
        <v>47</v>
      </c>
      <c r="O30" t="s">
        <v>47</v>
      </c>
      <c r="P30" t="s">
        <v>9076</v>
      </c>
      <c r="Q30" s="42" t="s">
        <v>160</v>
      </c>
      <c r="R30" s="45" t="s">
        <v>9107</v>
      </c>
    </row>
    <row r="31" spans="1:18" x14ac:dyDescent="0.3">
      <c r="A31" t="s">
        <v>9073</v>
      </c>
      <c r="C31">
        <v>30</v>
      </c>
      <c r="D31" t="s">
        <v>10</v>
      </c>
      <c r="F31" s="43">
        <v>45092.6875</v>
      </c>
      <c r="G31" s="43">
        <v>45092.708333333336</v>
      </c>
      <c r="H31">
        <v>16</v>
      </c>
      <c r="I31">
        <v>30</v>
      </c>
      <c r="J31">
        <v>17</v>
      </c>
      <c r="K31">
        <v>0</v>
      </c>
      <c r="L31">
        <v>2023</v>
      </c>
      <c r="N31" t="s">
        <v>47</v>
      </c>
      <c r="O31" t="s">
        <v>47</v>
      </c>
      <c r="P31" t="s">
        <v>9074</v>
      </c>
    </row>
    <row r="32" spans="1:18" x14ac:dyDescent="0.3">
      <c r="A32" t="s">
        <v>9071</v>
      </c>
      <c r="C32">
        <v>30</v>
      </c>
      <c r="D32" t="s">
        <v>10</v>
      </c>
      <c r="F32" s="43">
        <v>45092.645833333336</v>
      </c>
      <c r="G32" s="43">
        <v>45092.666666666664</v>
      </c>
      <c r="H32">
        <v>15</v>
      </c>
      <c r="I32">
        <v>30</v>
      </c>
      <c r="J32">
        <v>16</v>
      </c>
      <c r="K32">
        <v>0</v>
      </c>
      <c r="L32">
        <v>2023</v>
      </c>
      <c r="N32" t="s">
        <v>47</v>
      </c>
      <c r="O32" t="s">
        <v>47</v>
      </c>
      <c r="P32" t="s">
        <v>9072</v>
      </c>
    </row>
    <row r="33" spans="1:18" x14ac:dyDescent="0.3">
      <c r="A33" t="s">
        <v>7</v>
      </c>
      <c r="B33" s="38" t="s">
        <v>6</v>
      </c>
      <c r="C33">
        <v>30</v>
      </c>
      <c r="D33" t="s">
        <v>10</v>
      </c>
      <c r="E33">
        <v>1521440445</v>
      </c>
      <c r="F33" s="43">
        <v>45092.625</v>
      </c>
      <c r="G33" s="43">
        <v>45092.645833333336</v>
      </c>
      <c r="H33">
        <v>15</v>
      </c>
      <c r="I33">
        <v>0</v>
      </c>
      <c r="J33">
        <v>15</v>
      </c>
      <c r="K33">
        <v>30</v>
      </c>
      <c r="L33">
        <v>2023</v>
      </c>
      <c r="N33" t="s">
        <v>47</v>
      </c>
      <c r="O33" t="s">
        <v>47</v>
      </c>
      <c r="P33" t="s">
        <v>9070</v>
      </c>
      <c r="Q33" s="38" t="s">
        <v>6</v>
      </c>
      <c r="R33" s="40" t="s">
        <v>9117</v>
      </c>
    </row>
    <row r="34" spans="1:18" x14ac:dyDescent="0.3">
      <c r="A34" t="s">
        <v>9039</v>
      </c>
      <c r="C34">
        <v>30</v>
      </c>
      <c r="D34" t="s">
        <v>10</v>
      </c>
      <c r="F34" s="43">
        <v>45092.59375</v>
      </c>
      <c r="G34" s="43">
        <v>45092.614583333336</v>
      </c>
      <c r="H34">
        <v>14</v>
      </c>
      <c r="I34">
        <v>15</v>
      </c>
      <c r="J34">
        <v>14</v>
      </c>
      <c r="K34">
        <v>45</v>
      </c>
      <c r="L34">
        <v>2023</v>
      </c>
      <c r="N34" t="s">
        <v>47</v>
      </c>
      <c r="O34" t="s">
        <v>47</v>
      </c>
      <c r="P34" t="s">
        <v>9040</v>
      </c>
    </row>
    <row r="35" spans="1:18" x14ac:dyDescent="0.3">
      <c r="A35" t="s">
        <v>9068</v>
      </c>
      <c r="B35" s="42" t="s">
        <v>160</v>
      </c>
      <c r="C35">
        <v>30</v>
      </c>
      <c r="D35" t="s">
        <v>10</v>
      </c>
      <c r="E35">
        <v>4574061084</v>
      </c>
      <c r="F35" s="43">
        <v>45092.552083333336</v>
      </c>
      <c r="G35" s="43">
        <v>45092.572916666664</v>
      </c>
      <c r="H35">
        <v>13</v>
      </c>
      <c r="I35">
        <v>15</v>
      </c>
      <c r="J35">
        <v>13</v>
      </c>
      <c r="K35">
        <v>45</v>
      </c>
      <c r="L35">
        <v>2023</v>
      </c>
      <c r="N35" t="s">
        <v>47</v>
      </c>
      <c r="O35" t="s">
        <v>47</v>
      </c>
      <c r="P35" t="s">
        <v>9069</v>
      </c>
      <c r="Q35" s="42" t="s">
        <v>160</v>
      </c>
      <c r="R35" s="40" t="s">
        <v>9114</v>
      </c>
    </row>
    <row r="36" spans="1:18" x14ac:dyDescent="0.3">
      <c r="A36" t="s">
        <v>9060</v>
      </c>
      <c r="C36">
        <v>45</v>
      </c>
      <c r="D36" t="s">
        <v>10</v>
      </c>
      <c r="F36" s="43">
        <v>45092.520833333336</v>
      </c>
      <c r="G36" s="43">
        <v>45092.552083333336</v>
      </c>
      <c r="H36">
        <v>12</v>
      </c>
      <c r="I36">
        <v>30</v>
      </c>
      <c r="J36">
        <v>13</v>
      </c>
      <c r="K36">
        <v>15</v>
      </c>
      <c r="L36">
        <v>2023</v>
      </c>
      <c r="N36" t="s">
        <v>414</v>
      </c>
      <c r="O36" t="s">
        <v>50</v>
      </c>
      <c r="P36" t="s">
        <v>9061</v>
      </c>
    </row>
    <row r="37" spans="1:18" x14ac:dyDescent="0.3">
      <c r="A37" t="s">
        <v>1640</v>
      </c>
      <c r="C37">
        <v>30</v>
      </c>
      <c r="D37" t="s">
        <v>10</v>
      </c>
      <c r="F37" s="43">
        <v>45092.479166666664</v>
      </c>
      <c r="G37" s="43">
        <v>45092.5</v>
      </c>
      <c r="H37">
        <v>11</v>
      </c>
      <c r="I37">
        <v>30</v>
      </c>
      <c r="J37">
        <v>12</v>
      </c>
      <c r="K37">
        <v>0</v>
      </c>
      <c r="L37">
        <v>2023</v>
      </c>
      <c r="N37" t="s">
        <v>8522</v>
      </c>
      <c r="O37" t="s">
        <v>6840</v>
      </c>
      <c r="P37" t="s">
        <v>9062</v>
      </c>
    </row>
    <row r="38" spans="1:18" x14ac:dyDescent="0.3">
      <c r="A38" t="s">
        <v>8677</v>
      </c>
      <c r="B38" s="48" t="s">
        <v>109</v>
      </c>
      <c r="C38">
        <v>15</v>
      </c>
      <c r="D38" t="s">
        <v>10</v>
      </c>
      <c r="E38">
        <v>4495589605</v>
      </c>
      <c r="F38" s="43">
        <v>45092.416666666664</v>
      </c>
      <c r="G38" s="43">
        <v>45092.427083333336</v>
      </c>
      <c r="H38">
        <v>10</v>
      </c>
      <c r="I38">
        <v>0</v>
      </c>
      <c r="J38">
        <v>10</v>
      </c>
      <c r="K38">
        <v>15</v>
      </c>
      <c r="L38">
        <v>2023</v>
      </c>
      <c r="N38" t="s">
        <v>47</v>
      </c>
      <c r="O38" t="s">
        <v>47</v>
      </c>
      <c r="P38" t="s">
        <v>9067</v>
      </c>
      <c r="Q38" s="48" t="s">
        <v>109</v>
      </c>
      <c r="R38" s="40" t="s">
        <v>9111</v>
      </c>
    </row>
    <row r="39" spans="1:18" x14ac:dyDescent="0.3">
      <c r="A39" t="s">
        <v>99</v>
      </c>
      <c r="B39" s="48" t="s">
        <v>109</v>
      </c>
      <c r="C39">
        <v>30</v>
      </c>
      <c r="D39" t="s">
        <v>10</v>
      </c>
      <c r="E39">
        <v>4495589605</v>
      </c>
      <c r="F39" s="43">
        <v>45092.395833333336</v>
      </c>
      <c r="G39" s="43">
        <v>45092.416666666664</v>
      </c>
      <c r="H39">
        <v>9</v>
      </c>
      <c r="I39">
        <v>30</v>
      </c>
      <c r="J39">
        <v>10</v>
      </c>
      <c r="K39">
        <v>0</v>
      </c>
      <c r="L39">
        <v>2023</v>
      </c>
      <c r="N39" t="s">
        <v>9051</v>
      </c>
      <c r="O39" t="s">
        <v>47</v>
      </c>
      <c r="P39" t="s">
        <v>9052</v>
      </c>
      <c r="Q39" s="48" t="s">
        <v>109</v>
      </c>
      <c r="R39" s="40" t="s">
        <v>9111</v>
      </c>
    </row>
    <row r="40" spans="1:18" x14ac:dyDescent="0.3">
      <c r="A40" t="s">
        <v>9041</v>
      </c>
      <c r="B40" s="42" t="s">
        <v>160</v>
      </c>
      <c r="C40">
        <v>30</v>
      </c>
      <c r="D40" t="s">
        <v>10</v>
      </c>
      <c r="E40">
        <v>4574061084</v>
      </c>
      <c r="F40" s="43">
        <v>45092.354166666664</v>
      </c>
      <c r="G40" s="43">
        <v>45092.375</v>
      </c>
      <c r="H40">
        <v>8</v>
      </c>
      <c r="I40">
        <v>30</v>
      </c>
      <c r="J40">
        <v>9</v>
      </c>
      <c r="K40">
        <v>0</v>
      </c>
      <c r="L40">
        <v>2023</v>
      </c>
      <c r="N40" t="s">
        <v>9042</v>
      </c>
      <c r="O40" t="s">
        <v>73</v>
      </c>
      <c r="P40" t="s">
        <v>9043</v>
      </c>
      <c r="Q40" s="42" t="s">
        <v>160</v>
      </c>
      <c r="R40" s="40" t="s">
        <v>9114</v>
      </c>
    </row>
    <row r="41" spans="1:18" x14ac:dyDescent="0.3">
      <c r="A41" t="s">
        <v>9065</v>
      </c>
      <c r="B41" s="42" t="s">
        <v>160</v>
      </c>
      <c r="C41">
        <v>30</v>
      </c>
      <c r="D41" t="s">
        <v>10</v>
      </c>
      <c r="E41">
        <v>4574061084</v>
      </c>
      <c r="F41" s="43">
        <v>45092.3125</v>
      </c>
      <c r="G41" s="43">
        <v>45092.333333333336</v>
      </c>
      <c r="H41">
        <v>7</v>
      </c>
      <c r="I41">
        <v>30</v>
      </c>
      <c r="J41">
        <v>8</v>
      </c>
      <c r="K41">
        <v>0</v>
      </c>
      <c r="L41">
        <v>2023</v>
      </c>
      <c r="N41" t="s">
        <v>47</v>
      </c>
      <c r="O41" t="s">
        <v>47</v>
      </c>
      <c r="P41" t="s">
        <v>9066</v>
      </c>
      <c r="Q41" s="42" t="s">
        <v>160</v>
      </c>
      <c r="R41" s="40" t="s">
        <v>9114</v>
      </c>
    </row>
    <row r="42" spans="1:18" x14ac:dyDescent="0.3">
      <c r="A42" t="s">
        <v>9063</v>
      </c>
      <c r="B42" s="38" t="s">
        <v>6</v>
      </c>
      <c r="C42">
        <v>30</v>
      </c>
      <c r="D42" t="s">
        <v>10</v>
      </c>
      <c r="E42">
        <v>4661118548</v>
      </c>
      <c r="F42" s="43">
        <v>45092.291666666664</v>
      </c>
      <c r="G42" s="43">
        <v>45092.3125</v>
      </c>
      <c r="H42">
        <v>7</v>
      </c>
      <c r="I42">
        <v>0</v>
      </c>
      <c r="J42">
        <v>7</v>
      </c>
      <c r="K42">
        <v>30</v>
      </c>
      <c r="L42">
        <v>2023</v>
      </c>
      <c r="N42" t="s">
        <v>47</v>
      </c>
      <c r="O42" t="s">
        <v>47</v>
      </c>
      <c r="P42" t="s">
        <v>9064</v>
      </c>
      <c r="Q42" s="38" t="s">
        <v>6</v>
      </c>
      <c r="R42">
        <v>4661118548</v>
      </c>
    </row>
    <row r="43" spans="1:18" x14ac:dyDescent="0.3">
      <c r="A43" t="s">
        <v>9058</v>
      </c>
      <c r="B43" s="42" t="s">
        <v>160</v>
      </c>
      <c r="C43">
        <v>30</v>
      </c>
      <c r="D43" t="s">
        <v>10</v>
      </c>
      <c r="E43">
        <v>4574061084</v>
      </c>
      <c r="F43" s="43">
        <v>45092.229166666664</v>
      </c>
      <c r="G43" s="43">
        <v>45092.25</v>
      </c>
      <c r="H43">
        <v>5</v>
      </c>
      <c r="I43">
        <v>30</v>
      </c>
      <c r="J43">
        <v>6</v>
      </c>
      <c r="K43">
        <v>0</v>
      </c>
      <c r="L43">
        <v>2023</v>
      </c>
      <c r="N43" t="s">
        <v>47</v>
      </c>
      <c r="O43" t="s">
        <v>47</v>
      </c>
      <c r="P43" t="s">
        <v>9059</v>
      </c>
      <c r="Q43" s="42" t="s">
        <v>160</v>
      </c>
      <c r="R43" s="40" t="s">
        <v>9114</v>
      </c>
    </row>
    <row r="44" spans="1:18" x14ac:dyDescent="0.3">
      <c r="A44" t="s">
        <v>9053</v>
      </c>
      <c r="B44" s="38" t="s">
        <v>6</v>
      </c>
      <c r="C44">
        <v>30</v>
      </c>
      <c r="D44" t="s">
        <v>10</v>
      </c>
      <c r="E44">
        <v>4661118548</v>
      </c>
      <c r="F44" s="43">
        <v>45091.791666666664</v>
      </c>
      <c r="G44" s="43">
        <v>45091.8125</v>
      </c>
      <c r="H44">
        <v>19</v>
      </c>
      <c r="I44">
        <v>0</v>
      </c>
      <c r="J44">
        <v>19</v>
      </c>
      <c r="K44">
        <v>30</v>
      </c>
      <c r="L44">
        <v>2023</v>
      </c>
      <c r="N44" t="s">
        <v>47</v>
      </c>
      <c r="O44" t="s">
        <v>47</v>
      </c>
      <c r="P44" t="s">
        <v>9054</v>
      </c>
      <c r="Q44" s="38" t="s">
        <v>6</v>
      </c>
      <c r="R44">
        <v>4661118548</v>
      </c>
    </row>
    <row r="45" spans="1:18" x14ac:dyDescent="0.3">
      <c r="A45" t="s">
        <v>99</v>
      </c>
      <c r="B45" s="48" t="s">
        <v>109</v>
      </c>
      <c r="C45">
        <v>30</v>
      </c>
      <c r="D45" t="s">
        <v>10</v>
      </c>
      <c r="E45">
        <v>4495589605</v>
      </c>
      <c r="F45" s="43">
        <v>45091.75</v>
      </c>
      <c r="G45" s="43">
        <v>45091.770833333336</v>
      </c>
      <c r="H45">
        <v>18</v>
      </c>
      <c r="I45">
        <v>0</v>
      </c>
      <c r="J45">
        <v>18</v>
      </c>
      <c r="K45">
        <v>30</v>
      </c>
      <c r="L45">
        <v>2023</v>
      </c>
      <c r="N45" t="s">
        <v>47</v>
      </c>
      <c r="O45" t="s">
        <v>47</v>
      </c>
      <c r="P45" t="s">
        <v>9050</v>
      </c>
      <c r="Q45" s="48" t="s">
        <v>109</v>
      </c>
      <c r="R45" s="40" t="s">
        <v>9111</v>
      </c>
    </row>
    <row r="46" spans="1:18" x14ac:dyDescent="0.3">
      <c r="A46" t="s">
        <v>7</v>
      </c>
      <c r="B46" s="38" t="s">
        <v>6</v>
      </c>
      <c r="C46">
        <v>30</v>
      </c>
      <c r="D46" t="s">
        <v>10</v>
      </c>
      <c r="E46">
        <v>1521440445</v>
      </c>
      <c r="F46" s="43">
        <v>45091.729166666664</v>
      </c>
      <c r="G46" s="43">
        <v>45091.75</v>
      </c>
      <c r="H46">
        <v>17</v>
      </c>
      <c r="I46">
        <v>30</v>
      </c>
      <c r="J46">
        <v>18</v>
      </c>
      <c r="K46">
        <v>0</v>
      </c>
      <c r="L46">
        <v>2023</v>
      </c>
      <c r="N46" t="s">
        <v>47</v>
      </c>
      <c r="O46" t="s">
        <v>47</v>
      </c>
      <c r="P46" t="s">
        <v>9049</v>
      </c>
      <c r="Q46" s="38" t="s">
        <v>6</v>
      </c>
      <c r="R46" s="40" t="s">
        <v>9117</v>
      </c>
    </row>
    <row r="47" spans="1:18" x14ac:dyDescent="0.3">
      <c r="A47" t="s">
        <v>9047</v>
      </c>
      <c r="C47">
        <v>50</v>
      </c>
      <c r="D47" t="s">
        <v>10</v>
      </c>
      <c r="F47" s="43">
        <v>45091.645833333336</v>
      </c>
      <c r="G47" s="43">
        <v>45091.680555555555</v>
      </c>
      <c r="H47">
        <v>15</v>
      </c>
      <c r="I47">
        <v>30</v>
      </c>
      <c r="J47">
        <v>16</v>
      </c>
      <c r="K47">
        <v>20</v>
      </c>
      <c r="L47">
        <v>2023</v>
      </c>
      <c r="N47" t="s">
        <v>47</v>
      </c>
      <c r="O47" t="s">
        <v>47</v>
      </c>
      <c r="P47" t="s">
        <v>9048</v>
      </c>
    </row>
    <row r="48" spans="1:18" x14ac:dyDescent="0.3">
      <c r="A48" t="s">
        <v>8</v>
      </c>
      <c r="C48">
        <v>30</v>
      </c>
      <c r="D48" t="s">
        <v>10</v>
      </c>
      <c r="F48" s="43">
        <v>45091.597222222219</v>
      </c>
      <c r="G48" s="43">
        <v>45091.618055555555</v>
      </c>
      <c r="H48">
        <v>14</v>
      </c>
      <c r="I48">
        <v>20</v>
      </c>
      <c r="J48">
        <v>14</v>
      </c>
      <c r="K48">
        <v>50</v>
      </c>
      <c r="L48">
        <v>2023</v>
      </c>
      <c r="N48" t="s">
        <v>47</v>
      </c>
      <c r="O48" t="s">
        <v>47</v>
      </c>
      <c r="P48" t="s">
        <v>9046</v>
      </c>
    </row>
    <row r="49" spans="1:18" x14ac:dyDescent="0.3">
      <c r="A49" t="s">
        <v>9044</v>
      </c>
      <c r="B49" s="42" t="s">
        <v>160</v>
      </c>
      <c r="C49">
        <v>45</v>
      </c>
      <c r="D49" t="s">
        <v>10</v>
      </c>
      <c r="E49">
        <v>4574061084</v>
      </c>
      <c r="F49" s="43">
        <v>45091.5625</v>
      </c>
      <c r="G49" s="43">
        <v>45091.59375</v>
      </c>
      <c r="H49">
        <v>13</v>
      </c>
      <c r="I49">
        <v>30</v>
      </c>
      <c r="J49">
        <v>14</v>
      </c>
      <c r="K49">
        <v>15</v>
      </c>
      <c r="L49">
        <v>2023</v>
      </c>
      <c r="N49" t="s">
        <v>47</v>
      </c>
      <c r="O49" t="s">
        <v>47</v>
      </c>
      <c r="P49" t="s">
        <v>9045</v>
      </c>
      <c r="Q49" s="42" t="s">
        <v>160</v>
      </c>
      <c r="R49" s="40" t="s">
        <v>9114</v>
      </c>
    </row>
    <row r="50" spans="1:18" x14ac:dyDescent="0.3">
      <c r="A50" t="s">
        <v>9031</v>
      </c>
      <c r="B50" s="42" t="s">
        <v>160</v>
      </c>
      <c r="C50">
        <v>60</v>
      </c>
      <c r="D50" t="s">
        <v>10</v>
      </c>
      <c r="E50">
        <v>4574061084</v>
      </c>
      <c r="F50" s="43">
        <v>45091.5</v>
      </c>
      <c r="G50" s="43">
        <v>45091.541666666664</v>
      </c>
      <c r="H50">
        <v>12</v>
      </c>
      <c r="I50">
        <v>0</v>
      </c>
      <c r="J50">
        <v>13</v>
      </c>
      <c r="K50">
        <v>0</v>
      </c>
      <c r="L50">
        <v>2023</v>
      </c>
      <c r="N50" t="s">
        <v>9032</v>
      </c>
      <c r="O50" t="s">
        <v>73</v>
      </c>
      <c r="P50" t="s">
        <v>9033</v>
      </c>
      <c r="Q50" s="42" t="s">
        <v>160</v>
      </c>
      <c r="R50" s="40" t="s">
        <v>9114</v>
      </c>
    </row>
    <row r="51" spans="1:18" x14ac:dyDescent="0.3">
      <c r="A51" t="s">
        <v>8</v>
      </c>
      <c r="C51">
        <v>30</v>
      </c>
      <c r="D51" t="s">
        <v>10</v>
      </c>
      <c r="F51" s="43">
        <v>45091.479166666664</v>
      </c>
      <c r="G51" s="43">
        <v>45091.5</v>
      </c>
      <c r="H51">
        <v>11</v>
      </c>
      <c r="I51">
        <v>30</v>
      </c>
      <c r="J51">
        <v>12</v>
      </c>
      <c r="K51">
        <v>0</v>
      </c>
      <c r="L51">
        <v>2023</v>
      </c>
      <c r="N51" t="s">
        <v>47</v>
      </c>
      <c r="O51" t="s">
        <v>47</v>
      </c>
      <c r="P51" t="s">
        <v>9038</v>
      </c>
    </row>
    <row r="52" spans="1:18" x14ac:dyDescent="0.3">
      <c r="A52" t="s">
        <v>9036</v>
      </c>
      <c r="B52" s="42" t="s">
        <v>160</v>
      </c>
      <c r="C52">
        <v>15</v>
      </c>
      <c r="D52" t="s">
        <v>10</v>
      </c>
      <c r="E52">
        <v>4574061084</v>
      </c>
      <c r="F52" s="43">
        <v>45091.447916666664</v>
      </c>
      <c r="G52" s="43">
        <v>45091.458333333336</v>
      </c>
      <c r="H52">
        <v>10</v>
      </c>
      <c r="I52">
        <v>45</v>
      </c>
      <c r="J52">
        <v>11</v>
      </c>
      <c r="K52">
        <v>0</v>
      </c>
      <c r="L52">
        <v>2023</v>
      </c>
      <c r="N52" t="s">
        <v>47</v>
      </c>
      <c r="O52" t="s">
        <v>47</v>
      </c>
      <c r="P52" t="s">
        <v>9037</v>
      </c>
      <c r="Q52" s="42" t="s">
        <v>160</v>
      </c>
      <c r="R52" s="40" t="s">
        <v>9114</v>
      </c>
    </row>
    <row r="53" spans="1:18" x14ac:dyDescent="0.3">
      <c r="A53" t="s">
        <v>9034</v>
      </c>
      <c r="B53" s="48" t="s">
        <v>109</v>
      </c>
      <c r="C53">
        <v>15</v>
      </c>
      <c r="D53" t="s">
        <v>10</v>
      </c>
      <c r="E53">
        <v>4513565273</v>
      </c>
      <c r="F53" s="43">
        <v>45091.4375</v>
      </c>
      <c r="G53" s="43">
        <v>45091.447916666664</v>
      </c>
      <c r="H53">
        <v>10</v>
      </c>
      <c r="I53">
        <v>30</v>
      </c>
      <c r="J53">
        <v>10</v>
      </c>
      <c r="K53">
        <v>45</v>
      </c>
      <c r="L53">
        <v>2023</v>
      </c>
      <c r="N53" t="s">
        <v>47</v>
      </c>
      <c r="O53" t="s">
        <v>47</v>
      </c>
      <c r="P53" t="s">
        <v>9035</v>
      </c>
      <c r="Q53" s="48" t="s">
        <v>109</v>
      </c>
      <c r="R53" s="40" t="s">
        <v>9108</v>
      </c>
    </row>
    <row r="54" spans="1:18" x14ac:dyDescent="0.3">
      <c r="A54" t="s">
        <v>8996</v>
      </c>
      <c r="C54">
        <v>60</v>
      </c>
      <c r="D54" t="s">
        <v>10</v>
      </c>
      <c r="F54" s="43">
        <v>45091.375</v>
      </c>
      <c r="G54" s="43">
        <v>45091.416666666664</v>
      </c>
      <c r="H54">
        <v>9</v>
      </c>
      <c r="I54">
        <v>0</v>
      </c>
      <c r="J54">
        <v>10</v>
      </c>
      <c r="K54">
        <v>0</v>
      </c>
      <c r="L54">
        <v>2023</v>
      </c>
      <c r="N54" t="s">
        <v>8997</v>
      </c>
      <c r="O54" t="s">
        <v>52</v>
      </c>
      <c r="P54" t="s">
        <v>8998</v>
      </c>
    </row>
    <row r="55" spans="1:18" x14ac:dyDescent="0.3">
      <c r="A55" t="s">
        <v>9014</v>
      </c>
      <c r="C55">
        <v>60</v>
      </c>
      <c r="D55" t="s">
        <v>10</v>
      </c>
      <c r="F55" s="43">
        <v>45091.375</v>
      </c>
      <c r="G55" s="43">
        <v>45091.416666666664</v>
      </c>
      <c r="H55">
        <v>9</v>
      </c>
      <c r="I55">
        <v>0</v>
      </c>
      <c r="J55">
        <v>10</v>
      </c>
      <c r="K55">
        <v>0</v>
      </c>
      <c r="L55">
        <v>2023</v>
      </c>
      <c r="N55" t="s">
        <v>9015</v>
      </c>
      <c r="O55" t="s">
        <v>73</v>
      </c>
      <c r="P55" t="s">
        <v>9016</v>
      </c>
    </row>
    <row r="56" spans="1:18" x14ac:dyDescent="0.3">
      <c r="A56" t="s">
        <v>9026</v>
      </c>
      <c r="B56" s="42" t="s">
        <v>160</v>
      </c>
      <c r="C56">
        <v>30</v>
      </c>
      <c r="D56" t="s">
        <v>10</v>
      </c>
      <c r="E56">
        <v>4574061084</v>
      </c>
      <c r="F56" s="43">
        <v>45091.354166666664</v>
      </c>
      <c r="G56" s="43">
        <v>45091.375</v>
      </c>
      <c r="H56">
        <v>8</v>
      </c>
      <c r="I56">
        <v>30</v>
      </c>
      <c r="J56">
        <v>9</v>
      </c>
      <c r="K56">
        <v>0</v>
      </c>
      <c r="L56">
        <v>2023</v>
      </c>
      <c r="N56" t="s">
        <v>47</v>
      </c>
      <c r="O56" t="s">
        <v>47</v>
      </c>
      <c r="P56" t="s">
        <v>9027</v>
      </c>
      <c r="Q56" s="42" t="s">
        <v>160</v>
      </c>
      <c r="R56" s="40" t="s">
        <v>9114</v>
      </c>
    </row>
    <row r="57" spans="1:18" x14ac:dyDescent="0.3">
      <c r="A57" t="s">
        <v>175</v>
      </c>
      <c r="B57" s="42" t="s">
        <v>160</v>
      </c>
      <c r="C57">
        <v>45</v>
      </c>
      <c r="D57" t="s">
        <v>10</v>
      </c>
      <c r="E57">
        <v>4574061084</v>
      </c>
      <c r="F57" s="43">
        <v>45091.3125</v>
      </c>
      <c r="G57" s="43">
        <v>45091.34375</v>
      </c>
      <c r="H57">
        <v>7</v>
      </c>
      <c r="I57">
        <v>30</v>
      </c>
      <c r="J57">
        <v>8</v>
      </c>
      <c r="K57">
        <v>15</v>
      </c>
      <c r="L57">
        <v>2023</v>
      </c>
      <c r="N57" t="s">
        <v>9012</v>
      </c>
      <c r="O57" t="s">
        <v>73</v>
      </c>
      <c r="P57" t="s">
        <v>9013</v>
      </c>
      <c r="Q57" s="42" t="s">
        <v>160</v>
      </c>
      <c r="R57" s="40" t="s">
        <v>9114</v>
      </c>
    </row>
    <row r="58" spans="1:18" x14ac:dyDescent="0.3">
      <c r="A58" t="s">
        <v>9028</v>
      </c>
      <c r="B58" s="42" t="s">
        <v>160</v>
      </c>
      <c r="C58">
        <v>30</v>
      </c>
      <c r="D58" t="s">
        <v>10</v>
      </c>
      <c r="E58">
        <v>4574061084</v>
      </c>
      <c r="F58" s="43">
        <v>45091.270833333336</v>
      </c>
      <c r="G58" s="43">
        <v>45091.291666666664</v>
      </c>
      <c r="H58">
        <v>6</v>
      </c>
      <c r="I58">
        <v>30</v>
      </c>
      <c r="J58">
        <v>7</v>
      </c>
      <c r="K58">
        <v>0</v>
      </c>
      <c r="L58">
        <v>2023</v>
      </c>
      <c r="N58" t="s">
        <v>47</v>
      </c>
      <c r="O58" t="s">
        <v>47</v>
      </c>
      <c r="P58" t="s">
        <v>9029</v>
      </c>
      <c r="Q58" s="42" t="s">
        <v>160</v>
      </c>
      <c r="R58" s="40" t="s">
        <v>9114</v>
      </c>
    </row>
    <row r="59" spans="1:18" x14ac:dyDescent="0.3">
      <c r="A59" t="s">
        <v>9023</v>
      </c>
      <c r="B59" s="42" t="s">
        <v>160</v>
      </c>
      <c r="C59">
        <v>30</v>
      </c>
      <c r="D59" t="s">
        <v>10</v>
      </c>
      <c r="E59">
        <v>4574061084</v>
      </c>
      <c r="F59" s="43">
        <v>45091.25</v>
      </c>
      <c r="G59" s="43">
        <v>45091.270833333336</v>
      </c>
      <c r="H59">
        <v>6</v>
      </c>
      <c r="I59">
        <v>0</v>
      </c>
      <c r="J59">
        <v>6</v>
      </c>
      <c r="K59">
        <v>30</v>
      </c>
      <c r="L59">
        <v>2023</v>
      </c>
      <c r="N59" t="s">
        <v>9024</v>
      </c>
      <c r="O59" t="s">
        <v>47</v>
      </c>
      <c r="P59" t="s">
        <v>9025</v>
      </c>
      <c r="Q59" s="42" t="s">
        <v>160</v>
      </c>
      <c r="R59" s="40" t="s">
        <v>9114</v>
      </c>
    </row>
    <row r="60" spans="1:18" x14ac:dyDescent="0.3">
      <c r="A60" t="s">
        <v>42</v>
      </c>
      <c r="B60" s="38" t="s">
        <v>6</v>
      </c>
      <c r="C60">
        <v>30</v>
      </c>
      <c r="D60" t="s">
        <v>10</v>
      </c>
      <c r="E60">
        <v>2665003350</v>
      </c>
      <c r="F60" s="43">
        <v>45091.229166666664</v>
      </c>
      <c r="G60" s="43">
        <v>45091.25</v>
      </c>
      <c r="H60">
        <v>5</v>
      </c>
      <c r="I60">
        <v>30</v>
      </c>
      <c r="J60">
        <v>6</v>
      </c>
      <c r="K60">
        <v>0</v>
      </c>
      <c r="L60">
        <v>2023</v>
      </c>
      <c r="N60" t="s">
        <v>47</v>
      </c>
      <c r="O60" t="s">
        <v>47</v>
      </c>
      <c r="P60" t="s">
        <v>9030</v>
      </c>
      <c r="Q60" s="38" t="s">
        <v>6</v>
      </c>
      <c r="R60" s="40" t="s">
        <v>9109</v>
      </c>
    </row>
    <row r="61" spans="1:18" x14ac:dyDescent="0.3">
      <c r="A61" t="s">
        <v>9021</v>
      </c>
      <c r="C61">
        <v>30</v>
      </c>
      <c r="D61" t="s">
        <v>10</v>
      </c>
      <c r="F61" s="43">
        <v>45090.8125</v>
      </c>
      <c r="G61" s="43">
        <v>45090.833333333336</v>
      </c>
      <c r="H61">
        <v>19</v>
      </c>
      <c r="I61">
        <v>30</v>
      </c>
      <c r="J61">
        <v>20</v>
      </c>
      <c r="K61">
        <v>0</v>
      </c>
      <c r="L61">
        <v>2023</v>
      </c>
      <c r="N61" t="s">
        <v>47</v>
      </c>
      <c r="O61" t="s">
        <v>47</v>
      </c>
      <c r="P61" t="s">
        <v>9022</v>
      </c>
    </row>
    <row r="62" spans="1:18" x14ac:dyDescent="0.3">
      <c r="A62" t="s">
        <v>393</v>
      </c>
      <c r="B62" s="42" t="s">
        <v>160</v>
      </c>
      <c r="C62">
        <v>30</v>
      </c>
      <c r="D62" t="s">
        <v>10</v>
      </c>
      <c r="E62">
        <v>4574061084</v>
      </c>
      <c r="F62" s="43">
        <v>45090.791666666664</v>
      </c>
      <c r="G62" s="43">
        <v>45090.8125</v>
      </c>
      <c r="H62">
        <v>19</v>
      </c>
      <c r="I62">
        <v>0</v>
      </c>
      <c r="J62">
        <v>19</v>
      </c>
      <c r="K62">
        <v>30</v>
      </c>
      <c r="L62">
        <v>2023</v>
      </c>
      <c r="N62" t="s">
        <v>47</v>
      </c>
      <c r="O62" t="s">
        <v>47</v>
      </c>
      <c r="P62" t="s">
        <v>9020</v>
      </c>
      <c r="Q62" s="42" t="s">
        <v>160</v>
      </c>
      <c r="R62" s="40" t="s">
        <v>9114</v>
      </c>
    </row>
    <row r="63" spans="1:18" x14ac:dyDescent="0.3">
      <c r="A63" t="s">
        <v>393</v>
      </c>
      <c r="B63" s="42" t="s">
        <v>160</v>
      </c>
      <c r="C63">
        <v>30</v>
      </c>
      <c r="D63" t="s">
        <v>10</v>
      </c>
      <c r="E63">
        <v>4574061084</v>
      </c>
      <c r="F63" s="43">
        <v>45090.75</v>
      </c>
      <c r="G63" s="43">
        <v>45090.770833333336</v>
      </c>
      <c r="H63">
        <v>18</v>
      </c>
      <c r="I63">
        <v>0</v>
      </c>
      <c r="J63">
        <v>18</v>
      </c>
      <c r="K63">
        <v>30</v>
      </c>
      <c r="L63">
        <v>2023</v>
      </c>
      <c r="N63" t="s">
        <v>47</v>
      </c>
      <c r="O63" t="s">
        <v>47</v>
      </c>
      <c r="P63" t="s">
        <v>9019</v>
      </c>
      <c r="Q63" s="42" t="s">
        <v>160</v>
      </c>
      <c r="R63" s="40" t="s">
        <v>9114</v>
      </c>
    </row>
    <row r="64" spans="1:18" x14ac:dyDescent="0.3">
      <c r="A64" t="s">
        <v>393</v>
      </c>
      <c r="B64" s="42" t="s">
        <v>160</v>
      </c>
      <c r="C64">
        <v>30</v>
      </c>
      <c r="D64" t="s">
        <v>10</v>
      </c>
      <c r="E64">
        <v>4574061084</v>
      </c>
      <c r="F64" s="43">
        <v>45090.708333333336</v>
      </c>
      <c r="G64" s="43">
        <v>45090.729166666664</v>
      </c>
      <c r="H64">
        <v>17</v>
      </c>
      <c r="I64">
        <v>0</v>
      </c>
      <c r="J64">
        <v>17</v>
      </c>
      <c r="K64">
        <v>30</v>
      </c>
      <c r="L64">
        <v>2023</v>
      </c>
      <c r="N64" t="s">
        <v>47</v>
      </c>
      <c r="O64" t="s">
        <v>47</v>
      </c>
      <c r="P64" t="s">
        <v>9018</v>
      </c>
      <c r="Q64" s="42" t="s">
        <v>160</v>
      </c>
      <c r="R64" s="40" t="s">
        <v>9114</v>
      </c>
    </row>
    <row r="65" spans="1:18" x14ac:dyDescent="0.3">
      <c r="A65" t="s">
        <v>9</v>
      </c>
      <c r="B65" s="38" t="s">
        <v>6</v>
      </c>
      <c r="C65">
        <v>30</v>
      </c>
      <c r="D65" t="s">
        <v>10</v>
      </c>
      <c r="E65">
        <v>1521440445</v>
      </c>
      <c r="F65" s="43">
        <v>45090.666666666664</v>
      </c>
      <c r="G65" s="43">
        <v>45090.6875</v>
      </c>
      <c r="H65">
        <v>16</v>
      </c>
      <c r="I65">
        <v>0</v>
      </c>
      <c r="J65">
        <v>16</v>
      </c>
      <c r="K65">
        <v>30</v>
      </c>
      <c r="L65">
        <v>2023</v>
      </c>
      <c r="N65" t="s">
        <v>47</v>
      </c>
      <c r="O65" t="s">
        <v>47</v>
      </c>
      <c r="P65" t="s">
        <v>9017</v>
      </c>
      <c r="Q65" s="38" t="s">
        <v>6</v>
      </c>
      <c r="R65" s="40" t="s">
        <v>9117</v>
      </c>
    </row>
    <row r="66" spans="1:18" x14ac:dyDescent="0.3">
      <c r="A66" t="s">
        <v>9010</v>
      </c>
      <c r="B66" s="42" t="s">
        <v>160</v>
      </c>
      <c r="C66">
        <v>30</v>
      </c>
      <c r="D66" t="s">
        <v>10</v>
      </c>
      <c r="E66">
        <v>4574061084</v>
      </c>
      <c r="F66" s="43">
        <v>45090.645833333336</v>
      </c>
      <c r="G66" s="43">
        <v>45090.666666666664</v>
      </c>
      <c r="H66">
        <v>15</v>
      </c>
      <c r="I66">
        <v>30</v>
      </c>
      <c r="J66">
        <v>16</v>
      </c>
      <c r="K66">
        <v>0</v>
      </c>
      <c r="L66">
        <v>2023</v>
      </c>
      <c r="N66" t="s">
        <v>47</v>
      </c>
      <c r="O66" t="s">
        <v>47</v>
      </c>
      <c r="P66" t="s">
        <v>9011</v>
      </c>
      <c r="Q66" s="42" t="s">
        <v>160</v>
      </c>
      <c r="R66" s="40" t="s">
        <v>9114</v>
      </c>
    </row>
    <row r="67" spans="1:18" x14ac:dyDescent="0.3">
      <c r="A67" t="s">
        <v>8683</v>
      </c>
      <c r="C67">
        <v>30</v>
      </c>
      <c r="D67" t="s">
        <v>10</v>
      </c>
      <c r="F67" s="43">
        <v>45090.625</v>
      </c>
      <c r="G67" s="43">
        <v>45090.645833333336</v>
      </c>
      <c r="H67">
        <v>15</v>
      </c>
      <c r="I67">
        <v>0</v>
      </c>
      <c r="J67">
        <v>15</v>
      </c>
      <c r="K67">
        <v>30</v>
      </c>
      <c r="L67">
        <v>2023</v>
      </c>
      <c r="N67" t="s">
        <v>47</v>
      </c>
      <c r="O67" t="s">
        <v>47</v>
      </c>
      <c r="P67" t="s">
        <v>9009</v>
      </c>
    </row>
    <row r="68" spans="1:18" x14ac:dyDescent="0.3">
      <c r="A68" t="s">
        <v>9005</v>
      </c>
      <c r="B68" s="42" t="s">
        <v>160</v>
      </c>
      <c r="C68">
        <v>60</v>
      </c>
      <c r="D68" t="s">
        <v>10</v>
      </c>
      <c r="E68">
        <v>4574061084</v>
      </c>
      <c r="F68" s="43">
        <v>45090.572916666664</v>
      </c>
      <c r="G68" s="43">
        <v>45090.614583333336</v>
      </c>
      <c r="H68">
        <v>13</v>
      </c>
      <c r="I68">
        <v>45</v>
      </c>
      <c r="J68">
        <v>14</v>
      </c>
      <c r="K68">
        <v>45</v>
      </c>
      <c r="L68">
        <v>2023</v>
      </c>
      <c r="N68" t="s">
        <v>47</v>
      </c>
      <c r="O68" t="s">
        <v>47</v>
      </c>
      <c r="P68" t="s">
        <v>9006</v>
      </c>
      <c r="Q68" s="42" t="s">
        <v>160</v>
      </c>
      <c r="R68" s="40" t="s">
        <v>9114</v>
      </c>
    </row>
    <row r="69" spans="1:18" x14ac:dyDescent="0.3">
      <c r="A69" t="s">
        <v>9007</v>
      </c>
      <c r="C69">
        <v>60</v>
      </c>
      <c r="D69" t="s">
        <v>10</v>
      </c>
      <c r="F69" s="43">
        <v>45090.520833333336</v>
      </c>
      <c r="G69" s="43">
        <v>45090.5625</v>
      </c>
      <c r="H69">
        <v>12</v>
      </c>
      <c r="I69">
        <v>30</v>
      </c>
      <c r="J69">
        <v>13</v>
      </c>
      <c r="K69">
        <v>30</v>
      </c>
      <c r="L69">
        <v>2023</v>
      </c>
      <c r="N69" t="s">
        <v>47</v>
      </c>
      <c r="O69" t="s">
        <v>47</v>
      </c>
      <c r="P69" t="s">
        <v>9008</v>
      </c>
    </row>
    <row r="70" spans="1:18" x14ac:dyDescent="0.3">
      <c r="A70" t="s">
        <v>9001</v>
      </c>
      <c r="B70" s="42" t="s">
        <v>160</v>
      </c>
      <c r="C70">
        <v>30</v>
      </c>
      <c r="D70" t="s">
        <v>10</v>
      </c>
      <c r="E70">
        <v>4574061084</v>
      </c>
      <c r="F70" s="43">
        <v>45090.5</v>
      </c>
      <c r="G70" s="43">
        <v>45090.520833333336</v>
      </c>
      <c r="H70">
        <v>12</v>
      </c>
      <c r="I70">
        <v>0</v>
      </c>
      <c r="J70">
        <v>12</v>
      </c>
      <c r="K70">
        <v>30</v>
      </c>
      <c r="L70">
        <v>2023</v>
      </c>
      <c r="N70" t="s">
        <v>47</v>
      </c>
      <c r="O70" t="s">
        <v>47</v>
      </c>
      <c r="P70" t="s">
        <v>9002</v>
      </c>
      <c r="Q70" s="42" t="s">
        <v>160</v>
      </c>
      <c r="R70" s="40" t="s">
        <v>9114</v>
      </c>
    </row>
    <row r="71" spans="1:18" x14ac:dyDescent="0.3">
      <c r="A71" t="s">
        <v>8999</v>
      </c>
      <c r="C71">
        <v>15</v>
      </c>
      <c r="D71" t="s">
        <v>10</v>
      </c>
      <c r="F71" s="43">
        <v>45090.447916666664</v>
      </c>
      <c r="G71" s="43">
        <v>45090.458333333336</v>
      </c>
      <c r="H71">
        <v>10</v>
      </c>
      <c r="I71">
        <v>45</v>
      </c>
      <c r="J71">
        <v>11</v>
      </c>
      <c r="K71">
        <v>0</v>
      </c>
      <c r="L71">
        <v>2023</v>
      </c>
      <c r="N71" t="s">
        <v>47</v>
      </c>
      <c r="O71" t="s">
        <v>47</v>
      </c>
      <c r="P71" t="s">
        <v>9000</v>
      </c>
    </row>
    <row r="72" spans="1:18" x14ac:dyDescent="0.3">
      <c r="A72" t="s">
        <v>416</v>
      </c>
      <c r="C72">
        <v>30</v>
      </c>
      <c r="D72" t="s">
        <v>10</v>
      </c>
      <c r="F72" s="43">
        <v>45090.427083333336</v>
      </c>
      <c r="G72" s="43">
        <v>45090.447916666664</v>
      </c>
      <c r="H72">
        <v>10</v>
      </c>
      <c r="I72">
        <v>15</v>
      </c>
      <c r="J72">
        <v>10</v>
      </c>
      <c r="K72">
        <v>45</v>
      </c>
      <c r="L72">
        <v>2023</v>
      </c>
      <c r="N72" t="s">
        <v>417</v>
      </c>
      <c r="O72" t="s">
        <v>418</v>
      </c>
      <c r="P72" t="s">
        <v>419</v>
      </c>
    </row>
    <row r="73" spans="1:18" x14ac:dyDescent="0.3">
      <c r="A73" t="s">
        <v>9003</v>
      </c>
      <c r="C73">
        <v>30</v>
      </c>
      <c r="D73" t="s">
        <v>10</v>
      </c>
      <c r="F73" s="43">
        <v>45090.395833333336</v>
      </c>
      <c r="G73" s="43">
        <v>45090.416666666664</v>
      </c>
      <c r="H73">
        <v>9</v>
      </c>
      <c r="I73">
        <v>30</v>
      </c>
      <c r="J73">
        <v>10</v>
      </c>
      <c r="K73">
        <v>0</v>
      </c>
      <c r="L73">
        <v>2023</v>
      </c>
      <c r="N73" t="s">
        <v>47</v>
      </c>
      <c r="O73" t="s">
        <v>47</v>
      </c>
      <c r="P73" t="s">
        <v>9004</v>
      </c>
    </row>
    <row r="74" spans="1:18" x14ac:dyDescent="0.3">
      <c r="A74" t="s">
        <v>155</v>
      </c>
      <c r="B74" s="48" t="s">
        <v>109</v>
      </c>
      <c r="C74">
        <v>30</v>
      </c>
      <c r="D74" t="s">
        <v>10</v>
      </c>
      <c r="E74">
        <v>4513565273</v>
      </c>
      <c r="F74" s="43">
        <v>45090.333333333336</v>
      </c>
      <c r="G74" s="43">
        <v>45090.354166666664</v>
      </c>
      <c r="H74">
        <v>8</v>
      </c>
      <c r="I74">
        <v>0</v>
      </c>
      <c r="J74">
        <v>8</v>
      </c>
      <c r="K74">
        <v>30</v>
      </c>
      <c r="L74">
        <v>2023</v>
      </c>
      <c r="N74" t="s">
        <v>56</v>
      </c>
      <c r="O74" t="s">
        <v>50</v>
      </c>
      <c r="P74" t="s">
        <v>350</v>
      </c>
      <c r="Q74" s="48" t="s">
        <v>109</v>
      </c>
      <c r="R74" s="40" t="s">
        <v>9108</v>
      </c>
    </row>
    <row r="75" spans="1:18" x14ac:dyDescent="0.3">
      <c r="A75" t="s">
        <v>8984</v>
      </c>
      <c r="C75">
        <v>60</v>
      </c>
      <c r="D75" t="s">
        <v>10</v>
      </c>
      <c r="F75" s="43">
        <v>45090.291666666664</v>
      </c>
      <c r="G75" s="43">
        <v>45090.333333333336</v>
      </c>
      <c r="H75">
        <v>7</v>
      </c>
      <c r="I75">
        <v>0</v>
      </c>
      <c r="J75">
        <v>8</v>
      </c>
      <c r="K75">
        <v>0</v>
      </c>
      <c r="L75">
        <v>2023</v>
      </c>
      <c r="N75" t="s">
        <v>8985</v>
      </c>
      <c r="O75" t="s">
        <v>47</v>
      </c>
      <c r="P75" t="s">
        <v>8986</v>
      </c>
    </row>
    <row r="76" spans="1:18" x14ac:dyDescent="0.3">
      <c r="A76" t="s">
        <v>8994</v>
      </c>
      <c r="C76">
        <v>15</v>
      </c>
      <c r="D76" t="s">
        <v>10</v>
      </c>
      <c r="F76" s="43">
        <v>45090.270833333336</v>
      </c>
      <c r="G76" s="43">
        <v>45090.28125</v>
      </c>
      <c r="H76">
        <v>6</v>
      </c>
      <c r="I76">
        <v>30</v>
      </c>
      <c r="J76">
        <v>6</v>
      </c>
      <c r="K76">
        <v>45</v>
      </c>
      <c r="L76">
        <v>2023</v>
      </c>
      <c r="N76" t="s">
        <v>47</v>
      </c>
      <c r="O76" t="s">
        <v>47</v>
      </c>
      <c r="P76" t="s">
        <v>8995</v>
      </c>
    </row>
    <row r="77" spans="1:18" x14ac:dyDescent="0.3">
      <c r="A77" t="s">
        <v>8</v>
      </c>
      <c r="C77">
        <v>30</v>
      </c>
      <c r="D77" t="s">
        <v>10</v>
      </c>
      <c r="F77" s="43">
        <v>45090.25</v>
      </c>
      <c r="G77" s="43">
        <v>45090.270833333336</v>
      </c>
      <c r="H77">
        <v>6</v>
      </c>
      <c r="I77">
        <v>0</v>
      </c>
      <c r="J77">
        <v>6</v>
      </c>
      <c r="K77">
        <v>30</v>
      </c>
      <c r="L77">
        <v>2023</v>
      </c>
      <c r="N77" t="s">
        <v>47</v>
      </c>
      <c r="O77" t="s">
        <v>47</v>
      </c>
      <c r="P77" t="s">
        <v>8993</v>
      </c>
    </row>
    <row r="78" spans="1:18" x14ac:dyDescent="0.3">
      <c r="A78" t="s">
        <v>424</v>
      </c>
      <c r="B78" s="38" t="s">
        <v>6</v>
      </c>
      <c r="C78">
        <v>30</v>
      </c>
      <c r="D78" t="s">
        <v>10</v>
      </c>
      <c r="E78">
        <v>4623545609</v>
      </c>
      <c r="F78" s="43">
        <v>45089.833333333336</v>
      </c>
      <c r="G78" s="43">
        <v>45089.854166666664</v>
      </c>
      <c r="H78">
        <v>20</v>
      </c>
      <c r="I78">
        <v>0</v>
      </c>
      <c r="J78">
        <v>20</v>
      </c>
      <c r="K78">
        <v>30</v>
      </c>
      <c r="L78">
        <v>2023</v>
      </c>
      <c r="N78" t="s">
        <v>47</v>
      </c>
      <c r="O78" t="s">
        <v>47</v>
      </c>
      <c r="P78" t="s">
        <v>8992</v>
      </c>
      <c r="Q78" s="38" t="s">
        <v>6</v>
      </c>
      <c r="R78" s="41" t="s">
        <v>9112</v>
      </c>
    </row>
    <row r="79" spans="1:18" x14ac:dyDescent="0.3">
      <c r="A79" t="s">
        <v>8990</v>
      </c>
      <c r="B79" s="38" t="s">
        <v>6</v>
      </c>
      <c r="C79">
        <v>30</v>
      </c>
      <c r="D79" t="s">
        <v>10</v>
      </c>
      <c r="E79">
        <v>4661118548</v>
      </c>
      <c r="F79" s="43">
        <v>45089.75</v>
      </c>
      <c r="G79" s="43">
        <v>45089.770833333336</v>
      </c>
      <c r="H79">
        <v>18</v>
      </c>
      <c r="I79">
        <v>0</v>
      </c>
      <c r="J79">
        <v>18</v>
      </c>
      <c r="K79">
        <v>30</v>
      </c>
      <c r="L79">
        <v>2023</v>
      </c>
      <c r="N79" t="s">
        <v>47</v>
      </c>
      <c r="O79" t="s">
        <v>47</v>
      </c>
      <c r="P79" t="s">
        <v>8991</v>
      </c>
      <c r="Q79" s="38" t="s">
        <v>6</v>
      </c>
      <c r="R79">
        <v>4661118548</v>
      </c>
    </row>
    <row r="80" spans="1:18" x14ac:dyDescent="0.3">
      <c r="A80" t="s">
        <v>8988</v>
      </c>
      <c r="B80" s="38" t="s">
        <v>6</v>
      </c>
      <c r="C80">
        <v>15</v>
      </c>
      <c r="D80" t="s">
        <v>10</v>
      </c>
      <c r="E80">
        <v>4661118548</v>
      </c>
      <c r="F80" s="43">
        <v>45089.71875</v>
      </c>
      <c r="G80" s="43">
        <v>45089.729166666664</v>
      </c>
      <c r="H80">
        <v>17</v>
      </c>
      <c r="I80">
        <v>15</v>
      </c>
      <c r="J80">
        <v>17</v>
      </c>
      <c r="K80">
        <v>30</v>
      </c>
      <c r="L80">
        <v>2023</v>
      </c>
      <c r="N80" t="s">
        <v>47</v>
      </c>
      <c r="O80" t="s">
        <v>47</v>
      </c>
      <c r="P80" t="s">
        <v>8989</v>
      </c>
      <c r="Q80" s="38" t="s">
        <v>6</v>
      </c>
      <c r="R80">
        <v>4661118548</v>
      </c>
    </row>
    <row r="81" spans="1:18" x14ac:dyDescent="0.3">
      <c r="A81" t="s">
        <v>432</v>
      </c>
      <c r="B81" s="42" t="s">
        <v>160</v>
      </c>
      <c r="C81">
        <v>30</v>
      </c>
      <c r="D81" t="s">
        <v>10</v>
      </c>
      <c r="E81">
        <v>4513589961</v>
      </c>
      <c r="F81" s="43">
        <v>45089.697916666664</v>
      </c>
      <c r="G81" s="43">
        <v>45089.71875</v>
      </c>
      <c r="H81">
        <v>16</v>
      </c>
      <c r="I81">
        <v>45</v>
      </c>
      <c r="J81">
        <v>17</v>
      </c>
      <c r="K81">
        <v>15</v>
      </c>
      <c r="L81">
        <v>2023</v>
      </c>
      <c r="N81" t="s">
        <v>47</v>
      </c>
      <c r="O81" t="s">
        <v>47</v>
      </c>
      <c r="P81" t="s">
        <v>433</v>
      </c>
      <c r="Q81" s="42" t="s">
        <v>160</v>
      </c>
      <c r="R81" s="40" t="s">
        <v>9113</v>
      </c>
    </row>
    <row r="82" spans="1:18" x14ac:dyDescent="0.3">
      <c r="A82" t="s">
        <v>424</v>
      </c>
      <c r="B82" s="38" t="s">
        <v>6</v>
      </c>
      <c r="C82">
        <v>30</v>
      </c>
      <c r="D82" t="s">
        <v>10</v>
      </c>
      <c r="E82">
        <v>4623545609</v>
      </c>
      <c r="F82" s="43">
        <v>45089.645833333336</v>
      </c>
      <c r="G82" s="43">
        <v>45089.666666666664</v>
      </c>
      <c r="H82">
        <v>15</v>
      </c>
      <c r="I82">
        <v>30</v>
      </c>
      <c r="J82">
        <v>16</v>
      </c>
      <c r="K82">
        <v>0</v>
      </c>
      <c r="L82">
        <v>2023</v>
      </c>
      <c r="N82" t="s">
        <v>47</v>
      </c>
      <c r="O82" t="s">
        <v>47</v>
      </c>
      <c r="P82" t="s">
        <v>431</v>
      </c>
      <c r="Q82" s="38" t="s">
        <v>6</v>
      </c>
      <c r="R82" s="41" t="s">
        <v>9112</v>
      </c>
    </row>
    <row r="83" spans="1:18" x14ac:dyDescent="0.3">
      <c r="A83" t="s">
        <v>17</v>
      </c>
      <c r="C83">
        <v>30</v>
      </c>
      <c r="D83" t="s">
        <v>10</v>
      </c>
      <c r="F83" s="43">
        <v>45089.5625</v>
      </c>
      <c r="G83" s="43">
        <v>45089.583333333336</v>
      </c>
      <c r="H83">
        <v>13</v>
      </c>
      <c r="I83">
        <v>30</v>
      </c>
      <c r="J83">
        <v>14</v>
      </c>
      <c r="K83">
        <v>0</v>
      </c>
      <c r="L83">
        <v>2023</v>
      </c>
      <c r="N83" t="s">
        <v>47</v>
      </c>
      <c r="O83" t="s">
        <v>47</v>
      </c>
      <c r="P83" t="s">
        <v>426</v>
      </c>
    </row>
    <row r="84" spans="1:18" x14ac:dyDescent="0.3">
      <c r="A84" t="s">
        <v>424</v>
      </c>
      <c r="B84" s="38" t="s">
        <v>6</v>
      </c>
      <c r="C84">
        <v>30</v>
      </c>
      <c r="D84" t="s">
        <v>10</v>
      </c>
      <c r="E84">
        <v>4623545609</v>
      </c>
      <c r="F84" s="43">
        <v>45089.541666666664</v>
      </c>
      <c r="G84" s="43">
        <v>45089.5625</v>
      </c>
      <c r="H84">
        <v>13</v>
      </c>
      <c r="I84">
        <v>0</v>
      </c>
      <c r="J84">
        <v>13</v>
      </c>
      <c r="K84">
        <v>30</v>
      </c>
      <c r="L84">
        <v>2023</v>
      </c>
      <c r="N84" t="s">
        <v>47</v>
      </c>
      <c r="O84" t="s">
        <v>47</v>
      </c>
      <c r="P84" t="s">
        <v>425</v>
      </c>
      <c r="Q84" s="38" t="s">
        <v>6</v>
      </c>
      <c r="R84" s="41" t="s">
        <v>9112</v>
      </c>
    </row>
    <row r="85" spans="1:18" x14ac:dyDescent="0.3">
      <c r="A85" t="s">
        <v>420</v>
      </c>
      <c r="B85" s="38" t="s">
        <v>6</v>
      </c>
      <c r="C85">
        <v>30</v>
      </c>
      <c r="D85" t="s">
        <v>10</v>
      </c>
      <c r="E85">
        <v>4623545609</v>
      </c>
      <c r="F85" s="43">
        <v>45089.458333333336</v>
      </c>
      <c r="G85" s="43">
        <v>45089.479166666664</v>
      </c>
      <c r="H85">
        <v>11</v>
      </c>
      <c r="I85">
        <v>0</v>
      </c>
      <c r="J85">
        <v>11</v>
      </c>
      <c r="K85">
        <v>30</v>
      </c>
      <c r="L85">
        <v>2023</v>
      </c>
      <c r="N85" t="s">
        <v>47</v>
      </c>
      <c r="O85" t="s">
        <v>47</v>
      </c>
      <c r="P85" t="s">
        <v>421</v>
      </c>
      <c r="Q85" s="38" t="s">
        <v>6</v>
      </c>
      <c r="R85" s="41" t="s">
        <v>9112</v>
      </c>
    </row>
    <row r="86" spans="1:18" x14ac:dyDescent="0.3">
      <c r="A86" t="s">
        <v>422</v>
      </c>
      <c r="B86" s="42" t="s">
        <v>160</v>
      </c>
      <c r="C86">
        <v>30</v>
      </c>
      <c r="D86" t="s">
        <v>10</v>
      </c>
      <c r="E86">
        <v>4574061084</v>
      </c>
      <c r="F86" s="43">
        <v>45089.4375</v>
      </c>
      <c r="G86" s="43">
        <v>45089.458333333336</v>
      </c>
      <c r="H86">
        <v>10</v>
      </c>
      <c r="I86">
        <v>30</v>
      </c>
      <c r="J86">
        <v>11</v>
      </c>
      <c r="K86">
        <v>0</v>
      </c>
      <c r="L86">
        <v>2023</v>
      </c>
      <c r="N86" t="s">
        <v>47</v>
      </c>
      <c r="O86" t="s">
        <v>47</v>
      </c>
      <c r="P86" t="s">
        <v>423</v>
      </c>
      <c r="Q86" s="42" t="s">
        <v>160</v>
      </c>
      <c r="R86" s="40" t="s">
        <v>9114</v>
      </c>
    </row>
    <row r="87" spans="1:18" x14ac:dyDescent="0.3">
      <c r="A87" t="s">
        <v>175</v>
      </c>
      <c r="B87" s="42" t="s">
        <v>160</v>
      </c>
      <c r="C87">
        <v>60</v>
      </c>
      <c r="D87" t="s">
        <v>10</v>
      </c>
      <c r="E87">
        <v>4574061084</v>
      </c>
      <c r="F87" s="43">
        <v>45089.395833333336</v>
      </c>
      <c r="G87" s="43">
        <v>45089.4375</v>
      </c>
      <c r="H87">
        <v>9</v>
      </c>
      <c r="I87">
        <v>30</v>
      </c>
      <c r="J87">
        <v>10</v>
      </c>
      <c r="K87">
        <v>30</v>
      </c>
      <c r="L87">
        <v>2023</v>
      </c>
      <c r="N87" t="s">
        <v>177</v>
      </c>
      <c r="O87" t="s">
        <v>73</v>
      </c>
      <c r="P87" t="s">
        <v>364</v>
      </c>
      <c r="Q87" s="42" t="s">
        <v>160</v>
      </c>
      <c r="R87" s="40" t="s">
        <v>9114</v>
      </c>
    </row>
    <row r="88" spans="1:18" x14ac:dyDescent="0.3">
      <c r="A88" t="s">
        <v>391</v>
      </c>
      <c r="B88" s="42" t="s">
        <v>160</v>
      </c>
      <c r="C88">
        <v>30</v>
      </c>
      <c r="D88" t="s">
        <v>10</v>
      </c>
      <c r="E88">
        <v>4574061084</v>
      </c>
      <c r="F88" s="43">
        <v>45089.375</v>
      </c>
      <c r="G88" s="43">
        <v>45089.395833333336</v>
      </c>
      <c r="H88">
        <v>9</v>
      </c>
      <c r="I88">
        <v>0</v>
      </c>
      <c r="J88">
        <v>9</v>
      </c>
      <c r="K88">
        <v>30</v>
      </c>
      <c r="L88">
        <v>2023</v>
      </c>
      <c r="N88" t="s">
        <v>47</v>
      </c>
      <c r="O88" t="s">
        <v>47</v>
      </c>
      <c r="P88" t="s">
        <v>392</v>
      </c>
      <c r="Q88" s="42" t="s">
        <v>160</v>
      </c>
      <c r="R88" s="40" t="s">
        <v>9114</v>
      </c>
    </row>
    <row r="89" spans="1:18" x14ac:dyDescent="0.3">
      <c r="A89" t="s">
        <v>156</v>
      </c>
      <c r="B89" s="42" t="s">
        <v>160</v>
      </c>
      <c r="C89">
        <v>60</v>
      </c>
      <c r="D89" t="s">
        <v>10</v>
      </c>
      <c r="E89">
        <v>4574061084</v>
      </c>
      <c r="F89" s="43">
        <v>45089.333333333336</v>
      </c>
      <c r="G89" s="43">
        <v>45089.375</v>
      </c>
      <c r="H89">
        <v>8</v>
      </c>
      <c r="I89">
        <v>0</v>
      </c>
      <c r="J89">
        <v>9</v>
      </c>
      <c r="K89">
        <v>0</v>
      </c>
      <c r="L89">
        <v>2023</v>
      </c>
      <c r="N89" t="s">
        <v>172</v>
      </c>
      <c r="O89" t="s">
        <v>73</v>
      </c>
      <c r="P89" t="s">
        <v>377</v>
      </c>
      <c r="Q89" s="42" t="s">
        <v>160</v>
      </c>
      <c r="R89" s="40" t="s">
        <v>9114</v>
      </c>
    </row>
    <row r="90" spans="1:18" x14ac:dyDescent="0.3">
      <c r="A90" t="s">
        <v>111</v>
      </c>
      <c r="C90">
        <v>30</v>
      </c>
      <c r="D90" t="s">
        <v>10</v>
      </c>
      <c r="F90" s="43">
        <v>45089.3125</v>
      </c>
      <c r="G90" s="43">
        <v>45089.333333333336</v>
      </c>
      <c r="H90">
        <v>7</v>
      </c>
      <c r="I90">
        <v>30</v>
      </c>
      <c r="J90">
        <v>8</v>
      </c>
      <c r="K90">
        <v>0</v>
      </c>
      <c r="L90">
        <v>2023</v>
      </c>
      <c r="N90" t="s">
        <v>301</v>
      </c>
      <c r="O90" t="s">
        <v>73</v>
      </c>
      <c r="P90" t="s">
        <v>302</v>
      </c>
    </row>
    <row r="91" spans="1:18" x14ac:dyDescent="0.3">
      <c r="A91" t="s">
        <v>395</v>
      </c>
      <c r="B91" s="42" t="s">
        <v>160</v>
      </c>
      <c r="C91">
        <v>30</v>
      </c>
      <c r="D91" t="s">
        <v>10</v>
      </c>
      <c r="E91">
        <v>4574061084</v>
      </c>
      <c r="F91" s="43">
        <v>45089.291666666664</v>
      </c>
      <c r="G91" s="43">
        <v>45089.3125</v>
      </c>
      <c r="H91">
        <v>7</v>
      </c>
      <c r="I91">
        <v>0</v>
      </c>
      <c r="J91">
        <v>7</v>
      </c>
      <c r="K91">
        <v>30</v>
      </c>
      <c r="L91">
        <v>2023</v>
      </c>
      <c r="N91" t="s">
        <v>47</v>
      </c>
      <c r="O91" t="s">
        <v>47</v>
      </c>
      <c r="P91" t="s">
        <v>396</v>
      </c>
      <c r="Q91" s="42" t="s">
        <v>160</v>
      </c>
      <c r="R91" s="40" t="s">
        <v>9114</v>
      </c>
    </row>
    <row r="92" spans="1:18" x14ac:dyDescent="0.3">
      <c r="A92" t="s">
        <v>388</v>
      </c>
      <c r="B92" s="42" t="s">
        <v>160</v>
      </c>
      <c r="C92">
        <v>30</v>
      </c>
      <c r="D92" t="s">
        <v>10</v>
      </c>
      <c r="E92">
        <v>4574061084</v>
      </c>
      <c r="F92" s="43">
        <v>45089.239583333336</v>
      </c>
      <c r="G92" s="43">
        <v>45089.260416666664</v>
      </c>
      <c r="H92">
        <v>5</v>
      </c>
      <c r="I92">
        <v>45</v>
      </c>
      <c r="J92">
        <v>6</v>
      </c>
      <c r="K92">
        <v>15</v>
      </c>
      <c r="L92">
        <v>2023</v>
      </c>
      <c r="N92" t="s">
        <v>389</v>
      </c>
      <c r="O92" t="s">
        <v>47</v>
      </c>
      <c r="P92" t="s">
        <v>390</v>
      </c>
      <c r="Q92" s="42" t="s">
        <v>160</v>
      </c>
      <c r="R92" s="40" t="s">
        <v>9114</v>
      </c>
    </row>
    <row r="93" spans="1:18" x14ac:dyDescent="0.3">
      <c r="A93" t="s">
        <v>393</v>
      </c>
      <c r="B93" s="42" t="s">
        <v>160</v>
      </c>
      <c r="C93">
        <v>30</v>
      </c>
      <c r="D93" t="s">
        <v>10</v>
      </c>
      <c r="E93">
        <v>4574061084</v>
      </c>
      <c r="F93" s="43">
        <v>45089.208333333336</v>
      </c>
      <c r="G93" s="43">
        <v>45089.229166666664</v>
      </c>
      <c r="H93">
        <v>5</v>
      </c>
      <c r="I93">
        <v>0</v>
      </c>
      <c r="J93">
        <v>5</v>
      </c>
      <c r="K93">
        <v>30</v>
      </c>
      <c r="L93">
        <v>2023</v>
      </c>
      <c r="N93" t="s">
        <v>47</v>
      </c>
      <c r="O93" t="s">
        <v>47</v>
      </c>
      <c r="P93" t="s">
        <v>394</v>
      </c>
      <c r="Q93" s="42" t="s">
        <v>160</v>
      </c>
      <c r="R93" s="40" t="s">
        <v>9114</v>
      </c>
    </row>
    <row r="94" spans="1:18" x14ac:dyDescent="0.3">
      <c r="A94" t="s">
        <v>372</v>
      </c>
      <c r="B94" s="38" t="s">
        <v>6</v>
      </c>
      <c r="C94">
        <v>30</v>
      </c>
      <c r="D94" t="s">
        <v>10</v>
      </c>
      <c r="E94">
        <v>4623545609</v>
      </c>
      <c r="F94" s="43">
        <v>45088.84375</v>
      </c>
      <c r="G94" s="43">
        <v>45088.864583333336</v>
      </c>
      <c r="H94">
        <v>20</v>
      </c>
      <c r="I94">
        <v>15</v>
      </c>
      <c r="J94">
        <v>20</v>
      </c>
      <c r="K94">
        <v>45</v>
      </c>
      <c r="L94">
        <v>2023</v>
      </c>
      <c r="N94" t="s">
        <v>47</v>
      </c>
      <c r="O94" t="s">
        <v>47</v>
      </c>
      <c r="P94" t="s">
        <v>387</v>
      </c>
      <c r="Q94" s="38" t="s">
        <v>6</v>
      </c>
      <c r="R94" s="41" t="s">
        <v>9112</v>
      </c>
    </row>
    <row r="95" spans="1:18" x14ac:dyDescent="0.3">
      <c r="A95" t="s">
        <v>372</v>
      </c>
      <c r="B95" s="38" t="s">
        <v>6</v>
      </c>
      <c r="C95">
        <v>60</v>
      </c>
      <c r="D95" t="s">
        <v>10</v>
      </c>
      <c r="E95">
        <v>4623545609</v>
      </c>
      <c r="F95" s="43">
        <v>45088.75</v>
      </c>
      <c r="G95" s="43">
        <v>45088.791666666664</v>
      </c>
      <c r="H95">
        <v>18</v>
      </c>
      <c r="I95">
        <v>0</v>
      </c>
      <c r="J95">
        <v>19</v>
      </c>
      <c r="K95">
        <v>0</v>
      </c>
      <c r="L95">
        <v>2023</v>
      </c>
      <c r="N95" t="s">
        <v>47</v>
      </c>
      <c r="O95" t="s">
        <v>47</v>
      </c>
      <c r="P95" t="s">
        <v>386</v>
      </c>
      <c r="Q95" s="38" t="s">
        <v>6</v>
      </c>
      <c r="R95" s="41" t="s">
        <v>9112</v>
      </c>
    </row>
    <row r="96" spans="1:18" x14ac:dyDescent="0.3">
      <c r="A96" t="s">
        <v>374</v>
      </c>
      <c r="B96" s="42" t="s">
        <v>160</v>
      </c>
      <c r="C96">
        <v>30</v>
      </c>
      <c r="D96" t="s">
        <v>10</v>
      </c>
      <c r="E96">
        <v>4574061084</v>
      </c>
      <c r="F96" s="43">
        <v>45088.708333333336</v>
      </c>
      <c r="G96" s="43">
        <v>45088.729166666664</v>
      </c>
      <c r="H96">
        <v>17</v>
      </c>
      <c r="I96">
        <v>0</v>
      </c>
      <c r="J96">
        <v>17</v>
      </c>
      <c r="K96">
        <v>30</v>
      </c>
      <c r="L96">
        <v>2023</v>
      </c>
      <c r="N96" t="s">
        <v>47</v>
      </c>
      <c r="O96" t="s">
        <v>47</v>
      </c>
      <c r="P96" t="s">
        <v>384</v>
      </c>
      <c r="Q96" s="42" t="s">
        <v>160</v>
      </c>
      <c r="R96" s="40" t="s">
        <v>9114</v>
      </c>
    </row>
    <row r="97" spans="1:18" x14ac:dyDescent="0.3">
      <c r="A97" t="s">
        <v>374</v>
      </c>
      <c r="B97" s="42" t="s">
        <v>160</v>
      </c>
      <c r="C97">
        <v>45</v>
      </c>
      <c r="D97" t="s">
        <v>10</v>
      </c>
      <c r="E97">
        <v>4574061084</v>
      </c>
      <c r="F97" s="43">
        <v>45088.635416666664</v>
      </c>
      <c r="G97" s="43">
        <v>45088.666666666664</v>
      </c>
      <c r="H97">
        <v>15</v>
      </c>
      <c r="I97">
        <v>15</v>
      </c>
      <c r="J97">
        <v>16</v>
      </c>
      <c r="K97">
        <v>0</v>
      </c>
      <c r="L97">
        <v>2023</v>
      </c>
      <c r="N97" t="s">
        <v>47</v>
      </c>
      <c r="O97" t="s">
        <v>47</v>
      </c>
      <c r="P97" t="s">
        <v>383</v>
      </c>
      <c r="Q97" s="42" t="s">
        <v>160</v>
      </c>
      <c r="R97" s="40" t="s">
        <v>9114</v>
      </c>
    </row>
    <row r="98" spans="1:18" x14ac:dyDescent="0.3">
      <c r="A98" t="s">
        <v>381</v>
      </c>
      <c r="B98" s="42" t="s">
        <v>160</v>
      </c>
      <c r="C98">
        <v>45</v>
      </c>
      <c r="D98" t="s">
        <v>10</v>
      </c>
      <c r="E98">
        <v>4574061084</v>
      </c>
      <c r="F98" s="43">
        <v>45088.583333333336</v>
      </c>
      <c r="G98" s="43">
        <v>45088.614583333336</v>
      </c>
      <c r="H98">
        <v>14</v>
      </c>
      <c r="I98">
        <v>0</v>
      </c>
      <c r="J98">
        <v>14</v>
      </c>
      <c r="K98">
        <v>45</v>
      </c>
      <c r="L98">
        <v>2023</v>
      </c>
      <c r="N98" t="s">
        <v>47</v>
      </c>
      <c r="O98" t="s">
        <v>47</v>
      </c>
      <c r="P98" t="s">
        <v>382</v>
      </c>
      <c r="Q98" s="42" t="s">
        <v>160</v>
      </c>
      <c r="R98" s="40" t="s">
        <v>9114</v>
      </c>
    </row>
    <row r="99" spans="1:18" x14ac:dyDescent="0.3">
      <c r="A99" t="s">
        <v>379</v>
      </c>
      <c r="B99" s="38" t="s">
        <v>6</v>
      </c>
      <c r="C99">
        <v>60</v>
      </c>
      <c r="D99" t="s">
        <v>10</v>
      </c>
      <c r="E99">
        <v>4623545609</v>
      </c>
      <c r="F99" s="43">
        <v>45088.520833333336</v>
      </c>
      <c r="G99" s="43">
        <v>45088.5625</v>
      </c>
      <c r="H99">
        <v>12</v>
      </c>
      <c r="I99">
        <v>30</v>
      </c>
      <c r="J99">
        <v>13</v>
      </c>
      <c r="K99">
        <v>30</v>
      </c>
      <c r="L99">
        <v>2023</v>
      </c>
      <c r="N99" t="s">
        <v>47</v>
      </c>
      <c r="O99" t="s">
        <v>47</v>
      </c>
      <c r="P99" t="s">
        <v>380</v>
      </c>
      <c r="Q99" s="38" t="s">
        <v>6</v>
      </c>
      <c r="R99" s="41" t="s">
        <v>9112</v>
      </c>
    </row>
    <row r="100" spans="1:18" x14ac:dyDescent="0.3">
      <c r="A100" t="s">
        <v>156</v>
      </c>
      <c r="B100" s="42" t="s">
        <v>160</v>
      </c>
      <c r="C100">
        <v>60</v>
      </c>
      <c r="D100" t="s">
        <v>10</v>
      </c>
      <c r="E100">
        <v>4574061084</v>
      </c>
      <c r="F100" s="43">
        <v>45088.416666666664</v>
      </c>
      <c r="G100" s="43">
        <v>45088.458333333336</v>
      </c>
      <c r="H100">
        <v>10</v>
      </c>
      <c r="I100">
        <v>0</v>
      </c>
      <c r="J100">
        <v>11</v>
      </c>
      <c r="K100">
        <v>0</v>
      </c>
      <c r="L100">
        <v>2023</v>
      </c>
      <c r="N100" t="s">
        <v>172</v>
      </c>
      <c r="O100" t="s">
        <v>73</v>
      </c>
      <c r="P100" t="s">
        <v>378</v>
      </c>
      <c r="Q100" s="42" t="s">
        <v>160</v>
      </c>
      <c r="R100" s="40" t="s">
        <v>9114</v>
      </c>
    </row>
    <row r="101" spans="1:18" x14ac:dyDescent="0.3">
      <c r="A101" t="s">
        <v>159</v>
      </c>
      <c r="B101" s="42" t="s">
        <v>160</v>
      </c>
      <c r="C101">
        <v>35</v>
      </c>
      <c r="D101" t="s">
        <v>10</v>
      </c>
      <c r="E101">
        <v>4574061084</v>
      </c>
      <c r="F101" s="43">
        <v>45088.385416666664</v>
      </c>
      <c r="G101" s="43">
        <v>45088.409722222219</v>
      </c>
      <c r="H101">
        <v>9</v>
      </c>
      <c r="I101">
        <v>15</v>
      </c>
      <c r="J101">
        <v>9</v>
      </c>
      <c r="K101">
        <v>50</v>
      </c>
      <c r="L101">
        <v>2023</v>
      </c>
      <c r="N101" t="s">
        <v>47</v>
      </c>
      <c r="O101" t="s">
        <v>47</v>
      </c>
      <c r="P101" t="s">
        <v>376</v>
      </c>
      <c r="Q101" s="42" t="s">
        <v>160</v>
      </c>
      <c r="R101" s="40" t="s">
        <v>9114</v>
      </c>
    </row>
    <row r="102" spans="1:18" x14ac:dyDescent="0.3">
      <c r="A102" t="s">
        <v>374</v>
      </c>
      <c r="B102" s="42" t="s">
        <v>160</v>
      </c>
      <c r="C102">
        <v>45</v>
      </c>
      <c r="D102" t="s">
        <v>10</v>
      </c>
      <c r="E102">
        <v>4574061084</v>
      </c>
      <c r="F102" s="43">
        <v>45088.3125</v>
      </c>
      <c r="G102" s="43">
        <v>45088.34375</v>
      </c>
      <c r="H102">
        <v>7</v>
      </c>
      <c r="I102">
        <v>30</v>
      </c>
      <c r="J102">
        <v>8</v>
      </c>
      <c r="K102">
        <v>15</v>
      </c>
      <c r="L102">
        <v>2023</v>
      </c>
      <c r="N102" t="s">
        <v>47</v>
      </c>
      <c r="O102" t="s">
        <v>47</v>
      </c>
      <c r="P102" t="s">
        <v>375</v>
      </c>
      <c r="Q102" s="42" t="s">
        <v>160</v>
      </c>
      <c r="R102" s="40" t="s">
        <v>9114</v>
      </c>
    </row>
    <row r="103" spans="1:18" x14ac:dyDescent="0.3">
      <c r="A103" t="s">
        <v>372</v>
      </c>
      <c r="B103" s="38" t="s">
        <v>6</v>
      </c>
      <c r="C103">
        <v>45</v>
      </c>
      <c r="D103" t="s">
        <v>10</v>
      </c>
      <c r="E103">
        <v>4623545609</v>
      </c>
      <c r="F103" s="43">
        <v>45088.28125</v>
      </c>
      <c r="G103" s="43">
        <v>45088.3125</v>
      </c>
      <c r="H103">
        <v>6</v>
      </c>
      <c r="I103">
        <v>45</v>
      </c>
      <c r="J103">
        <v>7</v>
      </c>
      <c r="K103">
        <v>30</v>
      </c>
      <c r="L103">
        <v>2023</v>
      </c>
      <c r="N103" t="s">
        <v>47</v>
      </c>
      <c r="O103" t="s">
        <v>47</v>
      </c>
      <c r="P103" t="s">
        <v>373</v>
      </c>
      <c r="Q103" s="38" t="s">
        <v>6</v>
      </c>
      <c r="R103" s="41" t="s">
        <v>9112</v>
      </c>
    </row>
    <row r="104" spans="1:18" x14ac:dyDescent="0.3">
      <c r="A104" t="s">
        <v>370</v>
      </c>
      <c r="B104" s="38" t="s">
        <v>6</v>
      </c>
      <c r="C104">
        <v>45</v>
      </c>
      <c r="D104" t="s">
        <v>10</v>
      </c>
      <c r="E104">
        <v>4618972171</v>
      </c>
      <c r="F104" s="43">
        <v>45087.739583333336</v>
      </c>
      <c r="G104" s="43">
        <v>45087.770833333336</v>
      </c>
      <c r="H104">
        <v>17</v>
      </c>
      <c r="I104">
        <v>45</v>
      </c>
      <c r="J104">
        <v>18</v>
      </c>
      <c r="K104">
        <v>30</v>
      </c>
      <c r="L104">
        <v>2023</v>
      </c>
      <c r="N104" t="s">
        <v>47</v>
      </c>
      <c r="O104" t="s">
        <v>47</v>
      </c>
      <c r="P104" t="s">
        <v>371</v>
      </c>
      <c r="Q104" s="38" t="s">
        <v>6</v>
      </c>
      <c r="R104" s="41" t="s">
        <v>9115</v>
      </c>
    </row>
    <row r="105" spans="1:18" x14ac:dyDescent="0.3">
      <c r="A105" t="s">
        <v>180</v>
      </c>
      <c r="B105" s="38" t="s">
        <v>6</v>
      </c>
      <c r="C105">
        <v>60</v>
      </c>
      <c r="D105" t="s">
        <v>10</v>
      </c>
      <c r="E105">
        <v>4618972171</v>
      </c>
      <c r="F105" s="43">
        <v>45087.4375</v>
      </c>
      <c r="G105" s="43">
        <v>45087.479166666664</v>
      </c>
      <c r="H105">
        <v>10</v>
      </c>
      <c r="I105">
        <v>30</v>
      </c>
      <c r="J105">
        <v>11</v>
      </c>
      <c r="K105">
        <v>30</v>
      </c>
      <c r="L105">
        <v>2023</v>
      </c>
      <c r="N105" t="s">
        <v>47</v>
      </c>
      <c r="O105" t="s">
        <v>47</v>
      </c>
      <c r="P105" t="s">
        <v>369</v>
      </c>
      <c r="Q105" s="38" t="s">
        <v>6</v>
      </c>
      <c r="R105" s="41" t="s">
        <v>9115</v>
      </c>
    </row>
    <row r="106" spans="1:18" x14ac:dyDescent="0.3">
      <c r="A106" t="s">
        <v>180</v>
      </c>
      <c r="B106" s="38" t="s">
        <v>6</v>
      </c>
      <c r="C106">
        <v>60</v>
      </c>
      <c r="D106" t="s">
        <v>10</v>
      </c>
      <c r="E106">
        <v>4618972171</v>
      </c>
      <c r="F106" s="43">
        <v>45087.354166666664</v>
      </c>
      <c r="G106" s="43">
        <v>45087.395833333336</v>
      </c>
      <c r="H106">
        <v>8</v>
      </c>
      <c r="I106">
        <v>30</v>
      </c>
      <c r="J106">
        <v>9</v>
      </c>
      <c r="K106">
        <v>30</v>
      </c>
      <c r="L106">
        <v>2023</v>
      </c>
      <c r="N106" t="s">
        <v>47</v>
      </c>
      <c r="O106" t="s">
        <v>47</v>
      </c>
      <c r="P106" t="s">
        <v>368</v>
      </c>
      <c r="Q106" s="38" t="s">
        <v>6</v>
      </c>
      <c r="R106" s="41" t="s">
        <v>9115</v>
      </c>
    </row>
    <row r="107" spans="1:18" x14ac:dyDescent="0.3">
      <c r="A107" t="s">
        <v>179</v>
      </c>
      <c r="B107" s="42" t="s">
        <v>160</v>
      </c>
      <c r="C107">
        <v>60</v>
      </c>
      <c r="D107" t="s">
        <v>10</v>
      </c>
      <c r="E107">
        <v>4513589961</v>
      </c>
      <c r="F107" s="43">
        <v>45086.75</v>
      </c>
      <c r="G107" s="43">
        <v>45086.791666666664</v>
      </c>
      <c r="H107">
        <v>18</v>
      </c>
      <c r="I107">
        <v>0</v>
      </c>
      <c r="J107">
        <v>19</v>
      </c>
      <c r="K107">
        <v>0</v>
      </c>
      <c r="L107">
        <v>2023</v>
      </c>
      <c r="N107" t="s">
        <v>47</v>
      </c>
      <c r="O107" t="s">
        <v>47</v>
      </c>
      <c r="P107" t="s">
        <v>367</v>
      </c>
      <c r="Q107" s="42" t="s">
        <v>160</v>
      </c>
      <c r="R107" s="40" t="s">
        <v>9113</v>
      </c>
    </row>
    <row r="108" spans="1:18" x14ac:dyDescent="0.3">
      <c r="A108" t="s">
        <v>9</v>
      </c>
      <c r="B108" s="38" t="s">
        <v>6</v>
      </c>
      <c r="C108">
        <v>45</v>
      </c>
      <c r="D108" t="s">
        <v>10</v>
      </c>
      <c r="E108">
        <v>1521440445</v>
      </c>
      <c r="F108" s="43">
        <v>45086.6875</v>
      </c>
      <c r="G108" s="43">
        <v>45086.71875</v>
      </c>
      <c r="H108">
        <v>16</v>
      </c>
      <c r="I108">
        <v>30</v>
      </c>
      <c r="J108">
        <v>17</v>
      </c>
      <c r="K108">
        <v>15</v>
      </c>
      <c r="L108">
        <v>2023</v>
      </c>
      <c r="N108" t="s">
        <v>47</v>
      </c>
      <c r="O108" t="s">
        <v>47</v>
      </c>
      <c r="P108" t="s">
        <v>366</v>
      </c>
      <c r="Q108" s="38" t="s">
        <v>6</v>
      </c>
      <c r="R108" s="40" t="s">
        <v>9117</v>
      </c>
    </row>
    <row r="109" spans="1:18" x14ac:dyDescent="0.3">
      <c r="A109" t="s">
        <v>178</v>
      </c>
      <c r="B109" s="42" t="s">
        <v>160</v>
      </c>
      <c r="C109">
        <v>30</v>
      </c>
      <c r="D109" t="s">
        <v>10</v>
      </c>
      <c r="E109">
        <v>4513589961</v>
      </c>
      <c r="F109" s="43">
        <v>45086.666666666664</v>
      </c>
      <c r="G109" s="43">
        <v>45086.6875</v>
      </c>
      <c r="H109">
        <v>16</v>
      </c>
      <c r="I109">
        <v>0</v>
      </c>
      <c r="J109">
        <v>16</v>
      </c>
      <c r="K109">
        <v>30</v>
      </c>
      <c r="L109">
        <v>2023</v>
      </c>
      <c r="N109" t="s">
        <v>47</v>
      </c>
      <c r="O109" t="s">
        <v>47</v>
      </c>
      <c r="P109" t="s">
        <v>365</v>
      </c>
      <c r="Q109" s="42" t="s">
        <v>160</v>
      </c>
      <c r="R109" s="40" t="s">
        <v>9113</v>
      </c>
    </row>
    <row r="110" spans="1:18" x14ac:dyDescent="0.3">
      <c r="A110" t="s">
        <v>174</v>
      </c>
      <c r="C110">
        <v>30</v>
      </c>
      <c r="D110" t="s">
        <v>10</v>
      </c>
      <c r="F110" s="43">
        <v>45086.645833333336</v>
      </c>
      <c r="G110" s="43">
        <v>45086.666666666664</v>
      </c>
      <c r="H110">
        <v>15</v>
      </c>
      <c r="I110">
        <v>30</v>
      </c>
      <c r="J110">
        <v>16</v>
      </c>
      <c r="K110">
        <v>0</v>
      </c>
      <c r="L110">
        <v>2023</v>
      </c>
      <c r="N110" t="s">
        <v>47</v>
      </c>
      <c r="O110" t="s">
        <v>47</v>
      </c>
      <c r="P110" t="s">
        <v>363</v>
      </c>
    </row>
    <row r="111" spans="1:18" x14ac:dyDescent="0.3">
      <c r="A111" t="s">
        <v>173</v>
      </c>
      <c r="B111" s="42" t="s">
        <v>160</v>
      </c>
      <c r="C111">
        <v>50</v>
      </c>
      <c r="D111" t="s">
        <v>10</v>
      </c>
      <c r="E111">
        <v>4513589961</v>
      </c>
      <c r="F111" s="43">
        <v>45086.583333333336</v>
      </c>
      <c r="G111" s="43">
        <v>45086.618055555555</v>
      </c>
      <c r="H111">
        <v>14</v>
      </c>
      <c r="I111">
        <v>0</v>
      </c>
      <c r="J111">
        <v>14</v>
      </c>
      <c r="K111">
        <v>50</v>
      </c>
      <c r="L111">
        <v>2023</v>
      </c>
      <c r="N111" t="s">
        <v>47</v>
      </c>
      <c r="O111" t="s">
        <v>47</v>
      </c>
      <c r="P111" t="s">
        <v>362</v>
      </c>
      <c r="Q111" s="42" t="s">
        <v>160</v>
      </c>
      <c r="R111" s="40" t="s">
        <v>9113</v>
      </c>
    </row>
    <row r="112" spans="1:18" x14ac:dyDescent="0.3">
      <c r="A112" t="s">
        <v>23</v>
      </c>
      <c r="C112">
        <v>30</v>
      </c>
      <c r="D112" t="s">
        <v>10</v>
      </c>
      <c r="F112" s="1">
        <v>45086.541666666664</v>
      </c>
      <c r="G112" s="1">
        <v>45086.5625</v>
      </c>
      <c r="H112">
        <v>13</v>
      </c>
      <c r="I112">
        <v>0</v>
      </c>
      <c r="J112">
        <v>13</v>
      </c>
      <c r="K112">
        <v>30</v>
      </c>
      <c r="L112">
        <v>2023</v>
      </c>
      <c r="N112" t="s">
        <v>47</v>
      </c>
      <c r="O112" t="s">
        <v>47</v>
      </c>
      <c r="P112" t="s">
        <v>361</v>
      </c>
    </row>
    <row r="113" spans="1:18" x14ac:dyDescent="0.3">
      <c r="A113" t="s">
        <v>156</v>
      </c>
      <c r="B113" s="42" t="s">
        <v>160</v>
      </c>
      <c r="C113">
        <v>60</v>
      </c>
      <c r="D113" t="s">
        <v>10</v>
      </c>
      <c r="E113">
        <v>4574061084</v>
      </c>
      <c r="F113" s="43">
        <v>45086.5</v>
      </c>
      <c r="G113" s="43">
        <v>45086.541666666664</v>
      </c>
      <c r="H113">
        <v>12</v>
      </c>
      <c r="I113">
        <v>0</v>
      </c>
      <c r="J113">
        <v>13</v>
      </c>
      <c r="K113">
        <v>0</v>
      </c>
      <c r="L113">
        <v>2023</v>
      </c>
      <c r="N113" t="s">
        <v>158</v>
      </c>
      <c r="O113" t="s">
        <v>73</v>
      </c>
      <c r="P113" t="s">
        <v>351</v>
      </c>
      <c r="Q113" s="42" t="s">
        <v>160</v>
      </c>
      <c r="R113" s="40" t="s">
        <v>9114</v>
      </c>
    </row>
    <row r="114" spans="1:18" x14ac:dyDescent="0.3">
      <c r="A114" t="s">
        <v>169</v>
      </c>
      <c r="C114">
        <v>15</v>
      </c>
      <c r="D114" t="s">
        <v>10</v>
      </c>
      <c r="F114" s="43">
        <v>45086.46875</v>
      </c>
      <c r="G114" s="43">
        <v>45086.479166666664</v>
      </c>
      <c r="H114">
        <v>11</v>
      </c>
      <c r="I114">
        <v>15</v>
      </c>
      <c r="J114">
        <v>11</v>
      </c>
      <c r="K114">
        <v>30</v>
      </c>
      <c r="L114">
        <v>2023</v>
      </c>
      <c r="N114" t="s">
        <v>47</v>
      </c>
      <c r="O114" t="s">
        <v>47</v>
      </c>
      <c r="P114" t="s">
        <v>359</v>
      </c>
    </row>
    <row r="115" spans="1:18" x14ac:dyDescent="0.3">
      <c r="A115" t="s">
        <v>168</v>
      </c>
      <c r="C115">
        <v>15</v>
      </c>
      <c r="D115" t="s">
        <v>10</v>
      </c>
      <c r="F115" s="43">
        <v>45086.458333333336</v>
      </c>
      <c r="G115" s="43">
        <v>45086.46875</v>
      </c>
      <c r="H115">
        <v>11</v>
      </c>
      <c r="I115">
        <v>0</v>
      </c>
      <c r="J115">
        <v>11</v>
      </c>
      <c r="K115">
        <v>15</v>
      </c>
      <c r="L115">
        <v>2023</v>
      </c>
      <c r="N115" t="s">
        <v>47</v>
      </c>
      <c r="O115" t="s">
        <v>47</v>
      </c>
      <c r="P115" t="s">
        <v>358</v>
      </c>
    </row>
    <row r="116" spans="1:18" x14ac:dyDescent="0.3">
      <c r="A116" t="s">
        <v>167</v>
      </c>
      <c r="C116">
        <v>45</v>
      </c>
      <c r="D116" t="s">
        <v>10</v>
      </c>
      <c r="F116" s="43">
        <v>45086.4375</v>
      </c>
      <c r="G116" s="43">
        <v>45086.46875</v>
      </c>
      <c r="H116">
        <v>10</v>
      </c>
      <c r="I116">
        <v>30</v>
      </c>
      <c r="J116">
        <v>11</v>
      </c>
      <c r="K116">
        <v>15</v>
      </c>
      <c r="L116">
        <v>2023</v>
      </c>
      <c r="N116" t="s">
        <v>47</v>
      </c>
      <c r="O116" t="s">
        <v>47</v>
      </c>
      <c r="P116" t="s">
        <v>357</v>
      </c>
    </row>
    <row r="117" spans="1:18" x14ac:dyDescent="0.3">
      <c r="A117" t="s">
        <v>170</v>
      </c>
      <c r="C117">
        <v>90</v>
      </c>
      <c r="D117" t="s">
        <v>10</v>
      </c>
      <c r="F117" s="43">
        <v>45086.375</v>
      </c>
      <c r="G117" s="43">
        <v>45086.4375</v>
      </c>
      <c r="H117">
        <v>9</v>
      </c>
      <c r="I117">
        <v>0</v>
      </c>
      <c r="J117">
        <v>10</v>
      </c>
      <c r="K117">
        <v>30</v>
      </c>
      <c r="L117">
        <v>2023</v>
      </c>
      <c r="N117" t="s">
        <v>47</v>
      </c>
      <c r="O117" t="s">
        <v>47</v>
      </c>
      <c r="P117" t="s">
        <v>360</v>
      </c>
    </row>
    <row r="118" spans="1:18" x14ac:dyDescent="0.3">
      <c r="A118" t="s">
        <v>166</v>
      </c>
      <c r="C118">
        <v>20</v>
      </c>
      <c r="D118" t="s">
        <v>10</v>
      </c>
      <c r="F118" s="43">
        <v>45086.354166666664</v>
      </c>
      <c r="G118" s="43">
        <v>45086.368055555555</v>
      </c>
      <c r="H118">
        <v>8</v>
      </c>
      <c r="I118">
        <v>30</v>
      </c>
      <c r="J118">
        <v>8</v>
      </c>
      <c r="K118">
        <v>50</v>
      </c>
      <c r="L118">
        <v>2023</v>
      </c>
      <c r="N118" t="s">
        <v>47</v>
      </c>
      <c r="O118" t="s">
        <v>47</v>
      </c>
      <c r="P118" t="s">
        <v>356</v>
      </c>
    </row>
    <row r="119" spans="1:18" x14ac:dyDescent="0.3">
      <c r="A119" t="s">
        <v>165</v>
      </c>
      <c r="C119">
        <v>30</v>
      </c>
      <c r="D119" t="s">
        <v>10</v>
      </c>
      <c r="F119" s="43">
        <v>45086.333333333336</v>
      </c>
      <c r="G119" s="43">
        <v>45086.354166666664</v>
      </c>
      <c r="H119">
        <v>8</v>
      </c>
      <c r="I119">
        <v>0</v>
      </c>
      <c r="J119">
        <v>8</v>
      </c>
      <c r="K119">
        <v>30</v>
      </c>
      <c r="L119">
        <v>2023</v>
      </c>
      <c r="N119" t="s">
        <v>47</v>
      </c>
      <c r="O119" t="s">
        <v>47</v>
      </c>
      <c r="P119" t="s">
        <v>355</v>
      </c>
    </row>
    <row r="120" spans="1:18" x14ac:dyDescent="0.3">
      <c r="A120" t="s">
        <v>164</v>
      </c>
      <c r="C120">
        <v>20</v>
      </c>
      <c r="D120" t="s">
        <v>10</v>
      </c>
      <c r="F120" s="43">
        <v>45086.319444444445</v>
      </c>
      <c r="G120" s="43">
        <v>45086.333333333336</v>
      </c>
      <c r="H120">
        <v>7</v>
      </c>
      <c r="I120">
        <v>40</v>
      </c>
      <c r="J120">
        <v>8</v>
      </c>
      <c r="K120">
        <v>0</v>
      </c>
      <c r="L120">
        <v>2023</v>
      </c>
      <c r="N120" t="s">
        <v>47</v>
      </c>
      <c r="O120" t="s">
        <v>47</v>
      </c>
      <c r="P120" t="s">
        <v>354</v>
      </c>
    </row>
    <row r="121" spans="1:18" x14ac:dyDescent="0.3">
      <c r="A121" t="s">
        <v>162</v>
      </c>
      <c r="C121">
        <v>45</v>
      </c>
      <c r="D121" t="s">
        <v>10</v>
      </c>
      <c r="F121" s="43">
        <v>45086.25</v>
      </c>
      <c r="G121" s="43">
        <v>45086.28125</v>
      </c>
      <c r="H121">
        <v>6</v>
      </c>
      <c r="I121">
        <v>0</v>
      </c>
      <c r="J121">
        <v>6</v>
      </c>
      <c r="K121">
        <v>45</v>
      </c>
      <c r="L121">
        <v>2023</v>
      </c>
      <c r="N121" t="s">
        <v>47</v>
      </c>
      <c r="O121" t="s">
        <v>47</v>
      </c>
      <c r="P121" t="s">
        <v>353</v>
      </c>
    </row>
    <row r="122" spans="1:18" x14ac:dyDescent="0.3">
      <c r="A122" t="s">
        <v>159</v>
      </c>
      <c r="B122" s="42" t="s">
        <v>160</v>
      </c>
      <c r="C122">
        <v>60</v>
      </c>
      <c r="D122" t="s">
        <v>10</v>
      </c>
      <c r="E122">
        <v>4574061084</v>
      </c>
      <c r="F122" s="43">
        <v>45086.1875</v>
      </c>
      <c r="G122" s="43">
        <v>45086.229166666664</v>
      </c>
      <c r="H122">
        <v>4</v>
      </c>
      <c r="I122">
        <v>30</v>
      </c>
      <c r="J122">
        <v>5</v>
      </c>
      <c r="K122">
        <v>30</v>
      </c>
      <c r="L122">
        <v>2023</v>
      </c>
      <c r="N122" t="s">
        <v>47</v>
      </c>
      <c r="O122" t="s">
        <v>47</v>
      </c>
      <c r="P122" t="s">
        <v>352</v>
      </c>
      <c r="Q122" s="42" t="s">
        <v>160</v>
      </c>
      <c r="R122" s="40" t="s">
        <v>9114</v>
      </c>
    </row>
    <row r="123" spans="1:18" x14ac:dyDescent="0.3">
      <c r="A123" t="s">
        <v>154</v>
      </c>
      <c r="C123">
        <v>20</v>
      </c>
      <c r="D123" t="s">
        <v>10</v>
      </c>
      <c r="F123" s="43">
        <v>45085.798611111109</v>
      </c>
      <c r="G123" s="43">
        <v>45085.8125</v>
      </c>
      <c r="H123">
        <v>19</v>
      </c>
      <c r="I123">
        <v>10</v>
      </c>
      <c r="J123">
        <v>19</v>
      </c>
      <c r="K123">
        <v>30</v>
      </c>
      <c r="L123">
        <v>2023</v>
      </c>
      <c r="N123" t="s">
        <v>47</v>
      </c>
      <c r="O123" t="s">
        <v>47</v>
      </c>
      <c r="P123" t="s">
        <v>349</v>
      </c>
    </row>
    <row r="124" spans="1:18" x14ac:dyDescent="0.3">
      <c r="A124" t="s">
        <v>153</v>
      </c>
      <c r="C124">
        <v>30</v>
      </c>
      <c r="D124" t="s">
        <v>10</v>
      </c>
      <c r="F124" s="43">
        <v>45085.75</v>
      </c>
      <c r="G124" s="43">
        <v>45085.770833333336</v>
      </c>
      <c r="H124">
        <v>18</v>
      </c>
      <c r="I124">
        <v>0</v>
      </c>
      <c r="J124">
        <v>18</v>
      </c>
      <c r="K124">
        <v>30</v>
      </c>
      <c r="L124">
        <v>2023</v>
      </c>
      <c r="N124" t="s">
        <v>47</v>
      </c>
      <c r="O124" t="s">
        <v>47</v>
      </c>
      <c r="P124" t="s">
        <v>348</v>
      </c>
    </row>
    <row r="125" spans="1:18" x14ac:dyDescent="0.3">
      <c r="A125" t="s">
        <v>8</v>
      </c>
      <c r="C125">
        <v>55</v>
      </c>
      <c r="D125" t="s">
        <v>10</v>
      </c>
      <c r="F125" s="43">
        <v>45085.697916666664</v>
      </c>
      <c r="G125" s="43">
        <v>45085.736111111109</v>
      </c>
      <c r="H125">
        <v>16</v>
      </c>
      <c r="I125">
        <v>45</v>
      </c>
      <c r="J125">
        <v>17</v>
      </c>
      <c r="K125">
        <v>40</v>
      </c>
      <c r="L125">
        <v>2023</v>
      </c>
      <c r="N125" t="s">
        <v>47</v>
      </c>
      <c r="O125" t="s">
        <v>47</v>
      </c>
      <c r="P125" t="s">
        <v>347</v>
      </c>
    </row>
    <row r="126" spans="1:18" x14ac:dyDescent="0.3">
      <c r="A126" t="s">
        <v>7</v>
      </c>
      <c r="B126" s="38" t="s">
        <v>6</v>
      </c>
      <c r="C126">
        <v>30</v>
      </c>
      <c r="D126" t="s">
        <v>10</v>
      </c>
      <c r="E126">
        <v>1521440445</v>
      </c>
      <c r="F126" s="43">
        <v>45085.645833333336</v>
      </c>
      <c r="G126" s="43">
        <v>45085.666666666664</v>
      </c>
      <c r="H126">
        <v>15</v>
      </c>
      <c r="I126">
        <v>30</v>
      </c>
      <c r="J126">
        <v>16</v>
      </c>
      <c r="K126">
        <v>0</v>
      </c>
      <c r="L126">
        <v>2023</v>
      </c>
      <c r="N126" t="s">
        <v>47</v>
      </c>
      <c r="O126" t="s">
        <v>47</v>
      </c>
      <c r="P126" t="s">
        <v>346</v>
      </c>
      <c r="Q126" s="38" t="s">
        <v>6</v>
      </c>
      <c r="R126" s="40" t="s">
        <v>9117</v>
      </c>
    </row>
    <row r="127" spans="1:18" x14ac:dyDescent="0.3">
      <c r="A127" t="s">
        <v>99</v>
      </c>
      <c r="C127">
        <v>30</v>
      </c>
      <c r="D127" t="s">
        <v>10</v>
      </c>
      <c r="F127" s="43">
        <v>45085.583333333336</v>
      </c>
      <c r="G127" s="43">
        <v>45085.604166666664</v>
      </c>
      <c r="H127">
        <v>14</v>
      </c>
      <c r="I127">
        <v>0</v>
      </c>
      <c r="J127">
        <v>14</v>
      </c>
      <c r="K127">
        <v>30</v>
      </c>
      <c r="L127">
        <v>2023</v>
      </c>
      <c r="N127" t="s">
        <v>47</v>
      </c>
      <c r="O127" t="s">
        <v>47</v>
      </c>
      <c r="P127" t="s">
        <v>345</v>
      </c>
    </row>
    <row r="128" spans="1:18" x14ac:dyDescent="0.3">
      <c r="A128" t="s">
        <v>152</v>
      </c>
      <c r="C128">
        <v>30</v>
      </c>
      <c r="D128" t="s">
        <v>10</v>
      </c>
      <c r="F128" s="43">
        <v>45085.541666666664</v>
      </c>
      <c r="G128" s="43">
        <v>45085.5625</v>
      </c>
      <c r="H128">
        <v>13</v>
      </c>
      <c r="I128">
        <v>0</v>
      </c>
      <c r="J128">
        <v>13</v>
      </c>
      <c r="K128">
        <v>30</v>
      </c>
      <c r="L128">
        <v>2023</v>
      </c>
      <c r="N128" t="s">
        <v>47</v>
      </c>
      <c r="O128" t="s">
        <v>47</v>
      </c>
      <c r="P128" t="s">
        <v>342</v>
      </c>
    </row>
    <row r="129" spans="1:18" x14ac:dyDescent="0.3">
      <c r="A129" t="s">
        <v>36</v>
      </c>
      <c r="C129">
        <v>30</v>
      </c>
      <c r="D129" t="s">
        <v>10</v>
      </c>
      <c r="F129" s="43">
        <v>45085.520833333336</v>
      </c>
      <c r="G129" s="43">
        <v>45085.541666666664</v>
      </c>
      <c r="H129">
        <v>12</v>
      </c>
      <c r="I129">
        <v>30</v>
      </c>
      <c r="J129">
        <v>13</v>
      </c>
      <c r="K129">
        <v>0</v>
      </c>
      <c r="L129">
        <v>2023</v>
      </c>
      <c r="N129" t="s">
        <v>47</v>
      </c>
      <c r="O129" t="s">
        <v>47</v>
      </c>
      <c r="P129" t="s">
        <v>343</v>
      </c>
    </row>
    <row r="130" spans="1:18" x14ac:dyDescent="0.3">
      <c r="A130" t="s">
        <v>8</v>
      </c>
      <c r="C130">
        <v>30</v>
      </c>
      <c r="D130" t="s">
        <v>10</v>
      </c>
      <c r="F130" s="43">
        <v>45085.479166666664</v>
      </c>
      <c r="G130" s="43">
        <v>45085.5</v>
      </c>
      <c r="H130">
        <v>11</v>
      </c>
      <c r="I130">
        <v>30</v>
      </c>
      <c r="J130">
        <v>12</v>
      </c>
      <c r="K130">
        <v>0</v>
      </c>
      <c r="L130">
        <v>2023</v>
      </c>
      <c r="N130" t="s">
        <v>47</v>
      </c>
      <c r="O130" t="s">
        <v>47</v>
      </c>
      <c r="P130" t="s">
        <v>344</v>
      </c>
    </row>
    <row r="131" spans="1:18" x14ac:dyDescent="0.3">
      <c r="A131" t="s">
        <v>145</v>
      </c>
      <c r="B131" s="38" t="s">
        <v>6</v>
      </c>
      <c r="C131">
        <v>30</v>
      </c>
      <c r="D131" t="s">
        <v>10</v>
      </c>
      <c r="E131">
        <v>4661118548</v>
      </c>
      <c r="F131" s="43">
        <v>45085.4375</v>
      </c>
      <c r="G131" s="43">
        <v>45085.458333333336</v>
      </c>
      <c r="H131">
        <v>10</v>
      </c>
      <c r="I131">
        <v>30</v>
      </c>
      <c r="J131">
        <v>11</v>
      </c>
      <c r="K131">
        <v>0</v>
      </c>
      <c r="L131">
        <v>2023</v>
      </c>
      <c r="N131" t="s">
        <v>147</v>
      </c>
      <c r="O131" t="s">
        <v>148</v>
      </c>
      <c r="P131" t="s">
        <v>337</v>
      </c>
      <c r="Q131" s="38" t="s">
        <v>6</v>
      </c>
      <c r="R131">
        <v>4661118548</v>
      </c>
    </row>
    <row r="132" spans="1:18" x14ac:dyDescent="0.3">
      <c r="A132" t="s">
        <v>150</v>
      </c>
      <c r="C132">
        <v>40</v>
      </c>
      <c r="D132" t="s">
        <v>10</v>
      </c>
      <c r="F132" s="43">
        <v>45085.388888888891</v>
      </c>
      <c r="G132" s="43">
        <v>45085.416666666664</v>
      </c>
      <c r="H132">
        <v>9</v>
      </c>
      <c r="I132">
        <v>20</v>
      </c>
      <c r="J132">
        <v>10</v>
      </c>
      <c r="K132">
        <v>0</v>
      </c>
      <c r="L132">
        <v>2023</v>
      </c>
      <c r="N132" t="s">
        <v>47</v>
      </c>
      <c r="O132" t="s">
        <v>47</v>
      </c>
      <c r="P132" t="s">
        <v>340</v>
      </c>
    </row>
    <row r="133" spans="1:18" x14ac:dyDescent="0.3">
      <c r="A133" t="s">
        <v>76</v>
      </c>
      <c r="C133">
        <v>90</v>
      </c>
      <c r="D133" t="s">
        <v>10</v>
      </c>
      <c r="F133" s="43">
        <v>45085.3125</v>
      </c>
      <c r="G133" s="43">
        <v>45085.375</v>
      </c>
      <c r="H133">
        <v>7</v>
      </c>
      <c r="I133">
        <v>30</v>
      </c>
      <c r="J133">
        <v>9</v>
      </c>
      <c r="K133">
        <v>0</v>
      </c>
      <c r="L133">
        <v>2023</v>
      </c>
      <c r="N133" t="s">
        <v>57</v>
      </c>
      <c r="O133" t="s">
        <v>51</v>
      </c>
      <c r="P133" t="s">
        <v>185</v>
      </c>
    </row>
    <row r="134" spans="1:18" x14ac:dyDescent="0.3">
      <c r="A134" t="s">
        <v>149</v>
      </c>
      <c r="C134">
        <v>60</v>
      </c>
      <c r="D134" t="s">
        <v>10</v>
      </c>
      <c r="F134" s="43">
        <v>45085.263888888891</v>
      </c>
      <c r="G134" s="43">
        <v>45085.305555555555</v>
      </c>
      <c r="H134">
        <v>6</v>
      </c>
      <c r="I134">
        <v>20</v>
      </c>
      <c r="J134">
        <v>7</v>
      </c>
      <c r="K134">
        <v>20</v>
      </c>
      <c r="L134">
        <v>2023</v>
      </c>
      <c r="N134" t="s">
        <v>47</v>
      </c>
      <c r="O134" t="s">
        <v>47</v>
      </c>
      <c r="P134" t="s">
        <v>339</v>
      </c>
    </row>
    <row r="135" spans="1:18" x14ac:dyDescent="0.3">
      <c r="A135" t="s">
        <v>151</v>
      </c>
      <c r="B135" s="38" t="s">
        <v>6</v>
      </c>
      <c r="C135">
        <v>90</v>
      </c>
      <c r="D135" t="s">
        <v>10</v>
      </c>
      <c r="E135">
        <v>4661118548</v>
      </c>
      <c r="F135" s="43">
        <v>45085.208333333336</v>
      </c>
      <c r="G135" s="43">
        <v>45085.270833333336</v>
      </c>
      <c r="H135">
        <v>5</v>
      </c>
      <c r="I135">
        <v>0</v>
      </c>
      <c r="J135">
        <v>6</v>
      </c>
      <c r="K135">
        <v>30</v>
      </c>
      <c r="L135">
        <v>2023</v>
      </c>
      <c r="O135" t="s">
        <v>47</v>
      </c>
      <c r="P135" t="s">
        <v>341</v>
      </c>
      <c r="Q135" s="38" t="s">
        <v>6</v>
      </c>
      <c r="R135">
        <v>4661118548</v>
      </c>
    </row>
    <row r="136" spans="1:18" x14ac:dyDescent="0.3">
      <c r="A136" t="s">
        <v>8</v>
      </c>
      <c r="C136">
        <v>30</v>
      </c>
      <c r="D136" t="s">
        <v>10</v>
      </c>
      <c r="E136" s="44"/>
      <c r="F136" s="43">
        <v>45084.770833333336</v>
      </c>
      <c r="G136" s="43">
        <v>45084.791666666664</v>
      </c>
      <c r="H136">
        <v>18</v>
      </c>
      <c r="I136">
        <v>30</v>
      </c>
      <c r="J136">
        <v>19</v>
      </c>
      <c r="K136">
        <v>0</v>
      </c>
      <c r="L136">
        <v>2023</v>
      </c>
      <c r="N136" t="s">
        <v>47</v>
      </c>
      <c r="O136" t="s">
        <v>47</v>
      </c>
      <c r="P136" t="s">
        <v>338</v>
      </c>
    </row>
    <row r="137" spans="1:18" x14ac:dyDescent="0.3">
      <c r="A137" t="s">
        <v>23</v>
      </c>
      <c r="C137">
        <v>45</v>
      </c>
      <c r="D137" t="s">
        <v>10</v>
      </c>
      <c r="F137" s="43">
        <v>45084.729166666664</v>
      </c>
      <c r="G137" s="43">
        <v>45084.760416666664</v>
      </c>
      <c r="H137">
        <v>17</v>
      </c>
      <c r="I137">
        <v>30</v>
      </c>
      <c r="J137">
        <v>18</v>
      </c>
      <c r="K137">
        <v>15</v>
      </c>
      <c r="L137">
        <v>2023</v>
      </c>
      <c r="N137" t="s">
        <v>47</v>
      </c>
      <c r="O137" t="s">
        <v>47</v>
      </c>
      <c r="P137" t="s">
        <v>336</v>
      </c>
    </row>
    <row r="138" spans="1:18" x14ac:dyDescent="0.3">
      <c r="A138" t="s">
        <v>144</v>
      </c>
      <c r="B138" s="48" t="s">
        <v>109</v>
      </c>
      <c r="C138">
        <v>45</v>
      </c>
      <c r="D138" t="s">
        <v>10</v>
      </c>
      <c r="E138">
        <v>4614952418</v>
      </c>
      <c r="F138" s="43">
        <v>45084.677083333336</v>
      </c>
      <c r="G138" s="43">
        <v>45084.708333333336</v>
      </c>
      <c r="H138">
        <v>16</v>
      </c>
      <c r="I138">
        <v>15</v>
      </c>
      <c r="J138">
        <v>17</v>
      </c>
      <c r="K138">
        <v>0</v>
      </c>
      <c r="L138">
        <v>2023</v>
      </c>
      <c r="N138" t="s">
        <v>47</v>
      </c>
      <c r="O138" t="s">
        <v>47</v>
      </c>
      <c r="P138" t="s">
        <v>335</v>
      </c>
      <c r="Q138" s="48" t="s">
        <v>109</v>
      </c>
      <c r="R138" s="40" t="s">
        <v>9116</v>
      </c>
    </row>
    <row r="139" spans="1:18" x14ac:dyDescent="0.3">
      <c r="A139" t="s">
        <v>144</v>
      </c>
      <c r="B139" s="48" t="s">
        <v>109</v>
      </c>
      <c r="C139">
        <v>45</v>
      </c>
      <c r="D139" t="s">
        <v>10</v>
      </c>
      <c r="E139">
        <v>4614952418</v>
      </c>
      <c r="F139" s="43">
        <v>45084.635416666664</v>
      </c>
      <c r="G139" s="43">
        <v>45084.666666666664</v>
      </c>
      <c r="H139">
        <v>15</v>
      </c>
      <c r="I139">
        <v>15</v>
      </c>
      <c r="J139">
        <v>16</v>
      </c>
      <c r="K139">
        <v>0</v>
      </c>
      <c r="L139">
        <v>2023</v>
      </c>
      <c r="N139" t="s">
        <v>47</v>
      </c>
      <c r="O139" t="s">
        <v>47</v>
      </c>
      <c r="P139" t="s">
        <v>334</v>
      </c>
      <c r="Q139" s="48" t="s">
        <v>109</v>
      </c>
      <c r="R139" s="40" t="s">
        <v>9116</v>
      </c>
    </row>
    <row r="140" spans="1:18" x14ac:dyDescent="0.3">
      <c r="A140" t="s">
        <v>144</v>
      </c>
      <c r="B140" s="48" t="s">
        <v>109</v>
      </c>
      <c r="C140">
        <v>15</v>
      </c>
      <c r="D140" t="s">
        <v>10</v>
      </c>
      <c r="E140">
        <v>4614952418</v>
      </c>
      <c r="F140" s="43">
        <v>45084.583333333336</v>
      </c>
      <c r="G140" s="43">
        <v>45084.59375</v>
      </c>
      <c r="H140">
        <v>14</v>
      </c>
      <c r="I140">
        <v>0</v>
      </c>
      <c r="J140">
        <v>14</v>
      </c>
      <c r="K140">
        <v>15</v>
      </c>
      <c r="L140">
        <v>2023</v>
      </c>
      <c r="N140" t="s">
        <v>47</v>
      </c>
      <c r="O140" t="s">
        <v>47</v>
      </c>
      <c r="P140" t="s">
        <v>333</v>
      </c>
      <c r="Q140" s="48" t="s">
        <v>109</v>
      </c>
      <c r="R140" s="40" t="s">
        <v>9116</v>
      </c>
    </row>
    <row r="141" spans="1:18" x14ac:dyDescent="0.3">
      <c r="A141" t="s">
        <v>139</v>
      </c>
      <c r="B141" s="48" t="s">
        <v>109</v>
      </c>
      <c r="C141">
        <v>30</v>
      </c>
      <c r="D141" t="s">
        <v>10</v>
      </c>
      <c r="E141">
        <v>4614952418</v>
      </c>
      <c r="F141" s="43">
        <v>45084.541666666664</v>
      </c>
      <c r="G141" s="43">
        <v>45084.5625</v>
      </c>
      <c r="H141">
        <v>13</v>
      </c>
      <c r="I141">
        <v>0</v>
      </c>
      <c r="J141">
        <v>13</v>
      </c>
      <c r="K141">
        <v>30</v>
      </c>
      <c r="L141">
        <v>2023</v>
      </c>
      <c r="N141" t="s">
        <v>47</v>
      </c>
      <c r="O141" t="s">
        <v>47</v>
      </c>
      <c r="P141" t="s">
        <v>332</v>
      </c>
      <c r="Q141" s="48" t="s">
        <v>109</v>
      </c>
      <c r="R141" s="40" t="s">
        <v>9116</v>
      </c>
    </row>
    <row r="142" spans="1:18" x14ac:dyDescent="0.3">
      <c r="A142" t="s">
        <v>143</v>
      </c>
      <c r="B142" s="48" t="s">
        <v>109</v>
      </c>
      <c r="C142">
        <v>45</v>
      </c>
      <c r="D142" t="s">
        <v>10</v>
      </c>
      <c r="E142">
        <v>4614952418</v>
      </c>
      <c r="F142" s="43">
        <v>45084.5</v>
      </c>
      <c r="G142" s="43">
        <v>45084.53125</v>
      </c>
      <c r="H142">
        <v>12</v>
      </c>
      <c r="I142">
        <v>0</v>
      </c>
      <c r="J142">
        <v>12</v>
      </c>
      <c r="K142">
        <v>45</v>
      </c>
      <c r="L142">
        <v>2023</v>
      </c>
      <c r="N142" t="s">
        <v>47</v>
      </c>
      <c r="O142" t="s">
        <v>47</v>
      </c>
      <c r="P142" t="s">
        <v>331</v>
      </c>
      <c r="Q142" s="48" t="s">
        <v>109</v>
      </c>
      <c r="R142" s="40" t="s">
        <v>9116</v>
      </c>
    </row>
    <row r="143" spans="1:18" x14ac:dyDescent="0.3">
      <c r="A143" t="s">
        <v>133</v>
      </c>
      <c r="B143" s="42" t="s">
        <v>160</v>
      </c>
      <c r="C143">
        <v>30</v>
      </c>
      <c r="D143" t="s">
        <v>10</v>
      </c>
      <c r="E143">
        <v>4574061084</v>
      </c>
      <c r="F143" s="43">
        <v>45084.395833333336</v>
      </c>
      <c r="G143" s="43">
        <v>45084.416666666664</v>
      </c>
      <c r="H143">
        <v>9</v>
      </c>
      <c r="I143">
        <v>30</v>
      </c>
      <c r="J143">
        <v>10</v>
      </c>
      <c r="K143">
        <v>0</v>
      </c>
      <c r="L143">
        <v>2023</v>
      </c>
      <c r="N143" t="s">
        <v>135</v>
      </c>
      <c r="O143" t="s">
        <v>73</v>
      </c>
      <c r="P143" t="s">
        <v>324</v>
      </c>
      <c r="Q143" s="42" t="s">
        <v>160</v>
      </c>
      <c r="R143" s="40" t="s">
        <v>9114</v>
      </c>
    </row>
    <row r="144" spans="1:18" x14ac:dyDescent="0.3">
      <c r="A144" t="s">
        <v>136</v>
      </c>
      <c r="C144">
        <v>30</v>
      </c>
      <c r="D144" t="s">
        <v>10</v>
      </c>
      <c r="E144" t="s">
        <v>412</v>
      </c>
      <c r="F144" s="1">
        <v>45084.375</v>
      </c>
      <c r="G144" s="1">
        <v>45084.395833333336</v>
      </c>
      <c r="H144">
        <v>9</v>
      </c>
      <c r="I144">
        <v>0</v>
      </c>
      <c r="J144">
        <v>9</v>
      </c>
      <c r="K144">
        <v>30</v>
      </c>
      <c r="L144">
        <v>2023</v>
      </c>
      <c r="N144" t="s">
        <v>55</v>
      </c>
      <c r="O144" t="s">
        <v>50</v>
      </c>
      <c r="P144" t="s">
        <v>325</v>
      </c>
    </row>
    <row r="145" spans="1:18" x14ac:dyDescent="0.3">
      <c r="A145" t="s">
        <v>142</v>
      </c>
      <c r="C145">
        <v>60</v>
      </c>
      <c r="D145" t="s">
        <v>10</v>
      </c>
      <c r="F145" s="43">
        <v>45084.333333333336</v>
      </c>
      <c r="G145" s="43">
        <v>45084.375</v>
      </c>
      <c r="H145">
        <v>8</v>
      </c>
      <c r="I145">
        <v>0</v>
      </c>
      <c r="J145">
        <v>9</v>
      </c>
      <c r="K145">
        <v>0</v>
      </c>
      <c r="L145">
        <v>2023</v>
      </c>
      <c r="N145" t="s">
        <v>47</v>
      </c>
      <c r="O145" t="s">
        <v>47</v>
      </c>
      <c r="P145" t="s">
        <v>330</v>
      </c>
    </row>
    <row r="146" spans="1:18" x14ac:dyDescent="0.3">
      <c r="A146" t="s">
        <v>124</v>
      </c>
      <c r="C146">
        <v>30</v>
      </c>
      <c r="D146" t="s">
        <v>10</v>
      </c>
      <c r="E146" t="s">
        <v>412</v>
      </c>
      <c r="F146" s="43">
        <v>45084.3125</v>
      </c>
      <c r="G146" s="43">
        <v>45084.333333333336</v>
      </c>
      <c r="H146">
        <v>7</v>
      </c>
      <c r="I146">
        <v>30</v>
      </c>
      <c r="J146">
        <v>8</v>
      </c>
      <c r="K146">
        <v>0</v>
      </c>
      <c r="L146">
        <v>2023</v>
      </c>
      <c r="N146" t="s">
        <v>125</v>
      </c>
      <c r="O146" t="s">
        <v>50</v>
      </c>
      <c r="P146" t="s">
        <v>316</v>
      </c>
    </row>
    <row r="147" spans="1:18" x14ac:dyDescent="0.3">
      <c r="A147" t="s">
        <v>139</v>
      </c>
      <c r="B147" s="48" t="s">
        <v>109</v>
      </c>
      <c r="C147">
        <v>75</v>
      </c>
      <c r="D147" t="s">
        <v>10</v>
      </c>
      <c r="E147">
        <v>4614952418</v>
      </c>
      <c r="F147" s="43">
        <v>45084.229166666664</v>
      </c>
      <c r="G147" s="43">
        <v>45084.28125</v>
      </c>
      <c r="H147">
        <v>5</v>
      </c>
      <c r="I147">
        <v>30</v>
      </c>
      <c r="J147">
        <v>6</v>
      </c>
      <c r="K147">
        <v>45</v>
      </c>
      <c r="L147">
        <v>2023</v>
      </c>
      <c r="N147" t="s">
        <v>47</v>
      </c>
      <c r="O147" t="s">
        <v>47</v>
      </c>
      <c r="P147" t="s">
        <v>328</v>
      </c>
      <c r="Q147" s="48" t="s">
        <v>109</v>
      </c>
      <c r="R147" s="40" t="s">
        <v>9116</v>
      </c>
    </row>
    <row r="148" spans="1:18" x14ac:dyDescent="0.3">
      <c r="A148" t="s">
        <v>138</v>
      </c>
      <c r="B148" s="48" t="s">
        <v>109</v>
      </c>
      <c r="C148">
        <v>60</v>
      </c>
      <c r="D148" t="s">
        <v>10</v>
      </c>
      <c r="E148">
        <v>4614952418</v>
      </c>
      <c r="F148" s="43">
        <v>45083.770833333336</v>
      </c>
      <c r="G148" s="43">
        <v>45083.8125</v>
      </c>
      <c r="H148">
        <v>18</v>
      </c>
      <c r="I148">
        <v>30</v>
      </c>
      <c r="J148">
        <v>19</v>
      </c>
      <c r="K148">
        <v>30</v>
      </c>
      <c r="L148">
        <v>2023</v>
      </c>
      <c r="N148" t="s">
        <v>47</v>
      </c>
      <c r="O148" t="s">
        <v>47</v>
      </c>
      <c r="P148" t="s">
        <v>327</v>
      </c>
      <c r="Q148" s="48" t="s">
        <v>109</v>
      </c>
      <c r="R148" s="40" t="s">
        <v>9116</v>
      </c>
    </row>
    <row r="149" spans="1:18" x14ac:dyDescent="0.3">
      <c r="A149" t="s">
        <v>137</v>
      </c>
      <c r="C149">
        <v>60</v>
      </c>
      <c r="D149" t="s">
        <v>10</v>
      </c>
      <c r="F149" s="43">
        <v>45083.708333333336</v>
      </c>
      <c r="G149" s="43">
        <v>45083.75</v>
      </c>
      <c r="H149">
        <v>17</v>
      </c>
      <c r="I149">
        <v>0</v>
      </c>
      <c r="J149">
        <v>18</v>
      </c>
      <c r="K149">
        <v>0</v>
      </c>
      <c r="L149">
        <v>2023</v>
      </c>
      <c r="N149" t="s">
        <v>47</v>
      </c>
      <c r="O149" t="s">
        <v>47</v>
      </c>
      <c r="P149" t="s">
        <v>326</v>
      </c>
    </row>
    <row r="150" spans="1:18" x14ac:dyDescent="0.3">
      <c r="A150" t="s">
        <v>131</v>
      </c>
      <c r="C150">
        <v>20</v>
      </c>
      <c r="D150" t="s">
        <v>10</v>
      </c>
      <c r="E150" t="s">
        <v>412</v>
      </c>
      <c r="F150" s="43">
        <v>45083.6875</v>
      </c>
      <c r="G150" s="43">
        <v>45083.701388888891</v>
      </c>
      <c r="H150">
        <v>16</v>
      </c>
      <c r="I150">
        <v>30</v>
      </c>
      <c r="J150">
        <v>16</v>
      </c>
      <c r="K150">
        <v>50</v>
      </c>
      <c r="L150">
        <v>2023</v>
      </c>
      <c r="N150" t="s">
        <v>47</v>
      </c>
      <c r="O150" t="s">
        <v>47</v>
      </c>
      <c r="P150" t="s">
        <v>323</v>
      </c>
    </row>
    <row r="151" spans="1:18" x14ac:dyDescent="0.3">
      <c r="A151" t="s">
        <v>130</v>
      </c>
      <c r="C151">
        <v>30</v>
      </c>
      <c r="D151" t="s">
        <v>10</v>
      </c>
      <c r="F151" s="43">
        <v>45083.65625</v>
      </c>
      <c r="G151" s="43">
        <v>45083.677083333336</v>
      </c>
      <c r="H151">
        <v>15</v>
      </c>
      <c r="I151">
        <v>45</v>
      </c>
      <c r="J151">
        <v>16</v>
      </c>
      <c r="K151">
        <v>15</v>
      </c>
      <c r="L151">
        <v>2023</v>
      </c>
      <c r="N151" t="s">
        <v>47</v>
      </c>
      <c r="O151" t="s">
        <v>47</v>
      </c>
      <c r="P151" t="s">
        <v>322</v>
      </c>
    </row>
    <row r="152" spans="1:18" x14ac:dyDescent="0.3">
      <c r="A152" t="s">
        <v>24</v>
      </c>
      <c r="B152" t="s">
        <v>221</v>
      </c>
      <c r="C152">
        <v>45</v>
      </c>
      <c r="D152" t="s">
        <v>10</v>
      </c>
      <c r="E152" t="s">
        <v>410</v>
      </c>
      <c r="F152" s="43">
        <v>45083.625</v>
      </c>
      <c r="G152" s="43">
        <v>45083.65625</v>
      </c>
      <c r="H152">
        <v>15</v>
      </c>
      <c r="I152">
        <v>0</v>
      </c>
      <c r="J152">
        <v>15</v>
      </c>
      <c r="K152">
        <v>45</v>
      </c>
      <c r="L152">
        <v>2023</v>
      </c>
      <c r="N152" t="s">
        <v>47</v>
      </c>
      <c r="O152" t="s">
        <v>47</v>
      </c>
      <c r="P152" t="s">
        <v>182</v>
      </c>
    </row>
    <row r="153" spans="1:18" x14ac:dyDescent="0.3">
      <c r="A153" t="s">
        <v>129</v>
      </c>
      <c r="C153">
        <v>30</v>
      </c>
      <c r="D153" t="s">
        <v>10</v>
      </c>
      <c r="E153" t="s">
        <v>412</v>
      </c>
      <c r="F153" s="43">
        <v>45083.5625</v>
      </c>
      <c r="G153" s="43">
        <v>45083.583333333336</v>
      </c>
      <c r="H153">
        <v>13</v>
      </c>
      <c r="I153">
        <v>30</v>
      </c>
      <c r="J153">
        <v>14</v>
      </c>
      <c r="K153">
        <v>0</v>
      </c>
      <c r="L153">
        <v>2023</v>
      </c>
      <c r="N153" t="s">
        <v>47</v>
      </c>
      <c r="O153" t="s">
        <v>47</v>
      </c>
      <c r="P153" t="s">
        <v>320</v>
      </c>
    </row>
    <row r="154" spans="1:18" x14ac:dyDescent="0.3">
      <c r="A154" t="s">
        <v>127</v>
      </c>
      <c r="C154">
        <v>30</v>
      </c>
      <c r="D154" t="s">
        <v>10</v>
      </c>
      <c r="E154" t="s">
        <v>412</v>
      </c>
      <c r="F154" s="43">
        <v>45083.541666666664</v>
      </c>
      <c r="G154" s="43">
        <v>45083.5625</v>
      </c>
      <c r="H154">
        <v>13</v>
      </c>
      <c r="I154">
        <v>0</v>
      </c>
      <c r="J154">
        <v>13</v>
      </c>
      <c r="K154">
        <v>30</v>
      </c>
      <c r="L154">
        <v>2023</v>
      </c>
      <c r="N154" t="s">
        <v>47</v>
      </c>
      <c r="O154" t="s">
        <v>47</v>
      </c>
      <c r="P154" t="s">
        <v>319</v>
      </c>
    </row>
    <row r="155" spans="1:18" x14ac:dyDescent="0.3">
      <c r="A155" t="s">
        <v>7</v>
      </c>
      <c r="B155" s="38" t="s">
        <v>6</v>
      </c>
      <c r="C155">
        <v>30</v>
      </c>
      <c r="D155" t="s">
        <v>10</v>
      </c>
      <c r="E155">
        <v>1521440445</v>
      </c>
      <c r="F155" s="43">
        <v>45083.5</v>
      </c>
      <c r="G155" s="43">
        <v>45083.520833333336</v>
      </c>
      <c r="H155">
        <v>12</v>
      </c>
      <c r="I155">
        <v>0</v>
      </c>
      <c r="J155">
        <v>12</v>
      </c>
      <c r="K155">
        <v>30</v>
      </c>
      <c r="L155">
        <v>2023</v>
      </c>
      <c r="N155" t="s">
        <v>47</v>
      </c>
      <c r="O155" t="s">
        <v>47</v>
      </c>
      <c r="P155" t="s">
        <v>317</v>
      </c>
      <c r="Q155" s="38" t="s">
        <v>6</v>
      </c>
      <c r="R155" s="40" t="s">
        <v>9117</v>
      </c>
    </row>
    <row r="156" spans="1:18" x14ac:dyDescent="0.3">
      <c r="A156" t="s">
        <v>126</v>
      </c>
      <c r="C156">
        <v>30</v>
      </c>
      <c r="D156" t="s">
        <v>10</v>
      </c>
      <c r="F156" s="43">
        <v>45083.458333333336</v>
      </c>
      <c r="G156" s="43">
        <v>45083.479166666664</v>
      </c>
      <c r="H156">
        <v>11</v>
      </c>
      <c r="I156">
        <v>0</v>
      </c>
      <c r="J156">
        <v>11</v>
      </c>
      <c r="K156">
        <v>30</v>
      </c>
      <c r="L156">
        <v>2023</v>
      </c>
      <c r="N156" t="s">
        <v>47</v>
      </c>
      <c r="O156" t="s">
        <v>47</v>
      </c>
      <c r="P156" t="s">
        <v>318</v>
      </c>
    </row>
    <row r="157" spans="1:18" x14ac:dyDescent="0.3">
      <c r="A157" t="s">
        <v>123</v>
      </c>
      <c r="C157">
        <v>45</v>
      </c>
      <c r="D157" t="s">
        <v>10</v>
      </c>
      <c r="F157" s="43">
        <v>45083.40625</v>
      </c>
      <c r="G157" s="43">
        <v>45083.4375</v>
      </c>
      <c r="H157">
        <v>9</v>
      </c>
      <c r="I157">
        <v>45</v>
      </c>
      <c r="J157">
        <v>10</v>
      </c>
      <c r="K157">
        <v>30</v>
      </c>
      <c r="L157">
        <v>2023</v>
      </c>
      <c r="N157" t="s">
        <v>47</v>
      </c>
      <c r="O157" t="s">
        <v>47</v>
      </c>
      <c r="P157" t="s">
        <v>315</v>
      </c>
    </row>
    <row r="158" spans="1:18" x14ac:dyDescent="0.3">
      <c r="A158" t="s">
        <v>34</v>
      </c>
      <c r="B158" s="38" t="s">
        <v>6</v>
      </c>
      <c r="C158">
        <v>60</v>
      </c>
      <c r="D158" t="s">
        <v>10</v>
      </c>
      <c r="E158">
        <v>2665003350</v>
      </c>
      <c r="F158" s="43">
        <v>45083.364583333336</v>
      </c>
      <c r="G158" s="43">
        <v>45083.40625</v>
      </c>
      <c r="H158">
        <v>8</v>
      </c>
      <c r="I158">
        <v>45</v>
      </c>
      <c r="J158">
        <v>9</v>
      </c>
      <c r="K158">
        <v>45</v>
      </c>
      <c r="L158">
        <v>2023</v>
      </c>
      <c r="N158" t="s">
        <v>47</v>
      </c>
      <c r="O158" t="s">
        <v>47</v>
      </c>
      <c r="P158" t="s">
        <v>314</v>
      </c>
      <c r="Q158" s="38" t="s">
        <v>6</v>
      </c>
      <c r="R158" s="40" t="s">
        <v>9109</v>
      </c>
    </row>
    <row r="159" spans="1:18" x14ac:dyDescent="0.3">
      <c r="A159" t="s">
        <v>99</v>
      </c>
      <c r="B159" s="48" t="s">
        <v>109</v>
      </c>
      <c r="C159">
        <v>60</v>
      </c>
      <c r="D159" t="s">
        <v>10</v>
      </c>
      <c r="E159">
        <v>4614952418</v>
      </c>
      <c r="F159" s="43">
        <v>45083.291666666664</v>
      </c>
      <c r="G159" s="43">
        <v>45083.333333333336</v>
      </c>
      <c r="H159">
        <v>7</v>
      </c>
      <c r="I159">
        <v>0</v>
      </c>
      <c r="J159">
        <v>8</v>
      </c>
      <c r="K159">
        <v>0</v>
      </c>
      <c r="L159">
        <v>2023</v>
      </c>
      <c r="N159" t="s">
        <v>47</v>
      </c>
      <c r="O159" t="s">
        <v>47</v>
      </c>
      <c r="P159" t="s">
        <v>313</v>
      </c>
      <c r="Q159" s="48" t="s">
        <v>109</v>
      </c>
      <c r="R159" s="40" t="s">
        <v>9116</v>
      </c>
    </row>
    <row r="160" spans="1:18" x14ac:dyDescent="0.3">
      <c r="A160" t="s">
        <v>8</v>
      </c>
      <c r="C160">
        <v>30</v>
      </c>
      <c r="D160" t="s">
        <v>10</v>
      </c>
      <c r="F160" s="43">
        <v>45083.229166666664</v>
      </c>
      <c r="G160" s="43">
        <v>45083.25</v>
      </c>
      <c r="H160">
        <v>5</v>
      </c>
      <c r="I160">
        <v>30</v>
      </c>
      <c r="J160">
        <v>6</v>
      </c>
      <c r="K160">
        <v>0</v>
      </c>
      <c r="L160">
        <v>2023</v>
      </c>
      <c r="N160" t="s">
        <v>47</v>
      </c>
      <c r="O160" t="s">
        <v>47</v>
      </c>
      <c r="P160" t="s">
        <v>312</v>
      </c>
    </row>
    <row r="161" spans="1:18" x14ac:dyDescent="0.3">
      <c r="A161" t="s">
        <v>120</v>
      </c>
      <c r="C161">
        <v>30</v>
      </c>
      <c r="D161" t="s">
        <v>10</v>
      </c>
      <c r="F161" s="43">
        <v>45082.822916666664</v>
      </c>
      <c r="G161" s="43">
        <v>45082.84375</v>
      </c>
      <c r="H161">
        <v>19</v>
      </c>
      <c r="I161">
        <v>45</v>
      </c>
      <c r="J161">
        <v>20</v>
      </c>
      <c r="K161">
        <v>15</v>
      </c>
      <c r="L161">
        <v>2023</v>
      </c>
      <c r="N161" t="s">
        <v>47</v>
      </c>
      <c r="O161" t="s">
        <v>47</v>
      </c>
      <c r="P161" t="s">
        <v>310</v>
      </c>
    </row>
    <row r="162" spans="1:18" x14ac:dyDescent="0.3">
      <c r="A162" t="s">
        <v>119</v>
      </c>
      <c r="C162">
        <v>20</v>
      </c>
      <c r="D162" t="s">
        <v>10</v>
      </c>
      <c r="F162" s="43">
        <v>45082.739583333336</v>
      </c>
      <c r="G162" s="43">
        <v>45082.753472222219</v>
      </c>
      <c r="H162">
        <v>17</v>
      </c>
      <c r="I162">
        <v>45</v>
      </c>
      <c r="J162">
        <v>18</v>
      </c>
      <c r="K162">
        <v>5</v>
      </c>
      <c r="L162">
        <v>2023</v>
      </c>
      <c r="N162" t="s">
        <v>47</v>
      </c>
      <c r="O162" t="s">
        <v>47</v>
      </c>
      <c r="P162" t="s">
        <v>309</v>
      </c>
    </row>
    <row r="163" spans="1:18" x14ac:dyDescent="0.3">
      <c r="A163" t="s">
        <v>42</v>
      </c>
      <c r="B163" s="38" t="s">
        <v>6</v>
      </c>
      <c r="C163">
        <v>90</v>
      </c>
      <c r="D163" t="s">
        <v>10</v>
      </c>
      <c r="E163">
        <v>2665003350</v>
      </c>
      <c r="F163" s="43">
        <v>45082.645833333336</v>
      </c>
      <c r="G163" s="43">
        <v>45082.708333333336</v>
      </c>
      <c r="H163">
        <v>15</v>
      </c>
      <c r="I163">
        <v>30</v>
      </c>
      <c r="J163">
        <v>17</v>
      </c>
      <c r="K163">
        <v>0</v>
      </c>
      <c r="L163">
        <v>2023</v>
      </c>
      <c r="N163" t="s">
        <v>47</v>
      </c>
      <c r="O163" t="s">
        <v>47</v>
      </c>
      <c r="P163" t="s">
        <v>307</v>
      </c>
      <c r="Q163" s="38" t="s">
        <v>6</v>
      </c>
      <c r="R163" s="40" t="s">
        <v>9109</v>
      </c>
    </row>
    <row r="164" spans="1:18" x14ac:dyDescent="0.3">
      <c r="A164" t="s">
        <v>42</v>
      </c>
      <c r="B164" s="38" t="s">
        <v>6</v>
      </c>
      <c r="C164">
        <v>60</v>
      </c>
      <c r="D164" t="s">
        <v>10</v>
      </c>
      <c r="E164">
        <v>2665003350</v>
      </c>
      <c r="F164" s="43">
        <v>45082.583333333336</v>
      </c>
      <c r="G164" s="43">
        <v>45082.625</v>
      </c>
      <c r="H164">
        <v>14</v>
      </c>
      <c r="I164">
        <v>0</v>
      </c>
      <c r="J164">
        <v>15</v>
      </c>
      <c r="K164">
        <v>0</v>
      </c>
      <c r="L164">
        <v>2023</v>
      </c>
      <c r="N164" t="s">
        <v>47</v>
      </c>
      <c r="O164" t="s">
        <v>47</v>
      </c>
      <c r="P164" t="s">
        <v>308</v>
      </c>
      <c r="Q164" s="38" t="s">
        <v>6</v>
      </c>
      <c r="R164" s="40" t="s">
        <v>9109</v>
      </c>
    </row>
    <row r="165" spans="1:18" x14ac:dyDescent="0.3">
      <c r="A165" t="s">
        <v>8</v>
      </c>
      <c r="C165">
        <v>30</v>
      </c>
      <c r="D165" t="s">
        <v>10</v>
      </c>
      <c r="F165" s="43">
        <v>45082.5625</v>
      </c>
      <c r="G165" s="43">
        <v>45082.583333333336</v>
      </c>
      <c r="H165">
        <v>13</v>
      </c>
      <c r="I165">
        <v>30</v>
      </c>
      <c r="J165">
        <v>14</v>
      </c>
      <c r="K165">
        <v>0</v>
      </c>
      <c r="L165">
        <v>2023</v>
      </c>
      <c r="N165" t="s">
        <v>47</v>
      </c>
      <c r="O165" t="s">
        <v>47</v>
      </c>
      <c r="P165" t="s">
        <v>306</v>
      </c>
    </row>
    <row r="166" spans="1:18" x14ac:dyDescent="0.3">
      <c r="A166" t="s">
        <v>114</v>
      </c>
      <c r="C166">
        <v>15</v>
      </c>
      <c r="D166" t="s">
        <v>10</v>
      </c>
      <c r="E166" t="s">
        <v>412</v>
      </c>
      <c r="F166" s="43">
        <v>45082.53125</v>
      </c>
      <c r="G166" s="43">
        <v>45082.541666666664</v>
      </c>
      <c r="H166">
        <v>12</v>
      </c>
      <c r="I166">
        <v>45</v>
      </c>
      <c r="J166">
        <v>13</v>
      </c>
      <c r="K166">
        <v>0</v>
      </c>
      <c r="L166">
        <v>2023</v>
      </c>
      <c r="N166" t="s">
        <v>116</v>
      </c>
      <c r="O166" t="s">
        <v>48</v>
      </c>
      <c r="P166" t="s">
        <v>303</v>
      </c>
    </row>
    <row r="167" spans="1:18" x14ac:dyDescent="0.3">
      <c r="A167" t="s">
        <v>117</v>
      </c>
      <c r="C167">
        <v>30</v>
      </c>
      <c r="D167" t="s">
        <v>10</v>
      </c>
      <c r="F167" s="43">
        <v>45082.489583333336</v>
      </c>
      <c r="G167" s="43">
        <v>45082.510416666664</v>
      </c>
      <c r="H167">
        <v>11</v>
      </c>
      <c r="I167">
        <v>45</v>
      </c>
      <c r="J167">
        <v>12</v>
      </c>
      <c r="K167">
        <v>15</v>
      </c>
      <c r="L167">
        <v>2023</v>
      </c>
      <c r="N167" t="s">
        <v>47</v>
      </c>
      <c r="O167" t="s">
        <v>47</v>
      </c>
      <c r="P167" t="s">
        <v>304</v>
      </c>
    </row>
    <row r="168" spans="1:18" x14ac:dyDescent="0.3">
      <c r="A168" t="s">
        <v>74</v>
      </c>
      <c r="B168" t="s">
        <v>223</v>
      </c>
      <c r="C168">
        <v>25</v>
      </c>
      <c r="D168" t="s">
        <v>10</v>
      </c>
      <c r="E168" t="s">
        <v>411</v>
      </c>
      <c r="F168" s="43">
        <v>45082.375</v>
      </c>
      <c r="G168" s="43">
        <v>45082.392361111109</v>
      </c>
      <c r="H168">
        <v>9</v>
      </c>
      <c r="I168">
        <v>0</v>
      </c>
      <c r="J168">
        <v>9</v>
      </c>
      <c r="K168">
        <v>25</v>
      </c>
      <c r="L168">
        <v>2023</v>
      </c>
      <c r="N168" t="s">
        <v>75</v>
      </c>
      <c r="O168" t="s">
        <v>49</v>
      </c>
      <c r="P168" t="s">
        <v>184</v>
      </c>
    </row>
    <row r="169" spans="1:18" x14ac:dyDescent="0.3">
      <c r="A169" t="s">
        <v>84</v>
      </c>
      <c r="C169">
        <v>45</v>
      </c>
      <c r="D169" t="s">
        <v>10</v>
      </c>
      <c r="F169" s="43">
        <v>45082.3125</v>
      </c>
      <c r="G169" s="43">
        <v>45082.34375</v>
      </c>
      <c r="H169">
        <v>7</v>
      </c>
      <c r="I169">
        <v>30</v>
      </c>
      <c r="J169">
        <v>8</v>
      </c>
      <c r="K169">
        <v>15</v>
      </c>
      <c r="L169">
        <v>2023</v>
      </c>
      <c r="N169" t="s">
        <v>47</v>
      </c>
      <c r="O169" t="s">
        <v>47</v>
      </c>
      <c r="P169" t="s">
        <v>305</v>
      </c>
    </row>
    <row r="170" spans="1:18" x14ac:dyDescent="0.3">
      <c r="A170" t="s">
        <v>108</v>
      </c>
      <c r="B170" s="38" t="s">
        <v>6</v>
      </c>
      <c r="C170">
        <v>30</v>
      </c>
      <c r="D170" t="s">
        <v>10</v>
      </c>
      <c r="E170">
        <v>4646485386</v>
      </c>
      <c r="F170" s="43">
        <v>45082.270833333336</v>
      </c>
      <c r="G170" s="43">
        <v>45082.291666666664</v>
      </c>
      <c r="H170">
        <v>6</v>
      </c>
      <c r="I170">
        <v>30</v>
      </c>
      <c r="J170">
        <v>7</v>
      </c>
      <c r="K170">
        <v>0</v>
      </c>
      <c r="L170">
        <v>2023</v>
      </c>
      <c r="N170" t="s">
        <v>47</v>
      </c>
      <c r="O170" t="s">
        <v>47</v>
      </c>
      <c r="P170" t="s">
        <v>300</v>
      </c>
      <c r="Q170" s="38" t="s">
        <v>6</v>
      </c>
      <c r="R170" s="41" t="s">
        <v>9110</v>
      </c>
    </row>
    <row r="171" spans="1:18" x14ac:dyDescent="0.3">
      <c r="A171" t="s">
        <v>108</v>
      </c>
      <c r="B171" s="38" t="s">
        <v>6</v>
      </c>
      <c r="C171">
        <v>60</v>
      </c>
      <c r="D171" t="s">
        <v>10</v>
      </c>
      <c r="E171">
        <v>4646485386</v>
      </c>
      <c r="F171" s="43">
        <v>45082.208333333336</v>
      </c>
      <c r="G171" s="43">
        <v>45082.25</v>
      </c>
      <c r="H171">
        <v>5</v>
      </c>
      <c r="I171">
        <v>0</v>
      </c>
      <c r="J171">
        <v>6</v>
      </c>
      <c r="K171">
        <v>0</v>
      </c>
      <c r="L171">
        <v>2023</v>
      </c>
      <c r="N171" t="s">
        <v>47</v>
      </c>
      <c r="O171" t="s">
        <v>47</v>
      </c>
      <c r="P171" t="s">
        <v>299</v>
      </c>
      <c r="Q171" s="38" t="s">
        <v>6</v>
      </c>
      <c r="R171" s="41" t="s">
        <v>9110</v>
      </c>
    </row>
    <row r="172" spans="1:18" x14ac:dyDescent="0.3">
      <c r="A172" t="s">
        <v>107</v>
      </c>
      <c r="B172" s="38" t="s">
        <v>6</v>
      </c>
      <c r="C172">
        <v>45</v>
      </c>
      <c r="D172" t="s">
        <v>10</v>
      </c>
      <c r="E172">
        <v>2665003350</v>
      </c>
      <c r="F172" s="43">
        <v>45081.78125</v>
      </c>
      <c r="G172" s="43">
        <v>45081.8125</v>
      </c>
      <c r="H172">
        <v>18</v>
      </c>
      <c r="I172">
        <v>45</v>
      </c>
      <c r="J172">
        <v>19</v>
      </c>
      <c r="K172">
        <v>30</v>
      </c>
      <c r="L172">
        <v>2023</v>
      </c>
      <c r="N172" t="s">
        <v>47</v>
      </c>
      <c r="O172" t="s">
        <v>47</v>
      </c>
      <c r="P172" t="s">
        <v>298</v>
      </c>
      <c r="Q172" s="38" t="s">
        <v>6</v>
      </c>
      <c r="R172" s="40" t="s">
        <v>9109</v>
      </c>
    </row>
    <row r="173" spans="1:18" x14ac:dyDescent="0.3">
      <c r="A173" t="s">
        <v>106</v>
      </c>
      <c r="B173" s="38" t="s">
        <v>6</v>
      </c>
      <c r="C173">
        <v>60</v>
      </c>
      <c r="D173" t="s">
        <v>10</v>
      </c>
      <c r="E173">
        <v>2665003350</v>
      </c>
      <c r="F173" s="43">
        <v>45081.708333333336</v>
      </c>
      <c r="G173" s="43">
        <v>45081.75</v>
      </c>
      <c r="H173">
        <v>17</v>
      </c>
      <c r="I173">
        <v>0</v>
      </c>
      <c r="J173">
        <v>18</v>
      </c>
      <c r="K173">
        <v>0</v>
      </c>
      <c r="L173">
        <v>2023</v>
      </c>
      <c r="N173" t="s">
        <v>47</v>
      </c>
      <c r="O173" t="s">
        <v>47</v>
      </c>
      <c r="P173" t="s">
        <v>297</v>
      </c>
      <c r="Q173" s="38" t="s">
        <v>6</v>
      </c>
      <c r="R173" s="40" t="s">
        <v>9109</v>
      </c>
    </row>
    <row r="174" spans="1:18" x14ac:dyDescent="0.3">
      <c r="A174" t="s">
        <v>99</v>
      </c>
      <c r="B174" s="48" t="s">
        <v>109</v>
      </c>
      <c r="C174">
        <v>75</v>
      </c>
      <c r="D174" t="s">
        <v>10</v>
      </c>
      <c r="E174">
        <v>4614952418</v>
      </c>
      <c r="F174" s="43">
        <v>45081.604166666664</v>
      </c>
      <c r="G174" s="43">
        <v>45081.65625</v>
      </c>
      <c r="H174">
        <v>14</v>
      </c>
      <c r="I174">
        <v>30</v>
      </c>
      <c r="J174">
        <v>15</v>
      </c>
      <c r="K174">
        <v>45</v>
      </c>
      <c r="L174">
        <v>2023</v>
      </c>
      <c r="N174" t="s">
        <v>47</v>
      </c>
      <c r="O174" t="s">
        <v>47</v>
      </c>
      <c r="P174" t="s">
        <v>296</v>
      </c>
      <c r="Q174" s="48" t="s">
        <v>109</v>
      </c>
      <c r="R174" s="40" t="s">
        <v>9116</v>
      </c>
    </row>
    <row r="175" spans="1:18" x14ac:dyDescent="0.3">
      <c r="A175" t="s">
        <v>99</v>
      </c>
      <c r="B175" s="48" t="s">
        <v>109</v>
      </c>
      <c r="C175">
        <v>30</v>
      </c>
      <c r="D175" t="s">
        <v>10</v>
      </c>
      <c r="E175">
        <v>4614952418</v>
      </c>
      <c r="F175" s="43">
        <v>45081.541666666664</v>
      </c>
      <c r="G175" s="43">
        <v>45081.5625</v>
      </c>
      <c r="H175">
        <v>13</v>
      </c>
      <c r="I175">
        <v>0</v>
      </c>
      <c r="J175">
        <v>13</v>
      </c>
      <c r="K175">
        <v>30</v>
      </c>
      <c r="L175">
        <v>2023</v>
      </c>
      <c r="N175" t="s">
        <v>47</v>
      </c>
      <c r="O175" t="s">
        <v>47</v>
      </c>
      <c r="P175" t="s">
        <v>295</v>
      </c>
      <c r="Q175" s="48" t="s">
        <v>109</v>
      </c>
      <c r="R175" s="40" t="s">
        <v>9116</v>
      </c>
    </row>
    <row r="176" spans="1:18" x14ac:dyDescent="0.3">
      <c r="A176" t="s">
        <v>99</v>
      </c>
      <c r="B176" s="48" t="s">
        <v>109</v>
      </c>
      <c r="C176">
        <v>60</v>
      </c>
      <c r="D176" t="s">
        <v>10</v>
      </c>
      <c r="E176">
        <v>4614952418</v>
      </c>
      <c r="F176" s="43">
        <v>45081.4375</v>
      </c>
      <c r="G176" s="43">
        <v>45081.479166666664</v>
      </c>
      <c r="H176">
        <v>10</v>
      </c>
      <c r="I176">
        <v>30</v>
      </c>
      <c r="J176">
        <v>11</v>
      </c>
      <c r="K176">
        <v>30</v>
      </c>
      <c r="L176">
        <v>2023</v>
      </c>
      <c r="N176" t="s">
        <v>47</v>
      </c>
      <c r="O176" t="s">
        <v>47</v>
      </c>
      <c r="P176" t="s">
        <v>294</v>
      </c>
      <c r="Q176" s="48" t="s">
        <v>109</v>
      </c>
      <c r="R176" s="40" t="s">
        <v>9116</v>
      </c>
    </row>
    <row r="177" spans="1:18" x14ac:dyDescent="0.3">
      <c r="A177" t="s">
        <v>105</v>
      </c>
      <c r="C177">
        <v>60</v>
      </c>
      <c r="D177" t="s">
        <v>10</v>
      </c>
      <c r="F177" s="43">
        <v>45081.236111111109</v>
      </c>
      <c r="G177" s="43">
        <v>45081.277777777781</v>
      </c>
      <c r="H177">
        <v>5</v>
      </c>
      <c r="I177">
        <v>40</v>
      </c>
      <c r="J177">
        <v>6</v>
      </c>
      <c r="K177">
        <v>40</v>
      </c>
      <c r="L177">
        <v>2023</v>
      </c>
      <c r="N177" t="s">
        <v>47</v>
      </c>
      <c r="O177" t="s">
        <v>47</v>
      </c>
      <c r="P177" t="s">
        <v>293</v>
      </c>
    </row>
    <row r="178" spans="1:18" x14ac:dyDescent="0.3">
      <c r="A178" t="s">
        <v>99</v>
      </c>
      <c r="B178" s="48" t="s">
        <v>109</v>
      </c>
      <c r="C178">
        <v>30</v>
      </c>
      <c r="D178" t="s">
        <v>10</v>
      </c>
      <c r="E178">
        <v>4614952418</v>
      </c>
      <c r="F178" s="43">
        <v>45080.770833333336</v>
      </c>
      <c r="G178" s="43">
        <v>45080.791666666664</v>
      </c>
      <c r="H178">
        <v>18</v>
      </c>
      <c r="I178">
        <v>30</v>
      </c>
      <c r="J178">
        <v>19</v>
      </c>
      <c r="K178">
        <v>0</v>
      </c>
      <c r="L178">
        <v>2023</v>
      </c>
      <c r="N178" t="s">
        <v>47</v>
      </c>
      <c r="O178" t="s">
        <v>47</v>
      </c>
      <c r="P178" t="s">
        <v>292</v>
      </c>
      <c r="Q178" s="48" t="s">
        <v>109</v>
      </c>
      <c r="R178" s="40" t="s">
        <v>9116</v>
      </c>
    </row>
    <row r="179" spans="1:18" x14ac:dyDescent="0.3">
      <c r="A179" t="s">
        <v>104</v>
      </c>
      <c r="B179" s="48" t="s">
        <v>109</v>
      </c>
      <c r="C179">
        <v>80</v>
      </c>
      <c r="D179" t="s">
        <v>10</v>
      </c>
      <c r="E179">
        <v>4614952418</v>
      </c>
      <c r="F179" s="43">
        <v>45080.6875</v>
      </c>
      <c r="G179" s="43">
        <v>45080.743055555555</v>
      </c>
      <c r="H179">
        <v>16</v>
      </c>
      <c r="I179">
        <v>30</v>
      </c>
      <c r="J179">
        <v>17</v>
      </c>
      <c r="K179">
        <v>50</v>
      </c>
      <c r="L179">
        <v>2023</v>
      </c>
      <c r="N179" t="s">
        <v>47</v>
      </c>
      <c r="O179" t="s">
        <v>47</v>
      </c>
      <c r="P179" t="s">
        <v>291</v>
      </c>
      <c r="Q179" s="48" t="s">
        <v>109</v>
      </c>
      <c r="R179" s="40" t="s">
        <v>9116</v>
      </c>
    </row>
    <row r="180" spans="1:18" x14ac:dyDescent="0.3">
      <c r="A180" t="s">
        <v>104</v>
      </c>
      <c r="B180" s="48" t="s">
        <v>109</v>
      </c>
      <c r="C180">
        <v>75</v>
      </c>
      <c r="D180" t="s">
        <v>10</v>
      </c>
      <c r="E180">
        <v>4614952418</v>
      </c>
      <c r="F180" s="43">
        <v>45080.583333333336</v>
      </c>
      <c r="G180" s="43">
        <v>45080.635416666664</v>
      </c>
      <c r="H180">
        <v>14</v>
      </c>
      <c r="I180">
        <v>0</v>
      </c>
      <c r="J180">
        <v>15</v>
      </c>
      <c r="K180">
        <v>15</v>
      </c>
      <c r="L180">
        <v>2023</v>
      </c>
      <c r="N180" t="s">
        <v>47</v>
      </c>
      <c r="O180" t="s">
        <v>47</v>
      </c>
      <c r="P180" t="s">
        <v>290</v>
      </c>
      <c r="Q180" s="48" t="s">
        <v>109</v>
      </c>
      <c r="R180" s="40" t="s">
        <v>9116</v>
      </c>
    </row>
    <row r="181" spans="1:18" x14ac:dyDescent="0.3">
      <c r="A181" t="s">
        <v>103</v>
      </c>
      <c r="C181">
        <v>30</v>
      </c>
      <c r="D181" t="s">
        <v>10</v>
      </c>
      <c r="F181" s="43">
        <v>45080.305555555555</v>
      </c>
      <c r="G181" s="43">
        <v>45080.326388888891</v>
      </c>
      <c r="H181">
        <v>7</v>
      </c>
      <c r="I181">
        <v>20</v>
      </c>
      <c r="J181">
        <v>7</v>
      </c>
      <c r="K181">
        <v>50</v>
      </c>
      <c r="L181">
        <v>2023</v>
      </c>
      <c r="N181" t="s">
        <v>47</v>
      </c>
      <c r="O181" t="s">
        <v>47</v>
      </c>
      <c r="P181" t="s">
        <v>289</v>
      </c>
    </row>
    <row r="182" spans="1:18" x14ac:dyDescent="0.3">
      <c r="A182" t="s">
        <v>102</v>
      </c>
      <c r="B182" s="48" t="s">
        <v>109</v>
      </c>
      <c r="C182">
        <v>30</v>
      </c>
      <c r="D182" t="s">
        <v>10</v>
      </c>
      <c r="E182">
        <v>4614952418</v>
      </c>
      <c r="F182" s="43">
        <v>45080.229166666664</v>
      </c>
      <c r="G182" s="43">
        <v>45080.25</v>
      </c>
      <c r="H182">
        <v>5</v>
      </c>
      <c r="I182">
        <v>30</v>
      </c>
      <c r="J182">
        <v>6</v>
      </c>
      <c r="K182">
        <v>0</v>
      </c>
      <c r="L182">
        <v>2023</v>
      </c>
      <c r="N182" t="s">
        <v>47</v>
      </c>
      <c r="O182" t="s">
        <v>47</v>
      </c>
      <c r="P182" t="s">
        <v>288</v>
      </c>
      <c r="Q182" s="48" t="s">
        <v>109</v>
      </c>
      <c r="R182" s="40" t="s">
        <v>9116</v>
      </c>
    </row>
    <row r="183" spans="1:18" x14ac:dyDescent="0.3">
      <c r="A183" t="s">
        <v>101</v>
      </c>
      <c r="C183">
        <v>30</v>
      </c>
      <c r="D183" t="s">
        <v>10</v>
      </c>
      <c r="F183" s="43">
        <v>45080.208333333336</v>
      </c>
      <c r="G183" s="43">
        <v>45080.229166666664</v>
      </c>
      <c r="H183">
        <v>5</v>
      </c>
      <c r="I183">
        <v>0</v>
      </c>
      <c r="J183">
        <v>5</v>
      </c>
      <c r="K183">
        <v>30</v>
      </c>
      <c r="L183">
        <v>2023</v>
      </c>
      <c r="N183" t="s">
        <v>47</v>
      </c>
      <c r="O183" t="s">
        <v>47</v>
      </c>
      <c r="P183" t="s">
        <v>287</v>
      </c>
    </row>
    <row r="184" spans="1:18" x14ac:dyDescent="0.3">
      <c r="A184" t="s">
        <v>100</v>
      </c>
      <c r="B184" s="48" t="s">
        <v>109</v>
      </c>
      <c r="C184">
        <v>20</v>
      </c>
      <c r="D184" t="s">
        <v>10</v>
      </c>
      <c r="E184">
        <v>4614952418</v>
      </c>
      <c r="F184" s="43">
        <v>45079.788194444445</v>
      </c>
      <c r="G184" s="43">
        <v>45079.802083333336</v>
      </c>
      <c r="H184">
        <v>18</v>
      </c>
      <c r="I184">
        <v>55</v>
      </c>
      <c r="J184">
        <v>19</v>
      </c>
      <c r="K184">
        <v>15</v>
      </c>
      <c r="L184">
        <v>2023</v>
      </c>
      <c r="N184" t="s">
        <v>47</v>
      </c>
      <c r="O184" t="s">
        <v>47</v>
      </c>
      <c r="P184" t="s">
        <v>286</v>
      </c>
      <c r="Q184" s="48" t="s">
        <v>109</v>
      </c>
      <c r="R184" s="40" t="s">
        <v>9116</v>
      </c>
    </row>
    <row r="185" spans="1:18" x14ac:dyDescent="0.3">
      <c r="A185" t="s">
        <v>99</v>
      </c>
      <c r="B185" s="48" t="s">
        <v>109</v>
      </c>
      <c r="C185">
        <v>30</v>
      </c>
      <c r="D185" t="s">
        <v>10</v>
      </c>
      <c r="E185">
        <v>4614952418</v>
      </c>
      <c r="F185" s="43">
        <v>45079.75</v>
      </c>
      <c r="G185" s="43">
        <v>45079.770833333336</v>
      </c>
      <c r="H185">
        <v>18</v>
      </c>
      <c r="I185">
        <v>0</v>
      </c>
      <c r="J185">
        <v>18</v>
      </c>
      <c r="K185">
        <v>30</v>
      </c>
      <c r="L185">
        <v>2023</v>
      </c>
      <c r="N185" t="s">
        <v>47</v>
      </c>
      <c r="O185" t="s">
        <v>47</v>
      </c>
      <c r="P185" t="s">
        <v>285</v>
      </c>
      <c r="Q185" s="48" t="s">
        <v>109</v>
      </c>
      <c r="R185" s="40" t="s">
        <v>9116</v>
      </c>
    </row>
    <row r="186" spans="1:18" x14ac:dyDescent="0.3">
      <c r="A186" t="s">
        <v>99</v>
      </c>
      <c r="B186" s="48" t="s">
        <v>109</v>
      </c>
      <c r="C186">
        <v>30</v>
      </c>
      <c r="D186" t="s">
        <v>10</v>
      </c>
      <c r="E186">
        <v>4614952418</v>
      </c>
      <c r="F186" s="43">
        <v>45079.708333333336</v>
      </c>
      <c r="G186" s="43">
        <v>45079.729166666664</v>
      </c>
      <c r="H186">
        <v>17</v>
      </c>
      <c r="I186">
        <v>0</v>
      </c>
      <c r="J186">
        <v>17</v>
      </c>
      <c r="K186">
        <v>30</v>
      </c>
      <c r="L186">
        <v>2023</v>
      </c>
      <c r="N186" t="s">
        <v>47</v>
      </c>
      <c r="O186" t="s">
        <v>47</v>
      </c>
      <c r="P186" t="s">
        <v>284</v>
      </c>
      <c r="Q186" s="48" t="s">
        <v>109</v>
      </c>
      <c r="R186" s="40" t="s">
        <v>9116</v>
      </c>
    </row>
    <row r="187" spans="1:18" x14ac:dyDescent="0.3">
      <c r="A187" t="s">
        <v>99</v>
      </c>
      <c r="B187" s="48" t="s">
        <v>109</v>
      </c>
      <c r="C187">
        <v>30</v>
      </c>
      <c r="D187" t="s">
        <v>10</v>
      </c>
      <c r="E187">
        <v>4614952418</v>
      </c>
      <c r="F187" s="43">
        <v>45079.666666666664</v>
      </c>
      <c r="G187" s="43">
        <v>45079.6875</v>
      </c>
      <c r="H187">
        <v>16</v>
      </c>
      <c r="I187">
        <v>0</v>
      </c>
      <c r="J187">
        <v>16</v>
      </c>
      <c r="K187">
        <v>30</v>
      </c>
      <c r="L187">
        <v>2023</v>
      </c>
      <c r="N187" t="s">
        <v>47</v>
      </c>
      <c r="O187" t="s">
        <v>47</v>
      </c>
      <c r="P187" t="s">
        <v>283</v>
      </c>
      <c r="Q187" s="48" t="s">
        <v>109</v>
      </c>
      <c r="R187" s="40" t="s">
        <v>9116</v>
      </c>
    </row>
    <row r="188" spans="1:18" x14ac:dyDescent="0.3">
      <c r="A188" t="s">
        <v>98</v>
      </c>
      <c r="B188" s="48" t="s">
        <v>109</v>
      </c>
      <c r="C188">
        <v>25</v>
      </c>
      <c r="D188" t="s">
        <v>10</v>
      </c>
      <c r="E188">
        <v>4614952418</v>
      </c>
      <c r="F188" s="43">
        <v>45079.597222222219</v>
      </c>
      <c r="G188" s="43">
        <v>45079.614583333336</v>
      </c>
      <c r="H188">
        <v>14</v>
      </c>
      <c r="I188">
        <v>20</v>
      </c>
      <c r="J188">
        <v>14</v>
      </c>
      <c r="K188">
        <v>45</v>
      </c>
      <c r="L188">
        <v>2023</v>
      </c>
      <c r="N188" t="s">
        <v>47</v>
      </c>
      <c r="O188" t="s">
        <v>47</v>
      </c>
      <c r="P188" t="s">
        <v>282</v>
      </c>
      <c r="Q188" s="48" t="s">
        <v>109</v>
      </c>
      <c r="R188" s="40" t="s">
        <v>9116</v>
      </c>
    </row>
    <row r="189" spans="1:18" x14ac:dyDescent="0.3">
      <c r="A189" t="s">
        <v>7</v>
      </c>
      <c r="B189" s="38" t="s">
        <v>6</v>
      </c>
      <c r="C189">
        <v>20</v>
      </c>
      <c r="D189" t="s">
        <v>10</v>
      </c>
      <c r="E189">
        <v>1521440445</v>
      </c>
      <c r="F189" s="43">
        <v>45079.5625</v>
      </c>
      <c r="G189" s="43">
        <v>45079.576388888891</v>
      </c>
      <c r="H189">
        <v>13</v>
      </c>
      <c r="I189">
        <v>30</v>
      </c>
      <c r="J189">
        <v>13</v>
      </c>
      <c r="K189">
        <v>50</v>
      </c>
      <c r="L189">
        <v>2023</v>
      </c>
      <c r="N189" t="s">
        <v>47</v>
      </c>
      <c r="O189" t="s">
        <v>47</v>
      </c>
      <c r="P189" t="s">
        <v>281</v>
      </c>
      <c r="Q189" s="38" t="s">
        <v>6</v>
      </c>
      <c r="R189" s="40" t="s">
        <v>9117</v>
      </c>
    </row>
    <row r="190" spans="1:18" x14ac:dyDescent="0.3">
      <c r="A190" t="s">
        <v>97</v>
      </c>
      <c r="C190">
        <v>30</v>
      </c>
      <c r="D190" t="s">
        <v>10</v>
      </c>
      <c r="F190" s="43">
        <v>45079.552083333336</v>
      </c>
      <c r="G190" s="43">
        <v>45079.572916666664</v>
      </c>
      <c r="H190">
        <v>13</v>
      </c>
      <c r="I190">
        <v>15</v>
      </c>
      <c r="J190">
        <v>13</v>
      </c>
      <c r="K190">
        <v>45</v>
      </c>
      <c r="L190">
        <v>2023</v>
      </c>
      <c r="N190" t="s">
        <v>47</v>
      </c>
      <c r="O190" t="s">
        <v>47</v>
      </c>
      <c r="P190" t="s">
        <v>280</v>
      </c>
    </row>
    <row r="191" spans="1:18" x14ac:dyDescent="0.3">
      <c r="A191" t="s">
        <v>39</v>
      </c>
      <c r="C191">
        <v>30</v>
      </c>
      <c r="D191" t="s">
        <v>10</v>
      </c>
      <c r="F191" s="43">
        <v>45079.5</v>
      </c>
      <c r="G191" s="43">
        <v>45079.520833333336</v>
      </c>
      <c r="H191">
        <v>12</v>
      </c>
      <c r="I191">
        <v>0</v>
      </c>
      <c r="J191">
        <v>12</v>
      </c>
      <c r="K191">
        <v>30</v>
      </c>
      <c r="L191">
        <v>2023</v>
      </c>
      <c r="N191" t="s">
        <v>47</v>
      </c>
      <c r="O191" t="s">
        <v>47</v>
      </c>
      <c r="P191" t="s">
        <v>279</v>
      </c>
    </row>
    <row r="192" spans="1:18" x14ac:dyDescent="0.3">
      <c r="A192" t="s">
        <v>96</v>
      </c>
      <c r="C192">
        <v>45</v>
      </c>
      <c r="D192" t="s">
        <v>10</v>
      </c>
      <c r="F192" s="43">
        <v>45079.430555555555</v>
      </c>
      <c r="G192" s="43">
        <v>45079.461805555555</v>
      </c>
      <c r="H192">
        <v>10</v>
      </c>
      <c r="I192">
        <v>20</v>
      </c>
      <c r="J192">
        <v>11</v>
      </c>
      <c r="K192">
        <v>5</v>
      </c>
      <c r="L192">
        <v>2023</v>
      </c>
      <c r="N192" t="s">
        <v>47</v>
      </c>
      <c r="O192" t="s">
        <v>47</v>
      </c>
      <c r="P192" t="s">
        <v>278</v>
      </c>
    </row>
    <row r="193" spans="1:18" x14ac:dyDescent="0.3">
      <c r="A193" t="s">
        <v>96</v>
      </c>
      <c r="C193">
        <v>30</v>
      </c>
      <c r="D193" t="s">
        <v>10</v>
      </c>
      <c r="F193" s="43">
        <v>45079.395833333336</v>
      </c>
      <c r="G193" s="43">
        <v>45079.416666666664</v>
      </c>
      <c r="H193">
        <v>9</v>
      </c>
      <c r="I193">
        <v>30</v>
      </c>
      <c r="J193">
        <v>10</v>
      </c>
      <c r="K193">
        <v>0</v>
      </c>
      <c r="L193">
        <v>2023</v>
      </c>
      <c r="N193" t="s">
        <v>47</v>
      </c>
      <c r="O193" t="s">
        <v>47</v>
      </c>
      <c r="P193" t="s">
        <v>277</v>
      </c>
    </row>
    <row r="194" spans="1:18" x14ac:dyDescent="0.3">
      <c r="A194" t="s">
        <v>85</v>
      </c>
      <c r="C194">
        <v>30</v>
      </c>
      <c r="D194" t="s">
        <v>10</v>
      </c>
      <c r="E194" t="s">
        <v>412</v>
      </c>
      <c r="F194" s="43">
        <v>45079.375</v>
      </c>
      <c r="G194" s="43">
        <v>45079.395833333336</v>
      </c>
      <c r="H194">
        <v>9</v>
      </c>
      <c r="I194">
        <v>0</v>
      </c>
      <c r="J194">
        <v>9</v>
      </c>
      <c r="K194">
        <v>30</v>
      </c>
      <c r="L194">
        <v>2023</v>
      </c>
      <c r="N194" t="s">
        <v>87</v>
      </c>
      <c r="O194" t="s">
        <v>73</v>
      </c>
      <c r="P194" t="s">
        <v>268</v>
      </c>
    </row>
    <row r="195" spans="1:18" x14ac:dyDescent="0.3">
      <c r="A195" t="s">
        <v>78</v>
      </c>
      <c r="B195" s="42" t="s">
        <v>160</v>
      </c>
      <c r="C195">
        <v>60</v>
      </c>
      <c r="D195" t="s">
        <v>10</v>
      </c>
      <c r="E195">
        <v>4574061084</v>
      </c>
      <c r="F195" s="43">
        <v>45079.333333333336</v>
      </c>
      <c r="G195" s="43">
        <v>45079.375</v>
      </c>
      <c r="H195">
        <v>8</v>
      </c>
      <c r="I195">
        <v>0</v>
      </c>
      <c r="J195">
        <v>9</v>
      </c>
      <c r="K195">
        <v>0</v>
      </c>
      <c r="L195">
        <v>2023</v>
      </c>
      <c r="N195" t="s">
        <v>80</v>
      </c>
      <c r="O195" t="s">
        <v>73</v>
      </c>
      <c r="P195" t="s">
        <v>186</v>
      </c>
      <c r="Q195" s="42" t="s">
        <v>160</v>
      </c>
      <c r="R195" s="40" t="s">
        <v>9114</v>
      </c>
    </row>
    <row r="196" spans="1:18" x14ac:dyDescent="0.3">
      <c r="A196" t="s">
        <v>95</v>
      </c>
      <c r="B196" s="42" t="s">
        <v>160</v>
      </c>
      <c r="C196">
        <v>30</v>
      </c>
      <c r="D196" t="s">
        <v>10</v>
      </c>
      <c r="E196">
        <v>4574061084</v>
      </c>
      <c r="F196" s="43">
        <v>45079.3125</v>
      </c>
      <c r="G196" s="43">
        <v>45079.333333333336</v>
      </c>
      <c r="H196">
        <v>7</v>
      </c>
      <c r="I196">
        <v>30</v>
      </c>
      <c r="J196">
        <v>8</v>
      </c>
      <c r="K196">
        <v>0</v>
      </c>
      <c r="L196">
        <v>2023</v>
      </c>
      <c r="N196" t="s">
        <v>47</v>
      </c>
      <c r="O196" t="s">
        <v>47</v>
      </c>
      <c r="P196" t="s">
        <v>276</v>
      </c>
      <c r="Q196" s="42" t="s">
        <v>160</v>
      </c>
      <c r="R196" s="40" t="s">
        <v>9114</v>
      </c>
    </row>
    <row r="197" spans="1:18" x14ac:dyDescent="0.3">
      <c r="A197" t="s">
        <v>17</v>
      </c>
      <c r="C197">
        <v>30</v>
      </c>
      <c r="D197" t="s">
        <v>10</v>
      </c>
      <c r="F197" s="43">
        <v>45079.270833333336</v>
      </c>
      <c r="G197" s="43">
        <v>45079.291666666664</v>
      </c>
      <c r="H197">
        <v>6</v>
      </c>
      <c r="I197">
        <v>30</v>
      </c>
      <c r="J197">
        <v>7</v>
      </c>
      <c r="K197">
        <v>0</v>
      </c>
      <c r="L197">
        <v>2023</v>
      </c>
      <c r="N197" t="s">
        <v>47</v>
      </c>
      <c r="O197" t="s">
        <v>47</v>
      </c>
      <c r="P197" t="s">
        <v>275</v>
      </c>
    </row>
    <row r="198" spans="1:18" x14ac:dyDescent="0.3">
      <c r="A198" t="s">
        <v>92</v>
      </c>
      <c r="C198">
        <v>30</v>
      </c>
      <c r="D198" t="s">
        <v>10</v>
      </c>
      <c r="E198" t="s">
        <v>412</v>
      </c>
      <c r="F198" s="43">
        <v>45079.25</v>
      </c>
      <c r="G198" s="43">
        <v>45079.270833333336</v>
      </c>
      <c r="H198">
        <v>6</v>
      </c>
      <c r="I198">
        <v>0</v>
      </c>
      <c r="J198">
        <v>6</v>
      </c>
      <c r="K198">
        <v>30</v>
      </c>
      <c r="L198">
        <v>2023</v>
      </c>
      <c r="N198" t="s">
        <v>94</v>
      </c>
      <c r="O198" t="s">
        <v>47</v>
      </c>
      <c r="P198" t="s">
        <v>274</v>
      </c>
    </row>
    <row r="199" spans="1:18" x14ac:dyDescent="0.3">
      <c r="A199" t="s">
        <v>91</v>
      </c>
      <c r="B199" s="48" t="s">
        <v>109</v>
      </c>
      <c r="C199">
        <v>45</v>
      </c>
      <c r="D199" t="s">
        <v>10</v>
      </c>
      <c r="E199">
        <v>4614952418</v>
      </c>
      <c r="F199" s="43">
        <v>45078.75</v>
      </c>
      <c r="G199" s="43">
        <v>45078.78125</v>
      </c>
      <c r="H199">
        <v>18</v>
      </c>
      <c r="I199">
        <v>0</v>
      </c>
      <c r="J199">
        <v>18</v>
      </c>
      <c r="K199">
        <v>45</v>
      </c>
      <c r="L199">
        <v>2023</v>
      </c>
      <c r="N199" t="s">
        <v>47</v>
      </c>
      <c r="O199" t="s">
        <v>47</v>
      </c>
      <c r="P199" t="s">
        <v>273</v>
      </c>
      <c r="Q199" s="48" t="s">
        <v>109</v>
      </c>
      <c r="R199" s="40" t="s">
        <v>9116</v>
      </c>
    </row>
    <row r="200" spans="1:18" x14ac:dyDescent="0.3">
      <c r="A200" t="s">
        <v>90</v>
      </c>
      <c r="C200">
        <v>60</v>
      </c>
      <c r="D200" t="s">
        <v>10</v>
      </c>
      <c r="F200" s="43">
        <v>45078.6875</v>
      </c>
      <c r="G200" s="43">
        <v>45078.729166666664</v>
      </c>
      <c r="H200">
        <v>16</v>
      </c>
      <c r="I200">
        <v>30</v>
      </c>
      <c r="J200">
        <v>17</v>
      </c>
      <c r="K200">
        <v>30</v>
      </c>
      <c r="L200">
        <v>2023</v>
      </c>
      <c r="N200" t="s">
        <v>47</v>
      </c>
      <c r="O200" t="s">
        <v>47</v>
      </c>
      <c r="P200" t="s">
        <v>272</v>
      </c>
    </row>
    <row r="201" spans="1:18" x14ac:dyDescent="0.3">
      <c r="A201" t="s">
        <v>84</v>
      </c>
      <c r="C201">
        <v>15</v>
      </c>
      <c r="D201" t="s">
        <v>10</v>
      </c>
      <c r="F201" s="43">
        <v>45078.666666666664</v>
      </c>
      <c r="G201" s="43">
        <v>45078.677083333336</v>
      </c>
      <c r="H201">
        <v>16</v>
      </c>
      <c r="I201">
        <v>0</v>
      </c>
      <c r="J201">
        <v>16</v>
      </c>
      <c r="K201">
        <v>15</v>
      </c>
      <c r="L201">
        <v>2023</v>
      </c>
      <c r="N201" t="s">
        <v>47</v>
      </c>
      <c r="O201" t="s">
        <v>47</v>
      </c>
      <c r="P201" t="s">
        <v>271</v>
      </c>
    </row>
    <row r="202" spans="1:18" x14ac:dyDescent="0.3">
      <c r="A202" t="s">
        <v>88</v>
      </c>
      <c r="B202" s="42" t="s">
        <v>160</v>
      </c>
      <c r="C202">
        <v>30</v>
      </c>
      <c r="D202" t="s">
        <v>10</v>
      </c>
      <c r="E202">
        <v>4574061084</v>
      </c>
      <c r="F202" s="43">
        <v>45078.625</v>
      </c>
      <c r="G202" s="43">
        <v>45078.645833333336</v>
      </c>
      <c r="H202">
        <v>15</v>
      </c>
      <c r="I202">
        <v>0</v>
      </c>
      <c r="J202">
        <v>15</v>
      </c>
      <c r="K202">
        <v>30</v>
      </c>
      <c r="L202">
        <v>2023</v>
      </c>
      <c r="N202" t="s">
        <v>89</v>
      </c>
      <c r="O202" t="s">
        <v>73</v>
      </c>
      <c r="P202" t="s">
        <v>269</v>
      </c>
      <c r="Q202" s="42" t="s">
        <v>160</v>
      </c>
      <c r="R202" s="40" t="s">
        <v>9114</v>
      </c>
    </row>
    <row r="203" spans="1:18" x14ac:dyDescent="0.3">
      <c r="A203" t="s">
        <v>43</v>
      </c>
      <c r="C203">
        <v>60</v>
      </c>
      <c r="D203" t="s">
        <v>10</v>
      </c>
      <c r="F203" s="43">
        <v>45078.541666666664</v>
      </c>
      <c r="G203" s="43">
        <v>45078.583333333336</v>
      </c>
      <c r="H203">
        <v>13</v>
      </c>
      <c r="I203">
        <v>0</v>
      </c>
      <c r="J203">
        <v>14</v>
      </c>
      <c r="K203">
        <v>0</v>
      </c>
      <c r="L203">
        <v>2023</v>
      </c>
      <c r="N203" t="s">
        <v>47</v>
      </c>
      <c r="O203" t="s">
        <v>47</v>
      </c>
      <c r="P203" t="s">
        <v>270</v>
      </c>
    </row>
    <row r="204" spans="1:18" x14ac:dyDescent="0.3">
      <c r="A204" t="s">
        <v>84</v>
      </c>
      <c r="C204">
        <v>30</v>
      </c>
      <c r="D204" t="s">
        <v>10</v>
      </c>
      <c r="F204" s="43">
        <v>45078.5</v>
      </c>
      <c r="G204" s="43">
        <v>45078.520833333336</v>
      </c>
      <c r="H204">
        <v>12</v>
      </c>
      <c r="I204">
        <v>0</v>
      </c>
      <c r="J204">
        <v>12</v>
      </c>
      <c r="K204">
        <v>30</v>
      </c>
      <c r="L204">
        <v>2023</v>
      </c>
      <c r="N204" t="s">
        <v>47</v>
      </c>
      <c r="O204" t="s">
        <v>47</v>
      </c>
      <c r="P204" t="s">
        <v>267</v>
      </c>
    </row>
    <row r="205" spans="1:18" x14ac:dyDescent="0.3">
      <c r="A205" t="s">
        <v>17</v>
      </c>
      <c r="C205">
        <v>30</v>
      </c>
      <c r="D205" t="s">
        <v>10</v>
      </c>
      <c r="F205" s="43">
        <v>45078.458333333336</v>
      </c>
      <c r="G205" s="43">
        <v>45078.479166666664</v>
      </c>
      <c r="H205">
        <v>11</v>
      </c>
      <c r="I205">
        <v>0</v>
      </c>
      <c r="J205">
        <v>11</v>
      </c>
      <c r="K205">
        <v>30</v>
      </c>
      <c r="L205">
        <v>2023</v>
      </c>
      <c r="N205" t="s">
        <v>47</v>
      </c>
      <c r="O205" t="s">
        <v>47</v>
      </c>
      <c r="P205" t="s">
        <v>266</v>
      </c>
    </row>
    <row r="206" spans="1:18" x14ac:dyDescent="0.3">
      <c r="A206" t="s">
        <v>83</v>
      </c>
      <c r="C206">
        <v>90</v>
      </c>
      <c r="D206" t="s">
        <v>10</v>
      </c>
      <c r="F206" s="43">
        <v>45078.395833333336</v>
      </c>
      <c r="G206" s="43">
        <v>45078.458333333336</v>
      </c>
      <c r="H206">
        <v>9</v>
      </c>
      <c r="I206">
        <v>30</v>
      </c>
      <c r="J206">
        <v>11</v>
      </c>
      <c r="K206">
        <v>0</v>
      </c>
      <c r="L206">
        <v>2023</v>
      </c>
      <c r="N206" t="s">
        <v>47</v>
      </c>
      <c r="O206" t="s">
        <v>47</v>
      </c>
      <c r="P206" t="s">
        <v>265</v>
      </c>
    </row>
    <row r="207" spans="1:18" x14ac:dyDescent="0.3">
      <c r="A207" t="s">
        <v>82</v>
      </c>
      <c r="C207">
        <v>30</v>
      </c>
      <c r="D207" t="s">
        <v>10</v>
      </c>
      <c r="F207" s="43">
        <v>45078.3125</v>
      </c>
      <c r="G207" s="43">
        <v>45078.333333333336</v>
      </c>
      <c r="H207">
        <v>7</v>
      </c>
      <c r="I207">
        <v>30</v>
      </c>
      <c r="J207">
        <v>8</v>
      </c>
      <c r="K207">
        <v>0</v>
      </c>
      <c r="L207">
        <v>2023</v>
      </c>
      <c r="N207" t="s">
        <v>47</v>
      </c>
      <c r="O207" t="s">
        <v>47</v>
      </c>
      <c r="P207" t="s">
        <v>264</v>
      </c>
    </row>
    <row r="208" spans="1:18" x14ac:dyDescent="0.3">
      <c r="A208" t="s">
        <v>81</v>
      </c>
      <c r="C208">
        <v>60</v>
      </c>
      <c r="D208" t="s">
        <v>10</v>
      </c>
      <c r="F208" s="43">
        <v>45078.229166666664</v>
      </c>
      <c r="G208" s="43">
        <v>45078.270833333336</v>
      </c>
      <c r="H208">
        <v>5</v>
      </c>
      <c r="I208">
        <v>30</v>
      </c>
      <c r="J208">
        <v>6</v>
      </c>
      <c r="K208">
        <v>30</v>
      </c>
      <c r="L208">
        <v>2023</v>
      </c>
      <c r="N208" t="s">
        <v>47</v>
      </c>
      <c r="O208" t="s">
        <v>47</v>
      </c>
      <c r="P208" t="s">
        <v>262</v>
      </c>
    </row>
    <row r="209" spans="1:18" x14ac:dyDescent="0.3">
      <c r="A209" t="s">
        <v>17</v>
      </c>
      <c r="C209">
        <v>60</v>
      </c>
      <c r="D209" t="s">
        <v>10</v>
      </c>
      <c r="F209" s="1">
        <v>45078.1875</v>
      </c>
      <c r="G209" s="1">
        <v>45078.229166666664</v>
      </c>
      <c r="H209">
        <v>4</v>
      </c>
      <c r="I209">
        <v>30</v>
      </c>
      <c r="J209">
        <v>5</v>
      </c>
      <c r="K209">
        <v>30</v>
      </c>
      <c r="L209">
        <v>2023</v>
      </c>
      <c r="N209" t="s">
        <v>47</v>
      </c>
      <c r="O209" t="s">
        <v>47</v>
      </c>
      <c r="P209" t="s">
        <v>263</v>
      </c>
    </row>
    <row r="210" spans="1:18" x14ac:dyDescent="0.3">
      <c r="A210" t="s">
        <v>8979</v>
      </c>
      <c r="C210">
        <v>45</v>
      </c>
      <c r="D210" t="s">
        <v>10</v>
      </c>
      <c r="F210" s="43">
        <v>45077.75</v>
      </c>
      <c r="G210" s="43">
        <v>45077.78125</v>
      </c>
      <c r="H210">
        <v>18</v>
      </c>
      <c r="I210">
        <v>0</v>
      </c>
      <c r="J210">
        <v>18</v>
      </c>
      <c r="K210">
        <v>45</v>
      </c>
      <c r="L210">
        <v>2023</v>
      </c>
      <c r="N210" t="s">
        <v>47</v>
      </c>
      <c r="O210" t="s">
        <v>47</v>
      </c>
      <c r="P210" t="s">
        <v>8980</v>
      </c>
    </row>
    <row r="211" spans="1:18" x14ac:dyDescent="0.3">
      <c r="A211" t="s">
        <v>84</v>
      </c>
      <c r="C211">
        <v>45</v>
      </c>
      <c r="D211" t="s">
        <v>10</v>
      </c>
      <c r="F211" s="43">
        <v>45077.708333333336</v>
      </c>
      <c r="G211" s="43">
        <v>45077.739583333336</v>
      </c>
      <c r="H211">
        <v>17</v>
      </c>
      <c r="I211">
        <v>0</v>
      </c>
      <c r="J211">
        <v>17</v>
      </c>
      <c r="K211">
        <v>45</v>
      </c>
      <c r="L211">
        <v>2023</v>
      </c>
      <c r="N211" t="s">
        <v>47</v>
      </c>
      <c r="O211" t="s">
        <v>47</v>
      </c>
      <c r="P211" t="s">
        <v>8978</v>
      </c>
    </row>
    <row r="212" spans="1:18" x14ac:dyDescent="0.3">
      <c r="A212" t="s">
        <v>9</v>
      </c>
      <c r="B212" s="38" t="s">
        <v>6</v>
      </c>
      <c r="C212">
        <v>45</v>
      </c>
      <c r="D212" t="s">
        <v>10</v>
      </c>
      <c r="E212">
        <v>1521440445</v>
      </c>
      <c r="F212" s="43">
        <v>45077.625</v>
      </c>
      <c r="G212" s="43">
        <v>45077.65625</v>
      </c>
      <c r="H212">
        <v>15</v>
      </c>
      <c r="I212">
        <v>0</v>
      </c>
      <c r="J212">
        <v>15</v>
      </c>
      <c r="K212">
        <v>45</v>
      </c>
      <c r="L212">
        <v>2023</v>
      </c>
      <c r="N212" t="s">
        <v>47</v>
      </c>
      <c r="O212" t="s">
        <v>47</v>
      </c>
      <c r="P212" t="s">
        <v>8977</v>
      </c>
      <c r="Q212" s="38" t="s">
        <v>6</v>
      </c>
      <c r="R212" s="40" t="s">
        <v>9117</v>
      </c>
    </row>
    <row r="213" spans="1:18" x14ac:dyDescent="0.3">
      <c r="A213" t="s">
        <v>4358</v>
      </c>
      <c r="C213">
        <v>45</v>
      </c>
      <c r="D213" t="s">
        <v>10</v>
      </c>
      <c r="F213" s="43">
        <v>45077.5625</v>
      </c>
      <c r="G213" s="43">
        <v>45077.59375</v>
      </c>
      <c r="H213">
        <v>13</v>
      </c>
      <c r="I213">
        <v>30</v>
      </c>
      <c r="J213">
        <v>14</v>
      </c>
      <c r="K213">
        <v>15</v>
      </c>
      <c r="L213">
        <v>2023</v>
      </c>
      <c r="N213" t="s">
        <v>47</v>
      </c>
      <c r="O213" t="s">
        <v>47</v>
      </c>
      <c r="P213" t="s">
        <v>8976</v>
      </c>
    </row>
    <row r="214" spans="1:18" x14ac:dyDescent="0.3">
      <c r="A214" t="s">
        <v>8974</v>
      </c>
      <c r="C214">
        <v>70</v>
      </c>
      <c r="D214" t="s">
        <v>10</v>
      </c>
      <c r="F214" s="43">
        <v>45077.489583333336</v>
      </c>
      <c r="G214" s="43">
        <v>45077.538194444445</v>
      </c>
      <c r="H214">
        <v>11</v>
      </c>
      <c r="I214">
        <v>45</v>
      </c>
      <c r="J214">
        <v>12</v>
      </c>
      <c r="K214">
        <v>55</v>
      </c>
      <c r="L214">
        <v>2023</v>
      </c>
      <c r="N214" t="s">
        <v>47</v>
      </c>
      <c r="O214" t="s">
        <v>47</v>
      </c>
      <c r="P214" t="s">
        <v>8975</v>
      </c>
    </row>
    <row r="215" spans="1:18" x14ac:dyDescent="0.3">
      <c r="A215" t="s">
        <v>8941</v>
      </c>
      <c r="B215" s="42" t="s">
        <v>160</v>
      </c>
      <c r="C215">
        <v>60</v>
      </c>
      <c r="D215" t="s">
        <v>10</v>
      </c>
      <c r="E215">
        <v>4574061084</v>
      </c>
      <c r="F215" s="43">
        <v>45077.385416666664</v>
      </c>
      <c r="G215" s="43">
        <v>45077.427083333336</v>
      </c>
      <c r="H215">
        <v>9</v>
      </c>
      <c r="I215">
        <v>15</v>
      </c>
      <c r="J215">
        <v>10</v>
      </c>
      <c r="K215">
        <v>15</v>
      </c>
      <c r="L215">
        <v>2023</v>
      </c>
      <c r="N215" t="s">
        <v>8942</v>
      </c>
      <c r="O215" t="s">
        <v>73</v>
      </c>
      <c r="P215" t="s">
        <v>8943</v>
      </c>
      <c r="Q215" s="42" t="s">
        <v>160</v>
      </c>
      <c r="R215" s="40" t="s">
        <v>9114</v>
      </c>
    </row>
    <row r="216" spans="1:18" x14ac:dyDescent="0.3">
      <c r="A216" t="s">
        <v>8972</v>
      </c>
      <c r="B216" s="42" t="s">
        <v>160</v>
      </c>
      <c r="C216">
        <v>30</v>
      </c>
      <c r="D216" t="s">
        <v>10</v>
      </c>
      <c r="E216">
        <v>4574061084</v>
      </c>
      <c r="F216" s="43">
        <v>45077.354166666664</v>
      </c>
      <c r="G216" s="43">
        <v>45077.375</v>
      </c>
      <c r="H216">
        <v>8</v>
      </c>
      <c r="I216">
        <v>30</v>
      </c>
      <c r="J216">
        <v>9</v>
      </c>
      <c r="K216">
        <v>0</v>
      </c>
      <c r="L216">
        <v>2023</v>
      </c>
      <c r="N216" t="s">
        <v>47</v>
      </c>
      <c r="O216" t="s">
        <v>47</v>
      </c>
      <c r="P216" t="s">
        <v>8973</v>
      </c>
      <c r="Q216" s="42" t="s">
        <v>160</v>
      </c>
      <c r="R216" s="40" t="s">
        <v>9114</v>
      </c>
    </row>
    <row r="217" spans="1:18" x14ac:dyDescent="0.3">
      <c r="A217" t="s">
        <v>8944</v>
      </c>
      <c r="C217">
        <v>30</v>
      </c>
      <c r="D217" t="s">
        <v>10</v>
      </c>
      <c r="E217" t="s">
        <v>8945</v>
      </c>
      <c r="F217" s="43">
        <v>45077.333333333336</v>
      </c>
      <c r="G217" s="43">
        <v>45077.354166666664</v>
      </c>
      <c r="H217">
        <v>8</v>
      </c>
      <c r="I217">
        <v>0</v>
      </c>
      <c r="J217">
        <v>8</v>
      </c>
      <c r="K217">
        <v>30</v>
      </c>
      <c r="L217">
        <v>2023</v>
      </c>
      <c r="N217" t="s">
        <v>8946</v>
      </c>
      <c r="O217" t="s">
        <v>8947</v>
      </c>
      <c r="P217" t="s">
        <v>8948</v>
      </c>
    </row>
    <row r="218" spans="1:18" x14ac:dyDescent="0.3">
      <c r="A218" t="s">
        <v>8963</v>
      </c>
      <c r="B218" t="s">
        <v>20</v>
      </c>
      <c r="C218">
        <v>30</v>
      </c>
      <c r="D218" t="s">
        <v>10</v>
      </c>
      <c r="E218" t="s">
        <v>5</v>
      </c>
      <c r="F218" s="43">
        <v>45077.291666666664</v>
      </c>
      <c r="G218" s="43">
        <v>45077.3125</v>
      </c>
      <c r="H218">
        <v>7</v>
      </c>
      <c r="I218">
        <v>0</v>
      </c>
      <c r="J218">
        <v>7</v>
      </c>
      <c r="K218">
        <v>30</v>
      </c>
      <c r="L218">
        <v>2023</v>
      </c>
      <c r="N218" t="s">
        <v>8964</v>
      </c>
      <c r="O218" t="s">
        <v>7685</v>
      </c>
      <c r="P218" t="s">
        <v>8965</v>
      </c>
    </row>
    <row r="219" spans="1:18" x14ac:dyDescent="0.3">
      <c r="A219" t="s">
        <v>8970</v>
      </c>
      <c r="C219">
        <v>120</v>
      </c>
      <c r="D219" t="s">
        <v>10</v>
      </c>
      <c r="F219" s="43">
        <v>45077.1875</v>
      </c>
      <c r="G219" s="43">
        <v>45077.270833333336</v>
      </c>
      <c r="H219">
        <v>4</v>
      </c>
      <c r="I219">
        <v>30</v>
      </c>
      <c r="J219">
        <v>6</v>
      </c>
      <c r="K219">
        <v>30</v>
      </c>
      <c r="L219">
        <v>2023</v>
      </c>
      <c r="N219" t="s">
        <v>47</v>
      </c>
      <c r="O219" t="s">
        <v>47</v>
      </c>
      <c r="P219" t="s">
        <v>8971</v>
      </c>
    </row>
    <row r="220" spans="1:18" x14ac:dyDescent="0.3">
      <c r="A220" t="s">
        <v>8968</v>
      </c>
      <c r="C220">
        <v>25</v>
      </c>
      <c r="D220" t="s">
        <v>10</v>
      </c>
      <c r="F220" s="43">
        <v>45076.798611111109</v>
      </c>
      <c r="G220" s="43">
        <v>45076.815972222219</v>
      </c>
      <c r="H220">
        <v>19</v>
      </c>
      <c r="I220">
        <v>10</v>
      </c>
      <c r="J220">
        <v>19</v>
      </c>
      <c r="K220">
        <v>35</v>
      </c>
      <c r="L220">
        <v>2023</v>
      </c>
      <c r="N220" t="s">
        <v>47</v>
      </c>
      <c r="O220" t="s">
        <v>47</v>
      </c>
      <c r="P220" t="s">
        <v>8969</v>
      </c>
    </row>
    <row r="221" spans="1:18" x14ac:dyDescent="0.3">
      <c r="A221" t="s">
        <v>7695</v>
      </c>
      <c r="C221">
        <v>25</v>
      </c>
      <c r="D221" t="s">
        <v>10</v>
      </c>
      <c r="F221" s="43">
        <v>45076.767361111109</v>
      </c>
      <c r="G221" s="43">
        <v>45076.784722222219</v>
      </c>
      <c r="H221">
        <v>18</v>
      </c>
      <c r="I221">
        <v>25</v>
      </c>
      <c r="J221">
        <v>18</v>
      </c>
      <c r="K221">
        <v>50</v>
      </c>
      <c r="L221">
        <v>2023</v>
      </c>
      <c r="N221" t="s">
        <v>47</v>
      </c>
      <c r="O221" t="s">
        <v>47</v>
      </c>
      <c r="P221" t="s">
        <v>8967</v>
      </c>
    </row>
    <row r="222" spans="1:18" x14ac:dyDescent="0.3">
      <c r="A222" t="s">
        <v>7695</v>
      </c>
      <c r="C222">
        <v>30</v>
      </c>
      <c r="D222" t="s">
        <v>10</v>
      </c>
      <c r="F222" s="43">
        <v>45076.729166666664</v>
      </c>
      <c r="G222" s="43">
        <v>45076.75</v>
      </c>
      <c r="H222">
        <v>17</v>
      </c>
      <c r="I222">
        <v>30</v>
      </c>
      <c r="J222">
        <v>18</v>
      </c>
      <c r="K222">
        <v>0</v>
      </c>
      <c r="L222">
        <v>2023</v>
      </c>
      <c r="N222" t="s">
        <v>47</v>
      </c>
      <c r="O222" t="s">
        <v>47</v>
      </c>
      <c r="P222" t="s">
        <v>8966</v>
      </c>
    </row>
    <row r="223" spans="1:18" x14ac:dyDescent="0.3">
      <c r="A223" t="s">
        <v>8961</v>
      </c>
      <c r="C223">
        <v>40</v>
      </c>
      <c r="D223" t="s">
        <v>10</v>
      </c>
      <c r="F223" s="43">
        <v>45076.6875</v>
      </c>
      <c r="G223" s="43">
        <v>45076.715277777781</v>
      </c>
      <c r="H223">
        <v>16</v>
      </c>
      <c r="I223">
        <v>30</v>
      </c>
      <c r="J223">
        <v>17</v>
      </c>
      <c r="K223">
        <v>10</v>
      </c>
      <c r="L223">
        <v>2023</v>
      </c>
      <c r="N223" t="s">
        <v>47</v>
      </c>
      <c r="O223" t="s">
        <v>47</v>
      </c>
      <c r="P223" t="s">
        <v>8962</v>
      </c>
    </row>
    <row r="224" spans="1:18" x14ac:dyDescent="0.3">
      <c r="A224" t="s">
        <v>7</v>
      </c>
      <c r="C224">
        <v>30</v>
      </c>
      <c r="D224" t="s">
        <v>10</v>
      </c>
      <c r="F224" s="43">
        <v>45076.666666666664</v>
      </c>
      <c r="G224" s="43">
        <v>45076.6875</v>
      </c>
      <c r="H224">
        <v>16</v>
      </c>
      <c r="I224">
        <v>0</v>
      </c>
      <c r="J224">
        <v>16</v>
      </c>
      <c r="K224">
        <v>30</v>
      </c>
      <c r="L224">
        <v>2023</v>
      </c>
      <c r="N224" t="s">
        <v>47</v>
      </c>
      <c r="O224" t="s">
        <v>47</v>
      </c>
      <c r="P224" t="s">
        <v>8960</v>
      </c>
    </row>
    <row r="225" spans="1:16" x14ac:dyDescent="0.3">
      <c r="A225" t="s">
        <v>8958</v>
      </c>
      <c r="B225" t="s">
        <v>109</v>
      </c>
      <c r="C225">
        <v>30</v>
      </c>
      <c r="D225" t="s">
        <v>10</v>
      </c>
      <c r="E225" t="s">
        <v>8950</v>
      </c>
      <c r="F225" s="43">
        <v>45076.583333333336</v>
      </c>
      <c r="G225" s="43">
        <v>45076.604166666664</v>
      </c>
      <c r="H225">
        <v>14</v>
      </c>
      <c r="I225">
        <v>0</v>
      </c>
      <c r="J225">
        <v>14</v>
      </c>
      <c r="K225">
        <v>30</v>
      </c>
      <c r="L225">
        <v>2023</v>
      </c>
      <c r="N225" t="s">
        <v>47</v>
      </c>
      <c r="O225" t="s">
        <v>47</v>
      </c>
      <c r="P225" t="s">
        <v>8959</v>
      </c>
    </row>
    <row r="226" spans="1:16" x14ac:dyDescent="0.3">
      <c r="A226" t="s">
        <v>8</v>
      </c>
      <c r="B226" t="s">
        <v>6</v>
      </c>
      <c r="C226">
        <v>20</v>
      </c>
      <c r="D226" t="s">
        <v>10</v>
      </c>
      <c r="F226" s="43">
        <v>45076.541666666664</v>
      </c>
      <c r="G226" s="43">
        <v>45076.555555555555</v>
      </c>
      <c r="H226">
        <v>13</v>
      </c>
      <c r="I226">
        <v>0</v>
      </c>
      <c r="J226">
        <v>13</v>
      </c>
      <c r="K226">
        <v>20</v>
      </c>
      <c r="L226">
        <v>2023</v>
      </c>
      <c r="N226" t="s">
        <v>47</v>
      </c>
      <c r="O226" t="s">
        <v>47</v>
      </c>
      <c r="P226" t="s">
        <v>8957</v>
      </c>
    </row>
    <row r="227" spans="1:16" x14ac:dyDescent="0.3">
      <c r="A227" t="s">
        <v>17</v>
      </c>
      <c r="B227" t="s">
        <v>6</v>
      </c>
      <c r="C227">
        <v>60</v>
      </c>
      <c r="D227" t="s">
        <v>10</v>
      </c>
      <c r="F227" s="43">
        <v>45076.5</v>
      </c>
      <c r="G227" s="43">
        <v>45076.541666666664</v>
      </c>
      <c r="H227">
        <v>12</v>
      </c>
      <c r="I227">
        <v>0</v>
      </c>
      <c r="J227">
        <v>13</v>
      </c>
      <c r="K227">
        <v>0</v>
      </c>
      <c r="L227">
        <v>2023</v>
      </c>
      <c r="N227" t="s">
        <v>47</v>
      </c>
      <c r="O227" t="s">
        <v>47</v>
      </c>
      <c r="P227" t="s">
        <v>8956</v>
      </c>
    </row>
    <row r="228" spans="1:16" x14ac:dyDescent="0.3">
      <c r="A228" t="s">
        <v>7695</v>
      </c>
      <c r="B228" t="s">
        <v>160</v>
      </c>
      <c r="C228">
        <v>15</v>
      </c>
      <c r="D228" t="s">
        <v>10</v>
      </c>
      <c r="F228" s="43">
        <v>45076.479166666664</v>
      </c>
      <c r="G228" s="43">
        <v>45076.489583333336</v>
      </c>
      <c r="H228">
        <v>11</v>
      </c>
      <c r="I228">
        <v>30</v>
      </c>
      <c r="J228">
        <v>11</v>
      </c>
      <c r="K228">
        <v>45</v>
      </c>
      <c r="L228">
        <v>2023</v>
      </c>
      <c r="N228" t="s">
        <v>47</v>
      </c>
      <c r="O228" t="s">
        <v>47</v>
      </c>
      <c r="P228" t="s">
        <v>8955</v>
      </c>
    </row>
    <row r="229" spans="1:16" x14ac:dyDescent="0.3">
      <c r="A229" t="s">
        <v>8686</v>
      </c>
      <c r="B229" t="s">
        <v>160</v>
      </c>
      <c r="C229">
        <v>30</v>
      </c>
      <c r="D229" t="s">
        <v>10</v>
      </c>
      <c r="E229" t="s">
        <v>8693</v>
      </c>
      <c r="F229" s="43">
        <v>45076.416666666664</v>
      </c>
      <c r="G229" s="43">
        <v>45076.4375</v>
      </c>
      <c r="H229">
        <v>10</v>
      </c>
      <c r="I229">
        <v>0</v>
      </c>
      <c r="J229">
        <v>10</v>
      </c>
      <c r="K229">
        <v>30</v>
      </c>
      <c r="L229">
        <v>2023</v>
      </c>
      <c r="N229" t="s">
        <v>47</v>
      </c>
      <c r="O229" t="s">
        <v>47</v>
      </c>
      <c r="P229" t="s">
        <v>8954</v>
      </c>
    </row>
    <row r="230" spans="1:16" x14ac:dyDescent="0.3">
      <c r="A230" t="s">
        <v>8952</v>
      </c>
      <c r="B230" t="s">
        <v>6</v>
      </c>
      <c r="C230">
        <v>20</v>
      </c>
      <c r="D230" t="s">
        <v>10</v>
      </c>
      <c r="F230" s="43">
        <v>45076.381944444445</v>
      </c>
      <c r="G230" s="43">
        <v>45076.395833333336</v>
      </c>
      <c r="H230">
        <v>9</v>
      </c>
      <c r="I230">
        <v>10</v>
      </c>
      <c r="J230">
        <v>9</v>
      </c>
      <c r="K230">
        <v>30</v>
      </c>
      <c r="L230">
        <v>2023</v>
      </c>
      <c r="N230" t="s">
        <v>47</v>
      </c>
      <c r="O230" t="s">
        <v>47</v>
      </c>
      <c r="P230" t="s">
        <v>8953</v>
      </c>
    </row>
    <row r="231" spans="1:16" x14ac:dyDescent="0.3">
      <c r="A231" t="s">
        <v>8949</v>
      </c>
      <c r="B231" t="s">
        <v>109</v>
      </c>
      <c r="C231">
        <v>40</v>
      </c>
      <c r="D231" t="s">
        <v>10</v>
      </c>
      <c r="E231" t="s">
        <v>8950</v>
      </c>
      <c r="F231" s="43">
        <v>45076.354166666664</v>
      </c>
      <c r="G231" s="43">
        <v>45076.381944444445</v>
      </c>
      <c r="H231">
        <v>8</v>
      </c>
      <c r="I231">
        <v>30</v>
      </c>
      <c r="J231">
        <v>9</v>
      </c>
      <c r="K231">
        <v>10</v>
      </c>
      <c r="L231">
        <v>2023</v>
      </c>
      <c r="N231" t="s">
        <v>47</v>
      </c>
      <c r="O231" t="s">
        <v>47</v>
      </c>
      <c r="P231" t="s">
        <v>8951</v>
      </c>
    </row>
    <row r="232" spans="1:16" x14ac:dyDescent="0.3">
      <c r="A232" t="s">
        <v>84</v>
      </c>
      <c r="B232" t="s">
        <v>109</v>
      </c>
      <c r="C232">
        <v>45</v>
      </c>
      <c r="D232" t="s">
        <v>10</v>
      </c>
      <c r="E232" t="s">
        <v>8636</v>
      </c>
      <c r="F232" s="43">
        <v>45076.270833333336</v>
      </c>
      <c r="G232" s="43">
        <v>45076.302083333336</v>
      </c>
      <c r="H232">
        <v>6</v>
      </c>
      <c r="I232">
        <v>30</v>
      </c>
      <c r="J232">
        <v>7</v>
      </c>
      <c r="K232">
        <v>15</v>
      </c>
      <c r="L232">
        <v>2023</v>
      </c>
      <c r="N232" t="s">
        <v>47</v>
      </c>
      <c r="O232" t="s">
        <v>47</v>
      </c>
      <c r="P232" t="s">
        <v>8940</v>
      </c>
    </row>
    <row r="233" spans="1:16" x14ac:dyDescent="0.3">
      <c r="A233" t="s">
        <v>8981</v>
      </c>
      <c r="C233">
        <v>30</v>
      </c>
      <c r="D233" t="s">
        <v>3777</v>
      </c>
      <c r="E233" t="s">
        <v>8982</v>
      </c>
      <c r="F233" s="43">
        <v>45076</v>
      </c>
      <c r="G233" s="43">
        <v>45260</v>
      </c>
      <c r="H233">
        <v>16</v>
      </c>
      <c r="I233">
        <v>0</v>
      </c>
      <c r="J233">
        <v>16</v>
      </c>
      <c r="K233">
        <v>30</v>
      </c>
      <c r="L233">
        <v>2023</v>
      </c>
      <c r="N233" t="s">
        <v>8223</v>
      </c>
      <c r="O233" t="s">
        <v>8224</v>
      </c>
      <c r="P233" t="s">
        <v>8983</v>
      </c>
    </row>
    <row r="234" spans="1:16" x14ac:dyDescent="0.3">
      <c r="A234" t="s">
        <v>8938</v>
      </c>
      <c r="B234" t="s">
        <v>109</v>
      </c>
      <c r="C234">
        <v>45</v>
      </c>
      <c r="D234" t="s">
        <v>10</v>
      </c>
      <c r="E234" t="s">
        <v>8925</v>
      </c>
      <c r="F234" s="43">
        <v>45075.739583333336</v>
      </c>
      <c r="G234" s="43">
        <v>45075.770833333336</v>
      </c>
      <c r="H234">
        <v>17</v>
      </c>
      <c r="I234">
        <v>45</v>
      </c>
      <c r="J234">
        <v>18</v>
      </c>
      <c r="K234">
        <v>30</v>
      </c>
      <c r="L234">
        <v>2023</v>
      </c>
      <c r="N234" t="s">
        <v>47</v>
      </c>
      <c r="O234" t="s">
        <v>47</v>
      </c>
      <c r="P234" t="s">
        <v>8939</v>
      </c>
    </row>
    <row r="235" spans="1:16" x14ac:dyDescent="0.3">
      <c r="A235" t="s">
        <v>8936</v>
      </c>
      <c r="B235" t="s">
        <v>109</v>
      </c>
      <c r="C235">
        <v>60</v>
      </c>
      <c r="D235" t="s">
        <v>10</v>
      </c>
      <c r="E235" t="s">
        <v>8925</v>
      </c>
      <c r="F235" s="43">
        <v>45075.666666666664</v>
      </c>
      <c r="G235" s="43">
        <v>45075.708333333336</v>
      </c>
      <c r="H235">
        <v>16</v>
      </c>
      <c r="I235">
        <v>0</v>
      </c>
      <c r="J235">
        <v>17</v>
      </c>
      <c r="K235">
        <v>0</v>
      </c>
      <c r="L235">
        <v>2023</v>
      </c>
      <c r="N235" t="s">
        <v>47</v>
      </c>
      <c r="O235" t="s">
        <v>47</v>
      </c>
      <c r="P235" t="s">
        <v>8937</v>
      </c>
    </row>
    <row r="236" spans="1:16" x14ac:dyDescent="0.3">
      <c r="A236" t="s">
        <v>8934</v>
      </c>
      <c r="B236" t="s">
        <v>109</v>
      </c>
      <c r="C236">
        <v>30</v>
      </c>
      <c r="D236" t="s">
        <v>10</v>
      </c>
      <c r="E236" t="s">
        <v>8925</v>
      </c>
      <c r="F236" s="43">
        <v>45075.614583333336</v>
      </c>
      <c r="G236" s="43">
        <v>45075.635416666664</v>
      </c>
      <c r="H236">
        <v>14</v>
      </c>
      <c r="I236">
        <v>45</v>
      </c>
      <c r="J236">
        <v>15</v>
      </c>
      <c r="K236">
        <v>15</v>
      </c>
      <c r="L236">
        <v>2023</v>
      </c>
      <c r="N236" t="s">
        <v>47</v>
      </c>
      <c r="O236" t="s">
        <v>47</v>
      </c>
      <c r="P236" t="s">
        <v>8935</v>
      </c>
    </row>
    <row r="237" spans="1:16" x14ac:dyDescent="0.3">
      <c r="A237" t="s">
        <v>8931</v>
      </c>
      <c r="B237" t="s">
        <v>109</v>
      </c>
      <c r="C237">
        <v>90</v>
      </c>
      <c r="D237" t="s">
        <v>10</v>
      </c>
      <c r="E237" t="s">
        <v>8925</v>
      </c>
      <c r="F237" s="43">
        <v>45075.520833333336</v>
      </c>
      <c r="G237" s="43">
        <v>45075.583333333336</v>
      </c>
      <c r="H237">
        <v>12</v>
      </c>
      <c r="I237">
        <v>30</v>
      </c>
      <c r="J237">
        <v>14</v>
      </c>
      <c r="K237">
        <v>0</v>
      </c>
      <c r="L237">
        <v>2023</v>
      </c>
      <c r="N237" t="s">
        <v>47</v>
      </c>
      <c r="O237" t="s">
        <v>47</v>
      </c>
      <c r="P237" t="s">
        <v>8933</v>
      </c>
    </row>
    <row r="238" spans="1:16" x14ac:dyDescent="0.3">
      <c r="A238" t="s">
        <v>8931</v>
      </c>
      <c r="B238" t="s">
        <v>109</v>
      </c>
      <c r="C238">
        <v>90</v>
      </c>
      <c r="D238" t="s">
        <v>10</v>
      </c>
      <c r="E238" t="s">
        <v>8925</v>
      </c>
      <c r="F238" s="43">
        <v>45075.3125</v>
      </c>
      <c r="G238" s="43">
        <v>45075.375</v>
      </c>
      <c r="H238">
        <v>7</v>
      </c>
      <c r="I238">
        <v>30</v>
      </c>
      <c r="J238">
        <v>9</v>
      </c>
      <c r="K238">
        <v>0</v>
      </c>
      <c r="L238">
        <v>2023</v>
      </c>
      <c r="N238" t="s">
        <v>47</v>
      </c>
      <c r="O238" t="s">
        <v>47</v>
      </c>
      <c r="P238" t="s">
        <v>8932</v>
      </c>
    </row>
    <row r="239" spans="1:16" x14ac:dyDescent="0.3">
      <c r="A239" t="s">
        <v>8929</v>
      </c>
      <c r="B239" t="s">
        <v>109</v>
      </c>
      <c r="C239">
        <v>60</v>
      </c>
      <c r="D239" t="s">
        <v>10</v>
      </c>
      <c r="E239" t="s">
        <v>8925</v>
      </c>
      <c r="F239" s="43">
        <v>45074.736111111109</v>
      </c>
      <c r="G239" s="43">
        <v>45074.777777777781</v>
      </c>
      <c r="H239">
        <v>17</v>
      </c>
      <c r="I239">
        <v>40</v>
      </c>
      <c r="J239">
        <v>18</v>
      </c>
      <c r="K239">
        <v>40</v>
      </c>
      <c r="L239">
        <v>2023</v>
      </c>
      <c r="N239" t="s">
        <v>47</v>
      </c>
      <c r="O239" t="s">
        <v>47</v>
      </c>
      <c r="P239" t="s">
        <v>8930</v>
      </c>
    </row>
    <row r="240" spans="1:16" x14ac:dyDescent="0.3">
      <c r="A240" t="s">
        <v>8924</v>
      </c>
      <c r="B240" t="s">
        <v>109</v>
      </c>
      <c r="C240">
        <v>30</v>
      </c>
      <c r="D240" t="s">
        <v>10</v>
      </c>
      <c r="E240" t="s">
        <v>8925</v>
      </c>
      <c r="F240" s="43">
        <v>45074.645833333336</v>
      </c>
      <c r="G240" s="43">
        <v>45074.666666666664</v>
      </c>
      <c r="H240">
        <v>15</v>
      </c>
      <c r="I240">
        <v>30</v>
      </c>
      <c r="J240">
        <v>16</v>
      </c>
      <c r="K240">
        <v>0</v>
      </c>
      <c r="L240">
        <v>2023</v>
      </c>
      <c r="N240" t="s">
        <v>47</v>
      </c>
      <c r="O240" t="s">
        <v>47</v>
      </c>
      <c r="P240" t="s">
        <v>8928</v>
      </c>
    </row>
    <row r="241" spans="1:16" x14ac:dyDescent="0.3">
      <c r="A241" t="s">
        <v>97</v>
      </c>
      <c r="B241" t="s">
        <v>109</v>
      </c>
      <c r="C241">
        <v>60</v>
      </c>
      <c r="D241" t="s">
        <v>10</v>
      </c>
      <c r="E241" t="s">
        <v>8636</v>
      </c>
      <c r="F241" s="43">
        <v>45074.5625</v>
      </c>
      <c r="G241" s="43">
        <v>45074.604166666664</v>
      </c>
      <c r="H241">
        <v>13</v>
      </c>
      <c r="I241">
        <v>30</v>
      </c>
      <c r="J241">
        <v>14</v>
      </c>
      <c r="K241">
        <v>30</v>
      </c>
      <c r="L241">
        <v>2023</v>
      </c>
      <c r="N241" t="s">
        <v>47</v>
      </c>
      <c r="O241" t="s">
        <v>47</v>
      </c>
      <c r="P241" t="s">
        <v>8927</v>
      </c>
    </row>
    <row r="242" spans="1:16" x14ac:dyDescent="0.3">
      <c r="A242" t="s">
        <v>8924</v>
      </c>
      <c r="B242" t="s">
        <v>109</v>
      </c>
      <c r="C242">
        <v>30</v>
      </c>
      <c r="D242" t="s">
        <v>10</v>
      </c>
      <c r="E242" t="s">
        <v>8925</v>
      </c>
      <c r="F242" s="43">
        <v>45074.520833333336</v>
      </c>
      <c r="G242" s="43">
        <v>45074.541666666664</v>
      </c>
      <c r="H242">
        <v>12</v>
      </c>
      <c r="I242">
        <v>30</v>
      </c>
      <c r="J242">
        <v>13</v>
      </c>
      <c r="K242">
        <v>0</v>
      </c>
      <c r="L242">
        <v>2023</v>
      </c>
      <c r="N242" t="s">
        <v>47</v>
      </c>
      <c r="O242" t="s">
        <v>47</v>
      </c>
      <c r="P242" t="s">
        <v>8926</v>
      </c>
    </row>
    <row r="243" spans="1:16" x14ac:dyDescent="0.3">
      <c r="A243" t="s">
        <v>97</v>
      </c>
      <c r="B243" t="s">
        <v>109</v>
      </c>
      <c r="C243">
        <v>40</v>
      </c>
      <c r="D243" t="s">
        <v>10</v>
      </c>
      <c r="E243" t="s">
        <v>8636</v>
      </c>
      <c r="F243" s="43">
        <v>45074.430555555555</v>
      </c>
      <c r="G243" s="43">
        <v>45074.458333333336</v>
      </c>
      <c r="H243">
        <v>10</v>
      </c>
      <c r="I243">
        <v>20</v>
      </c>
      <c r="J243">
        <v>11</v>
      </c>
      <c r="K243">
        <v>0</v>
      </c>
      <c r="L243">
        <v>2023</v>
      </c>
      <c r="N243" s="46" t="s">
        <v>47</v>
      </c>
      <c r="O243" t="s">
        <v>47</v>
      </c>
      <c r="P243" t="s">
        <v>8923</v>
      </c>
    </row>
    <row r="244" spans="1:16" x14ac:dyDescent="0.3">
      <c r="A244" t="s">
        <v>8920</v>
      </c>
      <c r="B244" t="s">
        <v>109</v>
      </c>
      <c r="C244">
        <v>40</v>
      </c>
      <c r="D244" t="s">
        <v>10</v>
      </c>
      <c r="E244" t="s">
        <v>8636</v>
      </c>
      <c r="F244" s="43">
        <v>45074.354166666664</v>
      </c>
      <c r="G244" s="43">
        <v>45074.381944444445</v>
      </c>
      <c r="H244">
        <v>8</v>
      </c>
      <c r="I244">
        <v>30</v>
      </c>
      <c r="J244">
        <v>9</v>
      </c>
      <c r="K244">
        <v>10</v>
      </c>
      <c r="L244">
        <v>2023</v>
      </c>
      <c r="N244" t="s">
        <v>47</v>
      </c>
      <c r="O244" t="s">
        <v>47</v>
      </c>
      <c r="P244" t="s">
        <v>8922</v>
      </c>
    </row>
    <row r="245" spans="1:16" x14ac:dyDescent="0.3">
      <c r="A245" t="s">
        <v>8920</v>
      </c>
      <c r="B245" t="s">
        <v>109</v>
      </c>
      <c r="C245">
        <v>60</v>
      </c>
      <c r="D245" t="s">
        <v>10</v>
      </c>
      <c r="E245" t="s">
        <v>8636</v>
      </c>
      <c r="F245" s="43">
        <v>45073.666666666664</v>
      </c>
      <c r="G245" s="43">
        <v>45073.708333333336</v>
      </c>
      <c r="H245">
        <v>16</v>
      </c>
      <c r="I245">
        <v>0</v>
      </c>
      <c r="J245">
        <v>17</v>
      </c>
      <c r="K245">
        <v>0</v>
      </c>
      <c r="L245">
        <v>2023</v>
      </c>
      <c r="N245" t="s">
        <v>47</v>
      </c>
      <c r="O245" t="s">
        <v>47</v>
      </c>
      <c r="P245" t="s">
        <v>8921</v>
      </c>
    </row>
    <row r="246" spans="1:16" x14ac:dyDescent="0.3">
      <c r="A246" t="s">
        <v>8918</v>
      </c>
      <c r="B246" t="s">
        <v>109</v>
      </c>
      <c r="C246">
        <v>60</v>
      </c>
      <c r="D246" t="s">
        <v>10</v>
      </c>
      <c r="E246" t="s">
        <v>8636</v>
      </c>
      <c r="F246" s="43">
        <v>45073.597222222219</v>
      </c>
      <c r="G246" s="43">
        <v>45073.638888888891</v>
      </c>
      <c r="H246">
        <v>14</v>
      </c>
      <c r="I246">
        <v>20</v>
      </c>
      <c r="J246">
        <v>15</v>
      </c>
      <c r="K246">
        <v>20</v>
      </c>
      <c r="L246">
        <v>2023</v>
      </c>
      <c r="N246" t="s">
        <v>47</v>
      </c>
      <c r="O246" t="s">
        <v>47</v>
      </c>
      <c r="P246" t="s">
        <v>8919</v>
      </c>
    </row>
    <row r="247" spans="1:16" x14ac:dyDescent="0.3">
      <c r="A247" t="s">
        <v>8915</v>
      </c>
      <c r="B247" t="s">
        <v>109</v>
      </c>
      <c r="C247">
        <v>30</v>
      </c>
      <c r="D247" t="s">
        <v>10</v>
      </c>
      <c r="E247" t="s">
        <v>8636</v>
      </c>
      <c r="F247" s="43">
        <v>45073.333333333336</v>
      </c>
      <c r="G247" s="43">
        <v>45073.354166666664</v>
      </c>
      <c r="H247">
        <v>8</v>
      </c>
      <c r="I247">
        <v>0</v>
      </c>
      <c r="J247">
        <v>8</v>
      </c>
      <c r="K247">
        <v>30</v>
      </c>
      <c r="L247">
        <v>2023</v>
      </c>
      <c r="N247" t="s">
        <v>47</v>
      </c>
      <c r="O247" t="s">
        <v>47</v>
      </c>
      <c r="P247" t="s">
        <v>8917</v>
      </c>
    </row>
    <row r="248" spans="1:16" x14ac:dyDescent="0.3">
      <c r="A248" t="s">
        <v>8915</v>
      </c>
      <c r="B248" t="s">
        <v>109</v>
      </c>
      <c r="C248">
        <v>75</v>
      </c>
      <c r="D248" t="s">
        <v>10</v>
      </c>
      <c r="E248" t="s">
        <v>8636</v>
      </c>
      <c r="F248" s="43">
        <v>45073.1875</v>
      </c>
      <c r="G248" s="43">
        <v>45073.239583333336</v>
      </c>
      <c r="H248">
        <v>4</v>
      </c>
      <c r="I248">
        <v>30</v>
      </c>
      <c r="J248">
        <v>5</v>
      </c>
      <c r="K248">
        <v>45</v>
      </c>
      <c r="L248">
        <v>2023</v>
      </c>
      <c r="N248" t="s">
        <v>47</v>
      </c>
      <c r="O248" t="s">
        <v>47</v>
      </c>
      <c r="P248" t="s">
        <v>8916</v>
      </c>
    </row>
    <row r="249" spans="1:16" x14ac:dyDescent="0.3">
      <c r="A249" t="s">
        <v>8913</v>
      </c>
      <c r="B249" t="s">
        <v>31</v>
      </c>
      <c r="C249">
        <v>60</v>
      </c>
      <c r="D249" t="s">
        <v>10</v>
      </c>
      <c r="E249" s="44"/>
      <c r="F249" s="43">
        <v>45072.625</v>
      </c>
      <c r="G249" s="43">
        <v>45072.666666666664</v>
      </c>
      <c r="H249">
        <v>15</v>
      </c>
      <c r="I249">
        <v>0</v>
      </c>
      <c r="J249">
        <v>16</v>
      </c>
      <c r="K249">
        <v>0</v>
      </c>
      <c r="L249">
        <v>2023</v>
      </c>
      <c r="N249" t="s">
        <v>47</v>
      </c>
      <c r="O249" t="s">
        <v>47</v>
      </c>
      <c r="P249" t="s">
        <v>8914</v>
      </c>
    </row>
    <row r="250" spans="1:16" x14ac:dyDescent="0.3">
      <c r="A250" t="s">
        <v>9</v>
      </c>
      <c r="B250" t="s">
        <v>6</v>
      </c>
      <c r="C250">
        <v>30</v>
      </c>
      <c r="D250" t="s">
        <v>10</v>
      </c>
      <c r="F250" s="43">
        <v>45072.583333333336</v>
      </c>
      <c r="G250" s="43">
        <v>45072.604166666664</v>
      </c>
      <c r="H250">
        <v>14</v>
      </c>
      <c r="I250">
        <v>0</v>
      </c>
      <c r="J250">
        <v>14</v>
      </c>
      <c r="K250">
        <v>30</v>
      </c>
      <c r="L250">
        <v>2023</v>
      </c>
      <c r="N250" t="s">
        <v>47</v>
      </c>
      <c r="O250" t="s">
        <v>47</v>
      </c>
      <c r="P250" t="s">
        <v>8912</v>
      </c>
    </row>
    <row r="251" spans="1:16" x14ac:dyDescent="0.3">
      <c r="A251" t="s">
        <v>142</v>
      </c>
      <c r="B251" t="s">
        <v>109</v>
      </c>
      <c r="C251">
        <v>40</v>
      </c>
      <c r="D251" t="s">
        <v>10</v>
      </c>
      <c r="E251" t="s">
        <v>8636</v>
      </c>
      <c r="F251" s="43">
        <v>45072.541666666664</v>
      </c>
      <c r="G251" s="43">
        <v>45072.569444444445</v>
      </c>
      <c r="H251">
        <v>13</v>
      </c>
      <c r="I251">
        <v>0</v>
      </c>
      <c r="J251">
        <v>13</v>
      </c>
      <c r="K251">
        <v>40</v>
      </c>
      <c r="L251">
        <v>2023</v>
      </c>
      <c r="N251" t="s">
        <v>47</v>
      </c>
      <c r="O251" t="s">
        <v>47</v>
      </c>
      <c r="P251" t="s">
        <v>8911</v>
      </c>
    </row>
    <row r="252" spans="1:16" x14ac:dyDescent="0.3">
      <c r="A252" t="s">
        <v>8909</v>
      </c>
      <c r="B252" t="s">
        <v>31</v>
      </c>
      <c r="C252">
        <v>43</v>
      </c>
      <c r="D252" t="s">
        <v>10</v>
      </c>
      <c r="F252" s="43">
        <v>45072.479166666664</v>
      </c>
      <c r="G252" s="43">
        <v>45072.509027777778</v>
      </c>
      <c r="H252">
        <v>11</v>
      </c>
      <c r="I252">
        <v>30</v>
      </c>
      <c r="J252">
        <v>12</v>
      </c>
      <c r="K252">
        <v>13</v>
      </c>
      <c r="L252">
        <v>2023</v>
      </c>
      <c r="N252" t="s">
        <v>47</v>
      </c>
      <c r="O252" t="s">
        <v>47</v>
      </c>
      <c r="P252" t="s">
        <v>8910</v>
      </c>
    </row>
    <row r="253" spans="1:16" x14ac:dyDescent="0.3">
      <c r="A253" t="s">
        <v>17</v>
      </c>
      <c r="B253" t="s">
        <v>6</v>
      </c>
      <c r="C253">
        <v>15</v>
      </c>
      <c r="D253" t="s">
        <v>10</v>
      </c>
      <c r="F253" s="43">
        <v>45072.416666666664</v>
      </c>
      <c r="G253" s="43">
        <v>45072.427083333336</v>
      </c>
      <c r="H253">
        <v>10</v>
      </c>
      <c r="I253">
        <v>0</v>
      </c>
      <c r="J253">
        <v>10</v>
      </c>
      <c r="K253">
        <v>15</v>
      </c>
      <c r="L253">
        <v>2023</v>
      </c>
      <c r="N253" t="s">
        <v>47</v>
      </c>
      <c r="O253" t="s">
        <v>47</v>
      </c>
      <c r="P253" t="s">
        <v>8907</v>
      </c>
    </row>
    <row r="254" spans="1:16" x14ac:dyDescent="0.3">
      <c r="A254" t="s">
        <v>2528</v>
      </c>
      <c r="B254" t="s">
        <v>109</v>
      </c>
      <c r="C254">
        <v>15</v>
      </c>
      <c r="D254" t="s">
        <v>10</v>
      </c>
      <c r="F254" s="43">
        <v>45072.40625</v>
      </c>
      <c r="G254" s="43">
        <v>45072.416666666664</v>
      </c>
      <c r="H254">
        <v>9</v>
      </c>
      <c r="I254">
        <v>45</v>
      </c>
      <c r="J254">
        <v>10</v>
      </c>
      <c r="K254">
        <v>0</v>
      </c>
      <c r="L254">
        <v>2023</v>
      </c>
      <c r="N254" t="s">
        <v>47</v>
      </c>
      <c r="O254" t="s">
        <v>47</v>
      </c>
      <c r="P254" t="s">
        <v>8906</v>
      </c>
    </row>
    <row r="255" spans="1:16" x14ac:dyDescent="0.3">
      <c r="A255" t="s">
        <v>8883</v>
      </c>
      <c r="B255" t="s">
        <v>225</v>
      </c>
      <c r="C255">
        <v>45</v>
      </c>
      <c r="D255" t="s">
        <v>10</v>
      </c>
      <c r="E255" t="s">
        <v>8884</v>
      </c>
      <c r="F255" s="43">
        <v>45072.375</v>
      </c>
      <c r="G255" s="43">
        <v>45072.40625</v>
      </c>
      <c r="H255">
        <v>9</v>
      </c>
      <c r="I255">
        <v>0</v>
      </c>
      <c r="J255">
        <v>9</v>
      </c>
      <c r="K255">
        <v>45</v>
      </c>
      <c r="L255">
        <v>2023</v>
      </c>
      <c r="N255" t="s">
        <v>8885</v>
      </c>
      <c r="O255" t="s">
        <v>8886</v>
      </c>
      <c r="P255" t="s">
        <v>8887</v>
      </c>
    </row>
    <row r="256" spans="1:16" x14ac:dyDescent="0.3">
      <c r="A256" t="s">
        <v>8</v>
      </c>
      <c r="B256" t="s">
        <v>6</v>
      </c>
      <c r="C256">
        <v>30</v>
      </c>
      <c r="D256" t="s">
        <v>10</v>
      </c>
      <c r="F256" s="43">
        <v>45072.354166666664</v>
      </c>
      <c r="G256" s="43">
        <v>45072.375</v>
      </c>
      <c r="H256">
        <v>8</v>
      </c>
      <c r="I256">
        <v>30</v>
      </c>
      <c r="J256">
        <v>9</v>
      </c>
      <c r="K256">
        <v>0</v>
      </c>
      <c r="L256">
        <v>2023</v>
      </c>
      <c r="N256" t="s">
        <v>47</v>
      </c>
      <c r="O256" t="s">
        <v>47</v>
      </c>
      <c r="P256" t="s">
        <v>8908</v>
      </c>
    </row>
    <row r="257" spans="1:16" x14ac:dyDescent="0.3">
      <c r="A257" t="s">
        <v>1626</v>
      </c>
      <c r="B257" t="s">
        <v>109</v>
      </c>
      <c r="C257">
        <v>40</v>
      </c>
      <c r="D257" t="s">
        <v>10</v>
      </c>
      <c r="E257" t="s">
        <v>8636</v>
      </c>
      <c r="F257" s="43">
        <v>45072.1875</v>
      </c>
      <c r="G257" s="43">
        <v>45072.215277777781</v>
      </c>
      <c r="H257">
        <v>4</v>
      </c>
      <c r="I257">
        <v>30</v>
      </c>
      <c r="J257">
        <v>5</v>
      </c>
      <c r="K257">
        <v>10</v>
      </c>
      <c r="L257">
        <v>2023</v>
      </c>
      <c r="N257" t="s">
        <v>47</v>
      </c>
      <c r="O257" t="s">
        <v>47</v>
      </c>
      <c r="P257" t="s">
        <v>8905</v>
      </c>
    </row>
    <row r="258" spans="1:16" x14ac:dyDescent="0.3">
      <c r="A258" t="s">
        <v>8903</v>
      </c>
      <c r="B258" t="s">
        <v>109</v>
      </c>
      <c r="C258">
        <v>30</v>
      </c>
      <c r="D258" t="s">
        <v>10</v>
      </c>
      <c r="E258" t="s">
        <v>8899</v>
      </c>
      <c r="F258" s="43">
        <v>45071.791666666664</v>
      </c>
      <c r="G258" s="43">
        <v>45071.8125</v>
      </c>
      <c r="H258">
        <v>19</v>
      </c>
      <c r="I258">
        <v>0</v>
      </c>
      <c r="J258">
        <v>19</v>
      </c>
      <c r="K258">
        <v>30</v>
      </c>
      <c r="L258">
        <v>2023</v>
      </c>
      <c r="N258" t="s">
        <v>47</v>
      </c>
      <c r="O258" t="s">
        <v>47</v>
      </c>
      <c r="P258" t="s">
        <v>8904</v>
      </c>
    </row>
    <row r="259" spans="1:16" x14ac:dyDescent="0.3">
      <c r="A259" t="s">
        <v>142</v>
      </c>
      <c r="B259" t="s">
        <v>109</v>
      </c>
      <c r="C259">
        <v>45</v>
      </c>
      <c r="D259" t="s">
        <v>10</v>
      </c>
      <c r="E259" t="s">
        <v>8636</v>
      </c>
      <c r="F259" s="43">
        <v>45071.71875</v>
      </c>
      <c r="G259" s="43">
        <v>45071.75</v>
      </c>
      <c r="H259">
        <v>17</v>
      </c>
      <c r="I259">
        <v>15</v>
      </c>
      <c r="J259">
        <v>18</v>
      </c>
      <c r="K259">
        <v>0</v>
      </c>
      <c r="L259">
        <v>2023</v>
      </c>
      <c r="N259" t="s">
        <v>47</v>
      </c>
      <c r="O259" t="s">
        <v>47</v>
      </c>
      <c r="P259" t="s">
        <v>8902</v>
      </c>
    </row>
    <row r="260" spans="1:16" x14ac:dyDescent="0.3">
      <c r="A260" t="s">
        <v>9</v>
      </c>
      <c r="B260" t="s">
        <v>6</v>
      </c>
      <c r="C260">
        <v>15</v>
      </c>
      <c r="D260" t="s">
        <v>10</v>
      </c>
      <c r="F260" s="43">
        <v>45071.6875</v>
      </c>
      <c r="G260" s="43">
        <v>45071.697916666664</v>
      </c>
      <c r="H260">
        <v>16</v>
      </c>
      <c r="I260">
        <v>30</v>
      </c>
      <c r="J260">
        <v>16</v>
      </c>
      <c r="K260">
        <v>45</v>
      </c>
      <c r="L260">
        <v>2023</v>
      </c>
      <c r="N260" t="s">
        <v>47</v>
      </c>
      <c r="O260" t="s">
        <v>47</v>
      </c>
      <c r="P260" t="s">
        <v>8901</v>
      </c>
    </row>
    <row r="261" spans="1:16" x14ac:dyDescent="0.3">
      <c r="A261" t="s">
        <v>8898</v>
      </c>
      <c r="B261" t="s">
        <v>109</v>
      </c>
      <c r="C261">
        <v>75</v>
      </c>
      <c r="D261" t="s">
        <v>10</v>
      </c>
      <c r="E261" t="s">
        <v>8899</v>
      </c>
      <c r="F261" s="43">
        <v>45071.635416666664</v>
      </c>
      <c r="G261" s="43">
        <v>45071.6875</v>
      </c>
      <c r="H261">
        <v>15</v>
      </c>
      <c r="I261">
        <v>15</v>
      </c>
      <c r="J261">
        <v>16</v>
      </c>
      <c r="K261">
        <v>30</v>
      </c>
      <c r="L261">
        <v>2023</v>
      </c>
      <c r="N261" t="s">
        <v>47</v>
      </c>
      <c r="O261" t="s">
        <v>47</v>
      </c>
      <c r="P261" t="s">
        <v>8900</v>
      </c>
    </row>
    <row r="262" spans="1:16" x14ac:dyDescent="0.3">
      <c r="A262" t="s">
        <v>8896</v>
      </c>
      <c r="B262" t="s">
        <v>109</v>
      </c>
      <c r="C262">
        <v>30</v>
      </c>
      <c r="D262" t="s">
        <v>10</v>
      </c>
      <c r="E262" t="s">
        <v>8636</v>
      </c>
      <c r="F262" s="43">
        <v>45071.5625</v>
      </c>
      <c r="G262" s="43">
        <v>45071.583333333336</v>
      </c>
      <c r="H262">
        <v>13</v>
      </c>
      <c r="I262">
        <v>30</v>
      </c>
      <c r="J262">
        <v>14</v>
      </c>
      <c r="K262">
        <v>0</v>
      </c>
      <c r="L262">
        <v>2023</v>
      </c>
      <c r="N262" t="s">
        <v>47</v>
      </c>
      <c r="O262" t="s">
        <v>47</v>
      </c>
      <c r="P262" t="s">
        <v>8897</v>
      </c>
    </row>
    <row r="263" spans="1:16" x14ac:dyDescent="0.3">
      <c r="A263" t="s">
        <v>17</v>
      </c>
      <c r="B263" t="s">
        <v>6</v>
      </c>
      <c r="C263">
        <v>30</v>
      </c>
      <c r="D263" t="s">
        <v>10</v>
      </c>
      <c r="F263" s="43">
        <v>45071.510416666664</v>
      </c>
      <c r="G263" s="43">
        <v>45071.53125</v>
      </c>
      <c r="H263">
        <v>12</v>
      </c>
      <c r="I263">
        <v>15</v>
      </c>
      <c r="J263">
        <v>12</v>
      </c>
      <c r="K263">
        <v>45</v>
      </c>
      <c r="L263">
        <v>2023</v>
      </c>
      <c r="N263" t="s">
        <v>47</v>
      </c>
      <c r="O263" t="s">
        <v>47</v>
      </c>
      <c r="P263" t="s">
        <v>8895</v>
      </c>
    </row>
    <row r="264" spans="1:16" x14ac:dyDescent="0.3">
      <c r="A264" t="s">
        <v>4358</v>
      </c>
      <c r="C264">
        <v>30</v>
      </c>
      <c r="D264" t="s">
        <v>10</v>
      </c>
      <c r="F264" s="43">
        <v>45071.489583333336</v>
      </c>
      <c r="G264" s="43">
        <v>45071.510416666664</v>
      </c>
      <c r="H264">
        <v>11</v>
      </c>
      <c r="I264">
        <v>45</v>
      </c>
      <c r="J264">
        <v>12</v>
      </c>
      <c r="K264">
        <v>15</v>
      </c>
      <c r="L264">
        <v>2023</v>
      </c>
      <c r="N264" t="s">
        <v>47</v>
      </c>
      <c r="O264" t="s">
        <v>47</v>
      </c>
      <c r="P264" t="s">
        <v>8894</v>
      </c>
    </row>
    <row r="265" spans="1:16" x14ac:dyDescent="0.3">
      <c r="A265" t="s">
        <v>8892</v>
      </c>
      <c r="B265" t="s">
        <v>31</v>
      </c>
      <c r="C265">
        <v>45</v>
      </c>
      <c r="D265" t="s">
        <v>10</v>
      </c>
      <c r="F265" s="43">
        <v>45071.458333333336</v>
      </c>
      <c r="G265" s="43">
        <v>45071.489583333336</v>
      </c>
      <c r="H265">
        <v>11</v>
      </c>
      <c r="I265">
        <v>0</v>
      </c>
      <c r="J265">
        <v>11</v>
      </c>
      <c r="K265">
        <v>45</v>
      </c>
      <c r="L265">
        <v>2023</v>
      </c>
      <c r="N265" t="s">
        <v>47</v>
      </c>
      <c r="O265" t="s">
        <v>47</v>
      </c>
      <c r="P265" t="s">
        <v>8893</v>
      </c>
    </row>
    <row r="266" spans="1:16" x14ac:dyDescent="0.3">
      <c r="A266" t="s">
        <v>8889</v>
      </c>
      <c r="C266">
        <v>30</v>
      </c>
      <c r="D266" t="s">
        <v>10</v>
      </c>
      <c r="E266" t="s">
        <v>8890</v>
      </c>
      <c r="F266" s="43">
        <v>45071.416666666664</v>
      </c>
      <c r="G266" s="43">
        <v>45071.4375</v>
      </c>
      <c r="H266">
        <v>10</v>
      </c>
      <c r="I266">
        <v>0</v>
      </c>
      <c r="J266">
        <v>10</v>
      </c>
      <c r="K266">
        <v>30</v>
      </c>
      <c r="L266">
        <v>2023</v>
      </c>
      <c r="N266" t="s">
        <v>1153</v>
      </c>
      <c r="O266" t="s">
        <v>48</v>
      </c>
      <c r="P266" t="s">
        <v>8891</v>
      </c>
    </row>
    <row r="267" spans="1:16" x14ac:dyDescent="0.3">
      <c r="A267" t="s">
        <v>8873</v>
      </c>
      <c r="C267">
        <v>30</v>
      </c>
      <c r="D267" t="s">
        <v>10</v>
      </c>
      <c r="E267" t="s">
        <v>8874</v>
      </c>
      <c r="F267" s="43">
        <v>45071.395833333336</v>
      </c>
      <c r="G267" s="43">
        <v>45071.416666666664</v>
      </c>
      <c r="H267">
        <v>9</v>
      </c>
      <c r="I267">
        <v>30</v>
      </c>
      <c r="J267">
        <v>10</v>
      </c>
      <c r="K267">
        <v>0</v>
      </c>
      <c r="L267">
        <v>2023</v>
      </c>
      <c r="N267" t="s">
        <v>523</v>
      </c>
      <c r="O267" t="s">
        <v>48</v>
      </c>
      <c r="P267" t="s">
        <v>8875</v>
      </c>
    </row>
    <row r="268" spans="1:16" x14ac:dyDescent="0.3">
      <c r="A268" t="s">
        <v>7748</v>
      </c>
      <c r="B268" t="s">
        <v>20</v>
      </c>
      <c r="C268">
        <v>45</v>
      </c>
      <c r="D268" t="s">
        <v>10</v>
      </c>
      <c r="E268" t="s">
        <v>501</v>
      </c>
      <c r="F268" s="43">
        <v>45071.333333333336</v>
      </c>
      <c r="G268" s="43">
        <v>45071.364583333336</v>
      </c>
      <c r="H268">
        <v>8</v>
      </c>
      <c r="I268">
        <v>0</v>
      </c>
      <c r="J268">
        <v>8</v>
      </c>
      <c r="K268">
        <v>45</v>
      </c>
      <c r="L268">
        <v>2023</v>
      </c>
      <c r="N268" t="s">
        <v>8866</v>
      </c>
      <c r="O268" t="s">
        <v>47</v>
      </c>
      <c r="P268" t="s">
        <v>8867</v>
      </c>
    </row>
    <row r="269" spans="1:16" x14ac:dyDescent="0.3">
      <c r="A269" t="s">
        <v>8881</v>
      </c>
      <c r="B269" t="s">
        <v>160</v>
      </c>
      <c r="C269">
        <v>120</v>
      </c>
      <c r="D269" t="s">
        <v>10</v>
      </c>
      <c r="E269" t="s">
        <v>8877</v>
      </c>
      <c r="F269" s="43">
        <v>45071.229166666664</v>
      </c>
      <c r="G269" s="43">
        <v>45071.3125</v>
      </c>
      <c r="H269">
        <v>5</v>
      </c>
      <c r="I269">
        <v>30</v>
      </c>
      <c r="J269">
        <v>7</v>
      </c>
      <c r="K269">
        <v>30</v>
      </c>
      <c r="L269">
        <v>2023</v>
      </c>
      <c r="N269" t="s">
        <v>47</v>
      </c>
      <c r="O269" t="s">
        <v>47</v>
      </c>
      <c r="P269" t="s">
        <v>8888</v>
      </c>
    </row>
    <row r="270" spans="1:16" x14ac:dyDescent="0.3">
      <c r="A270" t="s">
        <v>8881</v>
      </c>
      <c r="B270" t="s">
        <v>160</v>
      </c>
      <c r="C270">
        <v>60</v>
      </c>
      <c r="D270" t="s">
        <v>10</v>
      </c>
      <c r="E270" t="s">
        <v>8877</v>
      </c>
      <c r="F270" s="43">
        <v>45070.78125</v>
      </c>
      <c r="G270" s="43">
        <v>45070.822916666664</v>
      </c>
      <c r="H270">
        <v>18</v>
      </c>
      <c r="I270">
        <v>45</v>
      </c>
      <c r="J270">
        <v>19</v>
      </c>
      <c r="K270">
        <v>45</v>
      </c>
      <c r="L270">
        <v>2023</v>
      </c>
      <c r="N270" t="s">
        <v>47</v>
      </c>
      <c r="O270" t="s">
        <v>47</v>
      </c>
      <c r="P270" t="s">
        <v>8882</v>
      </c>
    </row>
    <row r="271" spans="1:16" x14ac:dyDescent="0.3">
      <c r="A271" t="s">
        <v>8879</v>
      </c>
      <c r="B271" t="s">
        <v>109</v>
      </c>
      <c r="C271">
        <v>30</v>
      </c>
      <c r="D271" t="s">
        <v>10</v>
      </c>
      <c r="E271" t="s">
        <v>8636</v>
      </c>
      <c r="F271" s="43">
        <v>45070.75</v>
      </c>
      <c r="G271" s="43">
        <v>45070.770833333336</v>
      </c>
      <c r="H271">
        <v>18</v>
      </c>
      <c r="I271">
        <v>0</v>
      </c>
      <c r="J271">
        <v>18</v>
      </c>
      <c r="K271">
        <v>30</v>
      </c>
      <c r="L271">
        <v>2023</v>
      </c>
      <c r="N271" t="s">
        <v>47</v>
      </c>
      <c r="O271" t="s">
        <v>47</v>
      </c>
      <c r="P271" t="s">
        <v>8880</v>
      </c>
    </row>
    <row r="272" spans="1:16" x14ac:dyDescent="0.3">
      <c r="A272" t="s">
        <v>8876</v>
      </c>
      <c r="B272" t="s">
        <v>160</v>
      </c>
      <c r="C272">
        <v>80</v>
      </c>
      <c r="D272" t="s">
        <v>10</v>
      </c>
      <c r="E272" t="s">
        <v>8877</v>
      </c>
      <c r="F272" s="43">
        <v>45070.666666666664</v>
      </c>
      <c r="G272" s="43">
        <v>45070.722222222219</v>
      </c>
      <c r="H272">
        <v>16</v>
      </c>
      <c r="I272">
        <v>0</v>
      </c>
      <c r="J272">
        <v>17</v>
      </c>
      <c r="K272">
        <v>20</v>
      </c>
      <c r="L272">
        <v>2023</v>
      </c>
      <c r="N272" t="s">
        <v>47</v>
      </c>
      <c r="O272" t="s">
        <v>47</v>
      </c>
      <c r="P272" t="s">
        <v>8878</v>
      </c>
    </row>
    <row r="273" spans="1:16" x14ac:dyDescent="0.3">
      <c r="A273" t="s">
        <v>8755</v>
      </c>
      <c r="B273" t="s">
        <v>20</v>
      </c>
      <c r="C273">
        <v>45</v>
      </c>
      <c r="D273" t="s">
        <v>10</v>
      </c>
      <c r="E273" t="s">
        <v>501</v>
      </c>
      <c r="F273" s="43">
        <v>45070.541666666664</v>
      </c>
      <c r="G273" s="43">
        <v>45070.572916666664</v>
      </c>
      <c r="H273">
        <v>13</v>
      </c>
      <c r="I273">
        <v>0</v>
      </c>
      <c r="J273">
        <v>13</v>
      </c>
      <c r="K273">
        <v>45</v>
      </c>
      <c r="L273">
        <v>2023</v>
      </c>
      <c r="N273" t="s">
        <v>8756</v>
      </c>
      <c r="O273" t="s">
        <v>47</v>
      </c>
      <c r="P273" t="s">
        <v>8757</v>
      </c>
    </row>
    <row r="274" spans="1:16" x14ac:dyDescent="0.3">
      <c r="A274" t="s">
        <v>1810</v>
      </c>
      <c r="C274">
        <v>20</v>
      </c>
      <c r="D274" t="s">
        <v>10</v>
      </c>
      <c r="F274" s="43">
        <v>45070.5</v>
      </c>
      <c r="G274" s="43">
        <v>45070.513888888891</v>
      </c>
      <c r="H274">
        <v>12</v>
      </c>
      <c r="I274">
        <v>0</v>
      </c>
      <c r="J274">
        <v>12</v>
      </c>
      <c r="K274">
        <v>20</v>
      </c>
      <c r="L274">
        <v>2023</v>
      </c>
      <c r="N274" t="s">
        <v>47</v>
      </c>
      <c r="O274" t="s">
        <v>47</v>
      </c>
      <c r="P274" t="s">
        <v>8872</v>
      </c>
    </row>
    <row r="275" spans="1:16" x14ac:dyDescent="0.3">
      <c r="A275" t="s">
        <v>8862</v>
      </c>
      <c r="C275">
        <v>30</v>
      </c>
      <c r="D275" t="s">
        <v>10</v>
      </c>
      <c r="E275" t="s">
        <v>501</v>
      </c>
      <c r="F275" s="43">
        <v>45070.4375</v>
      </c>
      <c r="G275" s="43">
        <v>45070.458333333336</v>
      </c>
      <c r="H275">
        <v>10</v>
      </c>
      <c r="I275">
        <v>30</v>
      </c>
      <c r="J275">
        <v>11</v>
      </c>
      <c r="K275">
        <v>0</v>
      </c>
      <c r="L275">
        <v>2023</v>
      </c>
      <c r="N275" t="s">
        <v>8863</v>
      </c>
      <c r="O275" t="s">
        <v>47</v>
      </c>
      <c r="P275" t="s">
        <v>8864</v>
      </c>
    </row>
    <row r="276" spans="1:16" x14ac:dyDescent="0.3">
      <c r="A276" t="s">
        <v>8870</v>
      </c>
      <c r="C276">
        <v>30</v>
      </c>
      <c r="D276" t="s">
        <v>10</v>
      </c>
      <c r="F276" s="43">
        <v>45070.395833333336</v>
      </c>
      <c r="G276" s="43">
        <v>45070.416666666664</v>
      </c>
      <c r="H276">
        <v>9</v>
      </c>
      <c r="I276">
        <v>30</v>
      </c>
      <c r="J276">
        <v>10</v>
      </c>
      <c r="K276">
        <v>0</v>
      </c>
      <c r="L276">
        <v>2023</v>
      </c>
      <c r="N276" t="s">
        <v>47</v>
      </c>
      <c r="O276" t="s">
        <v>47</v>
      </c>
      <c r="P276" t="s">
        <v>8871</v>
      </c>
    </row>
    <row r="277" spans="1:16" x14ac:dyDescent="0.3">
      <c r="A277" t="s">
        <v>8850</v>
      </c>
      <c r="B277" t="s">
        <v>225</v>
      </c>
      <c r="C277">
        <v>45</v>
      </c>
      <c r="D277" t="s">
        <v>10</v>
      </c>
      <c r="E277" t="s">
        <v>501</v>
      </c>
      <c r="F277" s="43">
        <v>45070.375</v>
      </c>
      <c r="G277" s="43">
        <v>45070.40625</v>
      </c>
      <c r="H277">
        <v>9</v>
      </c>
      <c r="I277">
        <v>0</v>
      </c>
      <c r="J277">
        <v>9</v>
      </c>
      <c r="K277">
        <v>45</v>
      </c>
      <c r="L277">
        <v>2023</v>
      </c>
      <c r="N277" t="s">
        <v>8848</v>
      </c>
      <c r="O277" t="s">
        <v>47</v>
      </c>
      <c r="P277" t="s">
        <v>8851</v>
      </c>
    </row>
    <row r="278" spans="1:16" x14ac:dyDescent="0.3">
      <c r="A278" t="s">
        <v>8868</v>
      </c>
      <c r="B278" t="s">
        <v>109</v>
      </c>
      <c r="C278">
        <v>90</v>
      </c>
      <c r="D278" t="s">
        <v>10</v>
      </c>
      <c r="E278" t="s">
        <v>8636</v>
      </c>
      <c r="F278" s="43">
        <v>45070.3125</v>
      </c>
      <c r="G278" s="43">
        <v>45070.375</v>
      </c>
      <c r="H278">
        <v>7</v>
      </c>
      <c r="I278">
        <v>30</v>
      </c>
      <c r="J278">
        <v>9</v>
      </c>
      <c r="K278">
        <v>0</v>
      </c>
      <c r="L278">
        <v>2023</v>
      </c>
      <c r="N278" t="s">
        <v>47</v>
      </c>
      <c r="O278" t="s">
        <v>47</v>
      </c>
      <c r="P278" t="s">
        <v>8869</v>
      </c>
    </row>
    <row r="279" spans="1:16" x14ac:dyDescent="0.3">
      <c r="A279" t="s">
        <v>142</v>
      </c>
      <c r="B279" t="s">
        <v>109</v>
      </c>
      <c r="C279">
        <v>30</v>
      </c>
      <c r="D279" t="s">
        <v>10</v>
      </c>
      <c r="E279" t="s">
        <v>8636</v>
      </c>
      <c r="F279" s="43">
        <v>45070.270833333336</v>
      </c>
      <c r="G279" s="43">
        <v>45070.291666666664</v>
      </c>
      <c r="H279">
        <v>6</v>
      </c>
      <c r="I279">
        <v>30</v>
      </c>
      <c r="J279">
        <v>7</v>
      </c>
      <c r="K279">
        <v>0</v>
      </c>
      <c r="L279">
        <v>2023</v>
      </c>
      <c r="N279" s="46" t="s">
        <v>47</v>
      </c>
      <c r="O279" t="s">
        <v>47</v>
      </c>
      <c r="P279" t="s">
        <v>8865</v>
      </c>
    </row>
    <row r="280" spans="1:16" x14ac:dyDescent="0.3">
      <c r="A280" t="s">
        <v>8860</v>
      </c>
      <c r="C280">
        <v>30</v>
      </c>
      <c r="D280" t="s">
        <v>10</v>
      </c>
      <c r="F280" s="43">
        <v>45069.833333333336</v>
      </c>
      <c r="G280" s="43">
        <v>45069.854166666664</v>
      </c>
      <c r="H280">
        <v>20</v>
      </c>
      <c r="I280">
        <v>0</v>
      </c>
      <c r="J280">
        <v>20</v>
      </c>
      <c r="K280">
        <v>30</v>
      </c>
      <c r="L280">
        <v>2023</v>
      </c>
      <c r="N280" t="s">
        <v>47</v>
      </c>
      <c r="O280" t="s">
        <v>47</v>
      </c>
      <c r="P280" t="s">
        <v>8861</v>
      </c>
    </row>
    <row r="281" spans="1:16" x14ac:dyDescent="0.3">
      <c r="A281" t="s">
        <v>8858</v>
      </c>
      <c r="B281" t="s">
        <v>221</v>
      </c>
      <c r="C281">
        <v>40</v>
      </c>
      <c r="D281" t="s">
        <v>10</v>
      </c>
      <c r="E281" t="s">
        <v>8636</v>
      </c>
      <c r="F281" s="43">
        <v>45069.71875</v>
      </c>
      <c r="G281" s="43">
        <v>45069.746527777781</v>
      </c>
      <c r="H281">
        <v>17</v>
      </c>
      <c r="I281">
        <v>15</v>
      </c>
      <c r="J281">
        <v>17</v>
      </c>
      <c r="K281">
        <v>55</v>
      </c>
      <c r="L281">
        <v>2023</v>
      </c>
      <c r="N281" t="s">
        <v>47</v>
      </c>
      <c r="O281" t="s">
        <v>47</v>
      </c>
      <c r="P281" t="s">
        <v>8859</v>
      </c>
    </row>
    <row r="282" spans="1:16" x14ac:dyDescent="0.3">
      <c r="A282" t="s">
        <v>8847</v>
      </c>
      <c r="B282" t="s">
        <v>225</v>
      </c>
      <c r="C282">
        <v>45</v>
      </c>
      <c r="D282" t="s">
        <v>10</v>
      </c>
      <c r="E282" t="s">
        <v>501</v>
      </c>
      <c r="F282" s="43">
        <v>45069.645833333336</v>
      </c>
      <c r="G282" s="43">
        <v>45069.677083333336</v>
      </c>
      <c r="H282">
        <v>15</v>
      </c>
      <c r="I282">
        <v>30</v>
      </c>
      <c r="J282">
        <v>16</v>
      </c>
      <c r="K282">
        <v>15</v>
      </c>
      <c r="L282">
        <v>2023</v>
      </c>
      <c r="N282" t="s">
        <v>8848</v>
      </c>
      <c r="O282" t="s">
        <v>47</v>
      </c>
      <c r="P282" t="s">
        <v>8849</v>
      </c>
    </row>
    <row r="283" spans="1:16" x14ac:dyDescent="0.3">
      <c r="A283" t="s">
        <v>8856</v>
      </c>
      <c r="B283" t="s">
        <v>160</v>
      </c>
      <c r="C283">
        <v>30</v>
      </c>
      <c r="D283" t="s">
        <v>10</v>
      </c>
      <c r="E283" t="s">
        <v>8799</v>
      </c>
      <c r="F283" s="43">
        <v>45069.5625</v>
      </c>
      <c r="G283" s="43">
        <v>45069.583333333336</v>
      </c>
      <c r="H283">
        <v>13</v>
      </c>
      <c r="I283">
        <v>30</v>
      </c>
      <c r="J283">
        <v>14</v>
      </c>
      <c r="K283">
        <v>0</v>
      </c>
      <c r="L283">
        <v>2023</v>
      </c>
      <c r="N283" t="s">
        <v>47</v>
      </c>
      <c r="O283" t="s">
        <v>47</v>
      </c>
      <c r="P283" t="s">
        <v>8857</v>
      </c>
    </row>
    <row r="284" spans="1:16" x14ac:dyDescent="0.3">
      <c r="A284" t="s">
        <v>8811</v>
      </c>
      <c r="B284" t="s">
        <v>109</v>
      </c>
      <c r="C284">
        <v>60</v>
      </c>
      <c r="D284" t="s">
        <v>10</v>
      </c>
      <c r="E284" t="s">
        <v>8636</v>
      </c>
      <c r="F284" s="43">
        <v>45069.520833333336</v>
      </c>
      <c r="G284" s="43">
        <v>45069.5625</v>
      </c>
      <c r="H284">
        <v>12</v>
      </c>
      <c r="I284">
        <v>30</v>
      </c>
      <c r="J284">
        <v>13</v>
      </c>
      <c r="K284">
        <v>30</v>
      </c>
      <c r="L284">
        <v>2023</v>
      </c>
      <c r="N284" t="s">
        <v>47</v>
      </c>
      <c r="O284" t="s">
        <v>47</v>
      </c>
      <c r="P284" t="s">
        <v>8852</v>
      </c>
    </row>
    <row r="285" spans="1:16" x14ac:dyDescent="0.3">
      <c r="A285" t="s">
        <v>8600</v>
      </c>
      <c r="B285" t="s">
        <v>31</v>
      </c>
      <c r="C285">
        <v>30</v>
      </c>
      <c r="D285" t="s">
        <v>10</v>
      </c>
      <c r="F285" s="43">
        <v>45069.5</v>
      </c>
      <c r="G285" s="43">
        <v>45069.520833333336</v>
      </c>
      <c r="H285">
        <v>12</v>
      </c>
      <c r="I285">
        <v>0</v>
      </c>
      <c r="J285">
        <v>12</v>
      </c>
      <c r="K285">
        <v>30</v>
      </c>
      <c r="L285">
        <v>2023</v>
      </c>
      <c r="N285" t="s">
        <v>47</v>
      </c>
      <c r="O285" t="s">
        <v>47</v>
      </c>
      <c r="P285" t="s">
        <v>8806</v>
      </c>
    </row>
    <row r="286" spans="1:16" x14ac:dyDescent="0.3">
      <c r="A286" t="s">
        <v>8845</v>
      </c>
      <c r="B286" t="s">
        <v>109</v>
      </c>
      <c r="C286">
        <v>90</v>
      </c>
      <c r="D286" t="s">
        <v>10</v>
      </c>
      <c r="E286" t="s">
        <v>8636</v>
      </c>
      <c r="F286" s="43">
        <v>45069.395833333336</v>
      </c>
      <c r="G286" s="43">
        <v>45069.458333333336</v>
      </c>
      <c r="H286">
        <v>9</v>
      </c>
      <c r="I286">
        <v>30</v>
      </c>
      <c r="J286">
        <v>11</v>
      </c>
      <c r="K286">
        <v>0</v>
      </c>
      <c r="L286">
        <v>2023</v>
      </c>
      <c r="N286" t="s">
        <v>47</v>
      </c>
      <c r="O286" t="s">
        <v>47</v>
      </c>
      <c r="P286" t="s">
        <v>8846</v>
      </c>
    </row>
    <row r="287" spans="1:16" x14ac:dyDescent="0.3">
      <c r="A287" t="s">
        <v>8843</v>
      </c>
      <c r="B287" t="s">
        <v>109</v>
      </c>
      <c r="C287">
        <v>30</v>
      </c>
      <c r="D287" t="s">
        <v>10</v>
      </c>
      <c r="E287" t="s">
        <v>8636</v>
      </c>
      <c r="F287" s="43">
        <v>45069.354166666664</v>
      </c>
      <c r="G287" s="43">
        <v>45069.375</v>
      </c>
      <c r="H287">
        <v>8</v>
      </c>
      <c r="I287">
        <v>30</v>
      </c>
      <c r="J287">
        <v>9</v>
      </c>
      <c r="K287">
        <v>0</v>
      </c>
      <c r="L287">
        <v>2023</v>
      </c>
      <c r="N287" t="s">
        <v>47</v>
      </c>
      <c r="O287" t="s">
        <v>47</v>
      </c>
      <c r="P287" t="s">
        <v>8844</v>
      </c>
    </row>
    <row r="288" spans="1:16" x14ac:dyDescent="0.3">
      <c r="A288" t="s">
        <v>8</v>
      </c>
      <c r="B288" t="s">
        <v>6</v>
      </c>
      <c r="C288">
        <v>30</v>
      </c>
      <c r="D288" t="s">
        <v>10</v>
      </c>
      <c r="F288" s="43">
        <v>45069.319444444445</v>
      </c>
      <c r="G288" s="43">
        <v>45069.340277777781</v>
      </c>
      <c r="H288">
        <v>7</v>
      </c>
      <c r="I288">
        <v>40</v>
      </c>
      <c r="J288">
        <v>8</v>
      </c>
      <c r="K288">
        <v>10</v>
      </c>
      <c r="L288">
        <v>2023</v>
      </c>
      <c r="N288" t="s">
        <v>47</v>
      </c>
      <c r="O288" t="s">
        <v>47</v>
      </c>
      <c r="P288" t="s">
        <v>8842</v>
      </c>
    </row>
    <row r="289" spans="1:16" x14ac:dyDescent="0.3">
      <c r="A289" t="s">
        <v>8839</v>
      </c>
      <c r="B289" t="s">
        <v>160</v>
      </c>
      <c r="C289">
        <v>30</v>
      </c>
      <c r="D289" t="s">
        <v>10</v>
      </c>
      <c r="E289" t="s">
        <v>8654</v>
      </c>
      <c r="F289" s="43">
        <v>45069.270833333336</v>
      </c>
      <c r="G289" s="43">
        <v>45069.291666666664</v>
      </c>
      <c r="H289">
        <v>6</v>
      </c>
      <c r="I289">
        <v>30</v>
      </c>
      <c r="J289">
        <v>7</v>
      </c>
      <c r="K289">
        <v>0</v>
      </c>
      <c r="L289">
        <v>2023</v>
      </c>
      <c r="N289" t="s">
        <v>47</v>
      </c>
      <c r="O289" t="s">
        <v>47</v>
      </c>
      <c r="P289" t="s">
        <v>8840</v>
      </c>
    </row>
    <row r="290" spans="1:16" x14ac:dyDescent="0.3">
      <c r="A290" t="s">
        <v>1394</v>
      </c>
      <c r="C290">
        <v>30</v>
      </c>
      <c r="D290" t="s">
        <v>10</v>
      </c>
      <c r="F290" s="43">
        <v>45069.229166666664</v>
      </c>
      <c r="G290" s="43">
        <v>45069.25</v>
      </c>
      <c r="H290">
        <v>5</v>
      </c>
      <c r="I290">
        <v>30</v>
      </c>
      <c r="J290">
        <v>6</v>
      </c>
      <c r="K290">
        <v>0</v>
      </c>
      <c r="L290">
        <v>2023</v>
      </c>
      <c r="N290" t="s">
        <v>47</v>
      </c>
      <c r="O290" t="s">
        <v>47</v>
      </c>
      <c r="P290" t="s">
        <v>8841</v>
      </c>
    </row>
    <row r="291" spans="1:16" x14ac:dyDescent="0.3">
      <c r="A291" t="s">
        <v>8752</v>
      </c>
      <c r="C291">
        <v>60</v>
      </c>
      <c r="D291" t="s">
        <v>256</v>
      </c>
      <c r="E291" t="s">
        <v>501</v>
      </c>
      <c r="F291" s="1">
        <v>45069</v>
      </c>
      <c r="G291" s="1">
        <v>45345</v>
      </c>
      <c r="H291">
        <v>10</v>
      </c>
      <c r="I291">
        <v>30</v>
      </c>
      <c r="J291">
        <v>11</v>
      </c>
      <c r="K291">
        <v>30</v>
      </c>
      <c r="L291">
        <v>2023</v>
      </c>
      <c r="N291" t="s">
        <v>8753</v>
      </c>
      <c r="O291" t="s">
        <v>47</v>
      </c>
      <c r="P291" t="s">
        <v>8754</v>
      </c>
    </row>
    <row r="292" spans="1:16" x14ac:dyDescent="0.3">
      <c r="A292" t="s">
        <v>8853</v>
      </c>
      <c r="B292" t="s">
        <v>160</v>
      </c>
      <c r="C292">
        <v>30</v>
      </c>
      <c r="D292" t="s">
        <v>3777</v>
      </c>
      <c r="E292" t="s">
        <v>8854</v>
      </c>
      <c r="F292" s="1">
        <v>45069</v>
      </c>
      <c r="G292" s="1">
        <v>45127</v>
      </c>
      <c r="H292">
        <v>14</v>
      </c>
      <c r="I292">
        <v>30</v>
      </c>
      <c r="J292">
        <v>15</v>
      </c>
      <c r="K292">
        <v>0</v>
      </c>
      <c r="L292">
        <v>2023</v>
      </c>
      <c r="N292" t="s">
        <v>523</v>
      </c>
      <c r="O292" t="s">
        <v>48</v>
      </c>
      <c r="P292" t="s">
        <v>8855</v>
      </c>
    </row>
    <row r="293" spans="1:16" x14ac:dyDescent="0.3">
      <c r="A293" t="s">
        <v>8837</v>
      </c>
      <c r="B293" t="s">
        <v>160</v>
      </c>
      <c r="C293">
        <v>60</v>
      </c>
      <c r="D293" t="s">
        <v>10</v>
      </c>
      <c r="E293" t="s">
        <v>8799</v>
      </c>
      <c r="F293" s="43">
        <v>45068.791666666664</v>
      </c>
      <c r="G293" s="43">
        <v>45068.833333333336</v>
      </c>
      <c r="H293">
        <v>19</v>
      </c>
      <c r="I293">
        <v>0</v>
      </c>
      <c r="J293">
        <v>20</v>
      </c>
      <c r="K293">
        <v>0</v>
      </c>
      <c r="L293">
        <v>2023</v>
      </c>
      <c r="N293" t="s">
        <v>47</v>
      </c>
      <c r="O293" t="s">
        <v>47</v>
      </c>
      <c r="P293" t="s">
        <v>8838</v>
      </c>
    </row>
    <row r="294" spans="1:16" x14ac:dyDescent="0.3">
      <c r="A294" t="s">
        <v>1394</v>
      </c>
      <c r="B294" t="s">
        <v>109</v>
      </c>
      <c r="C294">
        <v>60</v>
      </c>
      <c r="D294" t="s">
        <v>10</v>
      </c>
      <c r="E294" t="s">
        <v>8636</v>
      </c>
      <c r="F294" s="43">
        <v>45068.75</v>
      </c>
      <c r="G294" s="43">
        <v>45068.791666666664</v>
      </c>
      <c r="H294">
        <v>18</v>
      </c>
      <c r="I294">
        <v>0</v>
      </c>
      <c r="J294">
        <v>19</v>
      </c>
      <c r="K294">
        <v>0</v>
      </c>
      <c r="L294">
        <v>2023</v>
      </c>
      <c r="N294" t="s">
        <v>47</v>
      </c>
      <c r="O294" t="s">
        <v>47</v>
      </c>
      <c r="P294" t="s">
        <v>8836</v>
      </c>
    </row>
    <row r="295" spans="1:16" x14ac:dyDescent="0.3">
      <c r="A295" t="s">
        <v>1394</v>
      </c>
      <c r="B295" t="s">
        <v>109</v>
      </c>
      <c r="C295">
        <v>20</v>
      </c>
      <c r="D295" t="s">
        <v>10</v>
      </c>
      <c r="E295" t="s">
        <v>8636</v>
      </c>
      <c r="F295" s="43">
        <v>45068.666666666664</v>
      </c>
      <c r="G295" s="43">
        <v>45068.680555555555</v>
      </c>
      <c r="H295">
        <v>16</v>
      </c>
      <c r="I295">
        <v>0</v>
      </c>
      <c r="J295">
        <v>16</v>
      </c>
      <c r="K295">
        <v>20</v>
      </c>
      <c r="L295">
        <v>2023</v>
      </c>
      <c r="N295" t="s">
        <v>47</v>
      </c>
      <c r="O295" t="s">
        <v>47</v>
      </c>
      <c r="P295" t="s">
        <v>8835</v>
      </c>
    </row>
    <row r="296" spans="1:16" x14ac:dyDescent="0.3">
      <c r="A296" t="s">
        <v>8833</v>
      </c>
      <c r="B296" t="s">
        <v>31</v>
      </c>
      <c r="C296">
        <v>60</v>
      </c>
      <c r="D296" t="s">
        <v>10</v>
      </c>
      <c r="F296" s="43">
        <v>45068.625</v>
      </c>
      <c r="G296" s="43">
        <v>45068.666666666664</v>
      </c>
      <c r="H296">
        <v>15</v>
      </c>
      <c r="I296">
        <v>0</v>
      </c>
      <c r="J296">
        <v>16</v>
      </c>
      <c r="K296">
        <v>0</v>
      </c>
      <c r="L296">
        <v>2023</v>
      </c>
      <c r="N296" t="s">
        <v>47</v>
      </c>
      <c r="O296" t="s">
        <v>47</v>
      </c>
      <c r="P296" t="s">
        <v>8834</v>
      </c>
    </row>
    <row r="297" spans="1:16" x14ac:dyDescent="0.3">
      <c r="A297" t="s">
        <v>7</v>
      </c>
      <c r="B297" t="s">
        <v>6</v>
      </c>
      <c r="C297">
        <v>30</v>
      </c>
      <c r="D297" t="s">
        <v>10</v>
      </c>
      <c r="F297" s="43">
        <v>45068.604166666664</v>
      </c>
      <c r="G297" s="43">
        <v>45068.625</v>
      </c>
      <c r="H297">
        <v>14</v>
      </c>
      <c r="I297">
        <v>30</v>
      </c>
      <c r="J297">
        <v>15</v>
      </c>
      <c r="K297">
        <v>0</v>
      </c>
      <c r="L297">
        <v>2023</v>
      </c>
      <c r="N297" t="s">
        <v>47</v>
      </c>
      <c r="O297" t="s">
        <v>47</v>
      </c>
      <c r="P297" t="s">
        <v>8832</v>
      </c>
    </row>
    <row r="298" spans="1:16" x14ac:dyDescent="0.3">
      <c r="A298" t="s">
        <v>8</v>
      </c>
      <c r="B298" t="s">
        <v>6</v>
      </c>
      <c r="C298">
        <v>15</v>
      </c>
      <c r="D298" t="s">
        <v>10</v>
      </c>
      <c r="F298" s="43">
        <v>45068.572916666664</v>
      </c>
      <c r="G298" s="43">
        <v>45068.583333333336</v>
      </c>
      <c r="H298">
        <v>13</v>
      </c>
      <c r="I298">
        <v>45</v>
      </c>
      <c r="J298">
        <v>14</v>
      </c>
      <c r="K298">
        <v>0</v>
      </c>
      <c r="L298">
        <v>2023</v>
      </c>
      <c r="N298" t="s">
        <v>47</v>
      </c>
      <c r="O298" t="s">
        <v>47</v>
      </c>
      <c r="P298" t="s">
        <v>8831</v>
      </c>
    </row>
    <row r="299" spans="1:16" x14ac:dyDescent="0.3">
      <c r="A299" t="s">
        <v>8829</v>
      </c>
      <c r="B299" t="s">
        <v>109</v>
      </c>
      <c r="C299">
        <v>15</v>
      </c>
      <c r="D299" t="s">
        <v>10</v>
      </c>
      <c r="E299" t="s">
        <v>8804</v>
      </c>
      <c r="F299" s="43">
        <v>45068.538194444445</v>
      </c>
      <c r="G299" s="43">
        <v>45068.548611111109</v>
      </c>
      <c r="H299">
        <v>12</v>
      </c>
      <c r="I299">
        <v>55</v>
      </c>
      <c r="J299">
        <v>13</v>
      </c>
      <c r="K299">
        <v>10</v>
      </c>
      <c r="L299">
        <v>2023</v>
      </c>
      <c r="N299" t="s">
        <v>47</v>
      </c>
      <c r="O299" t="s">
        <v>47</v>
      </c>
      <c r="P299" t="s">
        <v>8830</v>
      </c>
    </row>
    <row r="300" spans="1:16" x14ac:dyDescent="0.3">
      <c r="A300" t="s">
        <v>8827</v>
      </c>
      <c r="B300" t="s">
        <v>109</v>
      </c>
      <c r="C300">
        <v>40</v>
      </c>
      <c r="D300" t="s">
        <v>10</v>
      </c>
      <c r="E300" t="s">
        <v>8804</v>
      </c>
      <c r="F300" s="1">
        <v>45068.5</v>
      </c>
      <c r="G300" s="1">
        <v>45068.527777777781</v>
      </c>
      <c r="H300">
        <v>12</v>
      </c>
      <c r="I300">
        <v>0</v>
      </c>
      <c r="J300">
        <v>12</v>
      </c>
      <c r="K300">
        <v>40</v>
      </c>
      <c r="L300">
        <v>2023</v>
      </c>
      <c r="N300" t="s">
        <v>47</v>
      </c>
      <c r="O300" t="s">
        <v>47</v>
      </c>
      <c r="P300" t="s">
        <v>8828</v>
      </c>
    </row>
    <row r="301" spans="1:16" x14ac:dyDescent="0.3">
      <c r="A301" t="s">
        <v>8823</v>
      </c>
      <c r="B301" t="s">
        <v>160</v>
      </c>
      <c r="C301">
        <v>30</v>
      </c>
      <c r="D301" t="s">
        <v>10</v>
      </c>
      <c r="E301" t="s">
        <v>8824</v>
      </c>
      <c r="F301" s="43">
        <v>45068.46875</v>
      </c>
      <c r="G301" s="43">
        <v>45068.489583333336</v>
      </c>
      <c r="H301">
        <v>11</v>
      </c>
      <c r="I301">
        <v>15</v>
      </c>
      <c r="J301">
        <v>11</v>
      </c>
      <c r="K301">
        <v>45</v>
      </c>
      <c r="L301">
        <v>2023</v>
      </c>
      <c r="N301" t="s">
        <v>8522</v>
      </c>
      <c r="O301" t="s">
        <v>6840</v>
      </c>
      <c r="P301" t="s">
        <v>8825</v>
      </c>
    </row>
    <row r="302" spans="1:16" x14ac:dyDescent="0.3">
      <c r="A302" t="s">
        <v>827</v>
      </c>
      <c r="B302" t="s">
        <v>6</v>
      </c>
      <c r="C302">
        <v>30</v>
      </c>
      <c r="D302" t="s">
        <v>10</v>
      </c>
      <c r="F302" s="43">
        <v>45068.416666666664</v>
      </c>
      <c r="G302" s="43">
        <v>45068.4375</v>
      </c>
      <c r="H302">
        <v>10</v>
      </c>
      <c r="I302">
        <v>0</v>
      </c>
      <c r="J302">
        <v>10</v>
      </c>
      <c r="K302">
        <v>30</v>
      </c>
      <c r="L302">
        <v>2023</v>
      </c>
      <c r="N302" t="s">
        <v>47</v>
      </c>
      <c r="O302" t="s">
        <v>47</v>
      </c>
      <c r="P302" t="s">
        <v>8826</v>
      </c>
    </row>
    <row r="303" spans="1:16" x14ac:dyDescent="0.3">
      <c r="A303" t="s">
        <v>8761</v>
      </c>
      <c r="B303" t="s">
        <v>225</v>
      </c>
      <c r="C303">
        <v>45</v>
      </c>
      <c r="D303" t="s">
        <v>10</v>
      </c>
      <c r="E303" t="s">
        <v>501</v>
      </c>
      <c r="F303" s="43">
        <v>45068.354166666664</v>
      </c>
      <c r="G303" s="43">
        <v>45068.385416666664</v>
      </c>
      <c r="H303">
        <v>8</v>
      </c>
      <c r="I303">
        <v>30</v>
      </c>
      <c r="J303">
        <v>9</v>
      </c>
      <c r="K303">
        <v>15</v>
      </c>
      <c r="L303">
        <v>2023</v>
      </c>
      <c r="N303" t="s">
        <v>8762</v>
      </c>
      <c r="O303" t="s">
        <v>47</v>
      </c>
      <c r="P303" t="s">
        <v>8763</v>
      </c>
    </row>
    <row r="304" spans="1:16" x14ac:dyDescent="0.3">
      <c r="A304" t="s">
        <v>8821</v>
      </c>
      <c r="B304" t="s">
        <v>109</v>
      </c>
      <c r="C304">
        <v>30</v>
      </c>
      <c r="D304" t="s">
        <v>10</v>
      </c>
      <c r="E304" t="s">
        <v>8804</v>
      </c>
      <c r="F304" s="43">
        <v>45068.291666666664</v>
      </c>
      <c r="G304" s="43">
        <v>45068.3125</v>
      </c>
      <c r="H304">
        <v>7</v>
      </c>
      <c r="I304">
        <v>0</v>
      </c>
      <c r="J304">
        <v>7</v>
      </c>
      <c r="K304">
        <v>30</v>
      </c>
      <c r="L304">
        <v>2023</v>
      </c>
      <c r="N304" t="s">
        <v>47</v>
      </c>
      <c r="O304" t="s">
        <v>47</v>
      </c>
      <c r="P304" t="s">
        <v>8822</v>
      </c>
    </row>
    <row r="305" spans="1:16" x14ac:dyDescent="0.3">
      <c r="A305" t="s">
        <v>8817</v>
      </c>
      <c r="B305" t="s">
        <v>6</v>
      </c>
      <c r="C305">
        <v>30</v>
      </c>
      <c r="D305" t="s">
        <v>10</v>
      </c>
      <c r="E305" t="s">
        <v>565</v>
      </c>
      <c r="F305" s="43">
        <v>45068.270833333336</v>
      </c>
      <c r="G305" s="43">
        <v>45068.291666666664</v>
      </c>
      <c r="H305">
        <v>6</v>
      </c>
      <c r="I305">
        <v>30</v>
      </c>
      <c r="J305">
        <v>7</v>
      </c>
      <c r="K305">
        <v>0</v>
      </c>
      <c r="L305">
        <v>2023</v>
      </c>
      <c r="N305" t="s">
        <v>47</v>
      </c>
      <c r="O305" t="s">
        <v>47</v>
      </c>
      <c r="P305" t="s">
        <v>8818</v>
      </c>
    </row>
    <row r="306" spans="1:16" x14ac:dyDescent="0.3">
      <c r="A306" t="s">
        <v>8819</v>
      </c>
      <c r="B306" t="s">
        <v>109</v>
      </c>
      <c r="C306">
        <v>30</v>
      </c>
      <c r="D306" t="s">
        <v>10</v>
      </c>
      <c r="E306" t="s">
        <v>8804</v>
      </c>
      <c r="F306" s="43">
        <v>45068.229166666664</v>
      </c>
      <c r="G306" s="43">
        <v>45068.25</v>
      </c>
      <c r="H306">
        <v>5</v>
      </c>
      <c r="I306">
        <v>30</v>
      </c>
      <c r="J306">
        <v>6</v>
      </c>
      <c r="K306">
        <v>0</v>
      </c>
      <c r="L306">
        <v>2023</v>
      </c>
      <c r="N306" t="s">
        <v>47</v>
      </c>
      <c r="O306" t="s">
        <v>47</v>
      </c>
      <c r="P306" t="s">
        <v>8820</v>
      </c>
    </row>
    <row r="307" spans="1:16" x14ac:dyDescent="0.3">
      <c r="A307" t="s">
        <v>8815</v>
      </c>
      <c r="C307">
        <v>4320</v>
      </c>
      <c r="D307" t="s">
        <v>10</v>
      </c>
      <c r="F307" s="43">
        <v>45068</v>
      </c>
      <c r="G307" s="43">
        <v>45071</v>
      </c>
      <c r="H307">
        <v>0</v>
      </c>
      <c r="I307">
        <v>0</v>
      </c>
      <c r="J307">
        <v>0</v>
      </c>
      <c r="K307">
        <v>0</v>
      </c>
      <c r="L307">
        <v>2023</v>
      </c>
      <c r="N307" t="s">
        <v>7578</v>
      </c>
      <c r="O307" t="s">
        <v>73</v>
      </c>
      <c r="P307" t="s">
        <v>8816</v>
      </c>
    </row>
    <row r="308" spans="1:16" x14ac:dyDescent="0.3">
      <c r="A308" t="s">
        <v>8813</v>
      </c>
      <c r="B308" t="s">
        <v>160</v>
      </c>
      <c r="C308">
        <v>60</v>
      </c>
      <c r="D308" t="s">
        <v>10</v>
      </c>
      <c r="E308" t="s">
        <v>8799</v>
      </c>
      <c r="F308" s="43">
        <v>45067.708333333336</v>
      </c>
      <c r="G308" s="43">
        <v>45067.75</v>
      </c>
      <c r="H308">
        <v>17</v>
      </c>
      <c r="I308">
        <v>0</v>
      </c>
      <c r="J308">
        <v>18</v>
      </c>
      <c r="K308">
        <v>0</v>
      </c>
      <c r="L308">
        <v>2023</v>
      </c>
      <c r="N308" t="s">
        <v>47</v>
      </c>
      <c r="O308" t="s">
        <v>47</v>
      </c>
      <c r="P308" t="s">
        <v>8814</v>
      </c>
    </row>
    <row r="309" spans="1:16" x14ac:dyDescent="0.3">
      <c r="A309" t="s">
        <v>8811</v>
      </c>
      <c r="B309" t="s">
        <v>109</v>
      </c>
      <c r="C309">
        <v>40</v>
      </c>
      <c r="D309" t="s">
        <v>10</v>
      </c>
      <c r="E309" t="s">
        <v>8636</v>
      </c>
      <c r="F309" s="43">
        <v>45067.625</v>
      </c>
      <c r="G309" s="43">
        <v>45067.652777777781</v>
      </c>
      <c r="H309">
        <v>15</v>
      </c>
      <c r="I309">
        <v>0</v>
      </c>
      <c r="J309">
        <v>15</v>
      </c>
      <c r="K309">
        <v>40</v>
      </c>
      <c r="L309">
        <v>2023</v>
      </c>
      <c r="N309" t="s">
        <v>47</v>
      </c>
      <c r="O309" t="s">
        <v>47</v>
      </c>
      <c r="P309" t="s">
        <v>8812</v>
      </c>
    </row>
    <row r="310" spans="1:16" x14ac:dyDescent="0.3">
      <c r="A310" t="s">
        <v>8809</v>
      </c>
      <c r="B310" t="s">
        <v>109</v>
      </c>
      <c r="C310">
        <v>30</v>
      </c>
      <c r="D310" t="s">
        <v>10</v>
      </c>
      <c r="E310" t="s">
        <v>8804</v>
      </c>
      <c r="F310" s="43">
        <v>45067.583333333336</v>
      </c>
      <c r="G310" s="43">
        <v>45067.604166666664</v>
      </c>
      <c r="H310">
        <v>14</v>
      </c>
      <c r="I310">
        <v>0</v>
      </c>
      <c r="J310">
        <v>14</v>
      </c>
      <c r="K310">
        <v>30</v>
      </c>
      <c r="L310">
        <v>2023</v>
      </c>
      <c r="N310" t="s">
        <v>47</v>
      </c>
      <c r="O310" t="s">
        <v>47</v>
      </c>
      <c r="P310" t="s">
        <v>8810</v>
      </c>
    </row>
    <row r="311" spans="1:16" x14ac:dyDescent="0.3">
      <c r="A311" t="s">
        <v>8807</v>
      </c>
      <c r="B311" t="s">
        <v>222</v>
      </c>
      <c r="C311">
        <v>45</v>
      </c>
      <c r="D311" t="s">
        <v>10</v>
      </c>
      <c r="E311" t="s">
        <v>8804</v>
      </c>
      <c r="F311" s="43">
        <v>45067.479166666664</v>
      </c>
      <c r="G311" s="43">
        <v>45067.510416666664</v>
      </c>
      <c r="H311">
        <v>11</v>
      </c>
      <c r="I311">
        <v>30</v>
      </c>
      <c r="J311">
        <v>12</v>
      </c>
      <c r="K311">
        <v>15</v>
      </c>
      <c r="L311">
        <v>2023</v>
      </c>
      <c r="N311" t="s">
        <v>47</v>
      </c>
      <c r="O311" t="s">
        <v>47</v>
      </c>
      <c r="P311" t="s">
        <v>8808</v>
      </c>
    </row>
    <row r="312" spans="1:16" x14ac:dyDescent="0.3">
      <c r="A312" t="s">
        <v>8803</v>
      </c>
      <c r="B312" t="s">
        <v>109</v>
      </c>
      <c r="C312">
        <v>45</v>
      </c>
      <c r="D312" t="s">
        <v>10</v>
      </c>
      <c r="E312" t="s">
        <v>8804</v>
      </c>
      <c r="F312" s="43">
        <v>45067.375</v>
      </c>
      <c r="G312" s="43">
        <v>45067.40625</v>
      </c>
      <c r="H312">
        <v>9</v>
      </c>
      <c r="I312">
        <v>0</v>
      </c>
      <c r="J312">
        <v>9</v>
      </c>
      <c r="K312">
        <v>45</v>
      </c>
      <c r="L312">
        <v>2023</v>
      </c>
      <c r="N312" t="s">
        <v>47</v>
      </c>
      <c r="O312" t="s">
        <v>47</v>
      </c>
      <c r="P312" t="s">
        <v>8805</v>
      </c>
    </row>
    <row r="313" spans="1:16" x14ac:dyDescent="0.3">
      <c r="A313" t="s">
        <v>8801</v>
      </c>
      <c r="B313" t="s">
        <v>160</v>
      </c>
      <c r="C313">
        <v>45</v>
      </c>
      <c r="D313" t="s">
        <v>10</v>
      </c>
      <c r="E313" t="s">
        <v>8799</v>
      </c>
      <c r="F313" s="43">
        <v>45067.28125</v>
      </c>
      <c r="G313" s="43">
        <v>45067.3125</v>
      </c>
      <c r="H313">
        <v>6</v>
      </c>
      <c r="I313">
        <v>45</v>
      </c>
      <c r="J313">
        <v>7</v>
      </c>
      <c r="K313">
        <v>30</v>
      </c>
      <c r="L313">
        <v>2023</v>
      </c>
      <c r="N313" t="s">
        <v>47</v>
      </c>
      <c r="O313" t="s">
        <v>47</v>
      </c>
      <c r="P313" t="s">
        <v>8802</v>
      </c>
    </row>
    <row r="314" spans="1:16" x14ac:dyDescent="0.3">
      <c r="A314" t="s">
        <v>8798</v>
      </c>
      <c r="B314" t="s">
        <v>160</v>
      </c>
      <c r="C314">
        <v>60</v>
      </c>
      <c r="D314" t="s">
        <v>10</v>
      </c>
      <c r="E314" t="s">
        <v>8799</v>
      </c>
      <c r="F314" s="43">
        <v>45066.645833333336</v>
      </c>
      <c r="G314" s="43">
        <v>45066.6875</v>
      </c>
      <c r="H314">
        <v>15</v>
      </c>
      <c r="I314">
        <v>30</v>
      </c>
      <c r="J314">
        <v>16</v>
      </c>
      <c r="K314">
        <v>30</v>
      </c>
      <c r="L314">
        <v>2023</v>
      </c>
      <c r="N314" t="s">
        <v>47</v>
      </c>
      <c r="O314" t="s">
        <v>47</v>
      </c>
      <c r="P314" t="s">
        <v>8800</v>
      </c>
    </row>
    <row r="315" spans="1:16" x14ac:dyDescent="0.3">
      <c r="A315" t="s">
        <v>40</v>
      </c>
      <c r="C315">
        <v>30</v>
      </c>
      <c r="D315" t="s">
        <v>10</v>
      </c>
      <c r="F315" s="43">
        <v>45066.604166666664</v>
      </c>
      <c r="G315" s="43">
        <v>45066.625</v>
      </c>
      <c r="H315">
        <v>14</v>
      </c>
      <c r="I315">
        <v>30</v>
      </c>
      <c r="J315">
        <v>15</v>
      </c>
      <c r="K315">
        <v>0</v>
      </c>
      <c r="L315">
        <v>2023</v>
      </c>
      <c r="N315" t="s">
        <v>47</v>
      </c>
      <c r="O315" t="s">
        <v>47</v>
      </c>
      <c r="P315" t="s">
        <v>8797</v>
      </c>
    </row>
    <row r="316" spans="1:16" x14ac:dyDescent="0.3">
      <c r="A316" t="s">
        <v>40</v>
      </c>
      <c r="B316" t="s">
        <v>109</v>
      </c>
      <c r="C316">
        <v>60</v>
      </c>
      <c r="D316" t="s">
        <v>10</v>
      </c>
      <c r="E316" t="s">
        <v>8792</v>
      </c>
      <c r="F316" s="43">
        <v>45066.520833333336</v>
      </c>
      <c r="G316" s="43">
        <v>45066.5625</v>
      </c>
      <c r="H316">
        <v>12</v>
      </c>
      <c r="I316">
        <v>30</v>
      </c>
      <c r="J316">
        <v>13</v>
      </c>
      <c r="K316">
        <v>30</v>
      </c>
      <c r="L316">
        <v>2023</v>
      </c>
      <c r="N316" t="s">
        <v>47</v>
      </c>
      <c r="O316" t="s">
        <v>47</v>
      </c>
      <c r="P316" t="s">
        <v>8796</v>
      </c>
    </row>
    <row r="317" spans="1:16" x14ac:dyDescent="0.3">
      <c r="A317" t="s">
        <v>40</v>
      </c>
      <c r="B317" t="s">
        <v>109</v>
      </c>
      <c r="C317">
        <v>60</v>
      </c>
      <c r="D317" t="s">
        <v>10</v>
      </c>
      <c r="E317" t="s">
        <v>8792</v>
      </c>
      <c r="F317" s="43">
        <v>45066.333333333336</v>
      </c>
      <c r="G317" s="43">
        <v>45066.375</v>
      </c>
      <c r="H317">
        <v>8</v>
      </c>
      <c r="I317">
        <v>0</v>
      </c>
      <c r="J317">
        <v>9</v>
      </c>
      <c r="K317">
        <v>0</v>
      </c>
      <c r="L317">
        <v>2023</v>
      </c>
      <c r="N317" t="s">
        <v>47</v>
      </c>
      <c r="O317" t="s">
        <v>47</v>
      </c>
      <c r="P317" t="s">
        <v>8795</v>
      </c>
    </row>
    <row r="318" spans="1:16" x14ac:dyDescent="0.3">
      <c r="A318" t="s">
        <v>40</v>
      </c>
      <c r="B318" t="s">
        <v>109</v>
      </c>
      <c r="C318">
        <v>30</v>
      </c>
      <c r="D318" t="s">
        <v>10</v>
      </c>
      <c r="E318" t="s">
        <v>8792</v>
      </c>
      <c r="F318" s="43">
        <v>45065.770833333336</v>
      </c>
      <c r="G318" s="43">
        <v>45065.791666666664</v>
      </c>
      <c r="H318">
        <v>18</v>
      </c>
      <c r="I318">
        <v>30</v>
      </c>
      <c r="J318">
        <v>19</v>
      </c>
      <c r="K318">
        <v>0</v>
      </c>
      <c r="L318">
        <v>2023</v>
      </c>
      <c r="N318" t="s">
        <v>47</v>
      </c>
      <c r="O318" t="s">
        <v>47</v>
      </c>
      <c r="P318" t="s">
        <v>8794</v>
      </c>
    </row>
    <row r="319" spans="1:16" x14ac:dyDescent="0.3">
      <c r="A319" t="s">
        <v>40</v>
      </c>
      <c r="B319" t="s">
        <v>109</v>
      </c>
      <c r="C319">
        <v>30</v>
      </c>
      <c r="D319" t="s">
        <v>10</v>
      </c>
      <c r="E319" t="s">
        <v>8792</v>
      </c>
      <c r="F319" s="43">
        <v>45065.708333333336</v>
      </c>
      <c r="G319" s="43">
        <v>45065.729166666664</v>
      </c>
      <c r="H319">
        <v>17</v>
      </c>
      <c r="I319">
        <v>0</v>
      </c>
      <c r="J319">
        <v>17</v>
      </c>
      <c r="K319">
        <v>30</v>
      </c>
      <c r="L319">
        <v>2023</v>
      </c>
      <c r="N319" t="s">
        <v>47</v>
      </c>
      <c r="O319" t="s">
        <v>47</v>
      </c>
      <c r="P319" t="s">
        <v>8793</v>
      </c>
    </row>
    <row r="320" spans="1:16" x14ac:dyDescent="0.3">
      <c r="A320" t="s">
        <v>9</v>
      </c>
      <c r="C320">
        <v>30</v>
      </c>
      <c r="D320" t="s">
        <v>10</v>
      </c>
      <c r="F320" s="43">
        <v>45065.625</v>
      </c>
      <c r="G320" s="43">
        <v>45065.645833333336</v>
      </c>
      <c r="H320">
        <v>15</v>
      </c>
      <c r="I320">
        <v>0</v>
      </c>
      <c r="J320">
        <v>15</v>
      </c>
      <c r="K320">
        <v>30</v>
      </c>
      <c r="L320">
        <v>2023</v>
      </c>
      <c r="N320" t="s">
        <v>47</v>
      </c>
      <c r="O320" t="s">
        <v>47</v>
      </c>
      <c r="P320" t="s">
        <v>8791</v>
      </c>
    </row>
    <row r="321" spans="1:18" x14ac:dyDescent="0.3">
      <c r="A321" t="s">
        <v>123</v>
      </c>
      <c r="C321">
        <v>30</v>
      </c>
      <c r="D321" t="s">
        <v>10</v>
      </c>
      <c r="F321" s="43">
        <v>45065.604166666664</v>
      </c>
      <c r="G321" s="43">
        <v>45065.625</v>
      </c>
      <c r="H321">
        <v>14</v>
      </c>
      <c r="I321">
        <v>30</v>
      </c>
      <c r="J321">
        <v>15</v>
      </c>
      <c r="K321">
        <v>0</v>
      </c>
      <c r="L321">
        <v>2023</v>
      </c>
      <c r="N321" t="s">
        <v>47</v>
      </c>
      <c r="O321" t="s">
        <v>47</v>
      </c>
      <c r="P321" t="s">
        <v>8790</v>
      </c>
    </row>
    <row r="322" spans="1:18" x14ac:dyDescent="0.3">
      <c r="A322" t="s">
        <v>8788</v>
      </c>
      <c r="B322" t="s">
        <v>160</v>
      </c>
      <c r="C322">
        <v>30</v>
      </c>
      <c r="D322" t="s">
        <v>10</v>
      </c>
      <c r="E322" t="s">
        <v>8667</v>
      </c>
      <c r="F322" s="43">
        <v>45065.583333333336</v>
      </c>
      <c r="G322" s="43">
        <v>45065.604166666664</v>
      </c>
      <c r="H322">
        <v>14</v>
      </c>
      <c r="I322">
        <v>0</v>
      </c>
      <c r="J322">
        <v>14</v>
      </c>
      <c r="K322">
        <v>30</v>
      </c>
      <c r="L322">
        <v>2023</v>
      </c>
      <c r="N322" t="s">
        <v>47</v>
      </c>
      <c r="O322" t="s">
        <v>47</v>
      </c>
      <c r="P322" t="s">
        <v>8789</v>
      </c>
    </row>
    <row r="323" spans="1:18" x14ac:dyDescent="0.3">
      <c r="A323" t="s">
        <v>8786</v>
      </c>
      <c r="B323" t="s">
        <v>160</v>
      </c>
      <c r="C323">
        <v>30</v>
      </c>
      <c r="D323" t="s">
        <v>10</v>
      </c>
      <c r="E323" t="s">
        <v>8777</v>
      </c>
      <c r="F323" s="43">
        <v>45065.53125</v>
      </c>
      <c r="G323" s="43">
        <v>45065.552083333336</v>
      </c>
      <c r="H323">
        <v>12</v>
      </c>
      <c r="I323">
        <v>45</v>
      </c>
      <c r="J323">
        <v>13</v>
      </c>
      <c r="K323">
        <v>15</v>
      </c>
      <c r="L323">
        <v>2023</v>
      </c>
      <c r="N323" t="s">
        <v>47</v>
      </c>
      <c r="O323" t="s">
        <v>47</v>
      </c>
      <c r="P323" t="s">
        <v>8787</v>
      </c>
    </row>
    <row r="324" spans="1:18" x14ac:dyDescent="0.3">
      <c r="A324" t="s">
        <v>777</v>
      </c>
      <c r="C324">
        <v>30</v>
      </c>
      <c r="D324" t="s">
        <v>10</v>
      </c>
      <c r="F324" s="43">
        <v>45065.510416666664</v>
      </c>
      <c r="G324" s="43">
        <v>45065.53125</v>
      </c>
      <c r="H324">
        <v>12</v>
      </c>
      <c r="I324">
        <v>15</v>
      </c>
      <c r="J324">
        <v>12</v>
      </c>
      <c r="K324">
        <v>45</v>
      </c>
      <c r="L324">
        <v>2023</v>
      </c>
      <c r="N324" t="s">
        <v>47</v>
      </c>
      <c r="O324" t="s">
        <v>47</v>
      </c>
      <c r="P324" t="s">
        <v>8785</v>
      </c>
      <c r="Q324" t="s">
        <v>6</v>
      </c>
      <c r="R324" s="41" t="s">
        <v>9112</v>
      </c>
    </row>
    <row r="325" spans="1:18" x14ac:dyDescent="0.3">
      <c r="A325" t="s">
        <v>8783</v>
      </c>
      <c r="B325" t="s">
        <v>160</v>
      </c>
      <c r="C325">
        <v>30</v>
      </c>
      <c r="D325" t="s">
        <v>10</v>
      </c>
      <c r="E325" t="s">
        <v>8774</v>
      </c>
      <c r="F325" s="43">
        <v>45065.489583333336</v>
      </c>
      <c r="G325" s="43">
        <v>45065.510416666664</v>
      </c>
      <c r="H325">
        <v>11</v>
      </c>
      <c r="I325">
        <v>45</v>
      </c>
      <c r="J325">
        <v>12</v>
      </c>
      <c r="K325">
        <v>15</v>
      </c>
      <c r="L325">
        <v>2023</v>
      </c>
      <c r="N325" t="s">
        <v>47</v>
      </c>
      <c r="O325" t="s">
        <v>47</v>
      </c>
      <c r="P325" t="s">
        <v>8784</v>
      </c>
    </row>
    <row r="326" spans="1:18" x14ac:dyDescent="0.3">
      <c r="A326" t="s">
        <v>8701</v>
      </c>
      <c r="B326" t="s">
        <v>20</v>
      </c>
      <c r="C326">
        <v>60</v>
      </c>
      <c r="D326" t="s">
        <v>10</v>
      </c>
      <c r="E326" t="s">
        <v>8702</v>
      </c>
      <c r="F326" s="43">
        <v>45065.375</v>
      </c>
      <c r="G326" s="43">
        <v>45065.416666666664</v>
      </c>
      <c r="H326">
        <v>9</v>
      </c>
      <c r="I326">
        <v>0</v>
      </c>
      <c r="J326">
        <v>10</v>
      </c>
      <c r="K326">
        <v>0</v>
      </c>
      <c r="L326">
        <v>2023</v>
      </c>
      <c r="N326" t="s">
        <v>8703</v>
      </c>
      <c r="O326" t="s">
        <v>8704</v>
      </c>
      <c r="P326" t="s">
        <v>8705</v>
      </c>
    </row>
    <row r="327" spans="1:18" x14ac:dyDescent="0.3">
      <c r="A327" t="s">
        <v>8781</v>
      </c>
      <c r="B327" t="s">
        <v>160</v>
      </c>
      <c r="C327">
        <v>30</v>
      </c>
      <c r="D327" t="s">
        <v>10</v>
      </c>
      <c r="E327" t="s">
        <v>8777</v>
      </c>
      <c r="F327" s="43">
        <v>45065.354166666664</v>
      </c>
      <c r="G327" s="43">
        <v>45065.375</v>
      </c>
      <c r="H327">
        <v>8</v>
      </c>
      <c r="I327">
        <v>30</v>
      </c>
      <c r="J327">
        <v>9</v>
      </c>
      <c r="K327">
        <v>0</v>
      </c>
      <c r="L327">
        <v>2023</v>
      </c>
      <c r="N327" t="s">
        <v>47</v>
      </c>
      <c r="O327" t="s">
        <v>47</v>
      </c>
      <c r="P327" t="s">
        <v>8782</v>
      </c>
    </row>
    <row r="328" spans="1:18" x14ac:dyDescent="0.3">
      <c r="A328" t="s">
        <v>8779</v>
      </c>
      <c r="B328" t="s">
        <v>6</v>
      </c>
      <c r="C328">
        <v>30</v>
      </c>
      <c r="D328" t="s">
        <v>10</v>
      </c>
      <c r="E328" t="s">
        <v>515</v>
      </c>
      <c r="F328" s="43">
        <v>45065.270833333336</v>
      </c>
      <c r="G328" s="43">
        <v>45065.291666666664</v>
      </c>
      <c r="H328">
        <v>6</v>
      </c>
      <c r="I328">
        <v>30</v>
      </c>
      <c r="J328">
        <v>7</v>
      </c>
      <c r="K328">
        <v>0</v>
      </c>
      <c r="L328">
        <v>2023</v>
      </c>
      <c r="N328" t="s">
        <v>47</v>
      </c>
      <c r="O328" t="s">
        <v>47</v>
      </c>
      <c r="P328" t="s">
        <v>8780</v>
      </c>
    </row>
    <row r="329" spans="1:18" x14ac:dyDescent="0.3">
      <c r="A329" t="s">
        <v>8776</v>
      </c>
      <c r="B329" t="s">
        <v>160</v>
      </c>
      <c r="C329">
        <v>30</v>
      </c>
      <c r="D329" t="s">
        <v>10</v>
      </c>
      <c r="E329" t="s">
        <v>8777</v>
      </c>
      <c r="F329" s="43">
        <v>45065.25</v>
      </c>
      <c r="G329" s="43">
        <v>45065.270833333336</v>
      </c>
      <c r="H329">
        <v>6</v>
      </c>
      <c r="I329">
        <v>0</v>
      </c>
      <c r="J329">
        <v>6</v>
      </c>
      <c r="K329">
        <v>30</v>
      </c>
      <c r="L329">
        <v>2023</v>
      </c>
      <c r="N329" t="s">
        <v>47</v>
      </c>
      <c r="O329" t="s">
        <v>47</v>
      </c>
      <c r="P329" t="s">
        <v>8778</v>
      </c>
    </row>
    <row r="330" spans="1:18" x14ac:dyDescent="0.3">
      <c r="A330" t="s">
        <v>8773</v>
      </c>
      <c r="B330" t="s">
        <v>160</v>
      </c>
      <c r="C330">
        <v>30</v>
      </c>
      <c r="D330" t="s">
        <v>10</v>
      </c>
      <c r="E330" t="s">
        <v>8774</v>
      </c>
      <c r="F330" s="43">
        <v>45064.760416666664</v>
      </c>
      <c r="G330" s="43">
        <v>45064.78125</v>
      </c>
      <c r="H330">
        <v>18</v>
      </c>
      <c r="I330">
        <v>15</v>
      </c>
      <c r="J330">
        <v>18</v>
      </c>
      <c r="K330">
        <v>45</v>
      </c>
      <c r="L330">
        <v>2023</v>
      </c>
      <c r="N330" t="s">
        <v>47</v>
      </c>
      <c r="O330" t="s">
        <v>47</v>
      </c>
      <c r="P330" t="s">
        <v>8775</v>
      </c>
    </row>
    <row r="331" spans="1:18" x14ac:dyDescent="0.3">
      <c r="A331" t="s">
        <v>4529</v>
      </c>
      <c r="B331" t="s">
        <v>109</v>
      </c>
      <c r="C331">
        <v>40</v>
      </c>
      <c r="D331" t="s">
        <v>10</v>
      </c>
      <c r="E331" t="s">
        <v>787</v>
      </c>
      <c r="F331" s="43">
        <v>45064.708333333336</v>
      </c>
      <c r="G331" s="43">
        <v>45064.736111111109</v>
      </c>
      <c r="H331">
        <v>17</v>
      </c>
      <c r="I331">
        <v>0</v>
      </c>
      <c r="J331">
        <v>17</v>
      </c>
      <c r="K331">
        <v>40</v>
      </c>
      <c r="L331">
        <v>2023</v>
      </c>
      <c r="N331" t="s">
        <v>47</v>
      </c>
      <c r="O331" t="s">
        <v>47</v>
      </c>
      <c r="P331" t="s">
        <v>8772</v>
      </c>
    </row>
    <row r="332" spans="1:18" x14ac:dyDescent="0.3">
      <c r="A332" t="s">
        <v>40</v>
      </c>
      <c r="B332" t="s">
        <v>109</v>
      </c>
      <c r="C332">
        <v>60</v>
      </c>
      <c r="D332" t="s">
        <v>10</v>
      </c>
      <c r="E332" t="s">
        <v>787</v>
      </c>
      <c r="F332" s="43">
        <v>45064.659722222219</v>
      </c>
      <c r="G332" s="43">
        <v>45064.701388888891</v>
      </c>
      <c r="H332">
        <v>15</v>
      </c>
      <c r="I332">
        <v>50</v>
      </c>
      <c r="J332">
        <v>16</v>
      </c>
      <c r="K332">
        <v>50</v>
      </c>
      <c r="L332">
        <v>2023</v>
      </c>
      <c r="N332" t="s">
        <v>47</v>
      </c>
      <c r="O332" t="s">
        <v>47</v>
      </c>
      <c r="P332" t="s">
        <v>8771</v>
      </c>
    </row>
    <row r="333" spans="1:18" x14ac:dyDescent="0.3">
      <c r="A333" t="s">
        <v>446</v>
      </c>
      <c r="B333" t="s">
        <v>109</v>
      </c>
      <c r="C333">
        <v>5</v>
      </c>
      <c r="D333" t="s">
        <v>10</v>
      </c>
      <c r="E333" t="s">
        <v>8654</v>
      </c>
      <c r="F333" s="43">
        <v>45064.614583333336</v>
      </c>
      <c r="G333" s="43">
        <v>45064.618055555555</v>
      </c>
      <c r="H333">
        <v>14</v>
      </c>
      <c r="I333">
        <v>45</v>
      </c>
      <c r="J333">
        <v>14</v>
      </c>
      <c r="K333">
        <v>50</v>
      </c>
      <c r="L333">
        <v>2023</v>
      </c>
      <c r="N333" t="s">
        <v>47</v>
      </c>
      <c r="O333" t="s">
        <v>47</v>
      </c>
      <c r="P333" t="s">
        <v>8770</v>
      </c>
    </row>
    <row r="334" spans="1:18" x14ac:dyDescent="0.3">
      <c r="A334" t="s">
        <v>8723</v>
      </c>
      <c r="B334" t="s">
        <v>20</v>
      </c>
      <c r="C334">
        <v>60</v>
      </c>
      <c r="D334" t="s">
        <v>10</v>
      </c>
      <c r="F334" s="43">
        <v>45064.541666666664</v>
      </c>
      <c r="G334" s="43">
        <v>45064.583333333336</v>
      </c>
      <c r="H334">
        <v>13</v>
      </c>
      <c r="I334">
        <v>0</v>
      </c>
      <c r="J334">
        <v>14</v>
      </c>
      <c r="K334">
        <v>0</v>
      </c>
      <c r="L334">
        <v>2023</v>
      </c>
      <c r="N334" t="s">
        <v>8724</v>
      </c>
      <c r="O334" t="s">
        <v>8725</v>
      </c>
      <c r="P334" t="s">
        <v>8726</v>
      </c>
    </row>
    <row r="335" spans="1:18" x14ac:dyDescent="0.3">
      <c r="A335" t="s">
        <v>8766</v>
      </c>
      <c r="B335" t="s">
        <v>109</v>
      </c>
      <c r="C335">
        <v>30</v>
      </c>
      <c r="D335" t="s">
        <v>10</v>
      </c>
      <c r="E335" t="s">
        <v>8767</v>
      </c>
      <c r="F335" s="43">
        <v>45064.520833333336</v>
      </c>
      <c r="G335" s="43">
        <v>45064.541666666664</v>
      </c>
      <c r="H335">
        <v>12</v>
      </c>
      <c r="I335">
        <v>30</v>
      </c>
      <c r="J335">
        <v>13</v>
      </c>
      <c r="K335">
        <v>0</v>
      </c>
      <c r="L335">
        <v>2023</v>
      </c>
      <c r="N335" t="s">
        <v>523</v>
      </c>
      <c r="O335" t="s">
        <v>48</v>
      </c>
      <c r="P335" t="s">
        <v>8768</v>
      </c>
    </row>
    <row r="336" spans="1:18" x14ac:dyDescent="0.3">
      <c r="A336" t="s">
        <v>8</v>
      </c>
      <c r="C336">
        <v>30</v>
      </c>
      <c r="D336" t="s">
        <v>10</v>
      </c>
      <c r="F336" s="43">
        <v>45064.5</v>
      </c>
      <c r="G336" s="43">
        <v>45064.520833333336</v>
      </c>
      <c r="H336">
        <v>12</v>
      </c>
      <c r="I336">
        <v>0</v>
      </c>
      <c r="J336">
        <v>12</v>
      </c>
      <c r="K336">
        <v>30</v>
      </c>
      <c r="L336">
        <v>2023</v>
      </c>
      <c r="N336" t="s">
        <v>47</v>
      </c>
      <c r="O336" t="s">
        <v>47</v>
      </c>
      <c r="P336" t="s">
        <v>8769</v>
      </c>
    </row>
    <row r="337" spans="1:16" x14ac:dyDescent="0.3">
      <c r="A337" t="s">
        <v>4373</v>
      </c>
      <c r="C337">
        <v>30</v>
      </c>
      <c r="D337" t="s">
        <v>10</v>
      </c>
      <c r="E337" t="s">
        <v>8747</v>
      </c>
      <c r="F337" s="43">
        <v>45064.479166666664</v>
      </c>
      <c r="G337" s="43">
        <v>45064.5</v>
      </c>
      <c r="H337">
        <v>11</v>
      </c>
      <c r="I337">
        <v>30</v>
      </c>
      <c r="J337">
        <v>12</v>
      </c>
      <c r="K337">
        <v>0</v>
      </c>
      <c r="L337">
        <v>2023</v>
      </c>
      <c r="N337" t="s">
        <v>4384</v>
      </c>
      <c r="O337" t="s">
        <v>47</v>
      </c>
      <c r="P337" t="s">
        <v>8748</v>
      </c>
    </row>
    <row r="338" spans="1:16" x14ac:dyDescent="0.3">
      <c r="A338" t="s">
        <v>40</v>
      </c>
      <c r="B338" t="s">
        <v>109</v>
      </c>
      <c r="C338">
        <v>30</v>
      </c>
      <c r="D338" t="s">
        <v>10</v>
      </c>
      <c r="E338" t="s">
        <v>787</v>
      </c>
      <c r="F338" s="43">
        <v>45064.458333333336</v>
      </c>
      <c r="G338" s="43">
        <v>45064.479166666664</v>
      </c>
      <c r="H338">
        <v>11</v>
      </c>
      <c r="I338">
        <v>0</v>
      </c>
      <c r="J338">
        <v>11</v>
      </c>
      <c r="K338">
        <v>30</v>
      </c>
      <c r="L338">
        <v>2023</v>
      </c>
      <c r="N338" t="s">
        <v>47</v>
      </c>
      <c r="O338" t="s">
        <v>47</v>
      </c>
      <c r="P338" t="s">
        <v>8765</v>
      </c>
    </row>
    <row r="339" spans="1:16" x14ac:dyDescent="0.3">
      <c r="A339" t="s">
        <v>40</v>
      </c>
      <c r="B339" t="s">
        <v>109</v>
      </c>
      <c r="C339">
        <v>60</v>
      </c>
      <c r="D339" t="s">
        <v>10</v>
      </c>
      <c r="E339" t="s">
        <v>787</v>
      </c>
      <c r="F339" s="43">
        <v>45064.395833333336</v>
      </c>
      <c r="G339" s="43">
        <v>45064.4375</v>
      </c>
      <c r="H339">
        <v>9</v>
      </c>
      <c r="I339">
        <v>30</v>
      </c>
      <c r="J339">
        <v>10</v>
      </c>
      <c r="K339">
        <v>30</v>
      </c>
      <c r="L339">
        <v>2023</v>
      </c>
      <c r="N339" t="s">
        <v>47</v>
      </c>
      <c r="O339" t="s">
        <v>47</v>
      </c>
      <c r="P339" t="s">
        <v>8764</v>
      </c>
    </row>
    <row r="340" spans="1:16" x14ac:dyDescent="0.3">
      <c r="A340" t="s">
        <v>8</v>
      </c>
      <c r="B340" t="s">
        <v>6</v>
      </c>
      <c r="C340">
        <v>30</v>
      </c>
      <c r="D340" t="s">
        <v>10</v>
      </c>
      <c r="E340" t="s">
        <v>477</v>
      </c>
      <c r="F340" s="43">
        <v>45064.3125</v>
      </c>
      <c r="G340" s="43">
        <v>45064.333333333336</v>
      </c>
      <c r="H340">
        <v>7</v>
      </c>
      <c r="I340">
        <v>30</v>
      </c>
      <c r="J340">
        <v>8</v>
      </c>
      <c r="K340">
        <v>0</v>
      </c>
      <c r="L340">
        <v>2023</v>
      </c>
      <c r="N340" t="s">
        <v>47</v>
      </c>
      <c r="O340" t="s">
        <v>47</v>
      </c>
      <c r="P340" t="s">
        <v>8760</v>
      </c>
    </row>
    <row r="341" spans="1:16" x14ac:dyDescent="0.3">
      <c r="A341" t="s">
        <v>1222</v>
      </c>
      <c r="B341" t="s">
        <v>6</v>
      </c>
      <c r="C341">
        <v>30</v>
      </c>
      <c r="D341" t="s">
        <v>10</v>
      </c>
      <c r="E341" t="s">
        <v>565</v>
      </c>
      <c r="F341" s="43">
        <v>45064.270833333336</v>
      </c>
      <c r="G341" s="43">
        <v>45064.291666666664</v>
      </c>
      <c r="H341">
        <v>6</v>
      </c>
      <c r="I341">
        <v>30</v>
      </c>
      <c r="J341">
        <v>7</v>
      </c>
      <c r="K341">
        <v>0</v>
      </c>
      <c r="L341">
        <v>2023</v>
      </c>
      <c r="N341" t="s">
        <v>47</v>
      </c>
      <c r="O341" t="s">
        <v>47</v>
      </c>
      <c r="P341" t="s">
        <v>8759</v>
      </c>
    </row>
    <row r="342" spans="1:16" x14ac:dyDescent="0.3">
      <c r="A342" t="s">
        <v>8</v>
      </c>
      <c r="B342" t="s">
        <v>6</v>
      </c>
      <c r="C342">
        <v>30</v>
      </c>
      <c r="D342" t="s">
        <v>10</v>
      </c>
      <c r="E342" t="s">
        <v>477</v>
      </c>
      <c r="F342" s="43">
        <v>45064.229166666664</v>
      </c>
      <c r="G342" s="43">
        <v>45064.25</v>
      </c>
      <c r="H342">
        <v>5</v>
      </c>
      <c r="I342">
        <v>30</v>
      </c>
      <c r="J342">
        <v>6</v>
      </c>
      <c r="K342">
        <v>0</v>
      </c>
      <c r="L342">
        <v>2023</v>
      </c>
      <c r="N342" t="s">
        <v>47</v>
      </c>
      <c r="O342" t="s">
        <v>47</v>
      </c>
      <c r="P342" t="s">
        <v>8758</v>
      </c>
    </row>
    <row r="343" spans="1:16" x14ac:dyDescent="0.3">
      <c r="A343" t="s">
        <v>8750</v>
      </c>
      <c r="C343">
        <v>30</v>
      </c>
      <c r="D343" t="s">
        <v>10</v>
      </c>
      <c r="F343" s="43">
        <v>45063.75</v>
      </c>
      <c r="G343" s="43">
        <v>45063.770833333336</v>
      </c>
      <c r="H343">
        <v>18</v>
      </c>
      <c r="I343">
        <v>0</v>
      </c>
      <c r="J343">
        <v>18</v>
      </c>
      <c r="K343">
        <v>30</v>
      </c>
      <c r="L343">
        <v>2023</v>
      </c>
      <c r="N343" t="s">
        <v>47</v>
      </c>
      <c r="O343" t="s">
        <v>47</v>
      </c>
      <c r="P343" t="s">
        <v>8751</v>
      </c>
    </row>
    <row r="344" spans="1:16" x14ac:dyDescent="0.3">
      <c r="A344" t="s">
        <v>8741</v>
      </c>
      <c r="C344">
        <v>30</v>
      </c>
      <c r="D344" t="s">
        <v>10</v>
      </c>
      <c r="F344" s="43">
        <v>45063.729166666664</v>
      </c>
      <c r="G344" s="43">
        <v>45063.75</v>
      </c>
      <c r="H344">
        <v>17</v>
      </c>
      <c r="I344">
        <v>30</v>
      </c>
      <c r="J344">
        <v>18</v>
      </c>
      <c r="K344">
        <v>0</v>
      </c>
      <c r="L344">
        <v>2023</v>
      </c>
      <c r="N344" t="s">
        <v>47</v>
      </c>
      <c r="O344" t="s">
        <v>47</v>
      </c>
      <c r="P344" t="s">
        <v>8742</v>
      </c>
    </row>
    <row r="345" spans="1:16" x14ac:dyDescent="0.3">
      <c r="A345" t="s">
        <v>9</v>
      </c>
      <c r="B345" t="s">
        <v>6</v>
      </c>
      <c r="C345">
        <v>90</v>
      </c>
      <c r="D345" t="s">
        <v>10</v>
      </c>
      <c r="E345" t="s">
        <v>449</v>
      </c>
      <c r="F345" s="43">
        <v>45063.666666666664</v>
      </c>
      <c r="G345" s="43">
        <v>45063.729166666664</v>
      </c>
      <c r="H345">
        <v>16</v>
      </c>
      <c r="I345">
        <v>0</v>
      </c>
      <c r="J345">
        <v>17</v>
      </c>
      <c r="K345">
        <v>30</v>
      </c>
      <c r="L345">
        <v>2023</v>
      </c>
      <c r="N345" t="s">
        <v>47</v>
      </c>
      <c r="O345" t="s">
        <v>47</v>
      </c>
      <c r="P345" t="s">
        <v>8749</v>
      </c>
    </row>
    <row r="346" spans="1:16" x14ac:dyDescent="0.3">
      <c r="A346" t="s">
        <v>8739</v>
      </c>
      <c r="C346">
        <v>30</v>
      </c>
      <c r="D346" t="s">
        <v>10</v>
      </c>
      <c r="F346" s="43">
        <v>45063.625</v>
      </c>
      <c r="G346" s="43">
        <v>45063.645833333336</v>
      </c>
      <c r="H346">
        <v>15</v>
      </c>
      <c r="I346">
        <v>0</v>
      </c>
      <c r="J346">
        <v>15</v>
      </c>
      <c r="K346">
        <v>30</v>
      </c>
      <c r="L346">
        <v>2023</v>
      </c>
      <c r="N346" t="s">
        <v>47</v>
      </c>
      <c r="O346" t="s">
        <v>47</v>
      </c>
      <c r="P346" t="s">
        <v>8740</v>
      </c>
    </row>
    <row r="347" spans="1:16" x14ac:dyDescent="0.3">
      <c r="A347" t="s">
        <v>4012</v>
      </c>
      <c r="B347" t="s">
        <v>20</v>
      </c>
      <c r="C347">
        <v>30</v>
      </c>
      <c r="D347" t="s">
        <v>10</v>
      </c>
      <c r="E347" t="s">
        <v>5</v>
      </c>
      <c r="F347" s="43">
        <v>45063.5625</v>
      </c>
      <c r="G347" s="43">
        <v>45063.583333333336</v>
      </c>
      <c r="H347">
        <v>13</v>
      </c>
      <c r="I347">
        <v>30</v>
      </c>
      <c r="J347">
        <v>14</v>
      </c>
      <c r="K347">
        <v>0</v>
      </c>
      <c r="L347">
        <v>2023</v>
      </c>
      <c r="N347" t="s">
        <v>8715</v>
      </c>
      <c r="O347" t="s">
        <v>6115</v>
      </c>
      <c r="P347" t="s">
        <v>8716</v>
      </c>
    </row>
    <row r="348" spans="1:16" x14ac:dyDescent="0.3">
      <c r="A348" t="s">
        <v>4438</v>
      </c>
      <c r="C348">
        <v>30</v>
      </c>
      <c r="D348" t="s">
        <v>10</v>
      </c>
      <c r="F348" s="43">
        <v>45063.541666666664</v>
      </c>
      <c r="G348" s="43">
        <v>45063.5625</v>
      </c>
      <c r="H348">
        <v>13</v>
      </c>
      <c r="I348">
        <v>0</v>
      </c>
      <c r="J348">
        <v>13</v>
      </c>
      <c r="K348">
        <v>30</v>
      </c>
      <c r="L348">
        <v>2023</v>
      </c>
      <c r="N348" t="s">
        <v>47</v>
      </c>
      <c r="O348" t="s">
        <v>47</v>
      </c>
      <c r="P348" t="s">
        <v>8746</v>
      </c>
    </row>
    <row r="349" spans="1:16" x14ac:dyDescent="0.3">
      <c r="A349" t="s">
        <v>7839</v>
      </c>
      <c r="B349" t="s">
        <v>160</v>
      </c>
      <c r="C349">
        <v>20</v>
      </c>
      <c r="D349" t="s">
        <v>10</v>
      </c>
      <c r="E349" t="s">
        <v>8667</v>
      </c>
      <c r="F349" s="43">
        <v>45063.5</v>
      </c>
      <c r="G349" s="43">
        <v>45063.513888888891</v>
      </c>
      <c r="H349">
        <v>12</v>
      </c>
      <c r="I349">
        <v>0</v>
      </c>
      <c r="J349">
        <v>12</v>
      </c>
      <c r="K349">
        <v>20</v>
      </c>
      <c r="L349">
        <v>2023</v>
      </c>
      <c r="N349" t="s">
        <v>47</v>
      </c>
      <c r="O349" t="s">
        <v>47</v>
      </c>
      <c r="P349" t="s">
        <v>8745</v>
      </c>
    </row>
    <row r="350" spans="1:16" x14ac:dyDescent="0.3">
      <c r="A350" t="s">
        <v>8633</v>
      </c>
      <c r="B350" t="s">
        <v>20</v>
      </c>
      <c r="C350">
        <v>60</v>
      </c>
      <c r="D350" t="s">
        <v>10</v>
      </c>
      <c r="E350" t="s">
        <v>5</v>
      </c>
      <c r="F350" s="43">
        <v>45063.458333333336</v>
      </c>
      <c r="G350" s="43">
        <v>45063.5</v>
      </c>
      <c r="H350">
        <v>11</v>
      </c>
      <c r="I350">
        <v>0</v>
      </c>
      <c r="J350">
        <v>12</v>
      </c>
      <c r="K350">
        <v>0</v>
      </c>
      <c r="L350">
        <v>2023</v>
      </c>
      <c r="N350" t="s">
        <v>8634</v>
      </c>
      <c r="O350" t="s">
        <v>7629</v>
      </c>
      <c r="P350" t="s">
        <v>8635</v>
      </c>
    </row>
    <row r="351" spans="1:16" x14ac:dyDescent="0.3">
      <c r="A351" t="s">
        <v>8743</v>
      </c>
      <c r="B351" t="s">
        <v>160</v>
      </c>
      <c r="C351">
        <v>30</v>
      </c>
      <c r="D351" t="s">
        <v>10</v>
      </c>
      <c r="E351" t="s">
        <v>8667</v>
      </c>
      <c r="F351" s="43">
        <v>45063.4375</v>
      </c>
      <c r="G351" s="43">
        <v>45063.458333333336</v>
      </c>
      <c r="H351">
        <v>10</v>
      </c>
      <c r="I351">
        <v>30</v>
      </c>
      <c r="J351">
        <v>11</v>
      </c>
      <c r="K351">
        <v>0</v>
      </c>
      <c r="L351">
        <v>2023</v>
      </c>
      <c r="N351" t="s">
        <v>47</v>
      </c>
      <c r="O351" t="s">
        <v>47</v>
      </c>
      <c r="P351" t="s">
        <v>8744</v>
      </c>
    </row>
    <row r="352" spans="1:16" x14ac:dyDescent="0.3">
      <c r="A352" t="s">
        <v>17</v>
      </c>
      <c r="B352" t="s">
        <v>6</v>
      </c>
      <c r="C352">
        <v>30</v>
      </c>
      <c r="D352" t="s">
        <v>10</v>
      </c>
      <c r="E352" t="s">
        <v>515</v>
      </c>
      <c r="F352" s="43">
        <v>45063.395833333336</v>
      </c>
      <c r="G352" s="43">
        <v>45063.416666666664</v>
      </c>
      <c r="H352">
        <v>9</v>
      </c>
      <c r="I352">
        <v>30</v>
      </c>
      <c r="J352">
        <v>10</v>
      </c>
      <c r="K352">
        <v>0</v>
      </c>
      <c r="L352">
        <v>2023</v>
      </c>
      <c r="N352" t="s">
        <v>47</v>
      </c>
      <c r="O352" t="s">
        <v>47</v>
      </c>
      <c r="P352" t="s">
        <v>8738</v>
      </c>
    </row>
    <row r="353" spans="1:16" x14ac:dyDescent="0.3">
      <c r="A353" t="s">
        <v>58</v>
      </c>
      <c r="B353" t="s">
        <v>31</v>
      </c>
      <c r="C353">
        <v>30</v>
      </c>
      <c r="D353" t="s">
        <v>10</v>
      </c>
      <c r="F353" s="43">
        <v>45063.375</v>
      </c>
      <c r="G353" s="43">
        <v>45063.395833333336</v>
      </c>
      <c r="H353">
        <v>9</v>
      </c>
      <c r="I353">
        <v>0</v>
      </c>
      <c r="J353">
        <v>9</v>
      </c>
      <c r="K353">
        <v>30</v>
      </c>
      <c r="L353">
        <v>2023</v>
      </c>
      <c r="N353" t="s">
        <v>47</v>
      </c>
      <c r="O353" t="s">
        <v>47</v>
      </c>
      <c r="P353" t="s">
        <v>8689</v>
      </c>
    </row>
    <row r="354" spans="1:16" x14ac:dyDescent="0.3">
      <c r="A354" t="s">
        <v>8735</v>
      </c>
      <c r="C354">
        <v>30</v>
      </c>
      <c r="D354" t="s">
        <v>10</v>
      </c>
      <c r="F354" s="43">
        <v>45063.333333333336</v>
      </c>
      <c r="G354" s="43">
        <v>45063.354166666664</v>
      </c>
      <c r="H354">
        <v>8</v>
      </c>
      <c r="I354">
        <v>0</v>
      </c>
      <c r="J354">
        <v>8</v>
      </c>
      <c r="K354">
        <v>30</v>
      </c>
      <c r="L354">
        <v>2023</v>
      </c>
      <c r="N354" t="s">
        <v>47</v>
      </c>
      <c r="O354" t="s">
        <v>47</v>
      </c>
      <c r="P354" t="s">
        <v>8736</v>
      </c>
    </row>
    <row r="355" spans="1:16" x14ac:dyDescent="0.3">
      <c r="A355" t="s">
        <v>8</v>
      </c>
      <c r="B355" t="s">
        <v>6</v>
      </c>
      <c r="C355">
        <v>30</v>
      </c>
      <c r="D355" t="s">
        <v>10</v>
      </c>
      <c r="E355" t="s">
        <v>477</v>
      </c>
      <c r="F355" s="43">
        <v>45063.3125</v>
      </c>
      <c r="G355" s="43">
        <v>45063.333333333336</v>
      </c>
      <c r="H355">
        <v>7</v>
      </c>
      <c r="I355">
        <v>30</v>
      </c>
      <c r="J355">
        <v>8</v>
      </c>
      <c r="K355">
        <v>0</v>
      </c>
      <c r="L355">
        <v>2023</v>
      </c>
      <c r="N355" t="s">
        <v>47</v>
      </c>
      <c r="O355" t="s">
        <v>47</v>
      </c>
      <c r="P355" t="s">
        <v>8737</v>
      </c>
    </row>
    <row r="356" spans="1:16" x14ac:dyDescent="0.3">
      <c r="A356" t="s">
        <v>8733</v>
      </c>
      <c r="B356" t="s">
        <v>31</v>
      </c>
      <c r="C356">
        <v>45</v>
      </c>
      <c r="D356" t="s">
        <v>10</v>
      </c>
      <c r="F356" s="43">
        <v>45063.28125</v>
      </c>
      <c r="G356" s="43">
        <v>45063.3125</v>
      </c>
      <c r="H356">
        <v>6</v>
      </c>
      <c r="I356">
        <v>45</v>
      </c>
      <c r="J356">
        <v>7</v>
      </c>
      <c r="K356">
        <v>30</v>
      </c>
      <c r="L356">
        <v>2023</v>
      </c>
      <c r="N356" t="s">
        <v>47</v>
      </c>
      <c r="O356" t="s">
        <v>47</v>
      </c>
      <c r="P356" t="s">
        <v>8734</v>
      </c>
    </row>
    <row r="357" spans="1:16" x14ac:dyDescent="0.3">
      <c r="A357" t="s">
        <v>1222</v>
      </c>
      <c r="C357">
        <v>15</v>
      </c>
      <c r="D357" t="s">
        <v>10</v>
      </c>
      <c r="F357" s="43">
        <v>45063.270833333336</v>
      </c>
      <c r="G357" s="43">
        <v>45063.28125</v>
      </c>
      <c r="H357">
        <v>6</v>
      </c>
      <c r="I357">
        <v>30</v>
      </c>
      <c r="J357">
        <v>6</v>
      </c>
      <c r="K357">
        <v>45</v>
      </c>
      <c r="L357">
        <v>2023</v>
      </c>
      <c r="N357" t="s">
        <v>47</v>
      </c>
      <c r="O357" t="s">
        <v>47</v>
      </c>
      <c r="P357" t="s">
        <v>8728</v>
      </c>
    </row>
    <row r="358" spans="1:16" x14ac:dyDescent="0.3">
      <c r="A358" t="s">
        <v>8</v>
      </c>
      <c r="B358" t="s">
        <v>6</v>
      </c>
      <c r="C358">
        <v>30</v>
      </c>
      <c r="D358" t="s">
        <v>10</v>
      </c>
      <c r="E358" t="s">
        <v>477</v>
      </c>
      <c r="F358" s="43">
        <v>45063.229166666664</v>
      </c>
      <c r="G358" s="43">
        <v>45063.25</v>
      </c>
      <c r="H358">
        <v>5</v>
      </c>
      <c r="I358">
        <v>30</v>
      </c>
      <c r="J358">
        <v>6</v>
      </c>
      <c r="K358">
        <v>0</v>
      </c>
      <c r="L358">
        <v>2023</v>
      </c>
      <c r="N358" t="s">
        <v>47</v>
      </c>
      <c r="O358" t="s">
        <v>47</v>
      </c>
      <c r="P358" t="s">
        <v>8727</v>
      </c>
    </row>
    <row r="359" spans="1:16" x14ac:dyDescent="0.3">
      <c r="A359" t="s">
        <v>3706</v>
      </c>
      <c r="B359" t="s">
        <v>6</v>
      </c>
      <c r="C359">
        <v>30</v>
      </c>
      <c r="D359" t="s">
        <v>256</v>
      </c>
      <c r="E359" t="s">
        <v>1785</v>
      </c>
      <c r="F359" s="43">
        <v>45063</v>
      </c>
      <c r="G359" s="43">
        <v>45289</v>
      </c>
      <c r="H359">
        <v>6</v>
      </c>
      <c r="I359">
        <v>0</v>
      </c>
      <c r="J359">
        <v>6</v>
      </c>
      <c r="K359">
        <v>30</v>
      </c>
      <c r="L359">
        <v>2023</v>
      </c>
      <c r="N359" t="s">
        <v>629</v>
      </c>
      <c r="O359" t="s">
        <v>47</v>
      </c>
      <c r="P359" t="s">
        <v>8722</v>
      </c>
    </row>
    <row r="360" spans="1:16" x14ac:dyDescent="0.3">
      <c r="A360" t="s">
        <v>8720</v>
      </c>
      <c r="B360" t="s">
        <v>109</v>
      </c>
      <c r="C360">
        <v>30</v>
      </c>
      <c r="D360" t="s">
        <v>10</v>
      </c>
      <c r="E360" t="s">
        <v>8636</v>
      </c>
      <c r="F360" s="43">
        <v>45062.791666666664</v>
      </c>
      <c r="G360" s="43">
        <v>45062.8125</v>
      </c>
      <c r="H360">
        <v>19</v>
      </c>
      <c r="I360">
        <v>0</v>
      </c>
      <c r="J360">
        <v>19</v>
      </c>
      <c r="K360">
        <v>30</v>
      </c>
      <c r="L360">
        <v>2023</v>
      </c>
      <c r="N360" t="s">
        <v>47</v>
      </c>
      <c r="O360" t="s">
        <v>47</v>
      </c>
      <c r="P360" t="s">
        <v>8721</v>
      </c>
    </row>
    <row r="361" spans="1:16" x14ac:dyDescent="0.3">
      <c r="A361" t="s">
        <v>7845</v>
      </c>
      <c r="B361" t="s">
        <v>160</v>
      </c>
      <c r="C361">
        <v>75</v>
      </c>
      <c r="D361" t="s">
        <v>10</v>
      </c>
      <c r="E361" t="s">
        <v>8667</v>
      </c>
      <c r="F361" s="43">
        <v>45062.71875</v>
      </c>
      <c r="G361" s="43">
        <v>45062.770833333336</v>
      </c>
      <c r="H361">
        <v>17</v>
      </c>
      <c r="I361">
        <v>15</v>
      </c>
      <c r="J361">
        <v>18</v>
      </c>
      <c r="K361">
        <v>30</v>
      </c>
      <c r="L361">
        <v>2023</v>
      </c>
      <c r="N361" t="s">
        <v>47</v>
      </c>
      <c r="O361" t="s">
        <v>47</v>
      </c>
      <c r="P361" t="s">
        <v>8717</v>
      </c>
    </row>
    <row r="362" spans="1:16" x14ac:dyDescent="0.3">
      <c r="A362" t="s">
        <v>8731</v>
      </c>
      <c r="B362" t="s">
        <v>31</v>
      </c>
      <c r="C362">
        <v>60</v>
      </c>
      <c r="D362" t="s">
        <v>10</v>
      </c>
      <c r="F362" s="43">
        <v>45062.645833333336</v>
      </c>
      <c r="G362" s="43">
        <v>45062.6875</v>
      </c>
      <c r="H362">
        <v>15</v>
      </c>
      <c r="I362">
        <v>30</v>
      </c>
      <c r="J362">
        <v>16</v>
      </c>
      <c r="K362">
        <v>30</v>
      </c>
      <c r="L362">
        <v>2023</v>
      </c>
      <c r="N362" t="s">
        <v>47</v>
      </c>
      <c r="O362" t="s">
        <v>47</v>
      </c>
      <c r="P362" t="s">
        <v>8732</v>
      </c>
    </row>
    <row r="363" spans="1:16" x14ac:dyDescent="0.3">
      <c r="A363" t="s">
        <v>8698</v>
      </c>
      <c r="B363" t="s">
        <v>109</v>
      </c>
      <c r="C363">
        <v>60</v>
      </c>
      <c r="D363" t="s">
        <v>10</v>
      </c>
      <c r="E363" t="s">
        <v>8654</v>
      </c>
      <c r="F363" s="43">
        <v>45062.604166666664</v>
      </c>
      <c r="G363" s="43">
        <v>45062.645833333336</v>
      </c>
      <c r="H363">
        <v>14</v>
      </c>
      <c r="I363">
        <v>30</v>
      </c>
      <c r="J363">
        <v>15</v>
      </c>
      <c r="K363">
        <v>30</v>
      </c>
      <c r="L363">
        <v>2023</v>
      </c>
      <c r="N363" t="s">
        <v>8699</v>
      </c>
      <c r="O363" t="s">
        <v>47</v>
      </c>
      <c r="P363" t="s">
        <v>8700</v>
      </c>
    </row>
    <row r="364" spans="1:16" x14ac:dyDescent="0.3">
      <c r="A364" t="s">
        <v>8695</v>
      </c>
      <c r="B364" t="s">
        <v>109</v>
      </c>
      <c r="C364">
        <v>60</v>
      </c>
      <c r="D364" t="s">
        <v>10</v>
      </c>
      <c r="E364" t="s">
        <v>8636</v>
      </c>
      <c r="F364" s="43">
        <v>45062.5625</v>
      </c>
      <c r="G364" s="43">
        <v>45062.604166666664</v>
      </c>
      <c r="H364">
        <v>13</v>
      </c>
      <c r="I364">
        <v>30</v>
      </c>
      <c r="J364">
        <v>14</v>
      </c>
      <c r="K364">
        <v>30</v>
      </c>
      <c r="L364">
        <v>2023</v>
      </c>
      <c r="N364" t="s">
        <v>8696</v>
      </c>
      <c r="O364" t="s">
        <v>47</v>
      </c>
      <c r="P364" t="s">
        <v>8697</v>
      </c>
    </row>
    <row r="365" spans="1:16" x14ac:dyDescent="0.3">
      <c r="A365" t="s">
        <v>8604</v>
      </c>
      <c r="B365" t="s">
        <v>6</v>
      </c>
      <c r="C365">
        <v>90</v>
      </c>
      <c r="D365" t="s">
        <v>10</v>
      </c>
      <c r="E365" t="s">
        <v>8605</v>
      </c>
      <c r="F365" s="43">
        <v>45062.5</v>
      </c>
      <c r="G365" s="43">
        <v>45062.5625</v>
      </c>
      <c r="H365">
        <v>12</v>
      </c>
      <c r="I365">
        <v>0</v>
      </c>
      <c r="J365">
        <v>13</v>
      </c>
      <c r="K365">
        <v>30</v>
      </c>
      <c r="L365">
        <v>2023</v>
      </c>
      <c r="N365" t="s">
        <v>8606</v>
      </c>
      <c r="O365" t="s">
        <v>48</v>
      </c>
      <c r="P365" t="s">
        <v>8607</v>
      </c>
    </row>
    <row r="366" spans="1:16" x14ac:dyDescent="0.3">
      <c r="A366" t="s">
        <v>8718</v>
      </c>
      <c r="C366">
        <v>30</v>
      </c>
      <c r="D366" t="s">
        <v>10</v>
      </c>
      <c r="F366" s="43">
        <v>45062.458333333336</v>
      </c>
      <c r="G366" s="43">
        <v>45062.479166666664</v>
      </c>
      <c r="H366">
        <v>11</v>
      </c>
      <c r="I366">
        <v>0</v>
      </c>
      <c r="J366">
        <v>11</v>
      </c>
      <c r="K366">
        <v>30</v>
      </c>
      <c r="L366">
        <v>2023</v>
      </c>
      <c r="N366" t="s">
        <v>47</v>
      </c>
      <c r="O366" t="s">
        <v>47</v>
      </c>
      <c r="P366" t="s">
        <v>8719</v>
      </c>
    </row>
    <row r="367" spans="1:16" x14ac:dyDescent="0.3">
      <c r="A367" t="s">
        <v>8729</v>
      </c>
      <c r="B367" t="s">
        <v>109</v>
      </c>
      <c r="C367">
        <v>60</v>
      </c>
      <c r="D367" t="s">
        <v>10</v>
      </c>
      <c r="E367" t="s">
        <v>8654</v>
      </c>
      <c r="F367" s="43">
        <v>45062.395833333336</v>
      </c>
      <c r="G367" s="43">
        <v>45062.4375</v>
      </c>
      <c r="H367">
        <v>9</v>
      </c>
      <c r="I367">
        <v>30</v>
      </c>
      <c r="J367">
        <v>10</v>
      </c>
      <c r="K367">
        <v>30</v>
      </c>
      <c r="L367">
        <v>2023</v>
      </c>
      <c r="N367" t="s">
        <v>47</v>
      </c>
      <c r="O367" t="s">
        <v>47</v>
      </c>
      <c r="P367" t="s">
        <v>8730</v>
      </c>
    </row>
    <row r="368" spans="1:16" x14ac:dyDescent="0.3">
      <c r="A368" t="s">
        <v>8713</v>
      </c>
      <c r="B368" t="s">
        <v>109</v>
      </c>
      <c r="C368">
        <v>90</v>
      </c>
      <c r="D368" t="s">
        <v>10</v>
      </c>
      <c r="E368" t="s">
        <v>8636</v>
      </c>
      <c r="F368" s="1">
        <v>45062.333333333336</v>
      </c>
      <c r="G368" s="1">
        <v>45062.395833333336</v>
      </c>
      <c r="H368">
        <v>8</v>
      </c>
      <c r="I368">
        <v>0</v>
      </c>
      <c r="J368">
        <v>9</v>
      </c>
      <c r="K368">
        <v>30</v>
      </c>
      <c r="L368">
        <v>2023</v>
      </c>
      <c r="N368" t="s">
        <v>47</v>
      </c>
      <c r="O368" t="s">
        <v>47</v>
      </c>
      <c r="P368" t="s">
        <v>8714</v>
      </c>
    </row>
    <row r="369" spans="1:16" x14ac:dyDescent="0.3">
      <c r="A369" t="s">
        <v>8711</v>
      </c>
      <c r="C369">
        <v>30</v>
      </c>
      <c r="D369" t="s">
        <v>10</v>
      </c>
      <c r="F369" s="43">
        <v>45062.291666666664</v>
      </c>
      <c r="G369" s="43">
        <v>45062.3125</v>
      </c>
      <c r="H369">
        <v>7</v>
      </c>
      <c r="I369">
        <v>0</v>
      </c>
      <c r="J369">
        <v>7</v>
      </c>
      <c r="K369">
        <v>30</v>
      </c>
      <c r="L369">
        <v>2023</v>
      </c>
      <c r="N369" t="s">
        <v>47</v>
      </c>
      <c r="O369" t="s">
        <v>47</v>
      </c>
      <c r="P369" t="s">
        <v>8712</v>
      </c>
    </row>
    <row r="370" spans="1:16" x14ac:dyDescent="0.3">
      <c r="A370" t="s">
        <v>8709</v>
      </c>
      <c r="B370" t="s">
        <v>160</v>
      </c>
      <c r="C370">
        <v>30</v>
      </c>
      <c r="D370" t="s">
        <v>10</v>
      </c>
      <c r="E370" t="s">
        <v>8667</v>
      </c>
      <c r="F370" s="43">
        <v>45062.270833333336</v>
      </c>
      <c r="G370" s="43">
        <v>45062.291666666664</v>
      </c>
      <c r="H370">
        <v>6</v>
      </c>
      <c r="I370">
        <v>30</v>
      </c>
      <c r="J370">
        <v>7</v>
      </c>
      <c r="K370">
        <v>0</v>
      </c>
      <c r="L370">
        <v>2023</v>
      </c>
      <c r="N370" t="s">
        <v>47</v>
      </c>
      <c r="O370" t="s">
        <v>47</v>
      </c>
      <c r="P370" t="s">
        <v>8710</v>
      </c>
    </row>
    <row r="371" spans="1:16" x14ac:dyDescent="0.3">
      <c r="A371" t="s">
        <v>17</v>
      </c>
      <c r="B371" t="s">
        <v>6</v>
      </c>
      <c r="C371">
        <v>30</v>
      </c>
      <c r="D371" t="s">
        <v>10</v>
      </c>
      <c r="E371" t="s">
        <v>477</v>
      </c>
      <c r="F371" s="43">
        <v>45062.25</v>
      </c>
      <c r="G371" s="43">
        <v>45062.270833333336</v>
      </c>
      <c r="H371">
        <v>6</v>
      </c>
      <c r="I371">
        <v>0</v>
      </c>
      <c r="J371">
        <v>6</v>
      </c>
      <c r="K371">
        <v>30</v>
      </c>
      <c r="L371">
        <v>2023</v>
      </c>
      <c r="N371" t="s">
        <v>47</v>
      </c>
      <c r="O371" t="s">
        <v>47</v>
      </c>
      <c r="P371" t="s">
        <v>8708</v>
      </c>
    </row>
    <row r="372" spans="1:16" x14ac:dyDescent="0.3">
      <c r="A372" t="s">
        <v>8706</v>
      </c>
      <c r="C372">
        <v>40</v>
      </c>
      <c r="D372" t="s">
        <v>10</v>
      </c>
      <c r="F372" s="43">
        <v>45061.805555555555</v>
      </c>
      <c r="G372" s="43">
        <v>45061.833333333336</v>
      </c>
      <c r="H372">
        <v>19</v>
      </c>
      <c r="I372">
        <v>20</v>
      </c>
      <c r="J372">
        <v>20</v>
      </c>
      <c r="K372">
        <v>0</v>
      </c>
      <c r="L372">
        <v>2023</v>
      </c>
      <c r="N372" t="s">
        <v>47</v>
      </c>
      <c r="O372" t="s">
        <v>47</v>
      </c>
      <c r="P372" t="s">
        <v>8707</v>
      </c>
    </row>
    <row r="373" spans="1:16" x14ac:dyDescent="0.3">
      <c r="A373" t="s">
        <v>8686</v>
      </c>
      <c r="B373" t="s">
        <v>160</v>
      </c>
      <c r="C373">
        <v>30</v>
      </c>
      <c r="D373" t="s">
        <v>10</v>
      </c>
      <c r="E373" t="s">
        <v>8693</v>
      </c>
      <c r="F373" s="43">
        <v>45061.75</v>
      </c>
      <c r="G373" s="43">
        <v>45061.770833333336</v>
      </c>
      <c r="H373">
        <v>18</v>
      </c>
      <c r="I373">
        <v>0</v>
      </c>
      <c r="J373">
        <v>18</v>
      </c>
      <c r="K373">
        <v>30</v>
      </c>
      <c r="L373">
        <v>2023</v>
      </c>
      <c r="N373" t="s">
        <v>47</v>
      </c>
      <c r="O373" t="s">
        <v>47</v>
      </c>
      <c r="P373" t="s">
        <v>8694</v>
      </c>
    </row>
    <row r="374" spans="1:16" x14ac:dyDescent="0.3">
      <c r="A374" t="s">
        <v>99</v>
      </c>
      <c r="B374" t="s">
        <v>109</v>
      </c>
      <c r="C374">
        <v>60</v>
      </c>
      <c r="D374" t="s">
        <v>10</v>
      </c>
      <c r="E374" t="s">
        <v>8654</v>
      </c>
      <c r="F374" s="43">
        <v>45061.6875</v>
      </c>
      <c r="G374" s="43">
        <v>45061.729166666664</v>
      </c>
      <c r="H374">
        <v>16</v>
      </c>
      <c r="I374">
        <v>30</v>
      </c>
      <c r="J374">
        <v>17</v>
      </c>
      <c r="K374">
        <v>30</v>
      </c>
      <c r="L374">
        <v>2023</v>
      </c>
      <c r="N374" t="s">
        <v>47</v>
      </c>
      <c r="O374" t="s">
        <v>47</v>
      </c>
      <c r="P374" t="s">
        <v>8692</v>
      </c>
    </row>
    <row r="375" spans="1:16" x14ac:dyDescent="0.3">
      <c r="A375" t="s">
        <v>8690</v>
      </c>
      <c r="C375">
        <v>45</v>
      </c>
      <c r="D375" t="s">
        <v>10</v>
      </c>
      <c r="F375" s="43">
        <v>45061.625</v>
      </c>
      <c r="G375" s="43">
        <v>45061.65625</v>
      </c>
      <c r="H375">
        <v>15</v>
      </c>
      <c r="I375">
        <v>0</v>
      </c>
      <c r="J375">
        <v>15</v>
      </c>
      <c r="K375">
        <v>45</v>
      </c>
      <c r="L375">
        <v>2023</v>
      </c>
      <c r="N375" t="s">
        <v>47</v>
      </c>
      <c r="O375" t="s">
        <v>47</v>
      </c>
      <c r="P375" t="s">
        <v>8691</v>
      </c>
    </row>
    <row r="376" spans="1:16" x14ac:dyDescent="0.3">
      <c r="A376" t="s">
        <v>8686</v>
      </c>
      <c r="B376" t="s">
        <v>31</v>
      </c>
      <c r="C376">
        <v>30</v>
      </c>
      <c r="D376" t="s">
        <v>10</v>
      </c>
      <c r="F376" s="43">
        <v>45061.541666666664</v>
      </c>
      <c r="G376" s="43">
        <v>45061.5625</v>
      </c>
      <c r="H376">
        <v>13</v>
      </c>
      <c r="I376">
        <v>0</v>
      </c>
      <c r="J376">
        <v>13</v>
      </c>
      <c r="K376">
        <v>30</v>
      </c>
      <c r="L376">
        <v>2023</v>
      </c>
      <c r="N376" t="s">
        <v>47</v>
      </c>
      <c r="O376" t="s">
        <v>47</v>
      </c>
      <c r="P376" t="s">
        <v>8687</v>
      </c>
    </row>
    <row r="377" spans="1:16" x14ac:dyDescent="0.3">
      <c r="A377" t="s">
        <v>8683</v>
      </c>
      <c r="B377" t="s">
        <v>20</v>
      </c>
      <c r="C377">
        <v>30</v>
      </c>
      <c r="D377" t="s">
        <v>10</v>
      </c>
      <c r="F377" s="43">
        <v>45061.520833333336</v>
      </c>
      <c r="G377" s="43">
        <v>45061.541666666664</v>
      </c>
      <c r="H377">
        <v>12</v>
      </c>
      <c r="I377">
        <v>30</v>
      </c>
      <c r="J377">
        <v>13</v>
      </c>
      <c r="K377">
        <v>0</v>
      </c>
      <c r="L377">
        <v>2023</v>
      </c>
      <c r="N377" t="s">
        <v>47</v>
      </c>
      <c r="O377" t="s">
        <v>47</v>
      </c>
      <c r="P377" t="s">
        <v>8688</v>
      </c>
    </row>
    <row r="378" spans="1:16" x14ac:dyDescent="0.3">
      <c r="A378" t="s">
        <v>17</v>
      </c>
      <c r="C378">
        <v>30</v>
      </c>
      <c r="D378" t="s">
        <v>10</v>
      </c>
      <c r="F378" s="1">
        <v>45061.5</v>
      </c>
      <c r="G378" s="1">
        <v>45061.520833333336</v>
      </c>
      <c r="H378">
        <v>12</v>
      </c>
      <c r="I378">
        <v>0</v>
      </c>
      <c r="J378">
        <v>12</v>
      </c>
      <c r="K378">
        <v>30</v>
      </c>
      <c r="L378">
        <v>2023</v>
      </c>
      <c r="N378" t="s">
        <v>47</v>
      </c>
      <c r="O378" t="s">
        <v>47</v>
      </c>
      <c r="P378" t="s">
        <v>8682</v>
      </c>
    </row>
    <row r="379" spans="1:16" x14ac:dyDescent="0.3">
      <c r="A379" t="s">
        <v>8683</v>
      </c>
      <c r="B379" t="s">
        <v>31</v>
      </c>
      <c r="C379">
        <v>30</v>
      </c>
      <c r="D379" t="s">
        <v>10</v>
      </c>
      <c r="F379" s="43">
        <v>45061.458333333336</v>
      </c>
      <c r="G379" s="43">
        <v>45061.479166666664</v>
      </c>
      <c r="H379">
        <v>11</v>
      </c>
      <c r="I379">
        <v>0</v>
      </c>
      <c r="J379">
        <v>11</v>
      </c>
      <c r="K379">
        <v>30</v>
      </c>
      <c r="L379">
        <v>2023</v>
      </c>
      <c r="N379" t="s">
        <v>47</v>
      </c>
      <c r="O379" t="s">
        <v>47</v>
      </c>
      <c r="P379" t="s">
        <v>8684</v>
      </c>
    </row>
    <row r="380" spans="1:16" x14ac:dyDescent="0.3">
      <c r="A380" t="s">
        <v>142</v>
      </c>
      <c r="B380" t="s">
        <v>109</v>
      </c>
      <c r="C380">
        <v>30</v>
      </c>
      <c r="D380" t="s">
        <v>10</v>
      </c>
      <c r="E380" t="s">
        <v>8636</v>
      </c>
      <c r="F380" s="43">
        <v>45061.4375</v>
      </c>
      <c r="G380" s="43">
        <v>45061.458333333336</v>
      </c>
      <c r="H380">
        <v>10</v>
      </c>
      <c r="I380">
        <v>30</v>
      </c>
      <c r="J380">
        <v>11</v>
      </c>
      <c r="K380">
        <v>0</v>
      </c>
      <c r="L380">
        <v>2023</v>
      </c>
      <c r="N380" t="s">
        <v>47</v>
      </c>
      <c r="O380" t="s">
        <v>47</v>
      </c>
      <c r="P380" t="s">
        <v>8681</v>
      </c>
    </row>
    <row r="381" spans="1:16" x14ac:dyDescent="0.3">
      <c r="A381" t="s">
        <v>8683</v>
      </c>
      <c r="B381" t="s">
        <v>31</v>
      </c>
      <c r="C381">
        <v>30</v>
      </c>
      <c r="D381" t="s">
        <v>10</v>
      </c>
      <c r="F381" s="43">
        <v>45061.416666666664</v>
      </c>
      <c r="G381" s="43">
        <v>45061.4375</v>
      </c>
      <c r="H381">
        <v>10</v>
      </c>
      <c r="I381">
        <v>0</v>
      </c>
      <c r="J381">
        <v>10</v>
      </c>
      <c r="K381">
        <v>30</v>
      </c>
      <c r="L381">
        <v>2023</v>
      </c>
      <c r="N381" t="s">
        <v>47</v>
      </c>
      <c r="O381" t="s">
        <v>47</v>
      </c>
      <c r="P381" t="s">
        <v>8685</v>
      </c>
    </row>
    <row r="382" spans="1:16" x14ac:dyDescent="0.3">
      <c r="A382" t="s">
        <v>8679</v>
      </c>
      <c r="B382" t="s">
        <v>160</v>
      </c>
      <c r="C382">
        <v>30</v>
      </c>
      <c r="D382" t="s">
        <v>10</v>
      </c>
      <c r="E382" t="s">
        <v>8667</v>
      </c>
      <c r="F382" s="43">
        <v>45061.395833333336</v>
      </c>
      <c r="G382" s="43">
        <v>45061.416666666664</v>
      </c>
      <c r="H382">
        <v>9</v>
      </c>
      <c r="I382">
        <v>30</v>
      </c>
      <c r="J382">
        <v>10</v>
      </c>
      <c r="K382">
        <v>0</v>
      </c>
      <c r="L382">
        <v>2023</v>
      </c>
      <c r="N382" t="s">
        <v>47</v>
      </c>
      <c r="O382" t="s">
        <v>47</v>
      </c>
      <c r="P382" t="s">
        <v>8680</v>
      </c>
    </row>
    <row r="383" spans="1:16" x14ac:dyDescent="0.3">
      <c r="A383" t="s">
        <v>8677</v>
      </c>
      <c r="B383" t="s">
        <v>109</v>
      </c>
      <c r="C383">
        <v>30</v>
      </c>
      <c r="D383" t="s">
        <v>10</v>
      </c>
      <c r="E383" t="s">
        <v>8654</v>
      </c>
      <c r="F383" s="43">
        <v>45061.291666666664</v>
      </c>
      <c r="G383" s="43">
        <v>45061.3125</v>
      </c>
      <c r="H383">
        <v>7</v>
      </c>
      <c r="I383">
        <v>0</v>
      </c>
      <c r="J383">
        <v>7</v>
      </c>
      <c r="K383">
        <v>30</v>
      </c>
      <c r="L383">
        <v>2023</v>
      </c>
      <c r="N383" t="s">
        <v>47</v>
      </c>
      <c r="O383" t="s">
        <v>47</v>
      </c>
      <c r="P383" t="s">
        <v>8678</v>
      </c>
    </row>
    <row r="384" spans="1:16" x14ac:dyDescent="0.3">
      <c r="A384" t="s">
        <v>8675</v>
      </c>
      <c r="B384" t="s">
        <v>109</v>
      </c>
      <c r="C384">
        <v>60</v>
      </c>
      <c r="D384" t="s">
        <v>10</v>
      </c>
      <c r="E384" t="s">
        <v>8654</v>
      </c>
      <c r="F384" s="43">
        <v>45061.229166666664</v>
      </c>
      <c r="G384" s="43">
        <v>45061.270833333336</v>
      </c>
      <c r="H384">
        <v>5</v>
      </c>
      <c r="I384">
        <v>30</v>
      </c>
      <c r="J384">
        <v>6</v>
      </c>
      <c r="K384">
        <v>30</v>
      </c>
      <c r="L384">
        <v>2023</v>
      </c>
      <c r="N384" t="s">
        <v>47</v>
      </c>
      <c r="O384" t="s">
        <v>47</v>
      </c>
      <c r="P384" t="s">
        <v>8676</v>
      </c>
    </row>
    <row r="385" spans="1:16" x14ac:dyDescent="0.3">
      <c r="A385" t="s">
        <v>8673</v>
      </c>
      <c r="B385" t="s">
        <v>160</v>
      </c>
      <c r="C385">
        <v>60</v>
      </c>
      <c r="D385" t="s">
        <v>10</v>
      </c>
      <c r="E385" t="s">
        <v>8670</v>
      </c>
      <c r="F385" s="43">
        <v>45060.729166666664</v>
      </c>
      <c r="G385" s="43">
        <v>45060.770833333336</v>
      </c>
      <c r="H385">
        <v>17</v>
      </c>
      <c r="I385">
        <v>30</v>
      </c>
      <c r="J385">
        <v>18</v>
      </c>
      <c r="K385">
        <v>30</v>
      </c>
      <c r="L385">
        <v>2023</v>
      </c>
      <c r="N385" t="s">
        <v>47</v>
      </c>
      <c r="O385" t="s">
        <v>47</v>
      </c>
      <c r="P385" t="s">
        <v>8674</v>
      </c>
    </row>
    <row r="386" spans="1:16" x14ac:dyDescent="0.3">
      <c r="A386" t="s">
        <v>7845</v>
      </c>
      <c r="B386" t="s">
        <v>160</v>
      </c>
      <c r="C386">
        <v>60</v>
      </c>
      <c r="D386" t="s">
        <v>10</v>
      </c>
      <c r="E386" t="s">
        <v>8667</v>
      </c>
      <c r="F386" s="43">
        <v>45060.6875</v>
      </c>
      <c r="G386" s="43">
        <v>45060.729166666664</v>
      </c>
      <c r="H386">
        <v>16</v>
      </c>
      <c r="I386">
        <v>30</v>
      </c>
      <c r="J386">
        <v>17</v>
      </c>
      <c r="K386">
        <v>30</v>
      </c>
      <c r="L386">
        <v>2023</v>
      </c>
      <c r="N386" t="s">
        <v>47</v>
      </c>
      <c r="O386" t="s">
        <v>47</v>
      </c>
      <c r="P386" t="s">
        <v>8672</v>
      </c>
    </row>
    <row r="387" spans="1:16" x14ac:dyDescent="0.3">
      <c r="A387" t="s">
        <v>7853</v>
      </c>
      <c r="B387" t="s">
        <v>160</v>
      </c>
      <c r="C387">
        <v>55</v>
      </c>
      <c r="D387" t="s">
        <v>10</v>
      </c>
      <c r="E387" t="s">
        <v>8667</v>
      </c>
      <c r="F387" s="43">
        <v>45060.618055555555</v>
      </c>
      <c r="G387" s="43">
        <v>45060.65625</v>
      </c>
      <c r="H387">
        <v>14</v>
      </c>
      <c r="I387">
        <v>50</v>
      </c>
      <c r="J387">
        <v>15</v>
      </c>
      <c r="K387">
        <v>45</v>
      </c>
      <c r="L387">
        <v>2023</v>
      </c>
      <c r="N387" t="s">
        <v>47</v>
      </c>
      <c r="O387" t="s">
        <v>47</v>
      </c>
      <c r="P387" t="s">
        <v>8668</v>
      </c>
    </row>
    <row r="388" spans="1:16" x14ac:dyDescent="0.3">
      <c r="A388" t="s">
        <v>8669</v>
      </c>
      <c r="B388" t="s">
        <v>160</v>
      </c>
      <c r="C388">
        <v>90</v>
      </c>
      <c r="D388" t="s">
        <v>10</v>
      </c>
      <c r="E388" t="s">
        <v>8670</v>
      </c>
      <c r="F388" s="43">
        <v>45060.520833333336</v>
      </c>
      <c r="G388" s="43">
        <v>45060.583333333336</v>
      </c>
      <c r="H388">
        <v>12</v>
      </c>
      <c r="I388">
        <v>30</v>
      </c>
      <c r="J388">
        <v>14</v>
      </c>
      <c r="K388">
        <v>0</v>
      </c>
      <c r="L388">
        <v>2023</v>
      </c>
      <c r="N388" t="s">
        <v>47</v>
      </c>
      <c r="O388" t="s">
        <v>47</v>
      </c>
      <c r="P388" t="s">
        <v>8671</v>
      </c>
    </row>
    <row r="389" spans="1:16" x14ac:dyDescent="0.3">
      <c r="A389" t="s">
        <v>8665</v>
      </c>
      <c r="C389">
        <v>60</v>
      </c>
      <c r="D389" t="s">
        <v>10</v>
      </c>
      <c r="F389" s="43">
        <v>45060.395833333336</v>
      </c>
      <c r="G389" s="43">
        <v>45060.4375</v>
      </c>
      <c r="H389">
        <v>9</v>
      </c>
      <c r="I389">
        <v>30</v>
      </c>
      <c r="J389">
        <v>10</v>
      </c>
      <c r="K389">
        <v>30</v>
      </c>
      <c r="L389">
        <v>2023</v>
      </c>
      <c r="N389" t="s">
        <v>47</v>
      </c>
      <c r="O389" t="s">
        <v>47</v>
      </c>
      <c r="P389" t="s">
        <v>8666</v>
      </c>
    </row>
    <row r="390" spans="1:16" x14ac:dyDescent="0.3">
      <c r="A390" t="s">
        <v>835</v>
      </c>
      <c r="B390" t="s">
        <v>6</v>
      </c>
      <c r="C390">
        <v>60</v>
      </c>
      <c r="D390" t="s">
        <v>10</v>
      </c>
      <c r="E390" t="s">
        <v>477</v>
      </c>
      <c r="F390" s="43">
        <v>45060.229166666664</v>
      </c>
      <c r="G390" s="43">
        <v>45060.270833333336</v>
      </c>
      <c r="H390">
        <v>5</v>
      </c>
      <c r="I390">
        <v>30</v>
      </c>
      <c r="J390">
        <v>6</v>
      </c>
      <c r="K390">
        <v>30</v>
      </c>
      <c r="L390">
        <v>2023</v>
      </c>
      <c r="N390" t="s">
        <v>47</v>
      </c>
      <c r="O390" t="s">
        <v>47</v>
      </c>
      <c r="P390" t="s">
        <v>8664</v>
      </c>
    </row>
    <row r="391" spans="1:16" x14ac:dyDescent="0.3">
      <c r="A391" t="s">
        <v>8658</v>
      </c>
      <c r="B391" t="s">
        <v>222</v>
      </c>
      <c r="C391">
        <v>90</v>
      </c>
      <c r="D391" t="s">
        <v>10</v>
      </c>
      <c r="E391" t="s">
        <v>8659</v>
      </c>
      <c r="F391" s="43">
        <v>45059.666666666664</v>
      </c>
      <c r="G391" s="43">
        <v>45059.729166666664</v>
      </c>
      <c r="H391">
        <v>16</v>
      </c>
      <c r="I391">
        <v>0</v>
      </c>
      <c r="J391">
        <v>17</v>
      </c>
      <c r="K391">
        <v>30</v>
      </c>
      <c r="L391">
        <v>2023</v>
      </c>
      <c r="N391" t="s">
        <v>47</v>
      </c>
      <c r="O391" t="s">
        <v>47</v>
      </c>
      <c r="P391" t="s">
        <v>8661</v>
      </c>
    </row>
    <row r="392" spans="1:16" x14ac:dyDescent="0.3">
      <c r="A392" t="s">
        <v>8658</v>
      </c>
      <c r="B392" t="s">
        <v>222</v>
      </c>
      <c r="C392">
        <v>60</v>
      </c>
      <c r="D392" t="s">
        <v>10</v>
      </c>
      <c r="E392" t="s">
        <v>8659</v>
      </c>
      <c r="F392" s="43">
        <v>45059.583333333336</v>
      </c>
      <c r="G392" s="43">
        <v>45059.625</v>
      </c>
      <c r="H392">
        <v>14</v>
      </c>
      <c r="I392">
        <v>0</v>
      </c>
      <c r="J392">
        <v>15</v>
      </c>
      <c r="K392">
        <v>0</v>
      </c>
      <c r="L392">
        <v>2023</v>
      </c>
      <c r="N392" t="s">
        <v>47</v>
      </c>
      <c r="O392" t="s">
        <v>47</v>
      </c>
      <c r="P392" t="s">
        <v>8660</v>
      </c>
    </row>
    <row r="393" spans="1:16" x14ac:dyDescent="0.3">
      <c r="A393" t="s">
        <v>8656</v>
      </c>
      <c r="C393">
        <v>20</v>
      </c>
      <c r="D393" t="s">
        <v>10</v>
      </c>
      <c r="E393" t="s">
        <v>8654</v>
      </c>
      <c r="F393" s="43">
        <v>45059.486111111109</v>
      </c>
      <c r="G393" s="43">
        <v>45059.5</v>
      </c>
      <c r="H393">
        <v>11</v>
      </c>
      <c r="I393">
        <v>40</v>
      </c>
      <c r="J393">
        <v>12</v>
      </c>
      <c r="K393">
        <v>0</v>
      </c>
      <c r="L393">
        <v>2023</v>
      </c>
      <c r="N393" t="s">
        <v>47</v>
      </c>
      <c r="O393" t="s">
        <v>47</v>
      </c>
      <c r="P393" t="s">
        <v>8657</v>
      </c>
    </row>
    <row r="394" spans="1:16" x14ac:dyDescent="0.3">
      <c r="A394" t="s">
        <v>8653</v>
      </c>
      <c r="C394">
        <v>45</v>
      </c>
      <c r="D394" t="s">
        <v>10</v>
      </c>
      <c r="E394" t="s">
        <v>8654</v>
      </c>
      <c r="F394" s="43">
        <v>45059.4375</v>
      </c>
      <c r="G394" s="43">
        <v>45059.46875</v>
      </c>
      <c r="H394">
        <v>10</v>
      </c>
      <c r="I394">
        <v>30</v>
      </c>
      <c r="J394">
        <v>11</v>
      </c>
      <c r="K394">
        <v>15</v>
      </c>
      <c r="L394">
        <v>2023</v>
      </c>
      <c r="N394" t="s">
        <v>47</v>
      </c>
      <c r="O394" t="s">
        <v>47</v>
      </c>
      <c r="P394" t="s">
        <v>8655</v>
      </c>
    </row>
    <row r="395" spans="1:16" x14ac:dyDescent="0.3">
      <c r="A395" t="s">
        <v>8662</v>
      </c>
      <c r="B395" t="s">
        <v>222</v>
      </c>
      <c r="C395">
        <v>60</v>
      </c>
      <c r="D395" t="s">
        <v>10</v>
      </c>
      <c r="E395" t="s">
        <v>8616</v>
      </c>
      <c r="F395" s="43">
        <v>45059.333333333336</v>
      </c>
      <c r="G395" s="43">
        <v>45059.375</v>
      </c>
      <c r="H395">
        <v>8</v>
      </c>
      <c r="I395">
        <v>0</v>
      </c>
      <c r="J395">
        <v>9</v>
      </c>
      <c r="K395">
        <v>0</v>
      </c>
      <c r="L395">
        <v>2023</v>
      </c>
      <c r="N395" t="s">
        <v>47</v>
      </c>
      <c r="O395" t="s">
        <v>47</v>
      </c>
      <c r="P395" t="s">
        <v>8663</v>
      </c>
    </row>
    <row r="396" spans="1:16" x14ac:dyDescent="0.3">
      <c r="A396" t="s">
        <v>142</v>
      </c>
      <c r="B396" t="s">
        <v>109</v>
      </c>
      <c r="C396">
        <v>60</v>
      </c>
      <c r="D396" t="s">
        <v>10</v>
      </c>
      <c r="E396" t="s">
        <v>8636</v>
      </c>
      <c r="F396" s="1">
        <v>45058.6875</v>
      </c>
      <c r="G396" s="1">
        <v>45058.729166666664</v>
      </c>
      <c r="H396">
        <v>16</v>
      </c>
      <c r="I396">
        <v>30</v>
      </c>
      <c r="J396">
        <v>17</v>
      </c>
      <c r="K396">
        <v>30</v>
      </c>
      <c r="L396">
        <v>2023</v>
      </c>
      <c r="N396" t="s">
        <v>47</v>
      </c>
      <c r="O396" t="s">
        <v>47</v>
      </c>
      <c r="P396" t="s">
        <v>8652</v>
      </c>
    </row>
    <row r="397" spans="1:16" x14ac:dyDescent="0.3">
      <c r="A397" t="s">
        <v>8650</v>
      </c>
      <c r="B397" t="s">
        <v>109</v>
      </c>
      <c r="C397">
        <v>35</v>
      </c>
      <c r="D397" t="s">
        <v>10</v>
      </c>
      <c r="E397" t="s">
        <v>8636</v>
      </c>
      <c r="F397" s="43">
        <v>45058.590277777781</v>
      </c>
      <c r="G397" s="43">
        <v>45058.614583333336</v>
      </c>
      <c r="H397">
        <v>14</v>
      </c>
      <c r="I397">
        <v>10</v>
      </c>
      <c r="J397">
        <v>14</v>
      </c>
      <c r="K397">
        <v>45</v>
      </c>
      <c r="L397">
        <v>2023</v>
      </c>
      <c r="N397" t="s">
        <v>47</v>
      </c>
      <c r="O397" t="s">
        <v>47</v>
      </c>
      <c r="P397" t="s">
        <v>8651</v>
      </c>
    </row>
    <row r="398" spans="1:16" x14ac:dyDescent="0.3">
      <c r="A398" t="s">
        <v>8638</v>
      </c>
      <c r="C398">
        <v>60</v>
      </c>
      <c r="D398" t="s">
        <v>10</v>
      </c>
      <c r="E398" t="s">
        <v>5</v>
      </c>
      <c r="F398" s="43">
        <v>45058.520833333336</v>
      </c>
      <c r="G398" s="43">
        <v>45058.5625</v>
      </c>
      <c r="H398">
        <v>12</v>
      </c>
      <c r="I398">
        <v>30</v>
      </c>
      <c r="J398">
        <v>13</v>
      </c>
      <c r="K398">
        <v>30</v>
      </c>
      <c r="L398">
        <v>2023</v>
      </c>
      <c r="N398" t="s">
        <v>4365</v>
      </c>
      <c r="O398" t="s">
        <v>783</v>
      </c>
      <c r="P398" t="s">
        <v>8639</v>
      </c>
    </row>
    <row r="399" spans="1:16" x14ac:dyDescent="0.3">
      <c r="A399" t="s">
        <v>8641</v>
      </c>
      <c r="C399">
        <v>30</v>
      </c>
      <c r="D399" t="s">
        <v>10</v>
      </c>
      <c r="E399" t="s">
        <v>8642</v>
      </c>
      <c r="F399" s="43">
        <v>45058.416666666664</v>
      </c>
      <c r="G399" s="43">
        <v>45058.4375</v>
      </c>
      <c r="H399">
        <v>10</v>
      </c>
      <c r="I399">
        <v>0</v>
      </c>
      <c r="J399">
        <v>10</v>
      </c>
      <c r="K399">
        <v>30</v>
      </c>
      <c r="L399">
        <v>2023</v>
      </c>
      <c r="N399" t="s">
        <v>523</v>
      </c>
      <c r="O399" t="s">
        <v>48</v>
      </c>
      <c r="P399" t="s">
        <v>8643</v>
      </c>
    </row>
    <row r="400" spans="1:16" x14ac:dyDescent="0.3">
      <c r="A400" t="s">
        <v>8</v>
      </c>
      <c r="C400">
        <v>30</v>
      </c>
      <c r="D400" t="s">
        <v>10</v>
      </c>
      <c r="F400" s="43">
        <v>45058.395833333336</v>
      </c>
      <c r="G400" s="43">
        <v>45058.416666666664</v>
      </c>
      <c r="H400">
        <v>9</v>
      </c>
      <c r="I400">
        <v>30</v>
      </c>
      <c r="J400">
        <v>10</v>
      </c>
      <c r="K400">
        <v>0</v>
      </c>
      <c r="L400">
        <v>2023</v>
      </c>
      <c r="N400" t="s">
        <v>47</v>
      </c>
      <c r="O400" t="s">
        <v>47</v>
      </c>
      <c r="P400" t="s">
        <v>8649</v>
      </c>
    </row>
    <row r="401" spans="1:16" x14ac:dyDescent="0.3">
      <c r="A401" t="s">
        <v>8578</v>
      </c>
      <c r="C401">
        <v>30</v>
      </c>
      <c r="D401" t="s">
        <v>10</v>
      </c>
      <c r="E401" t="s">
        <v>21</v>
      </c>
      <c r="F401" s="43">
        <v>45058.375</v>
      </c>
      <c r="G401" s="43">
        <v>45058.395833333336</v>
      </c>
      <c r="H401">
        <v>9</v>
      </c>
      <c r="I401">
        <v>0</v>
      </c>
      <c r="J401">
        <v>9</v>
      </c>
      <c r="K401">
        <v>30</v>
      </c>
      <c r="L401">
        <v>2023</v>
      </c>
      <c r="N401" t="s">
        <v>8579</v>
      </c>
      <c r="O401" t="s">
        <v>50</v>
      </c>
      <c r="P401" t="s">
        <v>8580</v>
      </c>
    </row>
    <row r="402" spans="1:16" x14ac:dyDescent="0.3">
      <c r="A402" t="s">
        <v>142</v>
      </c>
      <c r="B402" t="s">
        <v>109</v>
      </c>
      <c r="C402">
        <v>60</v>
      </c>
      <c r="D402" t="s">
        <v>10</v>
      </c>
      <c r="E402" t="s">
        <v>8636</v>
      </c>
      <c r="F402" s="1">
        <v>45058.25</v>
      </c>
      <c r="G402" s="1">
        <v>45058.291666666664</v>
      </c>
      <c r="H402">
        <v>6</v>
      </c>
      <c r="I402">
        <v>0</v>
      </c>
      <c r="J402">
        <v>7</v>
      </c>
      <c r="K402">
        <v>0</v>
      </c>
      <c r="L402">
        <v>2023</v>
      </c>
      <c r="N402" t="s">
        <v>47</v>
      </c>
      <c r="O402" t="s">
        <v>47</v>
      </c>
      <c r="P402" t="s">
        <v>8648</v>
      </c>
    </row>
    <row r="403" spans="1:16" x14ac:dyDescent="0.3">
      <c r="A403" t="s">
        <v>8646</v>
      </c>
      <c r="C403">
        <v>30</v>
      </c>
      <c r="D403" t="s">
        <v>10</v>
      </c>
      <c r="F403" s="43">
        <v>45058.229166666664</v>
      </c>
      <c r="G403" s="43">
        <v>45058.25</v>
      </c>
      <c r="H403">
        <v>5</v>
      </c>
      <c r="I403">
        <v>30</v>
      </c>
      <c r="J403">
        <v>6</v>
      </c>
      <c r="K403">
        <v>0</v>
      </c>
      <c r="L403">
        <v>2023</v>
      </c>
      <c r="N403" t="s">
        <v>47</v>
      </c>
      <c r="O403" t="s">
        <v>47</v>
      </c>
      <c r="P403" t="s">
        <v>8647</v>
      </c>
    </row>
    <row r="404" spans="1:16" x14ac:dyDescent="0.3">
      <c r="A404" t="s">
        <v>8469</v>
      </c>
      <c r="B404" t="s">
        <v>6</v>
      </c>
      <c r="C404">
        <v>30</v>
      </c>
      <c r="D404" t="s">
        <v>256</v>
      </c>
      <c r="E404" t="s">
        <v>501</v>
      </c>
      <c r="F404" s="43">
        <v>45058</v>
      </c>
      <c r="G404" s="43">
        <v>45365</v>
      </c>
      <c r="H404">
        <v>6</v>
      </c>
      <c r="I404">
        <v>30</v>
      </c>
      <c r="J404">
        <v>7</v>
      </c>
      <c r="K404">
        <v>0</v>
      </c>
      <c r="L404">
        <v>2023</v>
      </c>
      <c r="N404" t="s">
        <v>5198</v>
      </c>
      <c r="O404" t="s">
        <v>47</v>
      </c>
      <c r="P404" t="s">
        <v>8470</v>
      </c>
    </row>
    <row r="405" spans="1:16" x14ac:dyDescent="0.3">
      <c r="A405" t="s">
        <v>142</v>
      </c>
      <c r="B405" t="s">
        <v>109</v>
      </c>
      <c r="C405">
        <v>75</v>
      </c>
      <c r="D405" t="s">
        <v>10</v>
      </c>
      <c r="E405" t="s">
        <v>8636</v>
      </c>
      <c r="F405" s="43">
        <v>45057.739583333336</v>
      </c>
      <c r="G405" s="43">
        <v>45057.791666666664</v>
      </c>
      <c r="H405">
        <v>17</v>
      </c>
      <c r="I405">
        <v>45</v>
      </c>
      <c r="J405">
        <v>19</v>
      </c>
      <c r="K405">
        <v>0</v>
      </c>
      <c r="L405">
        <v>2023</v>
      </c>
      <c r="N405" t="s">
        <v>47</v>
      </c>
      <c r="O405" t="s">
        <v>47</v>
      </c>
      <c r="P405" t="s">
        <v>8645</v>
      </c>
    </row>
    <row r="406" spans="1:16" x14ac:dyDescent="0.3">
      <c r="A406" t="s">
        <v>142</v>
      </c>
      <c r="B406" t="s">
        <v>109</v>
      </c>
      <c r="C406">
        <v>60</v>
      </c>
      <c r="D406" t="s">
        <v>10</v>
      </c>
      <c r="E406" t="s">
        <v>8636</v>
      </c>
      <c r="F406" s="43">
        <v>45057.666666666664</v>
      </c>
      <c r="G406" s="43">
        <v>45057.708333333336</v>
      </c>
      <c r="H406">
        <v>16</v>
      </c>
      <c r="I406">
        <v>0</v>
      </c>
      <c r="J406">
        <v>17</v>
      </c>
      <c r="K406">
        <v>0</v>
      </c>
      <c r="L406">
        <v>2023</v>
      </c>
      <c r="N406" t="s">
        <v>47</v>
      </c>
      <c r="O406" t="s">
        <v>47</v>
      </c>
      <c r="P406" t="s">
        <v>8644</v>
      </c>
    </row>
    <row r="407" spans="1:16" x14ac:dyDescent="0.3">
      <c r="A407" t="s">
        <v>8621</v>
      </c>
      <c r="C407">
        <v>45</v>
      </c>
      <c r="D407" t="s">
        <v>10</v>
      </c>
      <c r="E407" t="s">
        <v>5</v>
      </c>
      <c r="F407" s="43">
        <v>45057.583333333336</v>
      </c>
      <c r="G407" s="43">
        <v>45057.614583333336</v>
      </c>
      <c r="H407">
        <v>14</v>
      </c>
      <c r="I407">
        <v>0</v>
      </c>
      <c r="J407">
        <v>14</v>
      </c>
      <c r="K407">
        <v>45</v>
      </c>
      <c r="L407">
        <v>2023</v>
      </c>
      <c r="N407" t="s">
        <v>8223</v>
      </c>
      <c r="O407" t="s">
        <v>8224</v>
      </c>
      <c r="P407" t="s">
        <v>8622</v>
      </c>
    </row>
    <row r="408" spans="1:16" x14ac:dyDescent="0.3">
      <c r="A408" t="s">
        <v>142</v>
      </c>
      <c r="B408" t="s">
        <v>109</v>
      </c>
      <c r="C408">
        <v>30</v>
      </c>
      <c r="D408" t="s">
        <v>10</v>
      </c>
      <c r="E408" t="s">
        <v>8636</v>
      </c>
      <c r="F408" s="43">
        <v>45057.5625</v>
      </c>
      <c r="G408" s="43">
        <v>45057.583333333336</v>
      </c>
      <c r="H408">
        <v>13</v>
      </c>
      <c r="I408">
        <v>30</v>
      </c>
      <c r="J408">
        <v>14</v>
      </c>
      <c r="K408">
        <v>0</v>
      </c>
      <c r="L408">
        <v>2023</v>
      </c>
      <c r="N408" t="s">
        <v>47</v>
      </c>
      <c r="O408" t="s">
        <v>47</v>
      </c>
      <c r="P408" t="s">
        <v>8640</v>
      </c>
    </row>
    <row r="409" spans="1:16" x14ac:dyDescent="0.3">
      <c r="A409" t="s">
        <v>8628</v>
      </c>
      <c r="C409">
        <v>30</v>
      </c>
      <c r="D409" t="s">
        <v>10</v>
      </c>
      <c r="E409" t="s">
        <v>8629</v>
      </c>
      <c r="F409" s="43">
        <v>45057.541666666664</v>
      </c>
      <c r="G409" s="43">
        <v>45057.5625</v>
      </c>
      <c r="H409">
        <v>13</v>
      </c>
      <c r="I409">
        <v>0</v>
      </c>
      <c r="J409">
        <v>13</v>
      </c>
      <c r="K409">
        <v>30</v>
      </c>
      <c r="L409">
        <v>2023</v>
      </c>
      <c r="N409" t="s">
        <v>4430</v>
      </c>
      <c r="O409" t="s">
        <v>47</v>
      </c>
      <c r="P409" t="s">
        <v>8630</v>
      </c>
    </row>
    <row r="410" spans="1:16" x14ac:dyDescent="0.3">
      <c r="A410" t="s">
        <v>142</v>
      </c>
      <c r="B410" t="s">
        <v>109</v>
      </c>
      <c r="C410">
        <v>30</v>
      </c>
      <c r="D410" t="s">
        <v>10</v>
      </c>
      <c r="E410" t="s">
        <v>8636</v>
      </c>
      <c r="F410" s="1">
        <v>45057.5</v>
      </c>
      <c r="G410" s="1">
        <v>45057.520833333336</v>
      </c>
      <c r="H410">
        <v>12</v>
      </c>
      <c r="I410">
        <v>0</v>
      </c>
      <c r="J410">
        <v>12</v>
      </c>
      <c r="K410">
        <v>30</v>
      </c>
      <c r="L410">
        <v>2023</v>
      </c>
      <c r="N410" t="s">
        <v>47</v>
      </c>
      <c r="O410" t="s">
        <v>47</v>
      </c>
      <c r="P410" t="s">
        <v>8637</v>
      </c>
    </row>
    <row r="411" spans="1:16" x14ac:dyDescent="0.3">
      <c r="A411" t="s">
        <v>74</v>
      </c>
      <c r="C411">
        <v>25</v>
      </c>
      <c r="D411" t="s">
        <v>10</v>
      </c>
      <c r="F411" s="43">
        <v>45057.416666666664</v>
      </c>
      <c r="G411" s="43">
        <v>45057.434027777781</v>
      </c>
      <c r="H411">
        <v>10</v>
      </c>
      <c r="I411">
        <v>0</v>
      </c>
      <c r="J411">
        <v>10</v>
      </c>
      <c r="K411">
        <v>25</v>
      </c>
      <c r="L411">
        <v>2023</v>
      </c>
      <c r="N411" t="s">
        <v>75</v>
      </c>
      <c r="O411" t="s">
        <v>49</v>
      </c>
      <c r="P411" t="s">
        <v>8623</v>
      </c>
    </row>
    <row r="412" spans="1:16" x14ac:dyDescent="0.3">
      <c r="A412" t="s">
        <v>8631</v>
      </c>
      <c r="C412">
        <v>30</v>
      </c>
      <c r="D412" t="s">
        <v>10</v>
      </c>
      <c r="F412" s="43">
        <v>45057.395833333336</v>
      </c>
      <c r="G412" s="43">
        <v>45057.416666666664</v>
      </c>
      <c r="H412">
        <v>9</v>
      </c>
      <c r="I412">
        <v>30</v>
      </c>
      <c r="J412">
        <v>10</v>
      </c>
      <c r="K412">
        <v>0</v>
      </c>
      <c r="L412">
        <v>2023</v>
      </c>
      <c r="N412" t="s">
        <v>47</v>
      </c>
      <c r="O412" t="s">
        <v>47</v>
      </c>
      <c r="P412" t="s">
        <v>8632</v>
      </c>
    </row>
    <row r="413" spans="1:16" x14ac:dyDescent="0.3">
      <c r="A413" t="s">
        <v>8624</v>
      </c>
      <c r="C413">
        <v>30</v>
      </c>
      <c r="D413" t="s">
        <v>10</v>
      </c>
      <c r="E413" t="s">
        <v>8625</v>
      </c>
      <c r="F413" s="43">
        <v>45057.354166666664</v>
      </c>
      <c r="G413" s="43">
        <v>45057.375</v>
      </c>
      <c r="H413">
        <v>8</v>
      </c>
      <c r="I413">
        <v>30</v>
      </c>
      <c r="J413">
        <v>9</v>
      </c>
      <c r="K413">
        <v>0</v>
      </c>
      <c r="L413">
        <v>2023</v>
      </c>
      <c r="N413" t="s">
        <v>8563</v>
      </c>
      <c r="O413" t="s">
        <v>48</v>
      </c>
      <c r="P413" t="s">
        <v>8626</v>
      </c>
    </row>
    <row r="414" spans="1:16" x14ac:dyDescent="0.3">
      <c r="A414" t="s">
        <v>8</v>
      </c>
      <c r="C414">
        <v>20</v>
      </c>
      <c r="D414" t="s">
        <v>10</v>
      </c>
      <c r="F414" s="43">
        <v>45057.333333333336</v>
      </c>
      <c r="G414" s="43">
        <v>45057.347222222219</v>
      </c>
      <c r="H414">
        <v>8</v>
      </c>
      <c r="I414">
        <v>0</v>
      </c>
      <c r="J414">
        <v>8</v>
      </c>
      <c r="K414">
        <v>20</v>
      </c>
      <c r="L414">
        <v>2023</v>
      </c>
      <c r="N414" t="s">
        <v>47</v>
      </c>
      <c r="O414" t="s">
        <v>47</v>
      </c>
      <c r="P414" t="s">
        <v>8627</v>
      </c>
    </row>
    <row r="415" spans="1:16" x14ac:dyDescent="0.3">
      <c r="A415" t="s">
        <v>8615</v>
      </c>
      <c r="B415" t="s">
        <v>222</v>
      </c>
      <c r="C415">
        <v>30</v>
      </c>
      <c r="D415" t="s">
        <v>10</v>
      </c>
      <c r="E415" t="s">
        <v>8616</v>
      </c>
      <c r="F415" s="43">
        <v>45057.3125</v>
      </c>
      <c r="G415" s="43">
        <v>45057.333333333336</v>
      </c>
      <c r="H415">
        <v>7</v>
      </c>
      <c r="I415">
        <v>30</v>
      </c>
      <c r="J415">
        <v>8</v>
      </c>
      <c r="K415">
        <v>0</v>
      </c>
      <c r="L415">
        <v>2023</v>
      </c>
      <c r="N415" t="s">
        <v>47</v>
      </c>
      <c r="O415" t="s">
        <v>47</v>
      </c>
      <c r="P415" t="s">
        <v>8620</v>
      </c>
    </row>
    <row r="416" spans="1:16" x14ac:dyDescent="0.3">
      <c r="A416" t="s">
        <v>8618</v>
      </c>
      <c r="C416">
        <v>30</v>
      </c>
      <c r="D416" t="s">
        <v>10</v>
      </c>
      <c r="F416" s="1">
        <v>45057.270833333336</v>
      </c>
      <c r="G416" s="43">
        <v>45057.291666666664</v>
      </c>
      <c r="H416">
        <v>6</v>
      </c>
      <c r="I416">
        <v>30</v>
      </c>
      <c r="J416">
        <v>7</v>
      </c>
      <c r="K416">
        <v>0</v>
      </c>
      <c r="L416">
        <v>2023</v>
      </c>
      <c r="N416" t="s">
        <v>47</v>
      </c>
      <c r="O416" t="s">
        <v>47</v>
      </c>
      <c r="P416" t="s">
        <v>8619</v>
      </c>
    </row>
    <row r="417" spans="1:16" x14ac:dyDescent="0.3">
      <c r="A417" t="s">
        <v>8615</v>
      </c>
      <c r="B417" t="s">
        <v>222</v>
      </c>
      <c r="C417">
        <v>30</v>
      </c>
      <c r="D417" t="s">
        <v>10</v>
      </c>
      <c r="E417" t="s">
        <v>8616</v>
      </c>
      <c r="F417" s="43">
        <v>45057.25</v>
      </c>
      <c r="G417" s="43">
        <v>45057.270833333336</v>
      </c>
      <c r="H417">
        <v>6</v>
      </c>
      <c r="I417">
        <v>0</v>
      </c>
      <c r="J417">
        <v>6</v>
      </c>
      <c r="K417">
        <v>30</v>
      </c>
      <c r="L417">
        <v>2023</v>
      </c>
      <c r="N417" t="s">
        <v>47</v>
      </c>
      <c r="O417" t="s">
        <v>47</v>
      </c>
      <c r="P417" t="s">
        <v>8617</v>
      </c>
    </row>
    <row r="418" spans="1:16" x14ac:dyDescent="0.3">
      <c r="A418" t="s">
        <v>8292</v>
      </c>
      <c r="C418">
        <v>30</v>
      </c>
      <c r="D418" t="s">
        <v>10</v>
      </c>
      <c r="F418" s="43">
        <v>45057.229166666664</v>
      </c>
      <c r="G418" s="43">
        <v>45057.25</v>
      </c>
      <c r="H418">
        <v>5</v>
      </c>
      <c r="I418">
        <v>30</v>
      </c>
      <c r="J418">
        <v>6</v>
      </c>
      <c r="K418">
        <v>0</v>
      </c>
      <c r="L418">
        <v>2023</v>
      </c>
      <c r="N418" t="s">
        <v>47</v>
      </c>
      <c r="O418" t="s">
        <v>47</v>
      </c>
      <c r="P418" t="s">
        <v>8614</v>
      </c>
    </row>
    <row r="419" spans="1:16" x14ac:dyDescent="0.3">
      <c r="A419" t="s">
        <v>8611</v>
      </c>
      <c r="C419">
        <v>90</v>
      </c>
      <c r="D419" t="s">
        <v>10</v>
      </c>
      <c r="F419" s="43">
        <v>45056.729166666664</v>
      </c>
      <c r="G419" s="43">
        <v>45056.791666666664</v>
      </c>
      <c r="H419">
        <v>17</v>
      </c>
      <c r="I419">
        <v>30</v>
      </c>
      <c r="J419">
        <v>19</v>
      </c>
      <c r="K419">
        <v>0</v>
      </c>
      <c r="L419">
        <v>2023</v>
      </c>
      <c r="N419" t="s">
        <v>47</v>
      </c>
      <c r="O419" t="s">
        <v>47</v>
      </c>
      <c r="P419" t="s">
        <v>8613</v>
      </c>
    </row>
    <row r="420" spans="1:16" x14ac:dyDescent="0.3">
      <c r="A420" t="s">
        <v>8373</v>
      </c>
      <c r="C420">
        <v>30</v>
      </c>
      <c r="D420" t="s">
        <v>10</v>
      </c>
      <c r="F420" s="43">
        <v>45056.680555555555</v>
      </c>
      <c r="G420" s="43">
        <v>45056.701388888891</v>
      </c>
      <c r="H420">
        <v>16</v>
      </c>
      <c r="I420">
        <v>20</v>
      </c>
      <c r="J420">
        <v>16</v>
      </c>
      <c r="K420">
        <v>50</v>
      </c>
      <c r="L420">
        <v>2023</v>
      </c>
      <c r="N420" t="s">
        <v>47</v>
      </c>
      <c r="O420" t="s">
        <v>47</v>
      </c>
      <c r="P420" t="s">
        <v>8374</v>
      </c>
    </row>
    <row r="421" spans="1:16" x14ac:dyDescent="0.3">
      <c r="A421" t="s">
        <v>8554</v>
      </c>
      <c r="C421">
        <v>60</v>
      </c>
      <c r="D421" t="s">
        <v>10</v>
      </c>
      <c r="F421" s="43">
        <v>45056.614583333336</v>
      </c>
      <c r="G421" s="43">
        <v>45056.65625</v>
      </c>
      <c r="H421">
        <v>14</v>
      </c>
      <c r="I421">
        <v>45</v>
      </c>
      <c r="J421">
        <v>15</v>
      </c>
      <c r="K421">
        <v>45</v>
      </c>
      <c r="L421">
        <v>2023</v>
      </c>
      <c r="N421" t="s">
        <v>47</v>
      </c>
      <c r="O421" t="s">
        <v>47</v>
      </c>
      <c r="P421" t="s">
        <v>8555</v>
      </c>
    </row>
    <row r="422" spans="1:16" x14ac:dyDescent="0.3">
      <c r="A422" t="s">
        <v>8611</v>
      </c>
      <c r="C422">
        <v>45</v>
      </c>
      <c r="D422" t="s">
        <v>10</v>
      </c>
      <c r="F422" s="43">
        <v>45056.555555555555</v>
      </c>
      <c r="G422" s="43">
        <v>45056.586805555555</v>
      </c>
      <c r="H422">
        <v>13</v>
      </c>
      <c r="I422">
        <v>20</v>
      </c>
      <c r="J422">
        <v>14</v>
      </c>
      <c r="K422">
        <v>5</v>
      </c>
      <c r="L422">
        <v>2023</v>
      </c>
      <c r="N422" t="s">
        <v>47</v>
      </c>
      <c r="O422" t="s">
        <v>47</v>
      </c>
      <c r="P422" t="s">
        <v>8612</v>
      </c>
    </row>
    <row r="423" spans="1:16" x14ac:dyDescent="0.3">
      <c r="A423" t="s">
        <v>8608</v>
      </c>
      <c r="C423">
        <v>45</v>
      </c>
      <c r="D423" t="s">
        <v>10</v>
      </c>
      <c r="E423" t="s">
        <v>2807</v>
      </c>
      <c r="F423" s="1">
        <v>45056.5</v>
      </c>
      <c r="G423" s="1">
        <v>45056.53125</v>
      </c>
      <c r="H423">
        <v>12</v>
      </c>
      <c r="I423">
        <v>0</v>
      </c>
      <c r="J423">
        <v>12</v>
      </c>
      <c r="K423">
        <v>45</v>
      </c>
      <c r="L423">
        <v>2023</v>
      </c>
      <c r="N423" t="s">
        <v>8609</v>
      </c>
      <c r="O423" t="s">
        <v>50</v>
      </c>
      <c r="P423" t="s">
        <v>8610</v>
      </c>
    </row>
    <row r="424" spans="1:16" x14ac:dyDescent="0.3">
      <c r="A424" t="s">
        <v>8585</v>
      </c>
      <c r="C424">
        <v>30</v>
      </c>
      <c r="D424" t="s">
        <v>10</v>
      </c>
      <c r="E424" t="s">
        <v>8586</v>
      </c>
      <c r="F424" s="43">
        <v>45056.375</v>
      </c>
      <c r="G424" s="43">
        <v>45056.395833333336</v>
      </c>
      <c r="H424">
        <v>9</v>
      </c>
      <c r="I424">
        <v>0</v>
      </c>
      <c r="J424">
        <v>9</v>
      </c>
      <c r="K424">
        <v>30</v>
      </c>
      <c r="L424">
        <v>2023</v>
      </c>
      <c r="N424" t="s">
        <v>5293</v>
      </c>
      <c r="O424" t="s">
        <v>47</v>
      </c>
      <c r="P424" t="s">
        <v>8587</v>
      </c>
    </row>
    <row r="425" spans="1:16" x14ac:dyDescent="0.3">
      <c r="A425" t="s">
        <v>8600</v>
      </c>
      <c r="C425">
        <v>30</v>
      </c>
      <c r="D425" t="s">
        <v>10</v>
      </c>
      <c r="F425" s="43">
        <v>45056.3125</v>
      </c>
      <c r="G425" s="43">
        <v>45056.333333333336</v>
      </c>
      <c r="H425">
        <v>7</v>
      </c>
      <c r="I425">
        <v>30</v>
      </c>
      <c r="J425">
        <v>8</v>
      </c>
      <c r="K425">
        <v>0</v>
      </c>
      <c r="L425">
        <v>2023</v>
      </c>
      <c r="N425" t="s">
        <v>47</v>
      </c>
      <c r="O425" t="s">
        <v>47</v>
      </c>
      <c r="P425" t="s">
        <v>8603</v>
      </c>
    </row>
    <row r="426" spans="1:16" x14ac:dyDescent="0.3">
      <c r="A426" t="s">
        <v>8292</v>
      </c>
      <c r="B426" t="s">
        <v>160</v>
      </c>
      <c r="C426">
        <v>60</v>
      </c>
      <c r="D426" t="s">
        <v>10</v>
      </c>
      <c r="E426" t="s">
        <v>8503</v>
      </c>
      <c r="F426" s="43">
        <v>45056.25</v>
      </c>
      <c r="G426" s="43">
        <v>45056.291666666664</v>
      </c>
      <c r="H426">
        <v>6</v>
      </c>
      <c r="I426">
        <v>0</v>
      </c>
      <c r="J426">
        <v>7</v>
      </c>
      <c r="K426">
        <v>0</v>
      </c>
      <c r="L426">
        <v>2023</v>
      </c>
      <c r="N426" t="s">
        <v>47</v>
      </c>
      <c r="O426" t="s">
        <v>47</v>
      </c>
      <c r="P426" t="s">
        <v>8602</v>
      </c>
    </row>
    <row r="427" spans="1:16" x14ac:dyDescent="0.3">
      <c r="A427" t="s">
        <v>8600</v>
      </c>
      <c r="C427">
        <v>30</v>
      </c>
      <c r="D427" t="s">
        <v>10</v>
      </c>
      <c r="F427" s="43">
        <v>45056.229166666664</v>
      </c>
      <c r="G427" s="43">
        <v>45056.25</v>
      </c>
      <c r="H427">
        <v>5</v>
      </c>
      <c r="I427">
        <v>30</v>
      </c>
      <c r="J427">
        <v>6</v>
      </c>
      <c r="K427">
        <v>0</v>
      </c>
      <c r="L427">
        <v>2023</v>
      </c>
      <c r="N427" t="s">
        <v>47</v>
      </c>
      <c r="O427" t="s">
        <v>47</v>
      </c>
      <c r="P427" t="s">
        <v>8601</v>
      </c>
    </row>
    <row r="428" spans="1:16" x14ac:dyDescent="0.3">
      <c r="A428" t="s">
        <v>8292</v>
      </c>
      <c r="C428">
        <v>30</v>
      </c>
      <c r="D428" t="s">
        <v>10</v>
      </c>
      <c r="F428" s="43">
        <v>45055.854166666664</v>
      </c>
      <c r="G428" s="43">
        <v>45055.875</v>
      </c>
      <c r="H428">
        <v>20</v>
      </c>
      <c r="I428">
        <v>30</v>
      </c>
      <c r="J428">
        <v>21</v>
      </c>
      <c r="K428">
        <v>0</v>
      </c>
      <c r="L428">
        <v>2023</v>
      </c>
      <c r="N428" t="s">
        <v>47</v>
      </c>
      <c r="O428" t="s">
        <v>47</v>
      </c>
      <c r="P428" t="s">
        <v>8599</v>
      </c>
    </row>
    <row r="429" spans="1:16" x14ac:dyDescent="0.3">
      <c r="A429" t="s">
        <v>4214</v>
      </c>
      <c r="C429">
        <v>45</v>
      </c>
      <c r="D429" t="s">
        <v>10</v>
      </c>
      <c r="F429" s="43">
        <v>45055.770833333336</v>
      </c>
      <c r="G429" s="43">
        <v>45055.802083333336</v>
      </c>
      <c r="H429">
        <v>18</v>
      </c>
      <c r="I429">
        <v>30</v>
      </c>
      <c r="J429">
        <v>19</v>
      </c>
      <c r="K429">
        <v>15</v>
      </c>
      <c r="L429">
        <v>2023</v>
      </c>
      <c r="N429" t="s">
        <v>47</v>
      </c>
      <c r="O429" t="s">
        <v>47</v>
      </c>
      <c r="P429" t="s">
        <v>8598</v>
      </c>
    </row>
    <row r="430" spans="1:16" x14ac:dyDescent="0.3">
      <c r="A430" t="s">
        <v>8292</v>
      </c>
      <c r="B430" t="s">
        <v>160</v>
      </c>
      <c r="C430">
        <v>60</v>
      </c>
      <c r="D430" t="s">
        <v>10</v>
      </c>
      <c r="E430" t="s">
        <v>8503</v>
      </c>
      <c r="F430" s="43">
        <v>45055.708333333336</v>
      </c>
      <c r="G430" s="43">
        <v>45055.75</v>
      </c>
      <c r="H430">
        <v>17</v>
      </c>
      <c r="I430">
        <v>0</v>
      </c>
      <c r="J430">
        <v>18</v>
      </c>
      <c r="K430">
        <v>0</v>
      </c>
      <c r="L430">
        <v>2023</v>
      </c>
      <c r="N430" t="s">
        <v>47</v>
      </c>
      <c r="O430" t="s">
        <v>47</v>
      </c>
      <c r="P430" t="s">
        <v>8597</v>
      </c>
    </row>
    <row r="431" spans="1:16" x14ac:dyDescent="0.3">
      <c r="A431" t="s">
        <v>8595</v>
      </c>
      <c r="C431">
        <v>30</v>
      </c>
      <c r="D431" t="s">
        <v>10</v>
      </c>
      <c r="F431" s="1">
        <v>45055.6875</v>
      </c>
      <c r="G431" s="1">
        <v>45055.708333333336</v>
      </c>
      <c r="H431">
        <v>16</v>
      </c>
      <c r="I431">
        <v>30</v>
      </c>
      <c r="J431">
        <v>17</v>
      </c>
      <c r="K431">
        <v>0</v>
      </c>
      <c r="L431">
        <v>2023</v>
      </c>
      <c r="N431" t="s">
        <v>47</v>
      </c>
      <c r="O431" t="s">
        <v>47</v>
      </c>
      <c r="P431" t="s">
        <v>8596</v>
      </c>
    </row>
    <row r="432" spans="1:16" x14ac:dyDescent="0.3">
      <c r="A432" t="s">
        <v>8589</v>
      </c>
      <c r="C432">
        <v>30</v>
      </c>
      <c r="D432" t="s">
        <v>10</v>
      </c>
      <c r="E432" t="s">
        <v>8590</v>
      </c>
      <c r="F432" s="43">
        <v>45055.645833333336</v>
      </c>
      <c r="G432" s="43">
        <v>45055.666666666664</v>
      </c>
      <c r="H432">
        <v>15</v>
      </c>
      <c r="I432">
        <v>30</v>
      </c>
      <c r="J432">
        <v>16</v>
      </c>
      <c r="K432">
        <v>0</v>
      </c>
      <c r="L432">
        <v>2023</v>
      </c>
      <c r="M432" t="s">
        <v>33</v>
      </c>
      <c r="N432" t="s">
        <v>8223</v>
      </c>
      <c r="O432" t="s">
        <v>8224</v>
      </c>
      <c r="P432" t="s">
        <v>8591</v>
      </c>
    </row>
    <row r="433" spans="1:16" x14ac:dyDescent="0.3">
      <c r="A433" t="s">
        <v>8292</v>
      </c>
      <c r="B433" t="s">
        <v>160</v>
      </c>
      <c r="C433">
        <v>45</v>
      </c>
      <c r="D433" t="s">
        <v>10</v>
      </c>
      <c r="E433" t="s">
        <v>8503</v>
      </c>
      <c r="F433" s="43">
        <v>45055.625</v>
      </c>
      <c r="G433" s="43">
        <v>45055.65625</v>
      </c>
      <c r="H433">
        <v>15</v>
      </c>
      <c r="I433">
        <v>0</v>
      </c>
      <c r="J433">
        <v>15</v>
      </c>
      <c r="K433">
        <v>45</v>
      </c>
      <c r="L433">
        <v>2023</v>
      </c>
      <c r="N433" t="s">
        <v>47</v>
      </c>
      <c r="O433" t="s">
        <v>47</v>
      </c>
      <c r="P433" t="s">
        <v>8594</v>
      </c>
    </row>
    <row r="434" spans="1:16" x14ac:dyDescent="0.3">
      <c r="A434" t="s">
        <v>9</v>
      </c>
      <c r="C434">
        <v>45</v>
      </c>
      <c r="D434" t="s">
        <v>10</v>
      </c>
      <c r="F434" s="43">
        <v>45055.583333333336</v>
      </c>
      <c r="G434" s="43">
        <v>45055.614583333336</v>
      </c>
      <c r="H434">
        <v>14</v>
      </c>
      <c r="I434">
        <v>0</v>
      </c>
      <c r="J434">
        <v>14</v>
      </c>
      <c r="K434">
        <v>45</v>
      </c>
      <c r="L434">
        <v>2023</v>
      </c>
      <c r="N434" t="s">
        <v>47</v>
      </c>
      <c r="O434" t="s">
        <v>47</v>
      </c>
      <c r="P434" t="s">
        <v>8593</v>
      </c>
    </row>
    <row r="435" spans="1:16" x14ac:dyDescent="0.3">
      <c r="A435" t="s">
        <v>1394</v>
      </c>
      <c r="C435">
        <v>60</v>
      </c>
      <c r="D435" t="s">
        <v>10</v>
      </c>
      <c r="F435" s="43">
        <v>45055.541666666664</v>
      </c>
      <c r="G435" s="43">
        <v>45055.583333333336</v>
      </c>
      <c r="H435">
        <v>13</v>
      </c>
      <c r="I435">
        <v>0</v>
      </c>
      <c r="J435">
        <v>14</v>
      </c>
      <c r="K435">
        <v>0</v>
      </c>
      <c r="L435">
        <v>2023</v>
      </c>
      <c r="N435" t="s">
        <v>47</v>
      </c>
      <c r="O435" t="s">
        <v>47</v>
      </c>
      <c r="P435" t="s">
        <v>8592</v>
      </c>
    </row>
    <row r="436" spans="1:16" x14ac:dyDescent="0.3">
      <c r="A436" t="s">
        <v>8292</v>
      </c>
      <c r="B436" t="s">
        <v>160</v>
      </c>
      <c r="C436">
        <v>60</v>
      </c>
      <c r="D436" t="s">
        <v>10</v>
      </c>
      <c r="E436" t="s">
        <v>8503</v>
      </c>
      <c r="F436" s="43">
        <v>45055.479166666664</v>
      </c>
      <c r="G436" s="43">
        <v>45055.520833333336</v>
      </c>
      <c r="H436">
        <v>11</v>
      </c>
      <c r="I436">
        <v>30</v>
      </c>
      <c r="J436">
        <v>12</v>
      </c>
      <c r="K436">
        <v>30</v>
      </c>
      <c r="L436">
        <v>2023</v>
      </c>
      <c r="N436" t="s">
        <v>47</v>
      </c>
      <c r="O436" t="s">
        <v>47</v>
      </c>
      <c r="P436" t="s">
        <v>8588</v>
      </c>
    </row>
    <row r="437" spans="1:16" x14ac:dyDescent="0.3">
      <c r="A437" t="s">
        <v>8583</v>
      </c>
      <c r="C437">
        <v>45</v>
      </c>
      <c r="D437" t="s">
        <v>10</v>
      </c>
      <c r="F437" s="43">
        <v>45055.385416666664</v>
      </c>
      <c r="G437" s="43">
        <v>45055.416666666664</v>
      </c>
      <c r="H437">
        <v>9</v>
      </c>
      <c r="I437">
        <v>15</v>
      </c>
      <c r="J437">
        <v>10</v>
      </c>
      <c r="K437">
        <v>0</v>
      </c>
      <c r="L437">
        <v>2023</v>
      </c>
      <c r="N437" t="s">
        <v>47</v>
      </c>
      <c r="O437" t="s">
        <v>47</v>
      </c>
      <c r="P437" t="s">
        <v>8584</v>
      </c>
    </row>
    <row r="438" spans="1:16" x14ac:dyDescent="0.3">
      <c r="A438" t="s">
        <v>827</v>
      </c>
      <c r="C438">
        <v>25</v>
      </c>
      <c r="D438" t="s">
        <v>10</v>
      </c>
      <c r="F438" s="43">
        <v>45055.364583333336</v>
      </c>
      <c r="G438" s="43">
        <v>45055.381944444445</v>
      </c>
      <c r="H438">
        <v>8</v>
      </c>
      <c r="I438">
        <v>45</v>
      </c>
      <c r="J438">
        <v>9</v>
      </c>
      <c r="K438">
        <v>10</v>
      </c>
      <c r="L438">
        <v>2023</v>
      </c>
      <c r="N438" t="s">
        <v>47</v>
      </c>
      <c r="O438" t="s">
        <v>47</v>
      </c>
      <c r="P438" t="s">
        <v>8582</v>
      </c>
    </row>
    <row r="439" spans="1:16" x14ac:dyDescent="0.3">
      <c r="A439" t="s">
        <v>8292</v>
      </c>
      <c r="B439" t="s">
        <v>160</v>
      </c>
      <c r="C439">
        <v>90</v>
      </c>
      <c r="D439" t="s">
        <v>10</v>
      </c>
      <c r="E439" t="s">
        <v>8503</v>
      </c>
      <c r="F439" s="43">
        <v>45055.291666666664</v>
      </c>
      <c r="G439" s="43">
        <v>45055.354166666664</v>
      </c>
      <c r="H439">
        <v>7</v>
      </c>
      <c r="I439">
        <v>0</v>
      </c>
      <c r="J439">
        <v>8</v>
      </c>
      <c r="K439">
        <v>30</v>
      </c>
      <c r="L439">
        <v>2023</v>
      </c>
      <c r="N439" t="s">
        <v>47</v>
      </c>
      <c r="O439" t="s">
        <v>47</v>
      </c>
      <c r="P439" t="s">
        <v>8581</v>
      </c>
    </row>
    <row r="440" spans="1:16" x14ac:dyDescent="0.3">
      <c r="A440" t="s">
        <v>8292</v>
      </c>
      <c r="B440" t="s">
        <v>160</v>
      </c>
      <c r="C440">
        <v>30</v>
      </c>
      <c r="D440" t="s">
        <v>10</v>
      </c>
      <c r="E440" t="s">
        <v>8503</v>
      </c>
      <c r="F440" s="43">
        <v>45055.229166666664</v>
      </c>
      <c r="G440" s="43">
        <v>45055.25</v>
      </c>
      <c r="H440">
        <v>5</v>
      </c>
      <c r="I440">
        <v>30</v>
      </c>
      <c r="J440">
        <v>6</v>
      </c>
      <c r="K440">
        <v>0</v>
      </c>
      <c r="L440">
        <v>2023</v>
      </c>
      <c r="N440" t="s">
        <v>47</v>
      </c>
      <c r="O440" t="s">
        <v>47</v>
      </c>
      <c r="P440" t="s">
        <v>8577</v>
      </c>
    </row>
    <row r="441" spans="1:16" x14ac:dyDescent="0.3">
      <c r="A441" t="s">
        <v>8575</v>
      </c>
      <c r="C441">
        <v>30</v>
      </c>
      <c r="D441" t="s">
        <v>10</v>
      </c>
      <c r="F441" s="43">
        <v>45055.208333333336</v>
      </c>
      <c r="G441" s="43">
        <v>45055.229166666664</v>
      </c>
      <c r="H441">
        <v>5</v>
      </c>
      <c r="I441">
        <v>0</v>
      </c>
      <c r="J441">
        <v>5</v>
      </c>
      <c r="K441">
        <v>30</v>
      </c>
      <c r="L441">
        <v>2023</v>
      </c>
      <c r="N441" t="s">
        <v>47</v>
      </c>
      <c r="O441" t="s">
        <v>47</v>
      </c>
      <c r="P441" t="s">
        <v>8576</v>
      </c>
    </row>
    <row r="442" spans="1:16" x14ac:dyDescent="0.3">
      <c r="A442" t="s">
        <v>8292</v>
      </c>
      <c r="B442" t="s">
        <v>160</v>
      </c>
      <c r="C442">
        <v>15</v>
      </c>
      <c r="D442" t="s">
        <v>10</v>
      </c>
      <c r="E442" t="s">
        <v>8503</v>
      </c>
      <c r="F442" s="43">
        <v>45054.805555555555</v>
      </c>
      <c r="G442" s="43">
        <v>45054.815972222219</v>
      </c>
      <c r="H442">
        <v>19</v>
      </c>
      <c r="I442">
        <v>20</v>
      </c>
      <c r="J442">
        <v>19</v>
      </c>
      <c r="K442">
        <v>35</v>
      </c>
      <c r="L442">
        <v>2023</v>
      </c>
      <c r="N442" t="s">
        <v>47</v>
      </c>
      <c r="O442" t="s">
        <v>47</v>
      </c>
      <c r="P442" t="s">
        <v>8574</v>
      </c>
    </row>
    <row r="443" spans="1:16" x14ac:dyDescent="0.3">
      <c r="A443" t="s">
        <v>8292</v>
      </c>
      <c r="B443" t="s">
        <v>160</v>
      </c>
      <c r="C443">
        <v>30</v>
      </c>
      <c r="D443" t="s">
        <v>10</v>
      </c>
      <c r="E443" t="s">
        <v>8503</v>
      </c>
      <c r="F443" s="43">
        <v>45054.770833333336</v>
      </c>
      <c r="G443" s="43">
        <v>45054.791666666664</v>
      </c>
      <c r="H443">
        <v>18</v>
      </c>
      <c r="I443">
        <v>30</v>
      </c>
      <c r="J443">
        <v>19</v>
      </c>
      <c r="K443">
        <v>0</v>
      </c>
      <c r="L443">
        <v>2023</v>
      </c>
      <c r="N443" t="s">
        <v>47</v>
      </c>
      <c r="O443" t="s">
        <v>47</v>
      </c>
      <c r="P443" t="s">
        <v>8573</v>
      </c>
    </row>
    <row r="444" spans="1:16" x14ac:dyDescent="0.3">
      <c r="A444" t="s">
        <v>8292</v>
      </c>
      <c r="B444" t="s">
        <v>160</v>
      </c>
      <c r="C444">
        <v>30</v>
      </c>
      <c r="D444" t="s">
        <v>10</v>
      </c>
      <c r="E444" t="s">
        <v>8503</v>
      </c>
      <c r="F444" s="43">
        <v>45054.729166666664</v>
      </c>
      <c r="G444" s="43">
        <v>45054.75</v>
      </c>
      <c r="H444">
        <v>17</v>
      </c>
      <c r="I444">
        <v>30</v>
      </c>
      <c r="J444">
        <v>18</v>
      </c>
      <c r="K444">
        <v>0</v>
      </c>
      <c r="L444">
        <v>2023</v>
      </c>
      <c r="N444" t="s">
        <v>47</v>
      </c>
      <c r="O444" t="s">
        <v>47</v>
      </c>
      <c r="P444" t="s">
        <v>8572</v>
      </c>
    </row>
    <row r="445" spans="1:16" x14ac:dyDescent="0.3">
      <c r="A445" t="s">
        <v>8292</v>
      </c>
      <c r="B445" t="s">
        <v>160</v>
      </c>
      <c r="C445">
        <v>55</v>
      </c>
      <c r="D445" t="s">
        <v>10</v>
      </c>
      <c r="E445" t="s">
        <v>8503</v>
      </c>
      <c r="F445" s="43">
        <v>45054.680555555555</v>
      </c>
      <c r="G445" s="43">
        <v>45054.71875</v>
      </c>
      <c r="H445">
        <v>16</v>
      </c>
      <c r="I445">
        <v>20</v>
      </c>
      <c r="J445">
        <v>17</v>
      </c>
      <c r="K445">
        <v>15</v>
      </c>
      <c r="L445">
        <v>2023</v>
      </c>
      <c r="N445" t="s">
        <v>47</v>
      </c>
      <c r="O445" t="s">
        <v>47</v>
      </c>
      <c r="P445" t="s">
        <v>8571</v>
      </c>
    </row>
    <row r="446" spans="1:16" x14ac:dyDescent="0.3">
      <c r="A446" t="s">
        <v>7</v>
      </c>
      <c r="C446">
        <v>45</v>
      </c>
      <c r="D446" t="s">
        <v>10</v>
      </c>
      <c r="F446" s="43">
        <v>45054.645833333336</v>
      </c>
      <c r="G446" s="43">
        <v>45054.677083333336</v>
      </c>
      <c r="H446">
        <v>15</v>
      </c>
      <c r="I446">
        <v>30</v>
      </c>
      <c r="J446">
        <v>16</v>
      </c>
      <c r="K446">
        <v>15</v>
      </c>
      <c r="L446">
        <v>2023</v>
      </c>
      <c r="N446" t="s">
        <v>47</v>
      </c>
      <c r="O446" t="s">
        <v>47</v>
      </c>
      <c r="P446" t="s">
        <v>8570</v>
      </c>
    </row>
    <row r="447" spans="1:16" x14ac:dyDescent="0.3">
      <c r="A447" t="s">
        <v>8292</v>
      </c>
      <c r="B447" t="s">
        <v>160</v>
      </c>
      <c r="C447">
        <v>60</v>
      </c>
      <c r="D447" t="s">
        <v>10</v>
      </c>
      <c r="E447" t="s">
        <v>8503</v>
      </c>
      <c r="F447" s="43">
        <v>45054.5625</v>
      </c>
      <c r="G447" s="43">
        <v>45054.604166666664</v>
      </c>
      <c r="H447">
        <v>13</v>
      </c>
      <c r="I447">
        <v>30</v>
      </c>
      <c r="J447">
        <v>14</v>
      </c>
      <c r="K447">
        <v>30</v>
      </c>
      <c r="L447">
        <v>2023</v>
      </c>
      <c r="N447" t="s">
        <v>47</v>
      </c>
      <c r="O447" t="s">
        <v>47</v>
      </c>
      <c r="P447" t="s">
        <v>8568</v>
      </c>
    </row>
    <row r="448" spans="1:16" x14ac:dyDescent="0.3">
      <c r="A448" t="s">
        <v>8561</v>
      </c>
      <c r="C448">
        <v>30</v>
      </c>
      <c r="D448" t="s">
        <v>10</v>
      </c>
      <c r="E448" t="s">
        <v>8562</v>
      </c>
      <c r="F448" s="43">
        <v>45054.541666666664</v>
      </c>
      <c r="G448" s="43">
        <v>45054.5625</v>
      </c>
      <c r="H448">
        <v>13</v>
      </c>
      <c r="I448">
        <v>0</v>
      </c>
      <c r="J448">
        <v>13</v>
      </c>
      <c r="K448">
        <v>30</v>
      </c>
      <c r="L448">
        <v>2023</v>
      </c>
      <c r="N448" t="s">
        <v>8563</v>
      </c>
      <c r="O448" t="s">
        <v>48</v>
      </c>
      <c r="P448" t="s">
        <v>8564</v>
      </c>
    </row>
    <row r="449" spans="1:16" x14ac:dyDescent="0.3">
      <c r="A449" t="s">
        <v>8292</v>
      </c>
      <c r="B449" t="s">
        <v>160</v>
      </c>
      <c r="C449">
        <v>30</v>
      </c>
      <c r="D449" t="s">
        <v>10</v>
      </c>
      <c r="F449" s="43">
        <v>45054.520833333336</v>
      </c>
      <c r="G449" s="43">
        <v>45054.541666666664</v>
      </c>
      <c r="H449">
        <v>12</v>
      </c>
      <c r="I449">
        <v>30</v>
      </c>
      <c r="J449">
        <v>13</v>
      </c>
      <c r="K449">
        <v>0</v>
      </c>
      <c r="L449">
        <v>2023</v>
      </c>
      <c r="N449" t="s">
        <v>47</v>
      </c>
      <c r="O449" t="s">
        <v>47</v>
      </c>
      <c r="P449" t="s">
        <v>8567</v>
      </c>
    </row>
    <row r="450" spans="1:16" x14ac:dyDescent="0.3">
      <c r="A450" t="s">
        <v>8292</v>
      </c>
      <c r="B450" t="s">
        <v>160</v>
      </c>
      <c r="C450">
        <v>30</v>
      </c>
      <c r="D450" t="s">
        <v>10</v>
      </c>
      <c r="E450" t="s">
        <v>8503</v>
      </c>
      <c r="F450" s="43">
        <v>45054.458333333336</v>
      </c>
      <c r="G450" s="43">
        <v>45054.479166666664</v>
      </c>
      <c r="H450">
        <v>11</v>
      </c>
      <c r="I450">
        <v>0</v>
      </c>
      <c r="J450">
        <v>11</v>
      </c>
      <c r="K450">
        <v>30</v>
      </c>
      <c r="L450">
        <v>2023</v>
      </c>
      <c r="N450" t="s">
        <v>47</v>
      </c>
      <c r="O450" t="s">
        <v>47</v>
      </c>
      <c r="P450" t="s">
        <v>8565</v>
      </c>
    </row>
    <row r="451" spans="1:16" x14ac:dyDescent="0.3">
      <c r="A451" t="s">
        <v>8558</v>
      </c>
      <c r="C451">
        <v>30</v>
      </c>
      <c r="D451" t="s">
        <v>10</v>
      </c>
      <c r="E451" t="s">
        <v>5292</v>
      </c>
      <c r="F451" s="43">
        <v>45054.4375</v>
      </c>
      <c r="G451" s="43">
        <v>45054.458333333336</v>
      </c>
      <c r="H451">
        <v>10</v>
      </c>
      <c r="I451">
        <v>30</v>
      </c>
      <c r="J451">
        <v>11</v>
      </c>
      <c r="K451">
        <v>0</v>
      </c>
      <c r="L451">
        <v>2023</v>
      </c>
      <c r="N451" t="s">
        <v>8559</v>
      </c>
      <c r="O451" t="s">
        <v>47</v>
      </c>
      <c r="P451" t="s">
        <v>8560</v>
      </c>
    </row>
    <row r="452" spans="1:16" x14ac:dyDescent="0.3">
      <c r="A452" t="s">
        <v>31</v>
      </c>
      <c r="C452">
        <v>30</v>
      </c>
      <c r="D452" t="s">
        <v>10</v>
      </c>
      <c r="F452" s="43">
        <v>45054.416666666664</v>
      </c>
      <c r="G452" s="43">
        <v>45054.4375</v>
      </c>
      <c r="H452">
        <v>10</v>
      </c>
      <c r="I452">
        <v>0</v>
      </c>
      <c r="J452">
        <v>10</v>
      </c>
      <c r="K452">
        <v>30</v>
      </c>
      <c r="L452">
        <v>2023</v>
      </c>
      <c r="N452" t="s">
        <v>47</v>
      </c>
      <c r="O452" t="s">
        <v>47</v>
      </c>
      <c r="P452" t="s">
        <v>8569</v>
      </c>
    </row>
    <row r="453" spans="1:16" x14ac:dyDescent="0.3">
      <c r="A453" t="s">
        <v>8292</v>
      </c>
      <c r="B453" t="s">
        <v>160</v>
      </c>
      <c r="C453">
        <v>30</v>
      </c>
      <c r="D453" t="s">
        <v>10</v>
      </c>
      <c r="E453" t="s">
        <v>8503</v>
      </c>
      <c r="F453" s="43">
        <v>45054.395833333336</v>
      </c>
      <c r="G453" s="43">
        <v>45054.416666666664</v>
      </c>
      <c r="H453">
        <v>9</v>
      </c>
      <c r="I453">
        <v>30</v>
      </c>
      <c r="J453">
        <v>10</v>
      </c>
      <c r="K453">
        <v>0</v>
      </c>
      <c r="L453">
        <v>2023</v>
      </c>
      <c r="N453" t="s">
        <v>47</v>
      </c>
      <c r="O453" t="s">
        <v>47</v>
      </c>
      <c r="P453" t="s">
        <v>8566</v>
      </c>
    </row>
    <row r="454" spans="1:16" x14ac:dyDescent="0.3">
      <c r="A454" t="s">
        <v>152</v>
      </c>
      <c r="C454">
        <v>15</v>
      </c>
      <c r="D454" t="s">
        <v>10</v>
      </c>
      <c r="F454" s="43">
        <v>45054.375</v>
      </c>
      <c r="G454" s="43">
        <v>45054.385416666664</v>
      </c>
      <c r="H454">
        <v>9</v>
      </c>
      <c r="I454">
        <v>0</v>
      </c>
      <c r="J454">
        <v>9</v>
      </c>
      <c r="K454">
        <v>15</v>
      </c>
      <c r="L454">
        <v>2023</v>
      </c>
      <c r="N454" t="s">
        <v>47</v>
      </c>
      <c r="O454" t="s">
        <v>47</v>
      </c>
      <c r="P454" t="s">
        <v>8557</v>
      </c>
    </row>
    <row r="455" spans="1:16" x14ac:dyDescent="0.3">
      <c r="A455" t="s">
        <v>8529</v>
      </c>
      <c r="B455" t="s">
        <v>20</v>
      </c>
      <c r="C455">
        <v>60</v>
      </c>
      <c r="D455" t="s">
        <v>10</v>
      </c>
      <c r="F455" s="43">
        <v>45054.333333333336</v>
      </c>
      <c r="G455" s="43">
        <v>45054.375</v>
      </c>
      <c r="H455">
        <v>8</v>
      </c>
      <c r="I455">
        <v>0</v>
      </c>
      <c r="J455">
        <v>9</v>
      </c>
      <c r="K455">
        <v>0</v>
      </c>
      <c r="L455">
        <v>2023</v>
      </c>
      <c r="N455" t="s">
        <v>8530</v>
      </c>
      <c r="O455" t="s">
        <v>73</v>
      </c>
      <c r="P455" t="s">
        <v>8531</v>
      </c>
    </row>
    <row r="456" spans="1:16" x14ac:dyDescent="0.3">
      <c r="A456" t="s">
        <v>8292</v>
      </c>
      <c r="B456" t="s">
        <v>160</v>
      </c>
      <c r="C456">
        <v>60</v>
      </c>
      <c r="D456" t="s">
        <v>10</v>
      </c>
      <c r="E456" t="s">
        <v>8503</v>
      </c>
      <c r="F456" s="43">
        <v>45054.25</v>
      </c>
      <c r="G456" s="43">
        <v>45054.291666666664</v>
      </c>
      <c r="H456">
        <v>6</v>
      </c>
      <c r="I456">
        <v>0</v>
      </c>
      <c r="J456">
        <v>7</v>
      </c>
      <c r="K456">
        <v>0</v>
      </c>
      <c r="L456">
        <v>2023</v>
      </c>
      <c r="N456" t="s">
        <v>47</v>
      </c>
      <c r="O456" t="s">
        <v>47</v>
      </c>
      <c r="P456" t="s">
        <v>8556</v>
      </c>
    </row>
    <row r="457" spans="1:16" x14ac:dyDescent="0.3">
      <c r="A457" t="s">
        <v>8292</v>
      </c>
      <c r="B457" t="s">
        <v>160</v>
      </c>
      <c r="C457">
        <v>45</v>
      </c>
      <c r="D457" t="s">
        <v>10</v>
      </c>
      <c r="E457" t="s">
        <v>8503</v>
      </c>
      <c r="F457" s="43">
        <v>45053.791666666664</v>
      </c>
      <c r="G457" s="43">
        <v>45053.822916666664</v>
      </c>
      <c r="H457">
        <v>19</v>
      </c>
      <c r="I457">
        <v>0</v>
      </c>
      <c r="J457">
        <v>19</v>
      </c>
      <c r="K457">
        <v>45</v>
      </c>
      <c r="L457">
        <v>2023</v>
      </c>
      <c r="N457" t="s">
        <v>47</v>
      </c>
      <c r="O457" t="s">
        <v>47</v>
      </c>
      <c r="P457" t="s">
        <v>8553</v>
      </c>
    </row>
    <row r="458" spans="1:16" x14ac:dyDescent="0.3">
      <c r="A458" t="s">
        <v>8292</v>
      </c>
      <c r="B458" t="s">
        <v>160</v>
      </c>
      <c r="C458">
        <v>60</v>
      </c>
      <c r="D458" t="s">
        <v>10</v>
      </c>
      <c r="E458" t="s">
        <v>8503</v>
      </c>
      <c r="F458" s="43">
        <v>45053.708333333336</v>
      </c>
      <c r="G458" s="43">
        <v>45053.75</v>
      </c>
      <c r="H458">
        <v>17</v>
      </c>
      <c r="I458">
        <v>0</v>
      </c>
      <c r="J458">
        <v>18</v>
      </c>
      <c r="K458">
        <v>0</v>
      </c>
      <c r="L458">
        <v>2023</v>
      </c>
      <c r="N458" t="s">
        <v>47</v>
      </c>
      <c r="O458" t="s">
        <v>47</v>
      </c>
      <c r="P458" t="s">
        <v>8551</v>
      </c>
    </row>
    <row r="459" spans="1:16" x14ac:dyDescent="0.3">
      <c r="A459" t="s">
        <v>8292</v>
      </c>
      <c r="B459" t="s">
        <v>160</v>
      </c>
      <c r="C459">
        <v>60</v>
      </c>
      <c r="D459" t="s">
        <v>10</v>
      </c>
      <c r="E459" t="s">
        <v>8503</v>
      </c>
      <c r="F459" s="43">
        <v>45053.625</v>
      </c>
      <c r="G459" s="43">
        <v>45053.666666666664</v>
      </c>
      <c r="H459">
        <v>15</v>
      </c>
      <c r="I459">
        <v>0</v>
      </c>
      <c r="J459">
        <v>16</v>
      </c>
      <c r="K459">
        <v>0</v>
      </c>
      <c r="L459">
        <v>2023</v>
      </c>
      <c r="N459" t="s">
        <v>47</v>
      </c>
      <c r="O459" t="s">
        <v>47</v>
      </c>
      <c r="P459" t="s">
        <v>8552</v>
      </c>
    </row>
    <row r="460" spans="1:16" x14ac:dyDescent="0.3">
      <c r="A460" t="s">
        <v>8292</v>
      </c>
      <c r="B460" t="s">
        <v>160</v>
      </c>
      <c r="C460">
        <v>125</v>
      </c>
      <c r="D460" t="s">
        <v>10</v>
      </c>
      <c r="E460" t="s">
        <v>8503</v>
      </c>
      <c r="F460" s="43">
        <v>45053.53125</v>
      </c>
      <c r="G460" s="43">
        <v>45053.618055555555</v>
      </c>
      <c r="H460">
        <v>12</v>
      </c>
      <c r="I460">
        <v>45</v>
      </c>
      <c r="J460">
        <v>14</v>
      </c>
      <c r="K460">
        <v>50</v>
      </c>
      <c r="L460">
        <v>2023</v>
      </c>
      <c r="N460" t="s">
        <v>47</v>
      </c>
      <c r="O460" t="s">
        <v>47</v>
      </c>
      <c r="P460" t="s">
        <v>8550</v>
      </c>
    </row>
    <row r="461" spans="1:16" x14ac:dyDescent="0.3">
      <c r="A461" t="s">
        <v>8292</v>
      </c>
      <c r="B461" t="s">
        <v>160</v>
      </c>
      <c r="C461">
        <v>100</v>
      </c>
      <c r="D461" t="s">
        <v>10</v>
      </c>
      <c r="E461" t="s">
        <v>8503</v>
      </c>
      <c r="F461" s="43">
        <v>45053.4375</v>
      </c>
      <c r="G461" s="43">
        <v>45053.506944444445</v>
      </c>
      <c r="H461">
        <v>10</v>
      </c>
      <c r="I461">
        <v>30</v>
      </c>
      <c r="J461">
        <v>12</v>
      </c>
      <c r="K461">
        <v>10</v>
      </c>
      <c r="L461">
        <v>2023</v>
      </c>
      <c r="N461" t="s">
        <v>47</v>
      </c>
      <c r="O461" t="s">
        <v>47</v>
      </c>
      <c r="P461" t="s">
        <v>8549</v>
      </c>
    </row>
    <row r="462" spans="1:16" x14ac:dyDescent="0.3">
      <c r="A462" t="s">
        <v>8292</v>
      </c>
      <c r="B462" t="s">
        <v>160</v>
      </c>
      <c r="C462">
        <v>30</v>
      </c>
      <c r="D462" t="s">
        <v>10</v>
      </c>
      <c r="E462" t="s">
        <v>8503</v>
      </c>
      <c r="F462" s="43">
        <v>45053.375</v>
      </c>
      <c r="G462" s="43">
        <v>45053.395833333336</v>
      </c>
      <c r="H462">
        <v>9</v>
      </c>
      <c r="I462">
        <v>0</v>
      </c>
      <c r="J462">
        <v>9</v>
      </c>
      <c r="K462">
        <v>30</v>
      </c>
      <c r="L462">
        <v>2023</v>
      </c>
      <c r="N462" t="s">
        <v>47</v>
      </c>
      <c r="O462" t="s">
        <v>47</v>
      </c>
      <c r="P462" t="s">
        <v>8546</v>
      </c>
    </row>
    <row r="463" spans="1:16" x14ac:dyDescent="0.3">
      <c r="A463" t="s">
        <v>1222</v>
      </c>
      <c r="C463">
        <v>45</v>
      </c>
      <c r="D463" t="s">
        <v>10</v>
      </c>
      <c r="F463" s="43">
        <v>45053.34375</v>
      </c>
      <c r="G463" s="43">
        <v>45053.375</v>
      </c>
      <c r="H463">
        <v>8</v>
      </c>
      <c r="I463">
        <v>15</v>
      </c>
      <c r="J463">
        <v>9</v>
      </c>
      <c r="K463">
        <v>0</v>
      </c>
      <c r="L463">
        <v>2023</v>
      </c>
      <c r="N463" t="s">
        <v>47</v>
      </c>
      <c r="O463" t="s">
        <v>47</v>
      </c>
      <c r="P463" t="s">
        <v>8545</v>
      </c>
    </row>
    <row r="464" spans="1:16" x14ac:dyDescent="0.3">
      <c r="A464" t="s">
        <v>8547</v>
      </c>
      <c r="C464">
        <v>45</v>
      </c>
      <c r="D464" t="s">
        <v>10</v>
      </c>
      <c r="F464" s="43">
        <v>45053.270833333336</v>
      </c>
      <c r="G464" s="43">
        <v>45053.302083333336</v>
      </c>
      <c r="H464">
        <v>6</v>
      </c>
      <c r="I464">
        <v>30</v>
      </c>
      <c r="J464">
        <v>7</v>
      </c>
      <c r="K464">
        <v>15</v>
      </c>
      <c r="L464">
        <v>2023</v>
      </c>
      <c r="N464" t="s">
        <v>47</v>
      </c>
      <c r="O464" t="s">
        <v>47</v>
      </c>
      <c r="P464" t="s">
        <v>8548</v>
      </c>
    </row>
    <row r="465" spans="1:16" x14ac:dyDescent="0.3">
      <c r="A465" t="s">
        <v>8292</v>
      </c>
      <c r="B465" t="s">
        <v>160</v>
      </c>
      <c r="C465">
        <v>195</v>
      </c>
      <c r="D465" t="s">
        <v>10</v>
      </c>
      <c r="E465" t="s">
        <v>8503</v>
      </c>
      <c r="F465" s="43">
        <v>45052.65625</v>
      </c>
      <c r="G465" s="43">
        <v>45052.791666666664</v>
      </c>
      <c r="H465">
        <v>15</v>
      </c>
      <c r="I465">
        <v>45</v>
      </c>
      <c r="J465">
        <v>19</v>
      </c>
      <c r="K465">
        <v>0</v>
      </c>
      <c r="L465">
        <v>2023</v>
      </c>
      <c r="N465" t="s">
        <v>47</v>
      </c>
      <c r="O465" t="s">
        <v>47</v>
      </c>
      <c r="P465" t="s">
        <v>8544</v>
      </c>
    </row>
    <row r="466" spans="1:16" x14ac:dyDescent="0.3">
      <c r="A466" t="s">
        <v>4358</v>
      </c>
      <c r="B466" t="s">
        <v>226</v>
      </c>
      <c r="C466">
        <v>45</v>
      </c>
      <c r="D466" t="s">
        <v>10</v>
      </c>
      <c r="E466" t="s">
        <v>8539</v>
      </c>
      <c r="F466" s="43">
        <v>45052.625</v>
      </c>
      <c r="G466" s="43">
        <v>45052.65625</v>
      </c>
      <c r="H466">
        <v>15</v>
      </c>
      <c r="I466">
        <v>0</v>
      </c>
      <c r="J466">
        <v>15</v>
      </c>
      <c r="K466">
        <v>45</v>
      </c>
      <c r="L466">
        <v>2023</v>
      </c>
      <c r="N466" t="s">
        <v>47</v>
      </c>
      <c r="O466" t="s">
        <v>47</v>
      </c>
      <c r="P466" t="s">
        <v>8543</v>
      </c>
    </row>
    <row r="467" spans="1:16" x14ac:dyDescent="0.3">
      <c r="A467" t="s">
        <v>8538</v>
      </c>
      <c r="B467" t="s">
        <v>226</v>
      </c>
      <c r="C467">
        <v>60</v>
      </c>
      <c r="D467" t="s">
        <v>10</v>
      </c>
      <c r="E467" t="s">
        <v>8539</v>
      </c>
      <c r="F467" s="43">
        <v>45052.5625</v>
      </c>
      <c r="G467" s="43">
        <v>45052.604166666664</v>
      </c>
      <c r="H467">
        <v>13</v>
      </c>
      <c r="I467">
        <v>30</v>
      </c>
      <c r="J467">
        <v>14</v>
      </c>
      <c r="K467">
        <v>30</v>
      </c>
      <c r="L467">
        <v>2023</v>
      </c>
      <c r="N467" t="s">
        <v>47</v>
      </c>
      <c r="O467" t="s">
        <v>47</v>
      </c>
      <c r="P467" t="s">
        <v>8542</v>
      </c>
    </row>
    <row r="468" spans="1:16" x14ac:dyDescent="0.3">
      <c r="A468" t="s">
        <v>8538</v>
      </c>
      <c r="B468" t="s">
        <v>226</v>
      </c>
      <c r="C468">
        <v>30</v>
      </c>
      <c r="D468" t="s">
        <v>10</v>
      </c>
      <c r="E468" t="s">
        <v>8539</v>
      </c>
      <c r="F468" s="43">
        <v>45052.520833333336</v>
      </c>
      <c r="G468" s="43">
        <v>45052.541666666664</v>
      </c>
      <c r="H468">
        <v>12</v>
      </c>
      <c r="I468">
        <v>30</v>
      </c>
      <c r="J468">
        <v>13</v>
      </c>
      <c r="K468">
        <v>0</v>
      </c>
      <c r="L468">
        <v>2023</v>
      </c>
      <c r="N468" t="s">
        <v>47</v>
      </c>
      <c r="O468" t="s">
        <v>47</v>
      </c>
      <c r="P468" t="s">
        <v>8541</v>
      </c>
    </row>
    <row r="469" spans="1:16" x14ac:dyDescent="0.3">
      <c r="A469" t="s">
        <v>8538</v>
      </c>
      <c r="B469" t="s">
        <v>226</v>
      </c>
      <c r="C469">
        <v>45</v>
      </c>
      <c r="D469" t="s">
        <v>10</v>
      </c>
      <c r="E469" t="s">
        <v>8539</v>
      </c>
      <c r="F469" s="43">
        <v>45052.333333333336</v>
      </c>
      <c r="G469" s="43">
        <v>45052.364583333336</v>
      </c>
      <c r="H469">
        <v>8</v>
      </c>
      <c r="I469">
        <v>0</v>
      </c>
      <c r="J469">
        <v>8</v>
      </c>
      <c r="K469">
        <v>45</v>
      </c>
      <c r="L469">
        <v>2023</v>
      </c>
      <c r="N469" t="s">
        <v>47</v>
      </c>
      <c r="O469" t="s">
        <v>47</v>
      </c>
      <c r="P469" t="s">
        <v>8540</v>
      </c>
    </row>
    <row r="470" spans="1:16" x14ac:dyDescent="0.3">
      <c r="A470" t="s">
        <v>8536</v>
      </c>
      <c r="C470">
        <v>50</v>
      </c>
      <c r="D470" t="s">
        <v>10</v>
      </c>
      <c r="F470" s="43">
        <v>45051.75</v>
      </c>
      <c r="G470" s="43">
        <v>45051.784722222219</v>
      </c>
      <c r="H470">
        <v>18</v>
      </c>
      <c r="I470">
        <v>0</v>
      </c>
      <c r="J470">
        <v>18</v>
      </c>
      <c r="K470">
        <v>50</v>
      </c>
      <c r="L470">
        <v>2023</v>
      </c>
      <c r="N470" t="s">
        <v>47</v>
      </c>
      <c r="O470" t="s">
        <v>47</v>
      </c>
      <c r="P470" t="s">
        <v>8537</v>
      </c>
    </row>
    <row r="471" spans="1:16" x14ac:dyDescent="0.3">
      <c r="A471" t="s">
        <v>8534</v>
      </c>
      <c r="C471">
        <v>45</v>
      </c>
      <c r="D471" t="s">
        <v>10</v>
      </c>
      <c r="F471" s="43">
        <v>45051.6875</v>
      </c>
      <c r="G471" s="43">
        <v>45051.71875</v>
      </c>
      <c r="H471">
        <v>16</v>
      </c>
      <c r="I471">
        <v>30</v>
      </c>
      <c r="J471">
        <v>17</v>
      </c>
      <c r="K471">
        <v>15</v>
      </c>
      <c r="L471">
        <v>2023</v>
      </c>
      <c r="N471" t="s">
        <v>47</v>
      </c>
      <c r="O471" t="s">
        <v>47</v>
      </c>
      <c r="P471" t="s">
        <v>8535</v>
      </c>
    </row>
    <row r="472" spans="1:16" x14ac:dyDescent="0.3">
      <c r="A472" t="s">
        <v>8526</v>
      </c>
      <c r="C472">
        <v>30</v>
      </c>
      <c r="D472" t="s">
        <v>10</v>
      </c>
      <c r="E472" t="s">
        <v>5</v>
      </c>
      <c r="F472" s="43">
        <v>45051.666666666664</v>
      </c>
      <c r="G472" s="43">
        <v>45051.6875</v>
      </c>
      <c r="H472">
        <v>16</v>
      </c>
      <c r="I472">
        <v>0</v>
      </c>
      <c r="J472">
        <v>16</v>
      </c>
      <c r="K472">
        <v>30</v>
      </c>
      <c r="L472">
        <v>2023</v>
      </c>
      <c r="N472" t="s">
        <v>4365</v>
      </c>
      <c r="O472" t="s">
        <v>783</v>
      </c>
      <c r="P472" t="s">
        <v>8527</v>
      </c>
    </row>
    <row r="473" spans="1:16" x14ac:dyDescent="0.3">
      <c r="A473" t="s">
        <v>9</v>
      </c>
      <c r="C473">
        <v>40</v>
      </c>
      <c r="D473" t="s">
        <v>10</v>
      </c>
      <c r="F473" s="43">
        <v>45051.583333333336</v>
      </c>
      <c r="G473" s="43">
        <v>45051.611111111109</v>
      </c>
      <c r="H473">
        <v>14</v>
      </c>
      <c r="I473">
        <v>0</v>
      </c>
      <c r="J473">
        <v>14</v>
      </c>
      <c r="K473">
        <v>40</v>
      </c>
      <c r="L473">
        <v>2023</v>
      </c>
      <c r="N473" t="s">
        <v>47</v>
      </c>
      <c r="O473" t="s">
        <v>47</v>
      </c>
      <c r="P473" t="s">
        <v>8533</v>
      </c>
    </row>
    <row r="474" spans="1:16" x14ac:dyDescent="0.3">
      <c r="A474" t="s">
        <v>8</v>
      </c>
      <c r="C474">
        <v>30</v>
      </c>
      <c r="D474" t="s">
        <v>10</v>
      </c>
      <c r="F474" s="43">
        <v>45051.541666666664</v>
      </c>
      <c r="G474" s="43">
        <v>45051.5625</v>
      </c>
      <c r="H474">
        <v>13</v>
      </c>
      <c r="I474">
        <v>0</v>
      </c>
      <c r="J474">
        <v>13</v>
      </c>
      <c r="K474">
        <v>30</v>
      </c>
      <c r="L474">
        <v>2023</v>
      </c>
      <c r="N474" t="s">
        <v>47</v>
      </c>
      <c r="O474" t="s">
        <v>47</v>
      </c>
      <c r="P474" t="s">
        <v>8532</v>
      </c>
    </row>
    <row r="475" spans="1:16" x14ac:dyDescent="0.3">
      <c r="A475" t="s">
        <v>4358</v>
      </c>
      <c r="C475">
        <v>30</v>
      </c>
      <c r="D475" t="s">
        <v>10</v>
      </c>
      <c r="F475" s="43">
        <v>45051.458333333336</v>
      </c>
      <c r="G475" s="43">
        <v>45051.479166666664</v>
      </c>
      <c r="H475">
        <v>11</v>
      </c>
      <c r="I475">
        <v>0</v>
      </c>
      <c r="J475">
        <v>11</v>
      </c>
      <c r="K475">
        <v>30</v>
      </c>
      <c r="L475">
        <v>2023</v>
      </c>
      <c r="N475" t="s">
        <v>47</v>
      </c>
      <c r="O475" t="s">
        <v>47</v>
      </c>
      <c r="P475" t="s">
        <v>8528</v>
      </c>
    </row>
    <row r="476" spans="1:16" x14ac:dyDescent="0.3">
      <c r="A476" t="s">
        <v>8</v>
      </c>
      <c r="C476">
        <v>45</v>
      </c>
      <c r="D476" t="s">
        <v>10</v>
      </c>
      <c r="F476" s="43">
        <v>45051.416666666664</v>
      </c>
      <c r="G476" s="43">
        <v>45051.447916666664</v>
      </c>
      <c r="H476">
        <v>10</v>
      </c>
      <c r="I476">
        <v>0</v>
      </c>
      <c r="J476">
        <v>10</v>
      </c>
      <c r="K476">
        <v>45</v>
      </c>
      <c r="L476">
        <v>2023</v>
      </c>
      <c r="N476" t="s">
        <v>47</v>
      </c>
      <c r="O476" t="s">
        <v>47</v>
      </c>
      <c r="P476" t="s">
        <v>8525</v>
      </c>
    </row>
    <row r="477" spans="1:16" x14ac:dyDescent="0.3">
      <c r="A477" t="s">
        <v>852</v>
      </c>
      <c r="C477">
        <v>30</v>
      </c>
      <c r="D477" t="s">
        <v>10</v>
      </c>
      <c r="E477" t="s">
        <v>5</v>
      </c>
      <c r="F477" s="1">
        <v>45051.395833333336</v>
      </c>
      <c r="G477" s="1">
        <v>45051.416666666664</v>
      </c>
      <c r="H477">
        <v>9</v>
      </c>
      <c r="I477">
        <v>30</v>
      </c>
      <c r="J477">
        <v>10</v>
      </c>
      <c r="K477">
        <v>0</v>
      </c>
      <c r="L477">
        <v>2023</v>
      </c>
      <c r="N477" t="s">
        <v>8522</v>
      </c>
      <c r="O477" t="s">
        <v>6840</v>
      </c>
      <c r="P477" t="s">
        <v>8523</v>
      </c>
    </row>
    <row r="478" spans="1:16" x14ac:dyDescent="0.3">
      <c r="A478" t="s">
        <v>8</v>
      </c>
      <c r="C478">
        <v>60</v>
      </c>
      <c r="D478" t="s">
        <v>10</v>
      </c>
      <c r="F478" s="43">
        <v>45051.3125</v>
      </c>
      <c r="G478" s="43">
        <v>45051.354166666664</v>
      </c>
      <c r="H478">
        <v>7</v>
      </c>
      <c r="I478">
        <v>30</v>
      </c>
      <c r="J478">
        <v>8</v>
      </c>
      <c r="K478">
        <v>30</v>
      </c>
      <c r="L478">
        <v>2023</v>
      </c>
      <c r="N478" t="s">
        <v>47</v>
      </c>
      <c r="O478" t="s">
        <v>47</v>
      </c>
      <c r="P478" t="s">
        <v>8524</v>
      </c>
    </row>
    <row r="479" spans="1:16" x14ac:dyDescent="0.3">
      <c r="A479" t="s">
        <v>17</v>
      </c>
      <c r="C479">
        <v>60</v>
      </c>
      <c r="D479" t="s">
        <v>10</v>
      </c>
      <c r="F479" s="43">
        <v>45051.229166666664</v>
      </c>
      <c r="G479" s="43">
        <v>45051.270833333336</v>
      </c>
      <c r="H479">
        <v>5</v>
      </c>
      <c r="I479">
        <v>30</v>
      </c>
      <c r="J479">
        <v>6</v>
      </c>
      <c r="K479">
        <v>30</v>
      </c>
      <c r="L479">
        <v>2023</v>
      </c>
      <c r="N479" t="s">
        <v>47</v>
      </c>
      <c r="O479" t="s">
        <v>47</v>
      </c>
      <c r="P479" t="s">
        <v>8521</v>
      </c>
    </row>
    <row r="480" spans="1:16" x14ac:dyDescent="0.3">
      <c r="A480" t="s">
        <v>7828</v>
      </c>
      <c r="C480">
        <v>90</v>
      </c>
      <c r="D480" t="s">
        <v>10</v>
      </c>
      <c r="F480" s="43">
        <v>45051.135416666664</v>
      </c>
      <c r="G480" s="43">
        <v>45051.197916666664</v>
      </c>
      <c r="H480">
        <v>3</v>
      </c>
      <c r="I480">
        <v>15</v>
      </c>
      <c r="J480">
        <v>4</v>
      </c>
      <c r="K480">
        <v>45</v>
      </c>
      <c r="L480">
        <v>2023</v>
      </c>
      <c r="N480" t="s">
        <v>47</v>
      </c>
      <c r="O480" t="s">
        <v>47</v>
      </c>
      <c r="P480" t="s">
        <v>8520</v>
      </c>
    </row>
    <row r="481" spans="1:18" x14ac:dyDescent="0.3">
      <c r="A481" t="s">
        <v>7828</v>
      </c>
      <c r="C481">
        <v>90</v>
      </c>
      <c r="D481" t="s">
        <v>10</v>
      </c>
      <c r="F481" s="43">
        <v>45050.770833333336</v>
      </c>
      <c r="G481" s="43">
        <v>45050.833333333336</v>
      </c>
      <c r="H481">
        <v>18</v>
      </c>
      <c r="I481">
        <v>30</v>
      </c>
      <c r="J481">
        <v>20</v>
      </c>
      <c r="K481">
        <v>0</v>
      </c>
      <c r="L481">
        <v>2023</v>
      </c>
      <c r="N481" t="s">
        <v>47</v>
      </c>
      <c r="O481" t="s">
        <v>47</v>
      </c>
      <c r="P481" t="s">
        <v>8517</v>
      </c>
    </row>
    <row r="482" spans="1:18" x14ac:dyDescent="0.3">
      <c r="A482" t="s">
        <v>8518</v>
      </c>
      <c r="C482">
        <v>30</v>
      </c>
      <c r="D482" t="s">
        <v>10</v>
      </c>
      <c r="F482" s="43">
        <v>45050.75</v>
      </c>
      <c r="G482" s="43">
        <v>45050.770833333336</v>
      </c>
      <c r="H482">
        <v>18</v>
      </c>
      <c r="I482">
        <v>0</v>
      </c>
      <c r="J482">
        <v>18</v>
      </c>
      <c r="K482">
        <v>30</v>
      </c>
      <c r="L482">
        <v>2023</v>
      </c>
      <c r="N482" t="s">
        <v>47</v>
      </c>
      <c r="O482" t="s">
        <v>47</v>
      </c>
      <c r="P482" t="s">
        <v>8519</v>
      </c>
    </row>
    <row r="483" spans="1:18" x14ac:dyDescent="0.3">
      <c r="A483" t="s">
        <v>7828</v>
      </c>
      <c r="C483">
        <v>60</v>
      </c>
      <c r="D483" t="s">
        <v>10</v>
      </c>
      <c r="F483" s="43">
        <v>45050.697916666664</v>
      </c>
      <c r="G483" s="43">
        <v>45050.739583333336</v>
      </c>
      <c r="H483">
        <v>16</v>
      </c>
      <c r="I483">
        <v>45</v>
      </c>
      <c r="J483">
        <v>17</v>
      </c>
      <c r="K483">
        <v>45</v>
      </c>
      <c r="L483">
        <v>2023</v>
      </c>
      <c r="N483" t="s">
        <v>47</v>
      </c>
      <c r="O483" t="s">
        <v>47</v>
      </c>
      <c r="P483" t="s">
        <v>8516</v>
      </c>
    </row>
    <row r="484" spans="1:18" x14ac:dyDescent="0.3">
      <c r="A484" t="s">
        <v>8514</v>
      </c>
      <c r="C484">
        <v>50</v>
      </c>
      <c r="D484" t="s">
        <v>10</v>
      </c>
      <c r="F484" s="43">
        <v>45050.645833333336</v>
      </c>
      <c r="G484" s="43">
        <v>45050.680555555555</v>
      </c>
      <c r="H484">
        <v>15</v>
      </c>
      <c r="I484">
        <v>30</v>
      </c>
      <c r="J484">
        <v>16</v>
      </c>
      <c r="K484">
        <v>20</v>
      </c>
      <c r="L484">
        <v>2023</v>
      </c>
      <c r="N484" t="s">
        <v>47</v>
      </c>
      <c r="O484" t="s">
        <v>47</v>
      </c>
      <c r="P484" t="s">
        <v>8515</v>
      </c>
    </row>
    <row r="485" spans="1:18" x14ac:dyDescent="0.3">
      <c r="A485" t="s">
        <v>7828</v>
      </c>
      <c r="C485">
        <v>60</v>
      </c>
      <c r="D485" t="s">
        <v>10</v>
      </c>
      <c r="F485" s="43">
        <v>45050.583333333336</v>
      </c>
      <c r="G485" s="43">
        <v>45050.625</v>
      </c>
      <c r="H485">
        <v>14</v>
      </c>
      <c r="I485">
        <v>0</v>
      </c>
      <c r="J485">
        <v>15</v>
      </c>
      <c r="K485">
        <v>0</v>
      </c>
      <c r="L485">
        <v>2023</v>
      </c>
      <c r="N485" t="s">
        <v>47</v>
      </c>
      <c r="O485" t="s">
        <v>47</v>
      </c>
      <c r="P485" t="s">
        <v>8513</v>
      </c>
    </row>
    <row r="486" spans="1:18" x14ac:dyDescent="0.3">
      <c r="A486" t="s">
        <v>2570</v>
      </c>
      <c r="C486">
        <v>30</v>
      </c>
      <c r="D486" t="s">
        <v>10</v>
      </c>
      <c r="F486" s="43">
        <v>45050.5625</v>
      </c>
      <c r="G486" s="43">
        <v>45050.583333333336</v>
      </c>
      <c r="H486">
        <v>13</v>
      </c>
      <c r="I486">
        <v>30</v>
      </c>
      <c r="J486">
        <v>14</v>
      </c>
      <c r="K486">
        <v>0</v>
      </c>
      <c r="L486">
        <v>2023</v>
      </c>
      <c r="N486" t="s">
        <v>47</v>
      </c>
      <c r="O486" t="s">
        <v>47</v>
      </c>
      <c r="P486" t="s">
        <v>8511</v>
      </c>
    </row>
    <row r="487" spans="1:18" x14ac:dyDescent="0.3">
      <c r="A487" t="s">
        <v>7826</v>
      </c>
      <c r="C487">
        <v>30</v>
      </c>
      <c r="D487" t="s">
        <v>10</v>
      </c>
      <c r="F487" s="43">
        <v>45050.541666666664</v>
      </c>
      <c r="G487" s="43">
        <v>45050.5625</v>
      </c>
      <c r="H487">
        <v>13</v>
      </c>
      <c r="I487">
        <v>0</v>
      </c>
      <c r="J487">
        <v>13</v>
      </c>
      <c r="K487">
        <v>30</v>
      </c>
      <c r="L487">
        <v>2023</v>
      </c>
      <c r="N487" t="s">
        <v>47</v>
      </c>
      <c r="O487" t="s">
        <v>47</v>
      </c>
      <c r="P487" t="s">
        <v>8512</v>
      </c>
    </row>
    <row r="488" spans="1:18" x14ac:dyDescent="0.3">
      <c r="A488" t="s">
        <v>8480</v>
      </c>
      <c r="C488">
        <v>30</v>
      </c>
      <c r="D488" t="s">
        <v>10</v>
      </c>
      <c r="F488" s="43">
        <v>45050.5</v>
      </c>
      <c r="G488" s="43">
        <v>45050.520833333336</v>
      </c>
      <c r="H488">
        <v>12</v>
      </c>
      <c r="I488">
        <v>0</v>
      </c>
      <c r="J488">
        <v>12</v>
      </c>
      <c r="K488">
        <v>30</v>
      </c>
      <c r="L488">
        <v>2023</v>
      </c>
      <c r="N488" t="s">
        <v>47</v>
      </c>
      <c r="O488" t="s">
        <v>47</v>
      </c>
      <c r="P488" t="s">
        <v>8481</v>
      </c>
    </row>
    <row r="489" spans="1:18" x14ac:dyDescent="0.3">
      <c r="A489" t="s">
        <v>8495</v>
      </c>
      <c r="B489" t="s">
        <v>20</v>
      </c>
      <c r="C489">
        <v>60</v>
      </c>
      <c r="D489" t="s">
        <v>10</v>
      </c>
      <c r="E489" t="s">
        <v>8496</v>
      </c>
      <c r="F489" s="43">
        <v>45050.375</v>
      </c>
      <c r="G489" s="43">
        <v>45050.416666666664</v>
      </c>
      <c r="H489">
        <v>9</v>
      </c>
      <c r="I489">
        <v>0</v>
      </c>
      <c r="J489">
        <v>10</v>
      </c>
      <c r="K489">
        <v>0</v>
      </c>
      <c r="L489">
        <v>2023</v>
      </c>
      <c r="N489" t="s">
        <v>7595</v>
      </c>
      <c r="O489" t="s">
        <v>73</v>
      </c>
      <c r="P489" t="s">
        <v>8497</v>
      </c>
    </row>
    <row r="490" spans="1:18" x14ac:dyDescent="0.3">
      <c r="A490" t="s">
        <v>8452</v>
      </c>
      <c r="C490">
        <v>45</v>
      </c>
      <c r="D490" t="s">
        <v>10</v>
      </c>
      <c r="E490" t="s">
        <v>2807</v>
      </c>
      <c r="F490" s="43">
        <v>45050.333333333336</v>
      </c>
      <c r="G490" s="43">
        <v>45050.364583333336</v>
      </c>
      <c r="H490">
        <v>8</v>
      </c>
      <c r="I490">
        <v>0</v>
      </c>
      <c r="J490">
        <v>8</v>
      </c>
      <c r="K490">
        <v>45</v>
      </c>
      <c r="L490">
        <v>2023</v>
      </c>
      <c r="N490" t="s">
        <v>8453</v>
      </c>
      <c r="O490" t="s">
        <v>50</v>
      </c>
      <c r="P490" t="s">
        <v>8454</v>
      </c>
      <c r="Q490" t="s">
        <v>6</v>
      </c>
      <c r="R490">
        <v>4661118548</v>
      </c>
    </row>
    <row r="491" spans="1:18" x14ac:dyDescent="0.3">
      <c r="A491" t="s">
        <v>8292</v>
      </c>
      <c r="B491" t="s">
        <v>160</v>
      </c>
      <c r="C491">
        <v>60</v>
      </c>
      <c r="D491" t="s">
        <v>10</v>
      </c>
      <c r="E491" t="s">
        <v>8503</v>
      </c>
      <c r="F491" s="43">
        <v>45050.291666666664</v>
      </c>
      <c r="G491" s="43">
        <v>45050.333333333336</v>
      </c>
      <c r="H491">
        <v>7</v>
      </c>
      <c r="I491">
        <v>0</v>
      </c>
      <c r="J491">
        <v>8</v>
      </c>
      <c r="K491">
        <v>0</v>
      </c>
      <c r="L491">
        <v>2023</v>
      </c>
      <c r="N491" t="s">
        <v>47</v>
      </c>
      <c r="O491" t="s">
        <v>47</v>
      </c>
      <c r="P491" t="s">
        <v>8510</v>
      </c>
    </row>
    <row r="492" spans="1:18" x14ac:dyDescent="0.3">
      <c r="A492" t="s">
        <v>8292</v>
      </c>
      <c r="B492" t="s">
        <v>160</v>
      </c>
      <c r="C492">
        <v>15</v>
      </c>
      <c r="D492" t="s">
        <v>10</v>
      </c>
      <c r="E492" t="s">
        <v>8503</v>
      </c>
      <c r="F492" s="43">
        <v>45050.25</v>
      </c>
      <c r="G492" s="43">
        <v>45050.260416666664</v>
      </c>
      <c r="H492">
        <v>6</v>
      </c>
      <c r="I492">
        <v>0</v>
      </c>
      <c r="J492">
        <v>6</v>
      </c>
      <c r="K492">
        <v>15</v>
      </c>
      <c r="L492">
        <v>2023</v>
      </c>
      <c r="N492" t="s">
        <v>47</v>
      </c>
      <c r="O492" t="s">
        <v>47</v>
      </c>
      <c r="P492" t="s">
        <v>8509</v>
      </c>
    </row>
    <row r="493" spans="1:18" x14ac:dyDescent="0.3">
      <c r="A493" t="s">
        <v>8507</v>
      </c>
      <c r="C493">
        <v>50</v>
      </c>
      <c r="D493" t="s">
        <v>10</v>
      </c>
      <c r="F493" s="43">
        <v>45050.208333333336</v>
      </c>
      <c r="G493" s="43">
        <v>45050.243055555555</v>
      </c>
      <c r="H493">
        <v>5</v>
      </c>
      <c r="I493">
        <v>0</v>
      </c>
      <c r="J493">
        <v>5</v>
      </c>
      <c r="K493">
        <v>50</v>
      </c>
      <c r="L493">
        <v>2023</v>
      </c>
      <c r="N493" t="s">
        <v>47</v>
      </c>
      <c r="O493" t="s">
        <v>47</v>
      </c>
      <c r="P493" t="s">
        <v>8508</v>
      </c>
    </row>
    <row r="494" spans="1:18" x14ac:dyDescent="0.3">
      <c r="A494" t="s">
        <v>8505</v>
      </c>
      <c r="C494">
        <v>30</v>
      </c>
      <c r="D494" t="s">
        <v>10</v>
      </c>
      <c r="F494" s="43">
        <v>45050.1875</v>
      </c>
      <c r="G494" s="43">
        <v>45050.208333333336</v>
      </c>
      <c r="H494">
        <v>4</v>
      </c>
      <c r="I494">
        <v>30</v>
      </c>
      <c r="J494">
        <v>5</v>
      </c>
      <c r="K494">
        <v>0</v>
      </c>
      <c r="L494">
        <v>2023</v>
      </c>
      <c r="N494" t="s">
        <v>47</v>
      </c>
      <c r="O494" t="s">
        <v>47</v>
      </c>
      <c r="P494" t="s">
        <v>8506</v>
      </c>
    </row>
    <row r="495" spans="1:18" x14ac:dyDescent="0.3">
      <c r="A495" t="s">
        <v>8502</v>
      </c>
      <c r="B495" t="s">
        <v>160</v>
      </c>
      <c r="C495">
        <v>150</v>
      </c>
      <c r="D495" t="s">
        <v>10</v>
      </c>
      <c r="E495" t="s">
        <v>8503</v>
      </c>
      <c r="F495" s="43">
        <v>45049.729166666664</v>
      </c>
      <c r="G495" s="43">
        <v>45049.833333333336</v>
      </c>
      <c r="H495">
        <v>17</v>
      </c>
      <c r="I495">
        <v>30</v>
      </c>
      <c r="J495">
        <v>20</v>
      </c>
      <c r="K495">
        <v>0</v>
      </c>
      <c r="L495">
        <v>2023</v>
      </c>
      <c r="N495" t="s">
        <v>47</v>
      </c>
      <c r="O495" t="s">
        <v>47</v>
      </c>
      <c r="P495" t="s">
        <v>8504</v>
      </c>
    </row>
    <row r="496" spans="1:18" x14ac:dyDescent="0.3">
      <c r="A496" t="s">
        <v>8500</v>
      </c>
      <c r="C496">
        <v>30</v>
      </c>
      <c r="D496" t="s">
        <v>10</v>
      </c>
      <c r="F496" s="43">
        <v>45049.666666666664</v>
      </c>
      <c r="G496" s="43">
        <v>45049.6875</v>
      </c>
      <c r="H496">
        <v>16</v>
      </c>
      <c r="I496">
        <v>0</v>
      </c>
      <c r="J496">
        <v>16</v>
      </c>
      <c r="K496">
        <v>30</v>
      </c>
      <c r="L496">
        <v>2023</v>
      </c>
      <c r="N496" t="s">
        <v>47</v>
      </c>
      <c r="O496" t="s">
        <v>47</v>
      </c>
      <c r="P496" t="s">
        <v>8501</v>
      </c>
    </row>
    <row r="497" spans="1:16" x14ac:dyDescent="0.3">
      <c r="A497" t="s">
        <v>8392</v>
      </c>
      <c r="B497" t="s">
        <v>20</v>
      </c>
      <c r="C497">
        <v>60</v>
      </c>
      <c r="D497" t="s">
        <v>10</v>
      </c>
      <c r="E497" t="s">
        <v>8393</v>
      </c>
      <c r="F497" s="43">
        <v>45049.625</v>
      </c>
      <c r="G497" s="43">
        <v>45049.666666666664</v>
      </c>
      <c r="H497">
        <v>15</v>
      </c>
      <c r="I497">
        <v>0</v>
      </c>
      <c r="J497">
        <v>16</v>
      </c>
      <c r="K497">
        <v>0</v>
      </c>
      <c r="L497">
        <v>2023</v>
      </c>
      <c r="N497" t="s">
        <v>8394</v>
      </c>
      <c r="O497" t="s">
        <v>8395</v>
      </c>
      <c r="P497" t="s">
        <v>8396</v>
      </c>
    </row>
    <row r="498" spans="1:16" x14ac:dyDescent="0.3">
      <c r="A498" t="s">
        <v>8463</v>
      </c>
      <c r="B498" t="s">
        <v>6</v>
      </c>
      <c r="C498">
        <v>30</v>
      </c>
      <c r="D498" t="s">
        <v>10</v>
      </c>
      <c r="E498" t="s">
        <v>501</v>
      </c>
      <c r="F498" s="43">
        <v>45049.583333333336</v>
      </c>
      <c r="G498" s="43">
        <v>45049.604166666664</v>
      </c>
      <c r="H498">
        <v>14</v>
      </c>
      <c r="I498">
        <v>0</v>
      </c>
      <c r="J498">
        <v>14</v>
      </c>
      <c r="K498">
        <v>30</v>
      </c>
      <c r="L498">
        <v>2023</v>
      </c>
      <c r="N498" t="s">
        <v>8464</v>
      </c>
      <c r="O498" t="s">
        <v>47</v>
      </c>
      <c r="P498" t="s">
        <v>8465</v>
      </c>
    </row>
    <row r="499" spans="1:16" x14ac:dyDescent="0.3">
      <c r="A499" t="s">
        <v>8473</v>
      </c>
      <c r="B499" t="s">
        <v>20</v>
      </c>
      <c r="C499">
        <v>30</v>
      </c>
      <c r="D499" t="s">
        <v>10</v>
      </c>
      <c r="E499" t="s">
        <v>5</v>
      </c>
      <c r="F499" s="43">
        <v>45049.458333333336</v>
      </c>
      <c r="G499" s="43">
        <v>45049.479166666664</v>
      </c>
      <c r="H499">
        <v>11</v>
      </c>
      <c r="I499">
        <v>0</v>
      </c>
      <c r="J499">
        <v>11</v>
      </c>
      <c r="K499">
        <v>30</v>
      </c>
      <c r="L499">
        <v>2023</v>
      </c>
      <c r="N499" t="s">
        <v>7628</v>
      </c>
      <c r="O499" t="s">
        <v>7629</v>
      </c>
      <c r="P499" t="s">
        <v>8474</v>
      </c>
    </row>
    <row r="500" spans="1:16" x14ac:dyDescent="0.3">
      <c r="A500" t="s">
        <v>8362</v>
      </c>
      <c r="B500" t="s">
        <v>20</v>
      </c>
      <c r="C500">
        <v>45</v>
      </c>
      <c r="D500" t="s">
        <v>10</v>
      </c>
      <c r="E500" t="s">
        <v>5</v>
      </c>
      <c r="F500" s="43">
        <v>45049.416666666664</v>
      </c>
      <c r="G500" s="43">
        <v>45049.447916666664</v>
      </c>
      <c r="H500">
        <v>10</v>
      </c>
      <c r="I500">
        <v>0</v>
      </c>
      <c r="J500">
        <v>10</v>
      </c>
      <c r="K500">
        <v>45</v>
      </c>
      <c r="L500">
        <v>2023</v>
      </c>
      <c r="N500" t="s">
        <v>8363</v>
      </c>
      <c r="O500" t="s">
        <v>2186</v>
      </c>
      <c r="P500" t="s">
        <v>8364</v>
      </c>
    </row>
    <row r="501" spans="1:16" x14ac:dyDescent="0.3">
      <c r="A501" t="s">
        <v>8</v>
      </c>
      <c r="C501">
        <v>30</v>
      </c>
      <c r="D501" t="s">
        <v>10</v>
      </c>
      <c r="F501" s="43">
        <v>45049.395833333336</v>
      </c>
      <c r="G501" s="43">
        <v>45049.416666666664</v>
      </c>
      <c r="H501">
        <v>9</v>
      </c>
      <c r="I501">
        <v>30</v>
      </c>
      <c r="J501">
        <v>10</v>
      </c>
      <c r="K501">
        <v>0</v>
      </c>
      <c r="L501">
        <v>2023</v>
      </c>
      <c r="N501" t="s">
        <v>47</v>
      </c>
      <c r="O501" t="s">
        <v>47</v>
      </c>
      <c r="P501" t="s">
        <v>8498</v>
      </c>
    </row>
    <row r="502" spans="1:16" x14ac:dyDescent="0.3">
      <c r="A502" t="s">
        <v>8</v>
      </c>
      <c r="C502">
        <v>30</v>
      </c>
      <c r="D502" t="s">
        <v>10</v>
      </c>
      <c r="F502" s="43">
        <v>45049.333333333336</v>
      </c>
      <c r="G502" s="43">
        <v>45049.354166666664</v>
      </c>
      <c r="H502">
        <v>8</v>
      </c>
      <c r="I502">
        <v>0</v>
      </c>
      <c r="J502">
        <v>8</v>
      </c>
      <c r="K502">
        <v>30</v>
      </c>
      <c r="L502">
        <v>2023</v>
      </c>
      <c r="N502" t="s">
        <v>47</v>
      </c>
      <c r="O502" t="s">
        <v>47</v>
      </c>
      <c r="P502" t="s">
        <v>8499</v>
      </c>
    </row>
    <row r="503" spans="1:16" x14ac:dyDescent="0.3">
      <c r="A503" t="s">
        <v>8491</v>
      </c>
      <c r="B503" t="s">
        <v>20</v>
      </c>
      <c r="C503">
        <v>60</v>
      </c>
      <c r="D503" t="s">
        <v>10</v>
      </c>
      <c r="E503" t="s">
        <v>8492</v>
      </c>
      <c r="F503" s="43">
        <v>45049.291666666664</v>
      </c>
      <c r="G503" s="43">
        <v>45049.333333333336</v>
      </c>
      <c r="H503">
        <v>7</v>
      </c>
      <c r="I503">
        <v>0</v>
      </c>
      <c r="J503">
        <v>8</v>
      </c>
      <c r="K503">
        <v>0</v>
      </c>
      <c r="L503">
        <v>2023</v>
      </c>
      <c r="N503" t="s">
        <v>8493</v>
      </c>
      <c r="O503" t="s">
        <v>73</v>
      </c>
      <c r="P503" t="s">
        <v>8494</v>
      </c>
    </row>
    <row r="504" spans="1:16" x14ac:dyDescent="0.3">
      <c r="A504" t="s">
        <v>8489</v>
      </c>
      <c r="C504">
        <v>60</v>
      </c>
      <c r="D504" t="s">
        <v>10</v>
      </c>
      <c r="F504" s="43">
        <v>45049.229166666664</v>
      </c>
      <c r="G504" s="43">
        <v>45049.270833333336</v>
      </c>
      <c r="H504">
        <v>5</v>
      </c>
      <c r="I504">
        <v>30</v>
      </c>
      <c r="J504">
        <v>6</v>
      </c>
      <c r="K504">
        <v>30</v>
      </c>
      <c r="L504">
        <v>2023</v>
      </c>
      <c r="N504" t="s">
        <v>47</v>
      </c>
      <c r="O504" t="s">
        <v>47</v>
      </c>
      <c r="P504" t="s">
        <v>8490</v>
      </c>
    </row>
    <row r="505" spans="1:16" x14ac:dyDescent="0.3">
      <c r="A505" t="s">
        <v>8486</v>
      </c>
      <c r="C505">
        <v>30</v>
      </c>
      <c r="D505" t="s">
        <v>10</v>
      </c>
      <c r="F505" s="43">
        <v>45048.854166666664</v>
      </c>
      <c r="G505" s="43">
        <v>45048.875</v>
      </c>
      <c r="H505">
        <v>20</v>
      </c>
      <c r="I505">
        <v>30</v>
      </c>
      <c r="J505">
        <v>21</v>
      </c>
      <c r="K505">
        <v>0</v>
      </c>
      <c r="L505">
        <v>2023</v>
      </c>
      <c r="N505" t="s">
        <v>47</v>
      </c>
      <c r="O505" t="s">
        <v>47</v>
      </c>
      <c r="P505" t="s">
        <v>8488</v>
      </c>
    </row>
    <row r="506" spans="1:16" x14ac:dyDescent="0.3">
      <c r="A506" t="s">
        <v>8486</v>
      </c>
      <c r="C506">
        <v>15</v>
      </c>
      <c r="D506" t="s">
        <v>10</v>
      </c>
      <c r="F506" s="43">
        <v>45048.795138888891</v>
      </c>
      <c r="G506" s="43">
        <v>45048.805555555555</v>
      </c>
      <c r="H506">
        <v>19</v>
      </c>
      <c r="I506">
        <v>5</v>
      </c>
      <c r="J506">
        <v>19</v>
      </c>
      <c r="K506">
        <v>20</v>
      </c>
      <c r="L506">
        <v>2023</v>
      </c>
      <c r="N506" t="s">
        <v>47</v>
      </c>
      <c r="O506" t="s">
        <v>47</v>
      </c>
      <c r="P506" t="s">
        <v>8487</v>
      </c>
    </row>
    <row r="507" spans="1:16" x14ac:dyDescent="0.3">
      <c r="A507" t="s">
        <v>8484</v>
      </c>
      <c r="C507">
        <v>35</v>
      </c>
      <c r="D507" t="s">
        <v>10</v>
      </c>
      <c r="F507" s="43">
        <v>45048.760416666664</v>
      </c>
      <c r="G507" s="43">
        <v>45048.784722222219</v>
      </c>
      <c r="H507">
        <v>18</v>
      </c>
      <c r="I507">
        <v>15</v>
      </c>
      <c r="J507">
        <v>18</v>
      </c>
      <c r="K507">
        <v>50</v>
      </c>
      <c r="L507">
        <v>2023</v>
      </c>
      <c r="N507" t="s">
        <v>47</v>
      </c>
      <c r="O507" t="s">
        <v>47</v>
      </c>
      <c r="P507" t="s">
        <v>8485</v>
      </c>
    </row>
    <row r="508" spans="1:16" x14ac:dyDescent="0.3">
      <c r="A508" t="s">
        <v>8482</v>
      </c>
      <c r="C508">
        <v>30</v>
      </c>
      <c r="D508" t="s">
        <v>10</v>
      </c>
      <c r="F508" s="43">
        <v>45048.71875</v>
      </c>
      <c r="G508" s="43">
        <v>45048.739583333336</v>
      </c>
      <c r="H508">
        <v>17</v>
      </c>
      <c r="I508">
        <v>15</v>
      </c>
      <c r="J508">
        <v>17</v>
      </c>
      <c r="K508">
        <v>45</v>
      </c>
      <c r="L508">
        <v>2023</v>
      </c>
      <c r="N508" t="s">
        <v>47</v>
      </c>
      <c r="O508" t="s">
        <v>47</v>
      </c>
      <c r="P508" t="s">
        <v>8483</v>
      </c>
    </row>
    <row r="509" spans="1:16" x14ac:dyDescent="0.3">
      <c r="A509" t="s">
        <v>8477</v>
      </c>
      <c r="C509">
        <v>30</v>
      </c>
      <c r="D509" t="s">
        <v>10</v>
      </c>
      <c r="E509" t="s">
        <v>8478</v>
      </c>
      <c r="F509" s="43">
        <v>45048.666666666664</v>
      </c>
      <c r="G509" s="43">
        <v>45048.6875</v>
      </c>
      <c r="H509">
        <v>16</v>
      </c>
      <c r="I509">
        <v>0</v>
      </c>
      <c r="J509">
        <v>16</v>
      </c>
      <c r="K509">
        <v>30</v>
      </c>
      <c r="L509">
        <v>2023</v>
      </c>
      <c r="N509" t="s">
        <v>523</v>
      </c>
      <c r="O509" t="s">
        <v>48</v>
      </c>
      <c r="P509" t="s">
        <v>8479</v>
      </c>
    </row>
    <row r="510" spans="1:16" x14ac:dyDescent="0.3">
      <c r="A510" t="s">
        <v>8281</v>
      </c>
      <c r="B510" t="s">
        <v>31</v>
      </c>
      <c r="C510">
        <v>30</v>
      </c>
      <c r="D510" t="s">
        <v>10</v>
      </c>
      <c r="F510" s="43">
        <v>45048.625</v>
      </c>
      <c r="G510" s="43">
        <v>45048.645833333336</v>
      </c>
      <c r="H510">
        <v>15</v>
      </c>
      <c r="I510">
        <v>0</v>
      </c>
      <c r="J510">
        <v>15</v>
      </c>
      <c r="K510">
        <v>30</v>
      </c>
      <c r="L510">
        <v>2023</v>
      </c>
      <c r="N510" t="s">
        <v>47</v>
      </c>
      <c r="O510" t="s">
        <v>47</v>
      </c>
      <c r="P510" t="s">
        <v>8282</v>
      </c>
    </row>
    <row r="511" spans="1:16" x14ac:dyDescent="0.3">
      <c r="A511" t="s">
        <v>8455</v>
      </c>
      <c r="C511">
        <v>30</v>
      </c>
      <c r="D511" t="s">
        <v>10</v>
      </c>
      <c r="E511" t="s">
        <v>7265</v>
      </c>
      <c r="F511" s="43">
        <v>45048.59375</v>
      </c>
      <c r="G511" s="43">
        <v>45048.614583333336</v>
      </c>
      <c r="H511">
        <v>14</v>
      </c>
      <c r="I511">
        <v>15</v>
      </c>
      <c r="J511">
        <v>14</v>
      </c>
      <c r="K511">
        <v>45</v>
      </c>
      <c r="L511">
        <v>2023</v>
      </c>
      <c r="N511" t="s">
        <v>8456</v>
      </c>
      <c r="O511" t="s">
        <v>47</v>
      </c>
      <c r="P511" t="s">
        <v>8457</v>
      </c>
    </row>
    <row r="512" spans="1:16" x14ac:dyDescent="0.3">
      <c r="A512" t="s">
        <v>4452</v>
      </c>
      <c r="C512">
        <v>30</v>
      </c>
      <c r="D512" t="s">
        <v>10</v>
      </c>
      <c r="F512" s="43">
        <v>45048.541666666664</v>
      </c>
      <c r="G512" s="43">
        <v>45048.5625</v>
      </c>
      <c r="H512">
        <v>13</v>
      </c>
      <c r="I512">
        <v>0</v>
      </c>
      <c r="J512">
        <v>13</v>
      </c>
      <c r="K512">
        <v>30</v>
      </c>
      <c r="L512">
        <v>2023</v>
      </c>
      <c r="N512" t="s">
        <v>47</v>
      </c>
      <c r="O512" t="s">
        <v>47</v>
      </c>
      <c r="P512" t="s">
        <v>8476</v>
      </c>
    </row>
    <row r="513" spans="1:16" x14ac:dyDescent="0.3">
      <c r="A513" t="s">
        <v>152</v>
      </c>
      <c r="C513">
        <v>30</v>
      </c>
      <c r="D513" t="s">
        <v>10</v>
      </c>
      <c r="F513" s="43">
        <v>45048.5</v>
      </c>
      <c r="G513" s="43">
        <v>45048.520833333336</v>
      </c>
      <c r="H513">
        <v>12</v>
      </c>
      <c r="I513">
        <v>0</v>
      </c>
      <c r="J513">
        <v>12</v>
      </c>
      <c r="K513">
        <v>30</v>
      </c>
      <c r="L513">
        <v>2023</v>
      </c>
      <c r="N513" t="s">
        <v>47</v>
      </c>
      <c r="O513" t="s">
        <v>47</v>
      </c>
      <c r="P513" t="s">
        <v>8475</v>
      </c>
    </row>
    <row r="514" spans="1:16" x14ac:dyDescent="0.3">
      <c r="A514" t="s">
        <v>8471</v>
      </c>
      <c r="C514">
        <v>30</v>
      </c>
      <c r="D514" t="s">
        <v>10</v>
      </c>
      <c r="F514" s="43">
        <v>45048.4375</v>
      </c>
      <c r="G514" s="43">
        <v>45048.458333333336</v>
      </c>
      <c r="H514">
        <v>10</v>
      </c>
      <c r="I514">
        <v>30</v>
      </c>
      <c r="J514">
        <v>11</v>
      </c>
      <c r="K514">
        <v>0</v>
      </c>
      <c r="L514">
        <v>2023</v>
      </c>
      <c r="N514" t="s">
        <v>47</v>
      </c>
      <c r="O514" t="s">
        <v>47</v>
      </c>
      <c r="P514" t="s">
        <v>8472</v>
      </c>
    </row>
    <row r="515" spans="1:16" x14ac:dyDescent="0.3">
      <c r="A515" t="s">
        <v>8467</v>
      </c>
      <c r="C515">
        <v>30</v>
      </c>
      <c r="D515" t="s">
        <v>10</v>
      </c>
      <c r="F515" s="43">
        <v>45048.416666666664</v>
      </c>
      <c r="G515" s="43">
        <v>45048.4375</v>
      </c>
      <c r="H515">
        <v>10</v>
      </c>
      <c r="I515">
        <v>0</v>
      </c>
      <c r="J515">
        <v>10</v>
      </c>
      <c r="K515">
        <v>30</v>
      </c>
      <c r="L515">
        <v>2023</v>
      </c>
      <c r="N515" t="s">
        <v>47</v>
      </c>
      <c r="O515" t="s">
        <v>47</v>
      </c>
      <c r="P515" t="s">
        <v>8468</v>
      </c>
    </row>
    <row r="516" spans="1:16" x14ac:dyDescent="0.3">
      <c r="A516" t="s">
        <v>8439</v>
      </c>
      <c r="C516">
        <v>30</v>
      </c>
      <c r="D516" t="s">
        <v>10</v>
      </c>
      <c r="F516" s="43">
        <v>45048.395833333336</v>
      </c>
      <c r="G516" s="43">
        <v>45048.416666666664</v>
      </c>
      <c r="H516">
        <v>9</v>
      </c>
      <c r="I516">
        <v>30</v>
      </c>
      <c r="J516">
        <v>10</v>
      </c>
      <c r="K516">
        <v>0</v>
      </c>
      <c r="L516">
        <v>2023</v>
      </c>
      <c r="N516" t="s">
        <v>47</v>
      </c>
      <c r="O516" t="s">
        <v>47</v>
      </c>
      <c r="P516" t="s">
        <v>8466</v>
      </c>
    </row>
    <row r="517" spans="1:16" x14ac:dyDescent="0.3">
      <c r="A517" t="s">
        <v>8439</v>
      </c>
      <c r="C517">
        <v>30</v>
      </c>
      <c r="D517" t="s">
        <v>10</v>
      </c>
      <c r="F517" s="43">
        <v>45048.354166666664</v>
      </c>
      <c r="G517" s="43">
        <v>45048.375</v>
      </c>
      <c r="H517">
        <v>8</v>
      </c>
      <c r="I517">
        <v>30</v>
      </c>
      <c r="J517">
        <v>9</v>
      </c>
      <c r="K517">
        <v>0</v>
      </c>
      <c r="L517">
        <v>2023</v>
      </c>
      <c r="N517" t="s">
        <v>47</v>
      </c>
      <c r="O517" t="s">
        <v>47</v>
      </c>
      <c r="P517" t="s">
        <v>8462</v>
      </c>
    </row>
    <row r="518" spans="1:16" x14ac:dyDescent="0.3">
      <c r="A518" t="s">
        <v>8439</v>
      </c>
      <c r="C518">
        <v>55</v>
      </c>
      <c r="D518" t="s">
        <v>10</v>
      </c>
      <c r="F518" s="43">
        <v>45048.302083333336</v>
      </c>
      <c r="G518" s="43">
        <v>45048.340277777781</v>
      </c>
      <c r="H518">
        <v>7</v>
      </c>
      <c r="I518">
        <v>15</v>
      </c>
      <c r="J518">
        <v>8</v>
      </c>
      <c r="K518">
        <v>10</v>
      </c>
      <c r="L518">
        <v>2023</v>
      </c>
      <c r="N518" t="s">
        <v>47</v>
      </c>
      <c r="O518" t="s">
        <v>47</v>
      </c>
      <c r="P518" t="s">
        <v>8461</v>
      </c>
    </row>
    <row r="519" spans="1:16" x14ac:dyDescent="0.3">
      <c r="A519" t="s">
        <v>8459</v>
      </c>
      <c r="C519">
        <v>45</v>
      </c>
      <c r="D519" t="s">
        <v>10</v>
      </c>
      <c r="F519" s="43">
        <v>45048.25</v>
      </c>
      <c r="G519" s="43">
        <v>45048.28125</v>
      </c>
      <c r="H519">
        <v>6</v>
      </c>
      <c r="I519">
        <v>0</v>
      </c>
      <c r="J519">
        <v>6</v>
      </c>
      <c r="K519">
        <v>45</v>
      </c>
      <c r="L519">
        <v>2023</v>
      </c>
      <c r="N519" t="s">
        <v>47</v>
      </c>
      <c r="O519" t="s">
        <v>47</v>
      </c>
      <c r="P519" t="s">
        <v>8460</v>
      </c>
    </row>
    <row r="520" spans="1:16" x14ac:dyDescent="0.3">
      <c r="A520" t="s">
        <v>4892</v>
      </c>
      <c r="C520">
        <v>30</v>
      </c>
      <c r="D520" t="s">
        <v>10</v>
      </c>
      <c r="F520" s="43">
        <v>45048.229166666664</v>
      </c>
      <c r="G520" s="43">
        <v>45048.25</v>
      </c>
      <c r="H520">
        <v>5</v>
      </c>
      <c r="I520">
        <v>30</v>
      </c>
      <c r="J520">
        <v>6</v>
      </c>
      <c r="K520">
        <v>0</v>
      </c>
      <c r="L520">
        <v>2023</v>
      </c>
      <c r="N520" t="s">
        <v>47</v>
      </c>
      <c r="O520" t="s">
        <v>47</v>
      </c>
      <c r="P520" t="s">
        <v>8458</v>
      </c>
    </row>
    <row r="521" spans="1:16" x14ac:dyDescent="0.3">
      <c r="A521" t="s">
        <v>8439</v>
      </c>
      <c r="C521">
        <v>30</v>
      </c>
      <c r="D521" t="s">
        <v>10</v>
      </c>
      <c r="F521" s="43">
        <v>45047.8125</v>
      </c>
      <c r="G521" s="43">
        <v>45047.833333333336</v>
      </c>
      <c r="H521">
        <v>19</v>
      </c>
      <c r="I521">
        <v>30</v>
      </c>
      <c r="J521">
        <v>20</v>
      </c>
      <c r="K521">
        <v>0</v>
      </c>
      <c r="L521">
        <v>2023</v>
      </c>
      <c r="N521" t="s">
        <v>47</v>
      </c>
      <c r="O521" t="s">
        <v>47</v>
      </c>
      <c r="P521" t="s">
        <v>8451</v>
      </c>
    </row>
    <row r="522" spans="1:16" x14ac:dyDescent="0.3">
      <c r="A522" t="s">
        <v>8449</v>
      </c>
      <c r="C522">
        <v>40</v>
      </c>
      <c r="D522" t="s">
        <v>10</v>
      </c>
      <c r="F522" s="43">
        <v>45047.777777777781</v>
      </c>
      <c r="G522" s="43">
        <v>45047.805555555555</v>
      </c>
      <c r="H522">
        <v>18</v>
      </c>
      <c r="I522">
        <v>40</v>
      </c>
      <c r="J522">
        <v>19</v>
      </c>
      <c r="K522">
        <v>20</v>
      </c>
      <c r="L522">
        <v>2023</v>
      </c>
      <c r="N522" t="s">
        <v>47</v>
      </c>
      <c r="O522" t="s">
        <v>47</v>
      </c>
      <c r="P522" t="s">
        <v>8450</v>
      </c>
    </row>
    <row r="523" spans="1:16" x14ac:dyDescent="0.3">
      <c r="A523" t="s">
        <v>8447</v>
      </c>
      <c r="C523">
        <v>40</v>
      </c>
      <c r="D523" t="s">
        <v>10</v>
      </c>
      <c r="F523" s="43">
        <v>45047.725694444445</v>
      </c>
      <c r="G523" s="43">
        <v>45047.753472222219</v>
      </c>
      <c r="H523">
        <v>17</v>
      </c>
      <c r="I523">
        <v>25</v>
      </c>
      <c r="J523">
        <v>18</v>
      </c>
      <c r="K523">
        <v>5</v>
      </c>
      <c r="L523">
        <v>2023</v>
      </c>
      <c r="N523" t="s">
        <v>47</v>
      </c>
      <c r="O523" t="s">
        <v>47</v>
      </c>
      <c r="P523" t="s">
        <v>8448</v>
      </c>
    </row>
    <row r="524" spans="1:16" x14ac:dyDescent="0.3">
      <c r="A524" t="s">
        <v>7845</v>
      </c>
      <c r="C524">
        <v>60</v>
      </c>
      <c r="D524" t="s">
        <v>10</v>
      </c>
      <c r="F524" s="43">
        <v>45047.666666666664</v>
      </c>
      <c r="G524" s="43">
        <v>45047.708333333336</v>
      </c>
      <c r="H524">
        <v>16</v>
      </c>
      <c r="I524">
        <v>0</v>
      </c>
      <c r="J524">
        <v>17</v>
      </c>
      <c r="K524">
        <v>0</v>
      </c>
      <c r="L524">
        <v>2023</v>
      </c>
      <c r="N524" t="s">
        <v>47</v>
      </c>
      <c r="O524" t="s">
        <v>47</v>
      </c>
      <c r="P524" t="s">
        <v>8446</v>
      </c>
    </row>
    <row r="525" spans="1:16" x14ac:dyDescent="0.3">
      <c r="A525" t="s">
        <v>8444</v>
      </c>
      <c r="C525">
        <v>60</v>
      </c>
      <c r="D525" t="s">
        <v>10</v>
      </c>
      <c r="F525" s="43">
        <v>45047.510416666664</v>
      </c>
      <c r="G525" s="43">
        <v>45047.552083333336</v>
      </c>
      <c r="H525">
        <v>12</v>
      </c>
      <c r="I525">
        <v>15</v>
      </c>
      <c r="J525">
        <v>13</v>
      </c>
      <c r="K525">
        <v>15</v>
      </c>
      <c r="L525">
        <v>2023</v>
      </c>
      <c r="N525" t="s">
        <v>47</v>
      </c>
      <c r="O525" t="s">
        <v>47</v>
      </c>
      <c r="P525" t="s">
        <v>8445</v>
      </c>
    </row>
    <row r="526" spans="1:16" x14ac:dyDescent="0.3">
      <c r="A526" t="s">
        <v>8342</v>
      </c>
      <c r="C526">
        <v>30</v>
      </c>
      <c r="D526" t="s">
        <v>10</v>
      </c>
      <c r="E526" t="s">
        <v>8343</v>
      </c>
      <c r="F526" s="43">
        <v>45047.458333333336</v>
      </c>
      <c r="G526" s="43">
        <v>45047.479166666664</v>
      </c>
      <c r="H526">
        <v>11</v>
      </c>
      <c r="I526">
        <v>0</v>
      </c>
      <c r="J526">
        <v>11</v>
      </c>
      <c r="K526">
        <v>30</v>
      </c>
      <c r="L526">
        <v>2023</v>
      </c>
      <c r="N526" t="s">
        <v>8344</v>
      </c>
      <c r="O526" t="s">
        <v>48</v>
      </c>
      <c r="P526" t="s">
        <v>8345</v>
      </c>
    </row>
    <row r="527" spans="1:16" x14ac:dyDescent="0.3">
      <c r="A527" t="s">
        <v>8442</v>
      </c>
      <c r="C527">
        <v>60</v>
      </c>
      <c r="D527" t="s">
        <v>10</v>
      </c>
      <c r="F527" s="43">
        <v>45047.4375</v>
      </c>
      <c r="G527" s="43">
        <v>45047.479166666664</v>
      </c>
      <c r="H527">
        <v>10</v>
      </c>
      <c r="I527">
        <v>30</v>
      </c>
      <c r="J527">
        <v>11</v>
      </c>
      <c r="K527">
        <v>30</v>
      </c>
      <c r="L527">
        <v>2023</v>
      </c>
      <c r="N527" t="s">
        <v>47</v>
      </c>
      <c r="O527" t="s">
        <v>47</v>
      </c>
      <c r="P527" t="s">
        <v>8443</v>
      </c>
    </row>
    <row r="528" spans="1:16" x14ac:dyDescent="0.3">
      <c r="A528" t="s">
        <v>8439</v>
      </c>
      <c r="C528">
        <v>30</v>
      </c>
      <c r="D528" t="s">
        <v>10</v>
      </c>
      <c r="F528" s="43">
        <v>45047.395833333336</v>
      </c>
      <c r="G528" s="43">
        <v>45047.416666666664</v>
      </c>
      <c r="H528">
        <v>9</v>
      </c>
      <c r="I528">
        <v>30</v>
      </c>
      <c r="J528">
        <v>10</v>
      </c>
      <c r="K528">
        <v>0</v>
      </c>
      <c r="L528">
        <v>2023</v>
      </c>
      <c r="N528" t="s">
        <v>47</v>
      </c>
      <c r="O528" t="s">
        <v>47</v>
      </c>
      <c r="P528" t="s">
        <v>8441</v>
      </c>
    </row>
    <row r="529" spans="1:16" x14ac:dyDescent="0.3">
      <c r="A529" t="s">
        <v>8439</v>
      </c>
      <c r="C529">
        <v>60</v>
      </c>
      <c r="D529" t="s">
        <v>10</v>
      </c>
      <c r="F529" s="43">
        <v>45047.333333333336</v>
      </c>
      <c r="G529" s="43">
        <v>45047.375</v>
      </c>
      <c r="H529">
        <v>8</v>
      </c>
      <c r="I529">
        <v>0</v>
      </c>
      <c r="J529">
        <v>9</v>
      </c>
      <c r="K529">
        <v>0</v>
      </c>
      <c r="L529">
        <v>2023</v>
      </c>
      <c r="N529" t="s">
        <v>47</v>
      </c>
      <c r="O529" t="s">
        <v>47</v>
      </c>
      <c r="P529" t="s">
        <v>8440</v>
      </c>
    </row>
    <row r="530" spans="1:16" x14ac:dyDescent="0.3">
      <c r="A530" t="s">
        <v>8415</v>
      </c>
      <c r="C530">
        <v>30</v>
      </c>
      <c r="D530" t="s">
        <v>10</v>
      </c>
      <c r="F530" s="43">
        <v>45047.3125</v>
      </c>
      <c r="G530" s="43">
        <v>45047.333333333336</v>
      </c>
      <c r="H530">
        <v>7</v>
      </c>
      <c r="I530">
        <v>30</v>
      </c>
      <c r="J530">
        <v>8</v>
      </c>
      <c r="K530">
        <v>0</v>
      </c>
      <c r="L530">
        <v>2023</v>
      </c>
      <c r="N530" t="s">
        <v>47</v>
      </c>
      <c r="O530" t="s">
        <v>47</v>
      </c>
      <c r="P530" t="s">
        <v>8438</v>
      </c>
    </row>
    <row r="531" spans="1:16" x14ac:dyDescent="0.3">
      <c r="A531" t="s">
        <v>8415</v>
      </c>
      <c r="C531">
        <v>60</v>
      </c>
      <c r="D531" t="s">
        <v>10</v>
      </c>
      <c r="E531" s="47"/>
      <c r="F531" s="43">
        <v>45047.25</v>
      </c>
      <c r="G531" s="43">
        <v>45047.291666666664</v>
      </c>
      <c r="H531">
        <v>6</v>
      </c>
      <c r="I531">
        <v>0</v>
      </c>
      <c r="J531">
        <v>7</v>
      </c>
      <c r="K531">
        <v>0</v>
      </c>
      <c r="L531">
        <v>2023</v>
      </c>
      <c r="N531" t="s">
        <v>47</v>
      </c>
      <c r="O531" t="s">
        <v>47</v>
      </c>
      <c r="P531" t="s">
        <v>8437</v>
      </c>
    </row>
    <row r="532" spans="1:16" x14ac:dyDescent="0.3">
      <c r="A532" t="s">
        <v>8409</v>
      </c>
      <c r="C532">
        <v>90</v>
      </c>
      <c r="D532" t="s">
        <v>3777</v>
      </c>
      <c r="E532" t="s">
        <v>5</v>
      </c>
      <c r="F532" s="43">
        <v>45047</v>
      </c>
      <c r="G532" s="43">
        <v>45051</v>
      </c>
      <c r="H532">
        <v>13</v>
      </c>
      <c r="I532">
        <v>30</v>
      </c>
      <c r="J532">
        <v>15</v>
      </c>
      <c r="K532">
        <v>0</v>
      </c>
      <c r="L532">
        <v>2023</v>
      </c>
      <c r="N532" t="s">
        <v>8223</v>
      </c>
      <c r="O532" t="s">
        <v>8224</v>
      </c>
      <c r="P532" t="s">
        <v>8410</v>
      </c>
    </row>
    <row r="533" spans="1:16" x14ac:dyDescent="0.3">
      <c r="A533" t="s">
        <v>8427</v>
      </c>
      <c r="C533">
        <v>30</v>
      </c>
      <c r="D533" t="s">
        <v>10</v>
      </c>
      <c r="E533" s="47"/>
      <c r="F533" s="43">
        <v>45046.770833333336</v>
      </c>
      <c r="G533" s="43">
        <v>45046.791666666664</v>
      </c>
      <c r="H533">
        <v>18</v>
      </c>
      <c r="I533">
        <v>30</v>
      </c>
      <c r="J533">
        <v>19</v>
      </c>
      <c r="K533">
        <v>0</v>
      </c>
      <c r="L533">
        <v>2023</v>
      </c>
      <c r="N533" t="s">
        <v>47</v>
      </c>
      <c r="O533" t="s">
        <v>47</v>
      </c>
      <c r="P533" t="s">
        <v>8436</v>
      </c>
    </row>
    <row r="534" spans="1:16" x14ac:dyDescent="0.3">
      <c r="A534" t="s">
        <v>8434</v>
      </c>
      <c r="C534">
        <v>60</v>
      </c>
      <c r="D534" t="s">
        <v>10</v>
      </c>
      <c r="F534" s="43">
        <v>45046.708333333336</v>
      </c>
      <c r="G534" s="43">
        <v>45046.75</v>
      </c>
      <c r="H534">
        <v>17</v>
      </c>
      <c r="I534">
        <v>0</v>
      </c>
      <c r="J534">
        <v>18</v>
      </c>
      <c r="K534">
        <v>0</v>
      </c>
      <c r="L534">
        <v>2023</v>
      </c>
      <c r="N534" t="s">
        <v>47</v>
      </c>
      <c r="O534" t="s">
        <v>47</v>
      </c>
      <c r="P534" t="s">
        <v>8435</v>
      </c>
    </row>
    <row r="535" spans="1:16" x14ac:dyDescent="0.3">
      <c r="A535" t="s">
        <v>8424</v>
      </c>
      <c r="C535">
        <v>60</v>
      </c>
      <c r="D535" t="s">
        <v>10</v>
      </c>
      <c r="F535" s="43">
        <v>45046.625</v>
      </c>
      <c r="G535" s="43">
        <v>45046.666666666664</v>
      </c>
      <c r="H535">
        <v>15</v>
      </c>
      <c r="I535">
        <v>0</v>
      </c>
      <c r="J535">
        <v>16</v>
      </c>
      <c r="K535">
        <v>0</v>
      </c>
      <c r="L535">
        <v>2023</v>
      </c>
      <c r="N535" t="s">
        <v>47</v>
      </c>
      <c r="O535" t="s">
        <v>47</v>
      </c>
      <c r="P535" t="s">
        <v>8433</v>
      </c>
    </row>
    <row r="536" spans="1:16" x14ac:dyDescent="0.3">
      <c r="A536" t="s">
        <v>8424</v>
      </c>
      <c r="C536">
        <v>90</v>
      </c>
      <c r="D536" t="s">
        <v>10</v>
      </c>
      <c r="F536" s="43">
        <v>45046.5</v>
      </c>
      <c r="G536" s="43">
        <v>45046.5625</v>
      </c>
      <c r="H536">
        <v>12</v>
      </c>
      <c r="I536">
        <v>0</v>
      </c>
      <c r="J536">
        <v>13</v>
      </c>
      <c r="K536">
        <v>30</v>
      </c>
      <c r="L536">
        <v>2023</v>
      </c>
      <c r="N536" t="s">
        <v>47</v>
      </c>
      <c r="O536" t="s">
        <v>47</v>
      </c>
      <c r="P536" t="s">
        <v>8432</v>
      </c>
    </row>
    <row r="537" spans="1:16" x14ac:dyDescent="0.3">
      <c r="A537" t="s">
        <v>8424</v>
      </c>
      <c r="C537">
        <v>60</v>
      </c>
      <c r="D537" t="s">
        <v>10</v>
      </c>
      <c r="F537" s="43">
        <v>45046.354166666664</v>
      </c>
      <c r="G537" s="43">
        <v>45046.395833333336</v>
      </c>
      <c r="H537">
        <v>8</v>
      </c>
      <c r="I537">
        <v>30</v>
      </c>
      <c r="J537">
        <v>9</v>
      </c>
      <c r="K537">
        <v>30</v>
      </c>
      <c r="L537">
        <v>2023</v>
      </c>
      <c r="N537" t="s">
        <v>47</v>
      </c>
      <c r="O537" t="s">
        <v>47</v>
      </c>
      <c r="P537" t="s">
        <v>8431</v>
      </c>
    </row>
    <row r="538" spans="1:16" x14ac:dyDescent="0.3">
      <c r="A538" t="s">
        <v>8427</v>
      </c>
      <c r="C538">
        <v>60</v>
      </c>
      <c r="D538" t="s">
        <v>10</v>
      </c>
      <c r="E538" s="47"/>
      <c r="F538" s="43">
        <v>45046.291666666664</v>
      </c>
      <c r="G538" s="43">
        <v>45046.333333333336</v>
      </c>
      <c r="H538">
        <v>7</v>
      </c>
      <c r="I538">
        <v>0</v>
      </c>
      <c r="J538">
        <v>8</v>
      </c>
      <c r="K538">
        <v>0</v>
      </c>
      <c r="L538">
        <v>2023</v>
      </c>
      <c r="N538" t="s">
        <v>47</v>
      </c>
      <c r="O538" t="s">
        <v>47</v>
      </c>
      <c r="P538" t="s">
        <v>8430</v>
      </c>
    </row>
    <row r="539" spans="1:16" x14ac:dyDescent="0.3">
      <c r="A539" t="s">
        <v>7529</v>
      </c>
      <c r="C539">
        <v>30</v>
      </c>
      <c r="D539" t="s">
        <v>10</v>
      </c>
      <c r="F539" s="43">
        <v>45045.777777777781</v>
      </c>
      <c r="G539" s="43">
        <v>45045.798611111109</v>
      </c>
      <c r="H539">
        <v>18</v>
      </c>
      <c r="I539">
        <v>40</v>
      </c>
      <c r="J539">
        <v>19</v>
      </c>
      <c r="K539">
        <v>10</v>
      </c>
      <c r="L539">
        <v>2023</v>
      </c>
      <c r="N539" t="s">
        <v>47</v>
      </c>
      <c r="O539" t="s">
        <v>47</v>
      </c>
      <c r="P539" t="s">
        <v>8429</v>
      </c>
    </row>
    <row r="540" spans="1:16" x14ac:dyDescent="0.3">
      <c r="A540" t="s">
        <v>8427</v>
      </c>
      <c r="C540">
        <v>60</v>
      </c>
      <c r="D540" t="s">
        <v>10</v>
      </c>
      <c r="F540" s="43">
        <v>45045.708333333336</v>
      </c>
      <c r="G540" s="43">
        <v>45045.75</v>
      </c>
      <c r="H540">
        <v>17</v>
      </c>
      <c r="I540">
        <v>0</v>
      </c>
      <c r="J540">
        <v>18</v>
      </c>
      <c r="K540">
        <v>0</v>
      </c>
      <c r="L540">
        <v>2023</v>
      </c>
      <c r="N540" t="s">
        <v>47</v>
      </c>
      <c r="O540" t="s">
        <v>47</v>
      </c>
      <c r="P540" t="s">
        <v>8428</v>
      </c>
    </row>
    <row r="541" spans="1:16" x14ac:dyDescent="0.3">
      <c r="A541" t="s">
        <v>8424</v>
      </c>
      <c r="C541">
        <v>60</v>
      </c>
      <c r="D541" t="s">
        <v>10</v>
      </c>
      <c r="F541" s="43">
        <v>45045.625</v>
      </c>
      <c r="G541" s="43">
        <v>45045.666666666664</v>
      </c>
      <c r="H541">
        <v>15</v>
      </c>
      <c r="I541">
        <v>0</v>
      </c>
      <c r="J541">
        <v>16</v>
      </c>
      <c r="K541">
        <v>0</v>
      </c>
      <c r="L541">
        <v>2023</v>
      </c>
      <c r="N541" t="s">
        <v>47</v>
      </c>
      <c r="O541" t="s">
        <v>47</v>
      </c>
      <c r="P541" t="s">
        <v>8425</v>
      </c>
    </row>
    <row r="542" spans="1:16" x14ac:dyDescent="0.3">
      <c r="A542" t="s">
        <v>8</v>
      </c>
      <c r="C542">
        <v>30</v>
      </c>
      <c r="D542" t="s">
        <v>10</v>
      </c>
      <c r="F542" s="43">
        <v>45045.583333333336</v>
      </c>
      <c r="G542" s="43">
        <v>45045.604166666664</v>
      </c>
      <c r="H542">
        <v>14</v>
      </c>
      <c r="I542">
        <v>0</v>
      </c>
      <c r="J542">
        <v>14</v>
      </c>
      <c r="K542">
        <v>30</v>
      </c>
      <c r="L542">
        <v>2023</v>
      </c>
      <c r="N542" t="s">
        <v>47</v>
      </c>
      <c r="O542" t="s">
        <v>47</v>
      </c>
      <c r="P542" t="s">
        <v>8426</v>
      </c>
    </row>
    <row r="543" spans="1:16" x14ac:dyDescent="0.3">
      <c r="A543" t="s">
        <v>8383</v>
      </c>
      <c r="C543">
        <v>45</v>
      </c>
      <c r="D543" t="s">
        <v>10</v>
      </c>
      <c r="F543" s="43">
        <v>45045.53125</v>
      </c>
      <c r="G543" s="43">
        <v>45045.5625</v>
      </c>
      <c r="H543">
        <v>12</v>
      </c>
      <c r="I543">
        <v>45</v>
      </c>
      <c r="J543">
        <v>13</v>
      </c>
      <c r="K543">
        <v>30</v>
      </c>
      <c r="L543">
        <v>2023</v>
      </c>
      <c r="N543" t="s">
        <v>47</v>
      </c>
      <c r="O543" t="s">
        <v>47</v>
      </c>
      <c r="P543" t="s">
        <v>8423</v>
      </c>
    </row>
    <row r="544" spans="1:16" x14ac:dyDescent="0.3">
      <c r="A544" t="s">
        <v>8415</v>
      </c>
      <c r="C544">
        <v>45</v>
      </c>
      <c r="D544" t="s">
        <v>10</v>
      </c>
      <c r="F544" s="43">
        <v>45045.5</v>
      </c>
      <c r="G544" s="43">
        <v>45045.53125</v>
      </c>
      <c r="H544">
        <v>12</v>
      </c>
      <c r="I544">
        <v>0</v>
      </c>
      <c r="J544">
        <v>12</v>
      </c>
      <c r="K544">
        <v>45</v>
      </c>
      <c r="L544">
        <v>2023</v>
      </c>
      <c r="N544" t="s">
        <v>47</v>
      </c>
      <c r="O544" t="s">
        <v>47</v>
      </c>
      <c r="P544" t="s">
        <v>8422</v>
      </c>
    </row>
    <row r="545" spans="1:16" x14ac:dyDescent="0.3">
      <c r="A545" t="s">
        <v>8420</v>
      </c>
      <c r="C545">
        <v>30</v>
      </c>
      <c r="D545" t="s">
        <v>10</v>
      </c>
      <c r="F545" s="43">
        <v>45045.416666666664</v>
      </c>
      <c r="G545" s="43">
        <v>45045.4375</v>
      </c>
      <c r="H545">
        <v>10</v>
      </c>
      <c r="I545">
        <v>0</v>
      </c>
      <c r="J545">
        <v>10</v>
      </c>
      <c r="K545">
        <v>30</v>
      </c>
      <c r="L545">
        <v>2023</v>
      </c>
      <c r="N545" t="s">
        <v>47</v>
      </c>
      <c r="O545" t="s">
        <v>47</v>
      </c>
      <c r="P545" t="s">
        <v>8421</v>
      </c>
    </row>
    <row r="546" spans="1:16" x14ac:dyDescent="0.3">
      <c r="A546" t="s">
        <v>8417</v>
      </c>
      <c r="C546">
        <v>30</v>
      </c>
      <c r="D546" t="s">
        <v>10</v>
      </c>
      <c r="F546" s="43">
        <v>45045.3125</v>
      </c>
      <c r="G546" s="43">
        <v>45045.333333333336</v>
      </c>
      <c r="H546">
        <v>7</v>
      </c>
      <c r="I546">
        <v>30</v>
      </c>
      <c r="J546">
        <v>8</v>
      </c>
      <c r="K546">
        <v>0</v>
      </c>
      <c r="L546">
        <v>2023</v>
      </c>
      <c r="N546" t="s">
        <v>47</v>
      </c>
      <c r="O546" t="s">
        <v>47</v>
      </c>
      <c r="P546" t="s">
        <v>8418</v>
      </c>
    </row>
    <row r="547" spans="1:16" x14ac:dyDescent="0.3">
      <c r="A547" t="s">
        <v>5950</v>
      </c>
      <c r="C547">
        <v>30</v>
      </c>
      <c r="D547" t="s">
        <v>10</v>
      </c>
      <c r="F547" s="43">
        <v>45045.291666666664</v>
      </c>
      <c r="G547" s="43">
        <v>45045.3125</v>
      </c>
      <c r="H547">
        <v>7</v>
      </c>
      <c r="I547">
        <v>0</v>
      </c>
      <c r="J547">
        <v>7</v>
      </c>
      <c r="K547">
        <v>30</v>
      </c>
      <c r="L547">
        <v>2023</v>
      </c>
      <c r="N547" t="s">
        <v>47</v>
      </c>
      <c r="O547" t="s">
        <v>47</v>
      </c>
      <c r="P547" t="s">
        <v>8419</v>
      </c>
    </row>
    <row r="548" spans="1:16" x14ac:dyDescent="0.3">
      <c r="A548" t="s">
        <v>8415</v>
      </c>
      <c r="C548">
        <v>60</v>
      </c>
      <c r="D548" t="s">
        <v>10</v>
      </c>
      <c r="F548" s="43">
        <v>45044.770833333336</v>
      </c>
      <c r="G548" s="43">
        <v>45044.8125</v>
      </c>
      <c r="H548">
        <v>18</v>
      </c>
      <c r="I548">
        <v>30</v>
      </c>
      <c r="J548">
        <v>19</v>
      </c>
      <c r="K548">
        <v>30</v>
      </c>
      <c r="L548">
        <v>2023</v>
      </c>
      <c r="N548" t="s">
        <v>47</v>
      </c>
      <c r="O548" t="s">
        <v>47</v>
      </c>
      <c r="P548" t="s">
        <v>8416</v>
      </c>
    </row>
    <row r="549" spans="1:16" x14ac:dyDescent="0.3">
      <c r="A549" t="s">
        <v>7529</v>
      </c>
      <c r="C549">
        <v>30</v>
      </c>
      <c r="D549" t="s">
        <v>10</v>
      </c>
      <c r="F549" s="43">
        <v>45044.708333333336</v>
      </c>
      <c r="G549" s="43">
        <v>45044.729166666664</v>
      </c>
      <c r="H549">
        <v>17</v>
      </c>
      <c r="I549">
        <v>0</v>
      </c>
      <c r="J549">
        <v>17</v>
      </c>
      <c r="K549">
        <v>30</v>
      </c>
      <c r="L549">
        <v>2023</v>
      </c>
      <c r="N549" t="s">
        <v>47</v>
      </c>
      <c r="O549" t="s">
        <v>47</v>
      </c>
      <c r="P549" t="s">
        <v>8414</v>
      </c>
    </row>
    <row r="550" spans="1:16" x14ac:dyDescent="0.3">
      <c r="A550" t="s">
        <v>8411</v>
      </c>
      <c r="C550">
        <v>30</v>
      </c>
      <c r="D550" t="s">
        <v>10</v>
      </c>
      <c r="E550" t="s">
        <v>5</v>
      </c>
      <c r="F550" s="43">
        <v>45044.6875</v>
      </c>
      <c r="G550" s="43">
        <v>45044.708333333336</v>
      </c>
      <c r="H550">
        <v>16</v>
      </c>
      <c r="I550">
        <v>30</v>
      </c>
      <c r="J550">
        <v>17</v>
      </c>
      <c r="K550">
        <v>0</v>
      </c>
      <c r="L550">
        <v>2023</v>
      </c>
      <c r="N550" t="s">
        <v>7795</v>
      </c>
      <c r="O550" t="s">
        <v>7796</v>
      </c>
      <c r="P550" t="s">
        <v>8412</v>
      </c>
    </row>
    <row r="551" spans="1:16" x14ac:dyDescent="0.3">
      <c r="A551" t="s">
        <v>7</v>
      </c>
      <c r="C551">
        <v>60</v>
      </c>
      <c r="D551" t="s">
        <v>10</v>
      </c>
      <c r="F551" s="43">
        <v>45044.625</v>
      </c>
      <c r="G551" s="43">
        <v>45044.666666666664</v>
      </c>
      <c r="H551">
        <v>15</v>
      </c>
      <c r="I551">
        <v>0</v>
      </c>
      <c r="J551">
        <v>16</v>
      </c>
      <c r="K551">
        <v>0</v>
      </c>
      <c r="L551">
        <v>2023</v>
      </c>
      <c r="N551" t="s">
        <v>47</v>
      </c>
      <c r="O551" t="s">
        <v>47</v>
      </c>
      <c r="P551" t="s">
        <v>8413</v>
      </c>
    </row>
    <row r="552" spans="1:16" x14ac:dyDescent="0.3">
      <c r="A552" t="s">
        <v>7845</v>
      </c>
      <c r="C552">
        <v>60</v>
      </c>
      <c r="D552" t="s">
        <v>10</v>
      </c>
      <c r="F552" s="1">
        <v>45044.5625</v>
      </c>
      <c r="G552" s="1">
        <v>45044.604166666664</v>
      </c>
      <c r="H552">
        <v>13</v>
      </c>
      <c r="I552">
        <v>30</v>
      </c>
      <c r="J552">
        <v>14</v>
      </c>
      <c r="K552">
        <v>30</v>
      </c>
      <c r="L552">
        <v>2023</v>
      </c>
      <c r="N552" t="s">
        <v>47</v>
      </c>
      <c r="O552" t="s">
        <v>47</v>
      </c>
      <c r="P552" t="s">
        <v>8372</v>
      </c>
    </row>
    <row r="553" spans="1:16" x14ac:dyDescent="0.3">
      <c r="A553" t="s">
        <v>8376</v>
      </c>
      <c r="C553">
        <v>30</v>
      </c>
      <c r="D553" t="s">
        <v>10</v>
      </c>
      <c r="F553" s="43">
        <v>45044.5</v>
      </c>
      <c r="G553" s="43">
        <v>45044.520833333336</v>
      </c>
      <c r="H553">
        <v>12</v>
      </c>
      <c r="I553">
        <v>0</v>
      </c>
      <c r="J553">
        <v>12</v>
      </c>
      <c r="K553">
        <v>30</v>
      </c>
      <c r="L553">
        <v>2023</v>
      </c>
      <c r="N553" t="s">
        <v>47</v>
      </c>
      <c r="O553" t="s">
        <v>47</v>
      </c>
      <c r="P553" t="s">
        <v>8377</v>
      </c>
    </row>
    <row r="554" spans="1:16" x14ac:dyDescent="0.3">
      <c r="A554" t="s">
        <v>8379</v>
      </c>
      <c r="C554">
        <v>15</v>
      </c>
      <c r="D554" t="s">
        <v>10</v>
      </c>
      <c r="E554" t="s">
        <v>501</v>
      </c>
      <c r="F554" s="43">
        <v>45044.458333333336</v>
      </c>
      <c r="G554" s="43">
        <v>45044.46875</v>
      </c>
      <c r="H554">
        <v>11</v>
      </c>
      <c r="I554">
        <v>0</v>
      </c>
      <c r="J554">
        <v>11</v>
      </c>
      <c r="K554">
        <v>15</v>
      </c>
      <c r="L554">
        <v>2023</v>
      </c>
      <c r="N554" t="s">
        <v>519</v>
      </c>
      <c r="O554" t="s">
        <v>47</v>
      </c>
      <c r="P554" t="s">
        <v>8380</v>
      </c>
    </row>
    <row r="555" spans="1:16" x14ac:dyDescent="0.3">
      <c r="A555" t="s">
        <v>7845</v>
      </c>
      <c r="C555">
        <v>30</v>
      </c>
      <c r="D555" t="s">
        <v>10</v>
      </c>
      <c r="F555" s="43">
        <v>45044.4375</v>
      </c>
      <c r="G555" s="43">
        <v>45044.458333333336</v>
      </c>
      <c r="H555">
        <v>10</v>
      </c>
      <c r="I555">
        <v>30</v>
      </c>
      <c r="J555">
        <v>11</v>
      </c>
      <c r="K555">
        <v>0</v>
      </c>
      <c r="L555">
        <v>2023</v>
      </c>
      <c r="N555" t="s">
        <v>47</v>
      </c>
      <c r="O555" t="s">
        <v>47</v>
      </c>
      <c r="P555" t="s">
        <v>8375</v>
      </c>
    </row>
    <row r="556" spans="1:16" x14ac:dyDescent="0.3">
      <c r="A556" t="s">
        <v>8381</v>
      </c>
      <c r="C556">
        <v>30</v>
      </c>
      <c r="D556" t="s">
        <v>10</v>
      </c>
      <c r="E556" t="s">
        <v>5</v>
      </c>
      <c r="F556" s="43">
        <v>45044.395833333336</v>
      </c>
      <c r="G556" s="43">
        <v>45044.416666666664</v>
      </c>
      <c r="H556">
        <v>9</v>
      </c>
      <c r="I556">
        <v>30</v>
      </c>
      <c r="J556">
        <v>10</v>
      </c>
      <c r="K556">
        <v>0</v>
      </c>
      <c r="L556">
        <v>2023</v>
      </c>
      <c r="N556" t="s">
        <v>8223</v>
      </c>
      <c r="O556" t="s">
        <v>8224</v>
      </c>
      <c r="P556" t="s">
        <v>8382</v>
      </c>
    </row>
    <row r="557" spans="1:16" x14ac:dyDescent="0.3">
      <c r="A557" t="s">
        <v>7845</v>
      </c>
      <c r="C557">
        <v>60</v>
      </c>
      <c r="D557" t="s">
        <v>10</v>
      </c>
      <c r="F557" s="43">
        <v>45044.354166666664</v>
      </c>
      <c r="G557" s="43">
        <v>45044.395833333336</v>
      </c>
      <c r="H557">
        <v>8</v>
      </c>
      <c r="I557">
        <v>30</v>
      </c>
      <c r="J557">
        <v>9</v>
      </c>
      <c r="K557">
        <v>30</v>
      </c>
      <c r="L557">
        <v>2023</v>
      </c>
      <c r="N557" t="s">
        <v>47</v>
      </c>
      <c r="O557" t="s">
        <v>47</v>
      </c>
      <c r="P557" t="s">
        <v>8378</v>
      </c>
    </row>
    <row r="558" spans="1:16" x14ac:dyDescent="0.3">
      <c r="A558" t="s">
        <v>8383</v>
      </c>
      <c r="C558">
        <v>30</v>
      </c>
      <c r="D558" t="s">
        <v>10</v>
      </c>
      <c r="F558" s="43">
        <v>45044.302083333336</v>
      </c>
      <c r="G558" s="43">
        <v>45044.322916666664</v>
      </c>
      <c r="H558">
        <v>7</v>
      </c>
      <c r="I558">
        <v>15</v>
      </c>
      <c r="J558">
        <v>7</v>
      </c>
      <c r="K558">
        <v>45</v>
      </c>
      <c r="L558">
        <v>2023</v>
      </c>
      <c r="N558" t="s">
        <v>47</v>
      </c>
      <c r="O558" t="s">
        <v>47</v>
      </c>
      <c r="P558" t="s">
        <v>8384</v>
      </c>
    </row>
    <row r="559" spans="1:16" x14ac:dyDescent="0.3">
      <c r="A559" t="s">
        <v>7845</v>
      </c>
      <c r="C559">
        <v>80</v>
      </c>
      <c r="D559" t="s">
        <v>10</v>
      </c>
      <c r="F559" s="43">
        <v>45044.229166666664</v>
      </c>
      <c r="G559" s="43">
        <v>45044.284722222219</v>
      </c>
      <c r="H559">
        <v>5</v>
      </c>
      <c r="I559">
        <v>30</v>
      </c>
      <c r="J559">
        <v>6</v>
      </c>
      <c r="K559">
        <v>50</v>
      </c>
      <c r="L559">
        <v>2023</v>
      </c>
      <c r="N559" t="s">
        <v>47</v>
      </c>
      <c r="O559" t="s">
        <v>47</v>
      </c>
      <c r="P559" t="s">
        <v>8385</v>
      </c>
    </row>
    <row r="560" spans="1:16" x14ac:dyDescent="0.3">
      <c r="A560" t="s">
        <v>7845</v>
      </c>
      <c r="C560">
        <v>30</v>
      </c>
      <c r="D560" t="s">
        <v>10</v>
      </c>
      <c r="F560" s="43">
        <v>45043.833333333336</v>
      </c>
      <c r="G560" s="43">
        <v>45043.854166666664</v>
      </c>
      <c r="H560">
        <v>20</v>
      </c>
      <c r="I560">
        <v>0</v>
      </c>
      <c r="J560">
        <v>20</v>
      </c>
      <c r="K560">
        <v>30</v>
      </c>
      <c r="L560">
        <v>2023</v>
      </c>
      <c r="N560" t="s">
        <v>47</v>
      </c>
      <c r="O560" t="s">
        <v>47</v>
      </c>
      <c r="P560" t="s">
        <v>8386</v>
      </c>
    </row>
    <row r="561" spans="1:16" x14ac:dyDescent="0.3">
      <c r="A561" t="s">
        <v>8387</v>
      </c>
      <c r="C561">
        <v>30</v>
      </c>
      <c r="D561" t="s">
        <v>10</v>
      </c>
      <c r="F561" s="43">
        <v>45043.784722222219</v>
      </c>
      <c r="G561" s="43">
        <v>45043.805555555555</v>
      </c>
      <c r="H561">
        <v>18</v>
      </c>
      <c r="I561">
        <v>50</v>
      </c>
      <c r="J561">
        <v>19</v>
      </c>
      <c r="K561">
        <v>20</v>
      </c>
      <c r="L561">
        <v>2023</v>
      </c>
      <c r="N561" t="s">
        <v>47</v>
      </c>
      <c r="O561" t="s">
        <v>47</v>
      </c>
      <c r="P561" t="s">
        <v>8388</v>
      </c>
    </row>
    <row r="562" spans="1:16" x14ac:dyDescent="0.3">
      <c r="A562" t="s">
        <v>7</v>
      </c>
      <c r="C562">
        <v>60</v>
      </c>
      <c r="D562" t="s">
        <v>10</v>
      </c>
      <c r="F562" s="43">
        <v>45043.71875</v>
      </c>
      <c r="G562" s="43">
        <v>45043.760416666664</v>
      </c>
      <c r="H562">
        <v>17</v>
      </c>
      <c r="I562">
        <v>15</v>
      </c>
      <c r="J562">
        <v>18</v>
      </c>
      <c r="K562">
        <v>15</v>
      </c>
      <c r="L562">
        <v>2023</v>
      </c>
      <c r="N562" t="s">
        <v>47</v>
      </c>
      <c r="O562" t="s">
        <v>47</v>
      </c>
      <c r="P562" t="s">
        <v>8389</v>
      </c>
    </row>
    <row r="563" spans="1:16" x14ac:dyDescent="0.3">
      <c r="A563" t="s">
        <v>8390</v>
      </c>
      <c r="C563">
        <v>60</v>
      </c>
      <c r="D563" t="s">
        <v>10</v>
      </c>
      <c r="F563" s="43">
        <v>45043.659722222219</v>
      </c>
      <c r="G563" s="43">
        <v>45043.701388888891</v>
      </c>
      <c r="H563">
        <v>15</v>
      </c>
      <c r="I563">
        <v>50</v>
      </c>
      <c r="J563">
        <v>16</v>
      </c>
      <c r="K563">
        <v>50</v>
      </c>
      <c r="L563">
        <v>2023</v>
      </c>
      <c r="N563" t="s">
        <v>47</v>
      </c>
      <c r="O563" t="s">
        <v>47</v>
      </c>
      <c r="P563" t="s">
        <v>8391</v>
      </c>
    </row>
    <row r="564" spans="1:16" x14ac:dyDescent="0.3">
      <c r="A564" t="s">
        <v>8404</v>
      </c>
      <c r="C564">
        <v>45</v>
      </c>
      <c r="D564" t="s">
        <v>10</v>
      </c>
      <c r="E564" t="s">
        <v>5</v>
      </c>
      <c r="F564" s="43">
        <v>45043.583333333336</v>
      </c>
      <c r="G564" s="43">
        <v>45043.614583333336</v>
      </c>
      <c r="H564">
        <v>14</v>
      </c>
      <c r="I564">
        <v>0</v>
      </c>
      <c r="J564">
        <v>14</v>
      </c>
      <c r="K564">
        <v>45</v>
      </c>
      <c r="L564">
        <v>2023</v>
      </c>
      <c r="N564" t="s">
        <v>8223</v>
      </c>
      <c r="O564" t="s">
        <v>8224</v>
      </c>
      <c r="P564" t="s">
        <v>8405</v>
      </c>
    </row>
    <row r="565" spans="1:16" x14ac:dyDescent="0.3">
      <c r="A565" t="s">
        <v>8397</v>
      </c>
      <c r="C565">
        <v>30</v>
      </c>
      <c r="D565" t="s">
        <v>10</v>
      </c>
      <c r="F565" s="43">
        <v>45043.5625</v>
      </c>
      <c r="G565" s="43">
        <v>45043.583333333336</v>
      </c>
      <c r="H565">
        <v>13</v>
      </c>
      <c r="I565">
        <v>30</v>
      </c>
      <c r="J565">
        <v>14</v>
      </c>
      <c r="K565">
        <v>0</v>
      </c>
      <c r="L565">
        <v>2023</v>
      </c>
      <c r="N565" t="s">
        <v>47</v>
      </c>
      <c r="O565" t="s">
        <v>47</v>
      </c>
      <c r="P565" t="s">
        <v>8398</v>
      </c>
    </row>
    <row r="566" spans="1:16" x14ac:dyDescent="0.3">
      <c r="A566" t="s">
        <v>8324</v>
      </c>
      <c r="C566">
        <v>45</v>
      </c>
      <c r="D566" t="s">
        <v>10</v>
      </c>
      <c r="E566" t="s">
        <v>2807</v>
      </c>
      <c r="F566" s="43">
        <v>45043.5</v>
      </c>
      <c r="G566" s="43">
        <v>45043.53125</v>
      </c>
      <c r="H566">
        <v>12</v>
      </c>
      <c r="I566">
        <v>0</v>
      </c>
      <c r="J566">
        <v>12</v>
      </c>
      <c r="K566">
        <v>45</v>
      </c>
      <c r="L566">
        <v>2023</v>
      </c>
      <c r="N566" t="s">
        <v>8325</v>
      </c>
      <c r="O566" t="s">
        <v>50</v>
      </c>
      <c r="P566" t="s">
        <v>8326</v>
      </c>
    </row>
    <row r="567" spans="1:16" x14ac:dyDescent="0.3">
      <c r="A567" t="s">
        <v>8400</v>
      </c>
      <c r="C567">
        <v>30</v>
      </c>
      <c r="D567" t="s">
        <v>10</v>
      </c>
      <c r="F567" s="43">
        <v>45043.395833333336</v>
      </c>
      <c r="G567" s="43">
        <v>45043.416666666664</v>
      </c>
      <c r="H567">
        <v>9</v>
      </c>
      <c r="I567">
        <v>30</v>
      </c>
      <c r="J567">
        <v>10</v>
      </c>
      <c r="K567">
        <v>0</v>
      </c>
      <c r="L567">
        <v>2023</v>
      </c>
      <c r="N567" t="s">
        <v>47</v>
      </c>
      <c r="O567" t="s">
        <v>47</v>
      </c>
      <c r="P567" t="s">
        <v>8401</v>
      </c>
    </row>
    <row r="568" spans="1:16" x14ac:dyDescent="0.3">
      <c r="A568" t="s">
        <v>4452</v>
      </c>
      <c r="C568">
        <v>30</v>
      </c>
      <c r="D568" t="s">
        <v>10</v>
      </c>
      <c r="F568" s="43">
        <v>45043.375</v>
      </c>
      <c r="G568" s="43">
        <v>45043.395833333336</v>
      </c>
      <c r="H568">
        <v>9</v>
      </c>
      <c r="I568">
        <v>0</v>
      </c>
      <c r="J568">
        <v>9</v>
      </c>
      <c r="K568">
        <v>30</v>
      </c>
      <c r="L568">
        <v>2023</v>
      </c>
      <c r="N568" t="s">
        <v>47</v>
      </c>
      <c r="O568" t="s">
        <v>47</v>
      </c>
      <c r="P568" t="s">
        <v>8402</v>
      </c>
    </row>
    <row r="569" spans="1:16" x14ac:dyDescent="0.3">
      <c r="A569" t="s">
        <v>8</v>
      </c>
      <c r="C569">
        <v>30</v>
      </c>
      <c r="D569" t="s">
        <v>10</v>
      </c>
      <c r="F569" s="43">
        <v>45043.333333333336</v>
      </c>
      <c r="G569" s="43">
        <v>45043.354166666664</v>
      </c>
      <c r="H569">
        <v>8</v>
      </c>
      <c r="I569">
        <v>0</v>
      </c>
      <c r="J569">
        <v>8</v>
      </c>
      <c r="K569">
        <v>30</v>
      </c>
      <c r="L569">
        <v>2023</v>
      </c>
      <c r="N569" t="s">
        <v>47</v>
      </c>
      <c r="O569" t="s">
        <v>47</v>
      </c>
      <c r="P569" t="s">
        <v>8403</v>
      </c>
    </row>
    <row r="570" spans="1:16" x14ac:dyDescent="0.3">
      <c r="A570" t="s">
        <v>8</v>
      </c>
      <c r="C570">
        <v>30</v>
      </c>
      <c r="D570" t="s">
        <v>10</v>
      </c>
      <c r="F570" s="43">
        <v>45043.270833333336</v>
      </c>
      <c r="G570" s="43">
        <v>45043.291666666664</v>
      </c>
      <c r="H570">
        <v>6</v>
      </c>
      <c r="I570">
        <v>30</v>
      </c>
      <c r="J570">
        <v>7</v>
      </c>
      <c r="K570">
        <v>0</v>
      </c>
      <c r="L570">
        <v>2023</v>
      </c>
      <c r="N570" t="s">
        <v>47</v>
      </c>
      <c r="O570" t="s">
        <v>47</v>
      </c>
      <c r="P570" t="s">
        <v>8406</v>
      </c>
    </row>
    <row r="571" spans="1:16" x14ac:dyDescent="0.3">
      <c r="A571" t="s">
        <v>8407</v>
      </c>
      <c r="C571">
        <v>30</v>
      </c>
      <c r="D571" t="s">
        <v>10</v>
      </c>
      <c r="F571" s="43">
        <v>45043.25</v>
      </c>
      <c r="G571" s="43">
        <v>45043.270833333336</v>
      </c>
      <c r="H571">
        <v>6</v>
      </c>
      <c r="I571">
        <v>0</v>
      </c>
      <c r="J571">
        <v>6</v>
      </c>
      <c r="K571">
        <v>30</v>
      </c>
      <c r="L571">
        <v>2023</v>
      </c>
      <c r="N571" t="s">
        <v>47</v>
      </c>
      <c r="O571" t="s">
        <v>47</v>
      </c>
      <c r="P571" t="s">
        <v>8408</v>
      </c>
    </row>
    <row r="572" spans="1:16" x14ac:dyDescent="0.3">
      <c r="A572" t="s">
        <v>8</v>
      </c>
      <c r="C572">
        <v>30</v>
      </c>
      <c r="D572" t="s">
        <v>10</v>
      </c>
      <c r="F572" s="43">
        <v>45043.229166666664</v>
      </c>
      <c r="G572" s="43">
        <v>45043.25</v>
      </c>
      <c r="H572">
        <v>5</v>
      </c>
      <c r="I572">
        <v>30</v>
      </c>
      <c r="J572">
        <v>6</v>
      </c>
      <c r="K572">
        <v>0</v>
      </c>
      <c r="L572">
        <v>2023</v>
      </c>
      <c r="N572" t="s">
        <v>47</v>
      </c>
      <c r="O572" t="s">
        <v>47</v>
      </c>
      <c r="P572" t="s">
        <v>8399</v>
      </c>
    </row>
    <row r="573" spans="1:16" x14ac:dyDescent="0.3">
      <c r="A573" t="s">
        <v>8177</v>
      </c>
      <c r="C573">
        <v>7200</v>
      </c>
      <c r="D573" t="s">
        <v>10</v>
      </c>
      <c r="F573" s="43">
        <v>45043</v>
      </c>
      <c r="G573" s="43">
        <v>45048</v>
      </c>
      <c r="H573">
        <v>0</v>
      </c>
      <c r="I573">
        <v>0</v>
      </c>
      <c r="J573">
        <v>0</v>
      </c>
      <c r="K573">
        <v>0</v>
      </c>
      <c r="L573">
        <v>2023</v>
      </c>
      <c r="N573" t="s">
        <v>4493</v>
      </c>
      <c r="O573" t="s">
        <v>50</v>
      </c>
      <c r="P573" t="s">
        <v>8178</v>
      </c>
    </row>
    <row r="574" spans="1:16" x14ac:dyDescent="0.3">
      <c r="A574" t="s">
        <v>8370</v>
      </c>
      <c r="C574">
        <v>45</v>
      </c>
      <c r="D574" t="s">
        <v>10</v>
      </c>
      <c r="F574" s="43">
        <v>45042.739583333336</v>
      </c>
      <c r="G574" s="43">
        <v>45042.770833333336</v>
      </c>
      <c r="H574">
        <v>17</v>
      </c>
      <c r="I574">
        <v>45</v>
      </c>
      <c r="J574">
        <v>18</v>
      </c>
      <c r="K574">
        <v>30</v>
      </c>
      <c r="L574">
        <v>2023</v>
      </c>
      <c r="N574" t="s">
        <v>47</v>
      </c>
      <c r="O574" t="s">
        <v>47</v>
      </c>
      <c r="P574" t="s">
        <v>8371</v>
      </c>
    </row>
    <row r="575" spans="1:16" x14ac:dyDescent="0.3">
      <c r="A575" t="s">
        <v>8368</v>
      </c>
      <c r="C575">
        <v>25</v>
      </c>
      <c r="D575" t="s">
        <v>10</v>
      </c>
      <c r="F575" s="43">
        <v>45042.708333333336</v>
      </c>
      <c r="G575" s="43">
        <v>45042.725694444445</v>
      </c>
      <c r="H575">
        <v>17</v>
      </c>
      <c r="I575">
        <v>0</v>
      </c>
      <c r="J575">
        <v>17</v>
      </c>
      <c r="K575">
        <v>25</v>
      </c>
      <c r="L575">
        <v>2023</v>
      </c>
      <c r="N575" t="s">
        <v>47</v>
      </c>
      <c r="O575" t="s">
        <v>47</v>
      </c>
      <c r="P575" t="s">
        <v>8369</v>
      </c>
    </row>
    <row r="576" spans="1:16" x14ac:dyDescent="0.3">
      <c r="A576" t="s">
        <v>8366</v>
      </c>
      <c r="C576">
        <v>30</v>
      </c>
      <c r="D576" t="s">
        <v>10</v>
      </c>
      <c r="F576" s="43">
        <v>45042.6875</v>
      </c>
      <c r="G576" s="43">
        <v>45042.708333333336</v>
      </c>
      <c r="H576">
        <v>16</v>
      </c>
      <c r="I576">
        <v>30</v>
      </c>
      <c r="J576">
        <v>17</v>
      </c>
      <c r="K576">
        <v>0</v>
      </c>
      <c r="L576">
        <v>2023</v>
      </c>
      <c r="N576" t="s">
        <v>47</v>
      </c>
      <c r="O576" t="s">
        <v>47</v>
      </c>
      <c r="P576" t="s">
        <v>8367</v>
      </c>
    </row>
    <row r="577" spans="1:16" x14ac:dyDescent="0.3">
      <c r="A577" t="s">
        <v>4358</v>
      </c>
      <c r="C577">
        <v>60</v>
      </c>
      <c r="D577" t="s">
        <v>10</v>
      </c>
      <c r="F577" s="43">
        <v>45042.625</v>
      </c>
      <c r="G577" s="43">
        <v>45042.666666666664</v>
      </c>
      <c r="H577">
        <v>15</v>
      </c>
      <c r="I577">
        <v>0</v>
      </c>
      <c r="J577">
        <v>16</v>
      </c>
      <c r="K577">
        <v>0</v>
      </c>
      <c r="L577">
        <v>2023</v>
      </c>
      <c r="N577" t="s">
        <v>47</v>
      </c>
      <c r="O577" t="s">
        <v>47</v>
      </c>
      <c r="P577" t="s">
        <v>8365</v>
      </c>
    </row>
    <row r="578" spans="1:16" x14ac:dyDescent="0.3">
      <c r="A578" t="s">
        <v>8245</v>
      </c>
      <c r="C578">
        <v>30</v>
      </c>
      <c r="D578" t="s">
        <v>10</v>
      </c>
      <c r="E578" t="s">
        <v>501</v>
      </c>
      <c r="F578" s="43">
        <v>45042.5625</v>
      </c>
      <c r="G578" s="43">
        <v>45042.583333333336</v>
      </c>
      <c r="H578">
        <v>13</v>
      </c>
      <c r="I578">
        <v>30</v>
      </c>
      <c r="J578">
        <v>14</v>
      </c>
      <c r="K578">
        <v>0</v>
      </c>
      <c r="L578">
        <v>2023</v>
      </c>
      <c r="N578" t="s">
        <v>8239</v>
      </c>
      <c r="O578" t="s">
        <v>47</v>
      </c>
      <c r="P578" t="s">
        <v>8246</v>
      </c>
    </row>
    <row r="579" spans="1:16" x14ac:dyDescent="0.3">
      <c r="A579" t="s">
        <v>8</v>
      </c>
      <c r="C579">
        <v>30</v>
      </c>
      <c r="D579" t="s">
        <v>10</v>
      </c>
      <c r="F579" s="43">
        <v>45042.541666666664</v>
      </c>
      <c r="G579" s="43">
        <v>45042.5625</v>
      </c>
      <c r="H579">
        <v>13</v>
      </c>
      <c r="I579">
        <v>0</v>
      </c>
      <c r="J579">
        <v>13</v>
      </c>
      <c r="K579">
        <v>30</v>
      </c>
      <c r="L579">
        <v>2023</v>
      </c>
      <c r="N579" t="s">
        <v>47</v>
      </c>
      <c r="O579" t="s">
        <v>47</v>
      </c>
      <c r="P579" t="s">
        <v>8349</v>
      </c>
    </row>
    <row r="580" spans="1:16" x14ac:dyDescent="0.3">
      <c r="A580" t="s">
        <v>8360</v>
      </c>
      <c r="C580">
        <v>30</v>
      </c>
      <c r="D580" t="s">
        <v>10</v>
      </c>
      <c r="E580" t="s">
        <v>5</v>
      </c>
      <c r="F580" s="43">
        <v>45042.458333333336</v>
      </c>
      <c r="G580" s="43">
        <v>45042.479166666664</v>
      </c>
      <c r="H580">
        <v>11</v>
      </c>
      <c r="I580">
        <v>0</v>
      </c>
      <c r="J580">
        <v>11</v>
      </c>
      <c r="K580">
        <v>30</v>
      </c>
      <c r="L580">
        <v>2023</v>
      </c>
      <c r="N580" t="s">
        <v>8037</v>
      </c>
      <c r="O580" t="s">
        <v>783</v>
      </c>
      <c r="P580" t="s">
        <v>8361</v>
      </c>
    </row>
    <row r="581" spans="1:16" x14ac:dyDescent="0.3">
      <c r="A581" t="s">
        <v>8350</v>
      </c>
      <c r="C581">
        <v>30</v>
      </c>
      <c r="D581" t="s">
        <v>10</v>
      </c>
      <c r="F581" s="43">
        <v>45042.4375</v>
      </c>
      <c r="G581" s="43">
        <v>45042.458333333336</v>
      </c>
      <c r="H581">
        <v>10</v>
      </c>
      <c r="I581">
        <v>30</v>
      </c>
      <c r="J581">
        <v>11</v>
      </c>
      <c r="K581">
        <v>0</v>
      </c>
      <c r="L581">
        <v>2023</v>
      </c>
      <c r="N581" t="s">
        <v>47</v>
      </c>
      <c r="O581" t="s">
        <v>47</v>
      </c>
      <c r="P581" t="s">
        <v>8351</v>
      </c>
    </row>
    <row r="582" spans="1:16" x14ac:dyDescent="0.3">
      <c r="A582" t="s">
        <v>8356</v>
      </c>
      <c r="C582">
        <v>30</v>
      </c>
      <c r="D582" t="s">
        <v>10</v>
      </c>
      <c r="E582" t="s">
        <v>8357</v>
      </c>
      <c r="F582" s="43">
        <v>45042.375</v>
      </c>
      <c r="G582" s="43">
        <v>45042.395833333336</v>
      </c>
      <c r="H582">
        <v>9</v>
      </c>
      <c r="I582">
        <v>0</v>
      </c>
      <c r="J582">
        <v>9</v>
      </c>
      <c r="K582">
        <v>30</v>
      </c>
      <c r="L582">
        <v>2023</v>
      </c>
      <c r="N582" t="s">
        <v>8358</v>
      </c>
      <c r="O582" t="s">
        <v>1134</v>
      </c>
      <c r="P582" t="s">
        <v>8359</v>
      </c>
    </row>
    <row r="583" spans="1:16" x14ac:dyDescent="0.3">
      <c r="A583" t="s">
        <v>8308</v>
      </c>
      <c r="B583" t="s">
        <v>20</v>
      </c>
      <c r="C583">
        <v>60</v>
      </c>
      <c r="D583" t="s">
        <v>10</v>
      </c>
      <c r="E583" t="s">
        <v>5</v>
      </c>
      <c r="F583" s="43">
        <v>45042.333333333336</v>
      </c>
      <c r="G583" s="43">
        <v>45042.375</v>
      </c>
      <c r="H583">
        <v>8</v>
      </c>
      <c r="I583">
        <v>0</v>
      </c>
      <c r="J583">
        <v>9</v>
      </c>
      <c r="K583">
        <v>0</v>
      </c>
      <c r="L583">
        <v>2023</v>
      </c>
      <c r="N583" t="s">
        <v>8309</v>
      </c>
      <c r="O583" t="s">
        <v>73</v>
      </c>
      <c r="P583" t="s">
        <v>8310</v>
      </c>
    </row>
    <row r="584" spans="1:16" x14ac:dyDescent="0.3">
      <c r="A584" t="s">
        <v>8352</v>
      </c>
      <c r="C584">
        <v>30</v>
      </c>
      <c r="D584" t="s">
        <v>10</v>
      </c>
      <c r="F584" s="43">
        <v>45042.3125</v>
      </c>
      <c r="G584" s="43">
        <v>45042.333333333336</v>
      </c>
      <c r="H584">
        <v>7</v>
      </c>
      <c r="I584">
        <v>30</v>
      </c>
      <c r="J584">
        <v>8</v>
      </c>
      <c r="K584">
        <v>0</v>
      </c>
      <c r="L584">
        <v>2023</v>
      </c>
      <c r="N584" t="s">
        <v>47</v>
      </c>
      <c r="O584" t="s">
        <v>47</v>
      </c>
      <c r="P584" t="s">
        <v>8353</v>
      </c>
    </row>
    <row r="585" spans="1:16" x14ac:dyDescent="0.3">
      <c r="A585" t="s">
        <v>4342</v>
      </c>
      <c r="C585">
        <v>30</v>
      </c>
      <c r="D585" t="s">
        <v>10</v>
      </c>
      <c r="F585" s="43">
        <v>45042.291666666664</v>
      </c>
      <c r="G585" s="43">
        <v>45042.3125</v>
      </c>
      <c r="H585">
        <v>7</v>
      </c>
      <c r="I585">
        <v>0</v>
      </c>
      <c r="J585">
        <v>7</v>
      </c>
      <c r="K585">
        <v>30</v>
      </c>
      <c r="L585">
        <v>2023</v>
      </c>
      <c r="N585" t="s">
        <v>47</v>
      </c>
      <c r="O585" t="s">
        <v>47</v>
      </c>
      <c r="P585" t="s">
        <v>8354</v>
      </c>
    </row>
    <row r="586" spans="1:16" x14ac:dyDescent="0.3">
      <c r="A586" t="s">
        <v>17</v>
      </c>
      <c r="C586">
        <v>30</v>
      </c>
      <c r="D586" t="s">
        <v>10</v>
      </c>
      <c r="F586" s="43">
        <v>45042.25</v>
      </c>
      <c r="G586" s="43">
        <v>45042.270833333336</v>
      </c>
      <c r="H586">
        <v>6</v>
      </c>
      <c r="I586">
        <v>0</v>
      </c>
      <c r="J586">
        <v>6</v>
      </c>
      <c r="K586">
        <v>30</v>
      </c>
      <c r="L586">
        <v>2023</v>
      </c>
      <c r="N586" t="s">
        <v>47</v>
      </c>
      <c r="O586" t="s">
        <v>47</v>
      </c>
      <c r="P586" t="s">
        <v>8355</v>
      </c>
    </row>
    <row r="587" spans="1:16" x14ac:dyDescent="0.3">
      <c r="A587" t="s">
        <v>6998</v>
      </c>
      <c r="B587" t="s">
        <v>6</v>
      </c>
      <c r="C587">
        <v>60</v>
      </c>
      <c r="D587" t="s">
        <v>3777</v>
      </c>
      <c r="E587" t="s">
        <v>6999</v>
      </c>
      <c r="F587" s="43">
        <v>45042</v>
      </c>
      <c r="G587" s="43">
        <v>949997.9993055556</v>
      </c>
      <c r="H587">
        <v>10</v>
      </c>
      <c r="I587">
        <v>30</v>
      </c>
      <c r="J587">
        <v>11</v>
      </c>
      <c r="K587">
        <v>30</v>
      </c>
      <c r="L587">
        <v>2023</v>
      </c>
      <c r="N587" t="s">
        <v>7000</v>
      </c>
      <c r="O587" t="s">
        <v>47</v>
      </c>
      <c r="P587" t="s">
        <v>7001</v>
      </c>
    </row>
    <row r="588" spans="1:16" x14ac:dyDescent="0.3">
      <c r="A588" t="s">
        <v>8347</v>
      </c>
      <c r="C588">
        <v>25</v>
      </c>
      <c r="D588" t="s">
        <v>10</v>
      </c>
      <c r="F588" s="43">
        <v>45041.784722222219</v>
      </c>
      <c r="G588" s="43">
        <v>45041.802083333336</v>
      </c>
      <c r="H588">
        <v>18</v>
      </c>
      <c r="I588">
        <v>50</v>
      </c>
      <c r="J588">
        <v>19</v>
      </c>
      <c r="K588">
        <v>15</v>
      </c>
      <c r="L588">
        <v>2023</v>
      </c>
      <c r="N588" t="s">
        <v>47</v>
      </c>
      <c r="O588" t="s">
        <v>47</v>
      </c>
      <c r="P588" t="s">
        <v>8348</v>
      </c>
    </row>
    <row r="589" spans="1:16" x14ac:dyDescent="0.3">
      <c r="A589" t="s">
        <v>4358</v>
      </c>
      <c r="C589">
        <v>45</v>
      </c>
      <c r="D589" t="s">
        <v>10</v>
      </c>
      <c r="F589" s="43">
        <v>45041.739583333336</v>
      </c>
      <c r="G589" s="43">
        <v>45041.770833333336</v>
      </c>
      <c r="H589">
        <v>17</v>
      </c>
      <c r="I589">
        <v>45</v>
      </c>
      <c r="J589">
        <v>18</v>
      </c>
      <c r="K589">
        <v>30</v>
      </c>
      <c r="L589">
        <v>2023</v>
      </c>
      <c r="N589" t="s">
        <v>47</v>
      </c>
      <c r="O589" t="s">
        <v>47</v>
      </c>
      <c r="P589" t="s">
        <v>8346</v>
      </c>
    </row>
    <row r="590" spans="1:16" x14ac:dyDescent="0.3">
      <c r="A590" t="s">
        <v>4358</v>
      </c>
      <c r="C590">
        <v>90</v>
      </c>
      <c r="D590" t="s">
        <v>10</v>
      </c>
      <c r="F590" s="43">
        <v>45041.625</v>
      </c>
      <c r="G590" s="43">
        <v>45041.6875</v>
      </c>
      <c r="H590">
        <v>15</v>
      </c>
      <c r="I590">
        <v>0</v>
      </c>
      <c r="J590">
        <v>16</v>
      </c>
      <c r="K590">
        <v>30</v>
      </c>
      <c r="L590">
        <v>2023</v>
      </c>
      <c r="N590" t="s">
        <v>47</v>
      </c>
      <c r="O590" t="s">
        <v>47</v>
      </c>
      <c r="P590" t="s">
        <v>8341</v>
      </c>
    </row>
    <row r="591" spans="1:16" x14ac:dyDescent="0.3">
      <c r="A591" t="s">
        <v>8322</v>
      </c>
      <c r="C591">
        <v>45</v>
      </c>
      <c r="D591" t="s">
        <v>10</v>
      </c>
      <c r="E591" t="s">
        <v>21</v>
      </c>
      <c r="F591" s="1">
        <v>45041.583333333336</v>
      </c>
      <c r="G591" s="1">
        <v>45041.614583333336</v>
      </c>
      <c r="H591">
        <v>14</v>
      </c>
      <c r="I591">
        <v>0</v>
      </c>
      <c r="J591">
        <v>14</v>
      </c>
      <c r="K591">
        <v>45</v>
      </c>
      <c r="L591">
        <v>2023</v>
      </c>
      <c r="N591" t="s">
        <v>8223</v>
      </c>
      <c r="O591" t="s">
        <v>8224</v>
      </c>
      <c r="P591" t="s">
        <v>8323</v>
      </c>
    </row>
    <row r="592" spans="1:16" x14ac:dyDescent="0.3">
      <c r="A592" t="s">
        <v>8292</v>
      </c>
      <c r="C592">
        <v>60</v>
      </c>
      <c r="D592" t="s">
        <v>10</v>
      </c>
      <c r="F592" s="43">
        <v>45041.510416666664</v>
      </c>
      <c r="G592" s="43">
        <v>45041.552083333336</v>
      </c>
      <c r="H592">
        <v>12</v>
      </c>
      <c r="I592">
        <v>15</v>
      </c>
      <c r="J592">
        <v>13</v>
      </c>
      <c r="K592">
        <v>15</v>
      </c>
      <c r="L592">
        <v>2023</v>
      </c>
      <c r="N592" t="s">
        <v>47</v>
      </c>
      <c r="O592" t="s">
        <v>47</v>
      </c>
      <c r="P592" t="s">
        <v>8340</v>
      </c>
    </row>
    <row r="593" spans="1:16" x14ac:dyDescent="0.3">
      <c r="A593" t="s">
        <v>8327</v>
      </c>
      <c r="B593" t="s">
        <v>20</v>
      </c>
      <c r="C593">
        <v>60</v>
      </c>
      <c r="D593" t="s">
        <v>10</v>
      </c>
      <c r="E593" t="s">
        <v>5</v>
      </c>
      <c r="F593" s="43">
        <v>45041.458333333336</v>
      </c>
      <c r="G593" s="43">
        <v>45041.5</v>
      </c>
      <c r="H593">
        <v>11</v>
      </c>
      <c r="I593">
        <v>0</v>
      </c>
      <c r="J593">
        <v>12</v>
      </c>
      <c r="K593">
        <v>0</v>
      </c>
      <c r="L593">
        <v>2023</v>
      </c>
      <c r="N593" t="s">
        <v>8328</v>
      </c>
      <c r="O593" t="s">
        <v>6681</v>
      </c>
      <c r="P593" t="s">
        <v>8329</v>
      </c>
    </row>
    <row r="594" spans="1:16" x14ac:dyDescent="0.3">
      <c r="A594" t="s">
        <v>8114</v>
      </c>
      <c r="B594" t="s">
        <v>20</v>
      </c>
      <c r="C594">
        <v>60</v>
      </c>
      <c r="D594" t="s">
        <v>10</v>
      </c>
      <c r="E594" t="s">
        <v>8115</v>
      </c>
      <c r="F594" s="43">
        <v>45041.416666666664</v>
      </c>
      <c r="G594" s="43">
        <v>45041.458333333336</v>
      </c>
      <c r="H594">
        <v>10</v>
      </c>
      <c r="I594">
        <v>0</v>
      </c>
      <c r="J594">
        <v>11</v>
      </c>
      <c r="K594">
        <v>0</v>
      </c>
      <c r="L594">
        <v>2023</v>
      </c>
      <c r="N594" t="s">
        <v>8116</v>
      </c>
      <c r="O594" t="s">
        <v>73</v>
      </c>
      <c r="P594" t="s">
        <v>8117</v>
      </c>
    </row>
    <row r="595" spans="1:16" x14ac:dyDescent="0.3">
      <c r="A595" t="s">
        <v>8256</v>
      </c>
      <c r="B595" t="s">
        <v>20</v>
      </c>
      <c r="C595">
        <v>60</v>
      </c>
      <c r="D595" t="s">
        <v>10</v>
      </c>
      <c r="E595" t="s">
        <v>501</v>
      </c>
      <c r="F595" s="43">
        <v>45041.333333333336</v>
      </c>
      <c r="G595" s="43">
        <v>45041.375</v>
      </c>
      <c r="H595">
        <v>8</v>
      </c>
      <c r="I595">
        <v>0</v>
      </c>
      <c r="J595">
        <v>9</v>
      </c>
      <c r="K595">
        <v>0</v>
      </c>
      <c r="L595">
        <v>2023</v>
      </c>
      <c r="N595" t="s">
        <v>8257</v>
      </c>
      <c r="O595" t="s">
        <v>47</v>
      </c>
      <c r="P595" t="s">
        <v>8258</v>
      </c>
    </row>
    <row r="596" spans="1:16" x14ac:dyDescent="0.3">
      <c r="A596" t="s">
        <v>8335</v>
      </c>
      <c r="C596">
        <v>30</v>
      </c>
      <c r="D596" t="s">
        <v>10</v>
      </c>
      <c r="F596" s="43">
        <v>45041.3125</v>
      </c>
      <c r="G596" s="43">
        <v>45041.333333333336</v>
      </c>
      <c r="H596">
        <v>7</v>
      </c>
      <c r="I596">
        <v>30</v>
      </c>
      <c r="J596">
        <v>8</v>
      </c>
      <c r="K596">
        <v>0</v>
      </c>
      <c r="L596">
        <v>2023</v>
      </c>
      <c r="N596" t="s">
        <v>47</v>
      </c>
      <c r="O596" t="s">
        <v>47</v>
      </c>
      <c r="P596" t="s">
        <v>8336</v>
      </c>
    </row>
    <row r="597" spans="1:16" x14ac:dyDescent="0.3">
      <c r="A597" t="s">
        <v>8327</v>
      </c>
      <c r="B597" t="s">
        <v>20</v>
      </c>
      <c r="C597">
        <v>60</v>
      </c>
      <c r="D597" t="s">
        <v>10</v>
      </c>
      <c r="E597" t="s">
        <v>5</v>
      </c>
      <c r="F597" s="43">
        <v>45041.25</v>
      </c>
      <c r="G597" s="43">
        <v>45041.291666666664</v>
      </c>
      <c r="H597">
        <v>6</v>
      </c>
      <c r="I597">
        <v>0</v>
      </c>
      <c r="J597">
        <v>7</v>
      </c>
      <c r="K597">
        <v>0</v>
      </c>
      <c r="L597">
        <v>2023</v>
      </c>
      <c r="N597" t="s">
        <v>8328</v>
      </c>
      <c r="O597" t="s">
        <v>6681</v>
      </c>
      <c r="P597" t="s">
        <v>8330</v>
      </c>
    </row>
    <row r="598" spans="1:16" x14ac:dyDescent="0.3">
      <c r="A598" t="s">
        <v>1745</v>
      </c>
      <c r="C598">
        <v>30</v>
      </c>
      <c r="D598" t="s">
        <v>10</v>
      </c>
      <c r="F598" s="43">
        <v>45041.25</v>
      </c>
      <c r="G598" s="43">
        <v>45041.270833333336</v>
      </c>
      <c r="H598">
        <v>6</v>
      </c>
      <c r="I598">
        <v>0</v>
      </c>
      <c r="J598">
        <v>6</v>
      </c>
      <c r="K598">
        <v>30</v>
      </c>
      <c r="L598">
        <v>2023</v>
      </c>
      <c r="N598" t="s">
        <v>47</v>
      </c>
      <c r="O598" t="s">
        <v>47</v>
      </c>
      <c r="P598" t="s">
        <v>8337</v>
      </c>
    </row>
    <row r="599" spans="1:16" x14ac:dyDescent="0.3">
      <c r="A599" t="s">
        <v>827</v>
      </c>
      <c r="C599">
        <v>30</v>
      </c>
      <c r="D599" t="s">
        <v>10</v>
      </c>
      <c r="F599" s="43">
        <v>45041.229166666664</v>
      </c>
      <c r="G599" s="43">
        <v>45041.25</v>
      </c>
      <c r="H599">
        <v>5</v>
      </c>
      <c r="I599">
        <v>30</v>
      </c>
      <c r="J599">
        <v>6</v>
      </c>
      <c r="K599">
        <v>0</v>
      </c>
      <c r="L599">
        <v>2023</v>
      </c>
      <c r="N599" t="s">
        <v>47</v>
      </c>
      <c r="O599" t="s">
        <v>47</v>
      </c>
      <c r="P599" t="s">
        <v>8338</v>
      </c>
    </row>
    <row r="600" spans="1:16" x14ac:dyDescent="0.3">
      <c r="A600" t="s">
        <v>8327</v>
      </c>
      <c r="B600" t="s">
        <v>20</v>
      </c>
      <c r="C600">
        <v>60</v>
      </c>
      <c r="D600" t="s">
        <v>10</v>
      </c>
      <c r="E600" t="s">
        <v>5</v>
      </c>
      <c r="F600" s="43">
        <v>45041.208333333336</v>
      </c>
      <c r="G600" s="43">
        <v>45041.25</v>
      </c>
      <c r="H600">
        <v>5</v>
      </c>
      <c r="I600">
        <v>0</v>
      </c>
      <c r="J600">
        <v>6</v>
      </c>
      <c r="K600">
        <v>0</v>
      </c>
      <c r="L600">
        <v>2023</v>
      </c>
      <c r="N600" t="s">
        <v>8328</v>
      </c>
      <c r="O600" t="s">
        <v>6681</v>
      </c>
      <c r="P600" t="s">
        <v>8331</v>
      </c>
    </row>
    <row r="601" spans="1:16" x14ac:dyDescent="0.3">
      <c r="C601">
        <v>60</v>
      </c>
      <c r="D601" t="s">
        <v>10</v>
      </c>
      <c r="F601" s="43">
        <v>45041.197916666664</v>
      </c>
      <c r="G601" s="43">
        <v>45041.239583333336</v>
      </c>
      <c r="H601">
        <v>4</v>
      </c>
      <c r="I601">
        <v>45</v>
      </c>
      <c r="J601">
        <v>5</v>
      </c>
      <c r="K601">
        <v>45</v>
      </c>
      <c r="L601">
        <v>2023</v>
      </c>
      <c r="O601" t="s">
        <v>47</v>
      </c>
      <c r="P601" t="s">
        <v>8339</v>
      </c>
    </row>
    <row r="602" spans="1:16" x14ac:dyDescent="0.3">
      <c r="A602" t="s">
        <v>8332</v>
      </c>
      <c r="C602">
        <v>45</v>
      </c>
      <c r="D602" t="s">
        <v>10</v>
      </c>
      <c r="F602" s="43">
        <v>45040.770833333336</v>
      </c>
      <c r="G602" s="43">
        <v>45040.802083333336</v>
      </c>
      <c r="H602">
        <v>18</v>
      </c>
      <c r="I602">
        <v>30</v>
      </c>
      <c r="J602">
        <v>19</v>
      </c>
      <c r="K602">
        <v>15</v>
      </c>
      <c r="L602">
        <v>2023</v>
      </c>
      <c r="N602" t="s">
        <v>47</v>
      </c>
      <c r="O602" t="s">
        <v>47</v>
      </c>
      <c r="P602" t="s">
        <v>8333</v>
      </c>
    </row>
    <row r="603" spans="1:16" x14ac:dyDescent="0.3">
      <c r="A603" t="s">
        <v>8320</v>
      </c>
      <c r="C603">
        <v>60</v>
      </c>
      <c r="D603" t="s">
        <v>10</v>
      </c>
      <c r="F603" s="43">
        <v>45040.708333333336</v>
      </c>
      <c r="G603" s="43">
        <v>45040.75</v>
      </c>
      <c r="H603">
        <v>17</v>
      </c>
      <c r="I603">
        <v>0</v>
      </c>
      <c r="J603">
        <v>18</v>
      </c>
      <c r="K603">
        <v>0</v>
      </c>
      <c r="L603">
        <v>2023</v>
      </c>
      <c r="N603" t="s">
        <v>47</v>
      </c>
      <c r="O603" t="s">
        <v>47</v>
      </c>
      <c r="P603" t="s">
        <v>8321</v>
      </c>
    </row>
    <row r="604" spans="1:16" x14ac:dyDescent="0.3">
      <c r="A604" t="s">
        <v>8</v>
      </c>
      <c r="C604">
        <v>30</v>
      </c>
      <c r="D604" t="s">
        <v>10</v>
      </c>
      <c r="F604" s="43">
        <v>45040.666666666664</v>
      </c>
      <c r="G604" s="43">
        <v>45040.6875</v>
      </c>
      <c r="H604">
        <v>16</v>
      </c>
      <c r="I604">
        <v>0</v>
      </c>
      <c r="J604">
        <v>16</v>
      </c>
      <c r="K604">
        <v>30</v>
      </c>
      <c r="L604">
        <v>2023</v>
      </c>
      <c r="N604" t="s">
        <v>47</v>
      </c>
      <c r="O604" t="s">
        <v>47</v>
      </c>
      <c r="P604" t="s">
        <v>8319</v>
      </c>
    </row>
    <row r="605" spans="1:16" x14ac:dyDescent="0.3">
      <c r="A605" t="s">
        <v>8317</v>
      </c>
      <c r="C605">
        <v>50</v>
      </c>
      <c r="D605" t="s">
        <v>10</v>
      </c>
      <c r="F605" s="43">
        <v>45040.583333333336</v>
      </c>
      <c r="G605" s="43">
        <v>45040.618055555555</v>
      </c>
      <c r="H605">
        <v>14</v>
      </c>
      <c r="I605">
        <v>0</v>
      </c>
      <c r="J605">
        <v>14</v>
      </c>
      <c r="K605">
        <v>50</v>
      </c>
      <c r="L605">
        <v>2023</v>
      </c>
      <c r="N605" t="s">
        <v>47</v>
      </c>
      <c r="O605" t="s">
        <v>47</v>
      </c>
      <c r="P605" t="s">
        <v>8318</v>
      </c>
    </row>
    <row r="606" spans="1:16" x14ac:dyDescent="0.3">
      <c r="A606" t="s">
        <v>446</v>
      </c>
      <c r="C606">
        <v>30</v>
      </c>
      <c r="D606" t="s">
        <v>10</v>
      </c>
      <c r="F606" s="43">
        <v>45040.5625</v>
      </c>
      <c r="G606" s="43">
        <v>45040.583333333336</v>
      </c>
      <c r="H606">
        <v>13</v>
      </c>
      <c r="I606">
        <v>30</v>
      </c>
      <c r="J606">
        <v>14</v>
      </c>
      <c r="K606">
        <v>0</v>
      </c>
      <c r="L606">
        <v>2023</v>
      </c>
      <c r="N606" t="s">
        <v>47</v>
      </c>
      <c r="O606" t="s">
        <v>47</v>
      </c>
      <c r="P606" t="s">
        <v>8315</v>
      </c>
    </row>
    <row r="607" spans="1:16" x14ac:dyDescent="0.3">
      <c r="A607" t="s">
        <v>8</v>
      </c>
      <c r="C607">
        <v>30</v>
      </c>
      <c r="D607" t="s">
        <v>10</v>
      </c>
      <c r="F607" s="43">
        <v>45040.520833333336</v>
      </c>
      <c r="G607" s="43">
        <v>45040.541666666664</v>
      </c>
      <c r="H607">
        <v>12</v>
      </c>
      <c r="I607">
        <v>30</v>
      </c>
      <c r="J607">
        <v>13</v>
      </c>
      <c r="K607">
        <v>0</v>
      </c>
      <c r="L607">
        <v>2023</v>
      </c>
      <c r="N607" t="s">
        <v>47</v>
      </c>
      <c r="O607" t="s">
        <v>47</v>
      </c>
      <c r="P607" t="s">
        <v>8316</v>
      </c>
    </row>
    <row r="608" spans="1:16" x14ac:dyDescent="0.3">
      <c r="A608" t="s">
        <v>8304</v>
      </c>
      <c r="B608" t="s">
        <v>20</v>
      </c>
      <c r="C608">
        <v>30</v>
      </c>
      <c r="D608" t="s">
        <v>10</v>
      </c>
      <c r="E608" t="s">
        <v>501</v>
      </c>
      <c r="F608" s="43">
        <v>45040.5</v>
      </c>
      <c r="G608" s="43">
        <v>45040.520833333336</v>
      </c>
      <c r="H608">
        <v>12</v>
      </c>
      <c r="I608">
        <v>0</v>
      </c>
      <c r="J608">
        <v>12</v>
      </c>
      <c r="K608">
        <v>30</v>
      </c>
      <c r="L608">
        <v>2023</v>
      </c>
      <c r="N608" t="s">
        <v>4627</v>
      </c>
      <c r="O608" t="s">
        <v>47</v>
      </c>
      <c r="P608" t="s">
        <v>8305</v>
      </c>
    </row>
    <row r="609" spans="1:16" x14ac:dyDescent="0.3">
      <c r="A609" t="s">
        <v>8</v>
      </c>
      <c r="C609">
        <v>30</v>
      </c>
      <c r="D609" t="s">
        <v>10</v>
      </c>
      <c r="F609" s="43">
        <v>45040.458333333336</v>
      </c>
      <c r="G609" s="43">
        <v>45040.479166666664</v>
      </c>
      <c r="H609">
        <v>11</v>
      </c>
      <c r="I609">
        <v>0</v>
      </c>
      <c r="J609">
        <v>11</v>
      </c>
      <c r="K609">
        <v>30</v>
      </c>
      <c r="L609">
        <v>2023</v>
      </c>
      <c r="N609" t="s">
        <v>47</v>
      </c>
      <c r="O609" t="s">
        <v>47</v>
      </c>
      <c r="P609" t="s">
        <v>8303</v>
      </c>
    </row>
    <row r="610" spans="1:16" x14ac:dyDescent="0.3">
      <c r="A610" t="s">
        <v>8277</v>
      </c>
      <c r="B610" t="s">
        <v>20</v>
      </c>
      <c r="C610">
        <v>30</v>
      </c>
      <c r="D610" t="s">
        <v>10</v>
      </c>
      <c r="E610" t="s">
        <v>8278</v>
      </c>
      <c r="F610" s="43">
        <v>45040.4375</v>
      </c>
      <c r="G610" s="43">
        <v>45040.458333333336</v>
      </c>
      <c r="H610">
        <v>10</v>
      </c>
      <c r="I610">
        <v>30</v>
      </c>
      <c r="J610">
        <v>11</v>
      </c>
      <c r="K610">
        <v>0</v>
      </c>
      <c r="L610">
        <v>2023</v>
      </c>
      <c r="N610" t="s">
        <v>8279</v>
      </c>
      <c r="O610" t="s">
        <v>48</v>
      </c>
      <c r="P610" t="s">
        <v>8280</v>
      </c>
    </row>
    <row r="611" spans="1:16" x14ac:dyDescent="0.3">
      <c r="A611" t="s">
        <v>8232</v>
      </c>
      <c r="C611">
        <v>30</v>
      </c>
      <c r="D611" t="s">
        <v>10</v>
      </c>
      <c r="F611" s="1">
        <v>45040.416666666664</v>
      </c>
      <c r="G611" s="1">
        <v>45040.4375</v>
      </c>
      <c r="H611">
        <v>10</v>
      </c>
      <c r="I611">
        <v>0</v>
      </c>
      <c r="J611">
        <v>10</v>
      </c>
      <c r="K611">
        <v>30</v>
      </c>
      <c r="L611">
        <v>2023</v>
      </c>
      <c r="N611" t="s">
        <v>7164</v>
      </c>
      <c r="O611" t="s">
        <v>7026</v>
      </c>
      <c r="P611" t="s">
        <v>8233</v>
      </c>
    </row>
    <row r="612" spans="1:16" x14ac:dyDescent="0.3">
      <c r="A612" t="s">
        <v>8306</v>
      </c>
      <c r="C612">
        <v>30</v>
      </c>
      <c r="D612" t="s">
        <v>10</v>
      </c>
      <c r="F612" s="43">
        <v>45040.375</v>
      </c>
      <c r="G612" s="43">
        <v>45040.395833333336</v>
      </c>
      <c r="H612">
        <v>9</v>
      </c>
      <c r="I612">
        <v>0</v>
      </c>
      <c r="J612">
        <v>9</v>
      </c>
      <c r="K612">
        <v>30</v>
      </c>
      <c r="L612">
        <v>2023</v>
      </c>
      <c r="N612" t="s">
        <v>47</v>
      </c>
      <c r="O612" t="s">
        <v>47</v>
      </c>
      <c r="P612" t="s">
        <v>8307</v>
      </c>
    </row>
    <row r="613" spans="1:16" x14ac:dyDescent="0.3">
      <c r="A613" t="s">
        <v>8298</v>
      </c>
      <c r="B613" t="s">
        <v>160</v>
      </c>
      <c r="C613">
        <v>60</v>
      </c>
      <c r="D613" t="s">
        <v>10</v>
      </c>
      <c r="F613" s="43">
        <v>45040.333333333336</v>
      </c>
      <c r="G613" s="43">
        <v>45040.375</v>
      </c>
      <c r="H613">
        <v>8</v>
      </c>
      <c r="I613">
        <v>0</v>
      </c>
      <c r="J613">
        <v>9</v>
      </c>
      <c r="K613">
        <v>0</v>
      </c>
      <c r="L613">
        <v>2023</v>
      </c>
      <c r="N613" t="s">
        <v>87</v>
      </c>
      <c r="O613" t="s">
        <v>73</v>
      </c>
      <c r="P613" t="s">
        <v>8299</v>
      </c>
    </row>
    <row r="614" spans="1:16" x14ac:dyDescent="0.3">
      <c r="A614" t="s">
        <v>6</v>
      </c>
      <c r="C614">
        <v>30</v>
      </c>
      <c r="D614" t="s">
        <v>10</v>
      </c>
      <c r="F614" s="43">
        <v>45040.270833333336</v>
      </c>
      <c r="G614" s="43">
        <v>45040.291666666664</v>
      </c>
      <c r="H614">
        <v>6</v>
      </c>
      <c r="I614">
        <v>30</v>
      </c>
      <c r="J614">
        <v>7</v>
      </c>
      <c r="K614">
        <v>0</v>
      </c>
      <c r="L614">
        <v>2023</v>
      </c>
      <c r="N614" t="s">
        <v>47</v>
      </c>
      <c r="O614" t="s">
        <v>47</v>
      </c>
      <c r="P614" t="s">
        <v>8311</v>
      </c>
    </row>
    <row r="615" spans="1:16" x14ac:dyDescent="0.3">
      <c r="A615" t="s">
        <v>827</v>
      </c>
      <c r="C615">
        <v>30</v>
      </c>
      <c r="D615" t="s">
        <v>10</v>
      </c>
      <c r="F615" s="43">
        <v>45040.25</v>
      </c>
      <c r="G615" s="43">
        <v>45040.270833333336</v>
      </c>
      <c r="H615">
        <v>6</v>
      </c>
      <c r="I615">
        <v>0</v>
      </c>
      <c r="J615">
        <v>6</v>
      </c>
      <c r="K615">
        <v>30</v>
      </c>
      <c r="L615">
        <v>2023</v>
      </c>
      <c r="N615" t="s">
        <v>47</v>
      </c>
      <c r="O615" t="s">
        <v>47</v>
      </c>
      <c r="P615" t="s">
        <v>8312</v>
      </c>
    </row>
    <row r="616" spans="1:16" x14ac:dyDescent="0.3">
      <c r="A616" t="s">
        <v>6</v>
      </c>
      <c r="C616">
        <v>30</v>
      </c>
      <c r="D616" t="s">
        <v>10</v>
      </c>
      <c r="F616" s="1">
        <v>45040.229166666664</v>
      </c>
      <c r="G616" s="1">
        <v>45040.25</v>
      </c>
      <c r="H616">
        <v>5</v>
      </c>
      <c r="I616">
        <v>30</v>
      </c>
      <c r="J616">
        <v>6</v>
      </c>
      <c r="K616">
        <v>0</v>
      </c>
      <c r="L616">
        <v>2023</v>
      </c>
      <c r="N616" t="s">
        <v>47</v>
      </c>
      <c r="O616" t="s">
        <v>47</v>
      </c>
      <c r="P616" t="s">
        <v>8334</v>
      </c>
    </row>
    <row r="617" spans="1:16" x14ac:dyDescent="0.3">
      <c r="A617" t="s">
        <v>8300</v>
      </c>
      <c r="C617">
        <v>30</v>
      </c>
      <c r="D617" t="s">
        <v>10</v>
      </c>
      <c r="F617" s="43">
        <v>45039.697916666664</v>
      </c>
      <c r="G617" s="43">
        <v>45039.71875</v>
      </c>
      <c r="H617">
        <v>16</v>
      </c>
      <c r="I617">
        <v>45</v>
      </c>
      <c r="J617">
        <v>17</v>
      </c>
      <c r="K617">
        <v>15</v>
      </c>
      <c r="L617">
        <v>2023</v>
      </c>
      <c r="N617" t="s">
        <v>47</v>
      </c>
      <c r="O617" t="s">
        <v>47</v>
      </c>
      <c r="P617" t="s">
        <v>8302</v>
      </c>
    </row>
    <row r="618" spans="1:16" x14ac:dyDescent="0.3">
      <c r="A618" t="s">
        <v>8300</v>
      </c>
      <c r="C618">
        <v>60</v>
      </c>
      <c r="D618" t="s">
        <v>10</v>
      </c>
      <c r="F618" s="43">
        <v>45039.625</v>
      </c>
      <c r="G618" s="43">
        <v>45039.666666666664</v>
      </c>
      <c r="H618">
        <v>15</v>
      </c>
      <c r="I618">
        <v>0</v>
      </c>
      <c r="J618">
        <v>16</v>
      </c>
      <c r="K618">
        <v>0</v>
      </c>
      <c r="L618">
        <v>2023</v>
      </c>
      <c r="N618" t="s">
        <v>47</v>
      </c>
      <c r="O618" t="s">
        <v>47</v>
      </c>
      <c r="P618" t="s">
        <v>8301</v>
      </c>
    </row>
    <row r="619" spans="1:16" x14ac:dyDescent="0.3">
      <c r="A619" t="s">
        <v>8296</v>
      </c>
      <c r="C619">
        <v>45</v>
      </c>
      <c r="D619" t="s">
        <v>10</v>
      </c>
      <c r="F619" s="43">
        <v>45039.5625</v>
      </c>
      <c r="G619" s="43">
        <v>45039.59375</v>
      </c>
      <c r="H619">
        <v>13</v>
      </c>
      <c r="I619">
        <v>30</v>
      </c>
      <c r="J619">
        <v>14</v>
      </c>
      <c r="K619">
        <v>15</v>
      </c>
      <c r="L619">
        <v>2023</v>
      </c>
      <c r="N619" t="s">
        <v>47</v>
      </c>
      <c r="O619" t="s">
        <v>47</v>
      </c>
      <c r="P619" t="s">
        <v>8297</v>
      </c>
    </row>
    <row r="620" spans="1:16" x14ac:dyDescent="0.3">
      <c r="A620" t="s">
        <v>8292</v>
      </c>
      <c r="C620">
        <v>30</v>
      </c>
      <c r="D620" t="s">
        <v>10</v>
      </c>
      <c r="F620" s="43">
        <v>45039.479166666664</v>
      </c>
      <c r="G620" s="43">
        <v>45039.5</v>
      </c>
      <c r="H620">
        <v>11</v>
      </c>
      <c r="I620">
        <v>30</v>
      </c>
      <c r="J620">
        <v>12</v>
      </c>
      <c r="K620">
        <v>0</v>
      </c>
      <c r="L620">
        <v>2023</v>
      </c>
      <c r="N620" t="s">
        <v>47</v>
      </c>
      <c r="O620" t="s">
        <v>47</v>
      </c>
      <c r="P620" t="s">
        <v>8294</v>
      </c>
    </row>
    <row r="621" spans="1:16" x14ac:dyDescent="0.3">
      <c r="A621" t="s">
        <v>8292</v>
      </c>
      <c r="C621">
        <v>30</v>
      </c>
      <c r="D621" t="s">
        <v>10</v>
      </c>
      <c r="E621" t="s">
        <v>5</v>
      </c>
      <c r="F621" s="1">
        <v>45039.458333333336</v>
      </c>
      <c r="G621" s="1">
        <v>45039.479166666664</v>
      </c>
      <c r="H621">
        <v>11</v>
      </c>
      <c r="I621">
        <v>0</v>
      </c>
      <c r="J621">
        <v>11</v>
      </c>
      <c r="K621">
        <v>30</v>
      </c>
      <c r="L621">
        <v>2023</v>
      </c>
      <c r="N621" t="s">
        <v>6680</v>
      </c>
      <c r="O621" t="s">
        <v>6681</v>
      </c>
      <c r="P621" t="s">
        <v>8293</v>
      </c>
    </row>
    <row r="622" spans="1:16" x14ac:dyDescent="0.3">
      <c r="A622" t="s">
        <v>8313</v>
      </c>
      <c r="C622">
        <v>60</v>
      </c>
      <c r="D622" t="s">
        <v>10</v>
      </c>
      <c r="F622" s="43">
        <v>45039.333333333336</v>
      </c>
      <c r="G622" s="43">
        <v>45039.375</v>
      </c>
      <c r="H622">
        <v>8</v>
      </c>
      <c r="I622">
        <v>0</v>
      </c>
      <c r="J622">
        <v>9</v>
      </c>
      <c r="K622">
        <v>0</v>
      </c>
      <c r="L622">
        <v>2023</v>
      </c>
      <c r="N622" t="s">
        <v>47</v>
      </c>
      <c r="O622" t="s">
        <v>47</v>
      </c>
      <c r="P622" t="s">
        <v>8314</v>
      </c>
    </row>
    <row r="623" spans="1:16" x14ac:dyDescent="0.3">
      <c r="A623" t="s">
        <v>8</v>
      </c>
      <c r="C623">
        <v>60</v>
      </c>
      <c r="D623" t="s">
        <v>10</v>
      </c>
      <c r="F623" s="43">
        <v>45039.229166666664</v>
      </c>
      <c r="G623" s="43">
        <v>45039.270833333336</v>
      </c>
      <c r="H623">
        <v>5</v>
      </c>
      <c r="I623">
        <v>30</v>
      </c>
      <c r="J623">
        <v>6</v>
      </c>
      <c r="K623">
        <v>30</v>
      </c>
      <c r="L623">
        <v>2023</v>
      </c>
      <c r="N623" t="s">
        <v>47</v>
      </c>
      <c r="O623" t="s">
        <v>47</v>
      </c>
      <c r="P623" t="s">
        <v>8295</v>
      </c>
    </row>
    <row r="624" spans="1:16" x14ac:dyDescent="0.3">
      <c r="A624" t="s">
        <v>8290</v>
      </c>
      <c r="B624" t="s">
        <v>222</v>
      </c>
      <c r="C624">
        <v>30</v>
      </c>
      <c r="D624" t="s">
        <v>10</v>
      </c>
      <c r="E624" t="s">
        <v>438</v>
      </c>
      <c r="F624" s="43">
        <v>45038.708333333336</v>
      </c>
      <c r="G624" s="43">
        <v>45038.729166666664</v>
      </c>
      <c r="H624">
        <v>17</v>
      </c>
      <c r="I624">
        <v>0</v>
      </c>
      <c r="J624">
        <v>17</v>
      </c>
      <c r="K624">
        <v>30</v>
      </c>
      <c r="L624">
        <v>2023</v>
      </c>
      <c r="N624" t="s">
        <v>47</v>
      </c>
      <c r="O624" t="s">
        <v>47</v>
      </c>
      <c r="P624" t="s">
        <v>8291</v>
      </c>
    </row>
    <row r="625" spans="1:16" x14ac:dyDescent="0.3">
      <c r="A625" t="s">
        <v>8287</v>
      </c>
      <c r="C625">
        <v>60</v>
      </c>
      <c r="D625" t="s">
        <v>10</v>
      </c>
      <c r="F625" s="43">
        <v>45038.645833333336</v>
      </c>
      <c r="G625" s="43">
        <v>45038.6875</v>
      </c>
      <c r="H625">
        <v>15</v>
      </c>
      <c r="I625">
        <v>30</v>
      </c>
      <c r="J625">
        <v>16</v>
      </c>
      <c r="K625">
        <v>30</v>
      </c>
      <c r="L625">
        <v>2023</v>
      </c>
      <c r="N625" t="s">
        <v>47</v>
      </c>
      <c r="O625" t="s">
        <v>47</v>
      </c>
      <c r="P625" t="s">
        <v>8288</v>
      </c>
    </row>
    <row r="626" spans="1:16" x14ac:dyDescent="0.3">
      <c r="A626" t="s">
        <v>5950</v>
      </c>
      <c r="B626" t="s">
        <v>222</v>
      </c>
      <c r="C626">
        <v>60</v>
      </c>
      <c r="D626" t="s">
        <v>10</v>
      </c>
      <c r="E626" t="s">
        <v>438</v>
      </c>
      <c r="F626" s="43">
        <v>45038.416666666664</v>
      </c>
      <c r="G626" s="43">
        <v>45038.458333333336</v>
      </c>
      <c r="H626">
        <v>10</v>
      </c>
      <c r="I626">
        <v>0</v>
      </c>
      <c r="J626">
        <v>11</v>
      </c>
      <c r="K626">
        <v>0</v>
      </c>
      <c r="L626">
        <v>2023</v>
      </c>
      <c r="N626" t="s">
        <v>47</v>
      </c>
      <c r="O626" t="s">
        <v>47</v>
      </c>
      <c r="P626" t="s">
        <v>8289</v>
      </c>
    </row>
    <row r="627" spans="1:16" x14ac:dyDescent="0.3">
      <c r="A627" t="s">
        <v>7</v>
      </c>
      <c r="C627">
        <v>60</v>
      </c>
      <c r="D627" t="s">
        <v>10</v>
      </c>
      <c r="F627" s="43">
        <v>45038.229166666664</v>
      </c>
      <c r="G627" s="43">
        <v>45038.270833333336</v>
      </c>
      <c r="H627">
        <v>5</v>
      </c>
      <c r="I627">
        <v>30</v>
      </c>
      <c r="J627">
        <v>6</v>
      </c>
      <c r="K627">
        <v>30</v>
      </c>
      <c r="L627">
        <v>2023</v>
      </c>
      <c r="N627" t="s">
        <v>47</v>
      </c>
      <c r="O627" t="s">
        <v>47</v>
      </c>
      <c r="P627" t="s">
        <v>8286</v>
      </c>
    </row>
    <row r="628" spans="1:16" x14ac:dyDescent="0.3">
      <c r="A628" t="s">
        <v>8283</v>
      </c>
      <c r="C628">
        <v>90</v>
      </c>
      <c r="D628" t="s">
        <v>10</v>
      </c>
      <c r="F628" s="43">
        <v>45037.75</v>
      </c>
      <c r="G628" s="43">
        <v>45037.8125</v>
      </c>
      <c r="H628">
        <v>18</v>
      </c>
      <c r="I628">
        <v>0</v>
      </c>
      <c r="J628">
        <v>19</v>
      </c>
      <c r="K628">
        <v>30</v>
      </c>
      <c r="L628">
        <v>2023</v>
      </c>
      <c r="N628" t="s">
        <v>47</v>
      </c>
      <c r="O628" t="s">
        <v>47</v>
      </c>
      <c r="P628" t="s">
        <v>8284</v>
      </c>
    </row>
    <row r="629" spans="1:16" x14ac:dyDescent="0.3">
      <c r="A629" t="s">
        <v>8</v>
      </c>
      <c r="C629">
        <v>45</v>
      </c>
      <c r="D629" t="s">
        <v>10</v>
      </c>
      <c r="F629" s="43">
        <v>45037.666666666664</v>
      </c>
      <c r="G629" s="43">
        <v>45037.697916666664</v>
      </c>
      <c r="H629">
        <v>16</v>
      </c>
      <c r="I629">
        <v>0</v>
      </c>
      <c r="J629">
        <v>16</v>
      </c>
      <c r="K629">
        <v>45</v>
      </c>
      <c r="L629">
        <v>2023</v>
      </c>
      <c r="N629" t="s">
        <v>47</v>
      </c>
      <c r="O629" t="s">
        <v>47</v>
      </c>
      <c r="P629" t="s">
        <v>8285</v>
      </c>
    </row>
    <row r="630" spans="1:16" x14ac:dyDescent="0.3">
      <c r="A630" t="s">
        <v>8268</v>
      </c>
      <c r="C630">
        <v>60</v>
      </c>
      <c r="D630" t="s">
        <v>10</v>
      </c>
      <c r="E630" t="s">
        <v>8266</v>
      </c>
      <c r="F630" s="43">
        <v>45037.583333333336</v>
      </c>
      <c r="G630" s="43">
        <v>45037.625</v>
      </c>
      <c r="H630">
        <v>14</v>
      </c>
      <c r="I630">
        <v>0</v>
      </c>
      <c r="J630">
        <v>15</v>
      </c>
      <c r="K630">
        <v>0</v>
      </c>
      <c r="L630">
        <v>2023</v>
      </c>
      <c r="N630" t="s">
        <v>4384</v>
      </c>
      <c r="O630" t="s">
        <v>47</v>
      </c>
      <c r="P630" t="s">
        <v>8269</v>
      </c>
    </row>
    <row r="631" spans="1:16" x14ac:dyDescent="0.3">
      <c r="A631" t="s">
        <v>8270</v>
      </c>
      <c r="C631">
        <v>90</v>
      </c>
      <c r="D631" t="s">
        <v>10</v>
      </c>
      <c r="E631" t="s">
        <v>8271</v>
      </c>
      <c r="F631" s="43">
        <v>45037.5</v>
      </c>
      <c r="G631" s="43">
        <v>45037.5625</v>
      </c>
      <c r="H631">
        <v>12</v>
      </c>
      <c r="I631">
        <v>0</v>
      </c>
      <c r="J631">
        <v>13</v>
      </c>
      <c r="K631">
        <v>30</v>
      </c>
      <c r="L631">
        <v>2023</v>
      </c>
      <c r="N631" t="s">
        <v>8272</v>
      </c>
      <c r="O631" t="s">
        <v>47</v>
      </c>
      <c r="P631" t="s">
        <v>8273</v>
      </c>
    </row>
    <row r="632" spans="1:16" x14ac:dyDescent="0.3">
      <c r="A632" t="s">
        <v>8265</v>
      </c>
      <c r="C632">
        <v>90</v>
      </c>
      <c r="D632" t="s">
        <v>10</v>
      </c>
      <c r="E632" t="s">
        <v>8266</v>
      </c>
      <c r="F632" s="43">
        <v>45037.4375</v>
      </c>
      <c r="G632" s="43">
        <v>45037.5</v>
      </c>
      <c r="H632">
        <v>10</v>
      </c>
      <c r="I632">
        <v>30</v>
      </c>
      <c r="J632">
        <v>12</v>
      </c>
      <c r="K632">
        <v>0</v>
      </c>
      <c r="L632">
        <v>2023</v>
      </c>
      <c r="N632" t="s">
        <v>8184</v>
      </c>
      <c r="O632" t="s">
        <v>47</v>
      </c>
      <c r="P632" t="s">
        <v>8267</v>
      </c>
    </row>
    <row r="633" spans="1:16" x14ac:dyDescent="0.3">
      <c r="A633" t="s">
        <v>8263</v>
      </c>
      <c r="C633">
        <v>45</v>
      </c>
      <c r="D633" t="s">
        <v>10</v>
      </c>
      <c r="F633" s="43">
        <v>45037.385416666664</v>
      </c>
      <c r="G633" s="43">
        <v>45037.416666666664</v>
      </c>
      <c r="H633">
        <v>9</v>
      </c>
      <c r="I633">
        <v>15</v>
      </c>
      <c r="J633">
        <v>10</v>
      </c>
      <c r="K633">
        <v>0</v>
      </c>
      <c r="L633">
        <v>2023</v>
      </c>
      <c r="N633" t="s">
        <v>47</v>
      </c>
      <c r="O633" t="s">
        <v>47</v>
      </c>
      <c r="P633" t="s">
        <v>8264</v>
      </c>
    </row>
    <row r="634" spans="1:16" x14ac:dyDescent="0.3">
      <c r="A634" t="s">
        <v>8118</v>
      </c>
      <c r="C634">
        <v>40</v>
      </c>
      <c r="D634" t="s">
        <v>10</v>
      </c>
      <c r="E634" t="s">
        <v>8119</v>
      </c>
      <c r="F634" s="43">
        <v>45036.652777777781</v>
      </c>
      <c r="G634" s="43">
        <v>45036.680555555555</v>
      </c>
      <c r="H634">
        <v>15</v>
      </c>
      <c r="I634">
        <v>40</v>
      </c>
      <c r="J634">
        <v>16</v>
      </c>
      <c r="K634">
        <v>20</v>
      </c>
      <c r="L634">
        <v>2023</v>
      </c>
      <c r="N634" t="s">
        <v>8120</v>
      </c>
      <c r="O634" t="s">
        <v>8121</v>
      </c>
      <c r="P634" t="s">
        <v>8122</v>
      </c>
    </row>
    <row r="635" spans="1:16" x14ac:dyDescent="0.3">
      <c r="A635" t="s">
        <v>7656</v>
      </c>
      <c r="C635">
        <v>210</v>
      </c>
      <c r="D635" t="s">
        <v>10</v>
      </c>
      <c r="E635" t="s">
        <v>7657</v>
      </c>
      <c r="F635" s="43">
        <v>45036.625</v>
      </c>
      <c r="G635" s="43">
        <v>45036.770833333336</v>
      </c>
      <c r="H635">
        <v>15</v>
      </c>
      <c r="I635">
        <v>0</v>
      </c>
      <c r="J635">
        <v>18</v>
      </c>
      <c r="K635">
        <v>30</v>
      </c>
      <c r="L635">
        <v>2023</v>
      </c>
      <c r="N635" t="s">
        <v>5893</v>
      </c>
      <c r="O635" t="s">
        <v>48</v>
      </c>
      <c r="P635" t="s">
        <v>7658</v>
      </c>
    </row>
    <row r="636" spans="1:16" x14ac:dyDescent="0.3">
      <c r="A636" t="s">
        <v>8274</v>
      </c>
      <c r="C636">
        <v>90</v>
      </c>
      <c r="D636" t="s">
        <v>10</v>
      </c>
      <c r="F636" s="43">
        <v>45036.541666666664</v>
      </c>
      <c r="G636" s="43">
        <v>45036.604166666664</v>
      </c>
      <c r="H636">
        <v>13</v>
      </c>
      <c r="I636">
        <v>0</v>
      </c>
      <c r="J636">
        <v>14</v>
      </c>
      <c r="K636">
        <v>30</v>
      </c>
      <c r="L636">
        <v>2023</v>
      </c>
      <c r="N636" t="s">
        <v>47</v>
      </c>
      <c r="O636" t="s">
        <v>47</v>
      </c>
      <c r="P636" t="s">
        <v>8275</v>
      </c>
    </row>
    <row r="637" spans="1:16" x14ac:dyDescent="0.3">
      <c r="C637">
        <v>30</v>
      </c>
      <c r="D637" t="s">
        <v>10</v>
      </c>
      <c r="F637" s="43">
        <v>45036.520833333336</v>
      </c>
      <c r="G637" s="43">
        <v>45036.541666666664</v>
      </c>
      <c r="H637">
        <v>12</v>
      </c>
      <c r="I637">
        <v>30</v>
      </c>
      <c r="J637">
        <v>13</v>
      </c>
      <c r="K637">
        <v>0</v>
      </c>
      <c r="L637">
        <v>2023</v>
      </c>
      <c r="N637" t="s">
        <v>47</v>
      </c>
      <c r="O637" t="s">
        <v>47</v>
      </c>
      <c r="P637" t="s">
        <v>8262</v>
      </c>
    </row>
    <row r="638" spans="1:16" x14ac:dyDescent="0.3">
      <c r="A638" t="s">
        <v>8193</v>
      </c>
      <c r="C638">
        <v>180</v>
      </c>
      <c r="D638" t="s">
        <v>10</v>
      </c>
      <c r="F638" s="43">
        <v>45036.416666666664</v>
      </c>
      <c r="G638" s="43">
        <v>45036.541666666664</v>
      </c>
      <c r="H638">
        <v>10</v>
      </c>
      <c r="I638">
        <v>0</v>
      </c>
      <c r="J638">
        <v>13</v>
      </c>
      <c r="K638">
        <v>0</v>
      </c>
      <c r="L638">
        <v>2023</v>
      </c>
      <c r="N638" t="s">
        <v>47</v>
      </c>
      <c r="O638" t="s">
        <v>47</v>
      </c>
      <c r="P638" t="s">
        <v>8276</v>
      </c>
    </row>
    <row r="639" spans="1:16" x14ac:dyDescent="0.3">
      <c r="A639" t="s">
        <v>8259</v>
      </c>
      <c r="C639">
        <v>15</v>
      </c>
      <c r="D639" t="s">
        <v>10</v>
      </c>
      <c r="E639" t="s">
        <v>501</v>
      </c>
      <c r="F639" s="43">
        <v>45036.395833333336</v>
      </c>
      <c r="G639" s="43">
        <v>45036.40625</v>
      </c>
      <c r="H639">
        <v>9</v>
      </c>
      <c r="I639">
        <v>30</v>
      </c>
      <c r="J639">
        <v>9</v>
      </c>
      <c r="K639">
        <v>45</v>
      </c>
      <c r="L639">
        <v>2023</v>
      </c>
      <c r="N639" t="s">
        <v>3570</v>
      </c>
      <c r="O639" t="s">
        <v>47</v>
      </c>
      <c r="P639" t="s">
        <v>8260</v>
      </c>
    </row>
    <row r="640" spans="1:16" x14ac:dyDescent="0.3">
      <c r="A640" t="s">
        <v>8</v>
      </c>
      <c r="C640">
        <v>60</v>
      </c>
      <c r="D640" t="s">
        <v>10</v>
      </c>
      <c r="F640" s="43">
        <v>45036.333333333336</v>
      </c>
      <c r="G640" s="43">
        <v>45036.375</v>
      </c>
      <c r="H640">
        <v>8</v>
      </c>
      <c r="I640">
        <v>0</v>
      </c>
      <c r="J640">
        <v>9</v>
      </c>
      <c r="K640">
        <v>0</v>
      </c>
      <c r="L640">
        <v>2023</v>
      </c>
      <c r="N640" t="s">
        <v>47</v>
      </c>
      <c r="O640" t="s">
        <v>47</v>
      </c>
      <c r="P640" t="s">
        <v>8253</v>
      </c>
    </row>
    <row r="641" spans="1:16" x14ac:dyDescent="0.3">
      <c r="A641" t="s">
        <v>8254</v>
      </c>
      <c r="C641">
        <v>30</v>
      </c>
      <c r="D641" t="s">
        <v>10</v>
      </c>
      <c r="F641" s="43">
        <v>45036.3125</v>
      </c>
      <c r="G641" s="43">
        <v>45036.333333333336</v>
      </c>
      <c r="H641">
        <v>7</v>
      </c>
      <c r="I641">
        <v>30</v>
      </c>
      <c r="J641">
        <v>8</v>
      </c>
      <c r="K641">
        <v>0</v>
      </c>
      <c r="L641">
        <v>2023</v>
      </c>
      <c r="N641" t="s">
        <v>47</v>
      </c>
      <c r="O641" t="s">
        <v>47</v>
      </c>
      <c r="P641" t="s">
        <v>8255</v>
      </c>
    </row>
    <row r="642" spans="1:16" x14ac:dyDescent="0.3">
      <c r="A642" t="s">
        <v>4926</v>
      </c>
      <c r="C642">
        <v>60</v>
      </c>
      <c r="D642" t="s">
        <v>10</v>
      </c>
      <c r="F642" s="43">
        <v>45036.208333333336</v>
      </c>
      <c r="G642" s="43">
        <v>45036.25</v>
      </c>
      <c r="H642">
        <v>5</v>
      </c>
      <c r="I642">
        <v>0</v>
      </c>
      <c r="J642">
        <v>6</v>
      </c>
      <c r="K642">
        <v>0</v>
      </c>
      <c r="L642">
        <v>2023</v>
      </c>
      <c r="N642" t="s">
        <v>47</v>
      </c>
      <c r="O642" t="s">
        <v>47</v>
      </c>
      <c r="P642" t="s">
        <v>8261</v>
      </c>
    </row>
    <row r="643" spans="1:16" x14ac:dyDescent="0.3">
      <c r="A643" t="s">
        <v>8250</v>
      </c>
      <c r="C643">
        <v>30</v>
      </c>
      <c r="D643" t="s">
        <v>10</v>
      </c>
      <c r="F643" s="43">
        <v>45035.666666666664</v>
      </c>
      <c r="G643" s="43">
        <v>45035.6875</v>
      </c>
      <c r="H643">
        <v>16</v>
      </c>
      <c r="I643">
        <v>0</v>
      </c>
      <c r="J643">
        <v>16</v>
      </c>
      <c r="K643">
        <v>30</v>
      </c>
      <c r="L643">
        <v>2023</v>
      </c>
      <c r="N643" t="s">
        <v>47</v>
      </c>
      <c r="O643" t="s">
        <v>47</v>
      </c>
      <c r="P643" t="s">
        <v>8251</v>
      </c>
    </row>
    <row r="644" spans="1:16" x14ac:dyDescent="0.3">
      <c r="A644" t="s">
        <v>8248</v>
      </c>
      <c r="C644">
        <v>30</v>
      </c>
      <c r="D644" t="s">
        <v>10</v>
      </c>
      <c r="F644" s="43">
        <v>45035.645833333336</v>
      </c>
      <c r="G644" s="43">
        <v>45035.666666666664</v>
      </c>
      <c r="H644">
        <v>15</v>
      </c>
      <c r="I644">
        <v>30</v>
      </c>
      <c r="J644">
        <v>16</v>
      </c>
      <c r="K644">
        <v>0</v>
      </c>
      <c r="L644">
        <v>2023</v>
      </c>
      <c r="N644" t="s">
        <v>47</v>
      </c>
      <c r="O644" t="s">
        <v>47</v>
      </c>
      <c r="P644" t="s">
        <v>8249</v>
      </c>
    </row>
    <row r="645" spans="1:16" x14ac:dyDescent="0.3">
      <c r="A645" t="s">
        <v>8193</v>
      </c>
      <c r="C645">
        <v>45</v>
      </c>
      <c r="D645" t="s">
        <v>10</v>
      </c>
      <c r="F645" s="43">
        <v>45035.583333333336</v>
      </c>
      <c r="G645" s="43">
        <v>45035.614583333336</v>
      </c>
      <c r="H645">
        <v>14</v>
      </c>
      <c r="I645">
        <v>0</v>
      </c>
      <c r="J645">
        <v>14</v>
      </c>
      <c r="K645">
        <v>45</v>
      </c>
      <c r="L645">
        <v>2023</v>
      </c>
      <c r="N645" t="s">
        <v>47</v>
      </c>
      <c r="O645" t="s">
        <v>47</v>
      </c>
      <c r="P645" t="s">
        <v>8247</v>
      </c>
    </row>
    <row r="646" spans="1:16" x14ac:dyDescent="0.3">
      <c r="A646" t="s">
        <v>4246</v>
      </c>
      <c r="C646">
        <v>30</v>
      </c>
      <c r="D646" t="s">
        <v>10</v>
      </c>
      <c r="E646" t="s">
        <v>501</v>
      </c>
      <c r="F646" s="43">
        <v>45035.5625</v>
      </c>
      <c r="G646" s="43">
        <v>45035.583333333336</v>
      </c>
      <c r="H646">
        <v>13</v>
      </c>
      <c r="I646">
        <v>30</v>
      </c>
      <c r="J646">
        <v>14</v>
      </c>
      <c r="K646">
        <v>0</v>
      </c>
      <c r="L646">
        <v>2023</v>
      </c>
      <c r="N646" t="s">
        <v>8239</v>
      </c>
      <c r="O646" t="s">
        <v>47</v>
      </c>
      <c r="P646" t="s">
        <v>8240</v>
      </c>
    </row>
    <row r="647" spans="1:16" x14ac:dyDescent="0.3">
      <c r="A647" t="s">
        <v>8193</v>
      </c>
      <c r="C647">
        <v>60</v>
      </c>
      <c r="D647" t="s">
        <v>10</v>
      </c>
      <c r="F647" s="43">
        <v>45035.520833333336</v>
      </c>
      <c r="G647" s="43">
        <v>45035.5625</v>
      </c>
      <c r="H647">
        <v>12</v>
      </c>
      <c r="I647">
        <v>30</v>
      </c>
      <c r="J647">
        <v>13</v>
      </c>
      <c r="K647">
        <v>30</v>
      </c>
      <c r="L647">
        <v>2023</v>
      </c>
      <c r="N647" t="s">
        <v>47</v>
      </c>
      <c r="O647" t="s">
        <v>47</v>
      </c>
      <c r="P647" t="s">
        <v>8252</v>
      </c>
    </row>
    <row r="648" spans="1:16" x14ac:dyDescent="0.3">
      <c r="A648" t="s">
        <v>8226</v>
      </c>
      <c r="C648">
        <v>30</v>
      </c>
      <c r="D648" t="s">
        <v>10</v>
      </c>
      <c r="F648" s="43">
        <v>45035.5</v>
      </c>
      <c r="G648" s="43">
        <v>45035.520833333336</v>
      </c>
      <c r="H648">
        <v>12</v>
      </c>
      <c r="I648">
        <v>0</v>
      </c>
      <c r="J648">
        <v>12</v>
      </c>
      <c r="K648">
        <v>30</v>
      </c>
      <c r="L648">
        <v>2023</v>
      </c>
      <c r="N648" t="s">
        <v>47</v>
      </c>
      <c r="O648" t="s">
        <v>47</v>
      </c>
      <c r="P648" t="s">
        <v>8227</v>
      </c>
    </row>
    <row r="649" spans="1:16" x14ac:dyDescent="0.3">
      <c r="A649" t="s">
        <v>8228</v>
      </c>
      <c r="C649">
        <v>30</v>
      </c>
      <c r="D649" t="s">
        <v>10</v>
      </c>
      <c r="F649" s="43">
        <v>45035.4375</v>
      </c>
      <c r="G649" s="43">
        <v>45035.458333333336</v>
      </c>
      <c r="H649">
        <v>10</v>
      </c>
      <c r="I649">
        <v>30</v>
      </c>
      <c r="J649">
        <v>11</v>
      </c>
      <c r="K649">
        <v>0</v>
      </c>
      <c r="L649">
        <v>2023</v>
      </c>
      <c r="N649" t="s">
        <v>47</v>
      </c>
      <c r="O649" t="s">
        <v>47</v>
      </c>
      <c r="P649" t="s">
        <v>8229</v>
      </c>
    </row>
    <row r="650" spans="1:16" x14ac:dyDescent="0.3">
      <c r="A650" t="s">
        <v>8188</v>
      </c>
      <c r="B650" t="s">
        <v>20</v>
      </c>
      <c r="C650">
        <v>30</v>
      </c>
      <c r="D650" t="s">
        <v>10</v>
      </c>
      <c r="E650" t="s">
        <v>5</v>
      </c>
      <c r="F650" s="43">
        <v>45035.416666666664</v>
      </c>
      <c r="G650" s="43">
        <v>45035.4375</v>
      </c>
      <c r="H650">
        <v>10</v>
      </c>
      <c r="I650">
        <v>0</v>
      </c>
      <c r="J650">
        <v>10</v>
      </c>
      <c r="K650">
        <v>30</v>
      </c>
      <c r="L650">
        <v>2023</v>
      </c>
      <c r="N650" t="s">
        <v>8189</v>
      </c>
      <c r="O650" t="s">
        <v>2186</v>
      </c>
      <c r="P650" t="s">
        <v>8190</v>
      </c>
    </row>
    <row r="651" spans="1:16" x14ac:dyDescent="0.3">
      <c r="A651" t="s">
        <v>8230</v>
      </c>
      <c r="C651">
        <v>60</v>
      </c>
      <c r="D651" t="s">
        <v>10</v>
      </c>
      <c r="F651" s="43">
        <v>45035.375</v>
      </c>
      <c r="G651" s="43">
        <v>45035.416666666664</v>
      </c>
      <c r="H651">
        <v>9</v>
      </c>
      <c r="I651">
        <v>0</v>
      </c>
      <c r="J651">
        <v>10</v>
      </c>
      <c r="K651">
        <v>0</v>
      </c>
      <c r="L651">
        <v>2023</v>
      </c>
      <c r="N651" t="s">
        <v>47</v>
      </c>
      <c r="O651" t="s">
        <v>47</v>
      </c>
      <c r="P651" t="s">
        <v>8231</v>
      </c>
    </row>
    <row r="652" spans="1:16" x14ac:dyDescent="0.3">
      <c r="A652" t="s">
        <v>8</v>
      </c>
      <c r="C652">
        <v>60</v>
      </c>
      <c r="D652" t="s">
        <v>10</v>
      </c>
      <c r="F652" s="43">
        <v>45035.3125</v>
      </c>
      <c r="G652" s="43">
        <v>45035.354166666664</v>
      </c>
      <c r="H652">
        <v>7</v>
      </c>
      <c r="I652">
        <v>30</v>
      </c>
      <c r="J652">
        <v>8</v>
      </c>
      <c r="K652">
        <v>30</v>
      </c>
      <c r="L652">
        <v>2023</v>
      </c>
      <c r="N652" t="s">
        <v>47</v>
      </c>
      <c r="O652" t="s">
        <v>47</v>
      </c>
      <c r="P652" t="s">
        <v>8234</v>
      </c>
    </row>
    <row r="653" spans="1:16" x14ac:dyDescent="0.3">
      <c r="A653" t="s">
        <v>17</v>
      </c>
      <c r="C653">
        <v>30</v>
      </c>
      <c r="D653" t="s">
        <v>10</v>
      </c>
      <c r="F653" s="43">
        <v>45035.270833333336</v>
      </c>
      <c r="G653" s="43">
        <v>45035.291666666664</v>
      </c>
      <c r="H653">
        <v>6</v>
      </c>
      <c r="I653">
        <v>30</v>
      </c>
      <c r="J653">
        <v>7</v>
      </c>
      <c r="K653">
        <v>0</v>
      </c>
      <c r="L653">
        <v>2023</v>
      </c>
      <c r="N653" t="s">
        <v>47</v>
      </c>
      <c r="O653" t="s">
        <v>47</v>
      </c>
      <c r="P653" t="s">
        <v>8235</v>
      </c>
    </row>
    <row r="654" spans="1:16" x14ac:dyDescent="0.3">
      <c r="A654" t="s">
        <v>8236</v>
      </c>
      <c r="C654">
        <v>30</v>
      </c>
      <c r="D654" t="s">
        <v>10</v>
      </c>
      <c r="F654" s="43">
        <v>45035.25</v>
      </c>
      <c r="G654" s="43">
        <v>45035.270833333336</v>
      </c>
      <c r="H654">
        <v>6</v>
      </c>
      <c r="I654">
        <v>0</v>
      </c>
      <c r="J654">
        <v>6</v>
      </c>
      <c r="K654">
        <v>30</v>
      </c>
      <c r="L654">
        <v>2023</v>
      </c>
      <c r="N654" t="s">
        <v>47</v>
      </c>
      <c r="O654" t="s">
        <v>47</v>
      </c>
      <c r="P654" t="s">
        <v>8237</v>
      </c>
    </row>
    <row r="655" spans="1:16" x14ac:dyDescent="0.3">
      <c r="A655" t="s">
        <v>7</v>
      </c>
      <c r="C655">
        <v>60</v>
      </c>
      <c r="D655" t="s">
        <v>10</v>
      </c>
      <c r="F655" s="43">
        <v>45035.208333333336</v>
      </c>
      <c r="G655" s="43">
        <v>45035.25</v>
      </c>
      <c r="H655">
        <v>5</v>
      </c>
      <c r="I655">
        <v>0</v>
      </c>
      <c r="J655">
        <v>6</v>
      </c>
      <c r="K655">
        <v>0</v>
      </c>
      <c r="L655">
        <v>2023</v>
      </c>
      <c r="N655" t="s">
        <v>47</v>
      </c>
      <c r="O655" t="s">
        <v>47</v>
      </c>
      <c r="P655" t="s">
        <v>8238</v>
      </c>
    </row>
    <row r="656" spans="1:16" x14ac:dyDescent="0.3">
      <c r="A656" t="s">
        <v>8130</v>
      </c>
      <c r="B656" t="s">
        <v>20</v>
      </c>
      <c r="C656">
        <v>30</v>
      </c>
      <c r="D656" t="s">
        <v>256</v>
      </c>
      <c r="E656" t="s">
        <v>501</v>
      </c>
      <c r="F656" s="43">
        <v>45035</v>
      </c>
      <c r="G656" s="43">
        <v>45203</v>
      </c>
      <c r="H656">
        <v>10</v>
      </c>
      <c r="I656">
        <v>0</v>
      </c>
      <c r="J656">
        <v>10</v>
      </c>
      <c r="K656">
        <v>30</v>
      </c>
      <c r="L656">
        <v>2023</v>
      </c>
      <c r="N656" t="s">
        <v>6992</v>
      </c>
      <c r="O656" t="s">
        <v>47</v>
      </c>
      <c r="P656" t="s">
        <v>8131</v>
      </c>
    </row>
    <row r="657" spans="1:16" x14ac:dyDescent="0.3">
      <c r="A657" t="s">
        <v>4358</v>
      </c>
      <c r="C657">
        <v>35</v>
      </c>
      <c r="D657" t="s">
        <v>10</v>
      </c>
      <c r="F657" s="43">
        <v>45034.78125</v>
      </c>
      <c r="G657" s="43">
        <v>45034.805555555555</v>
      </c>
      <c r="H657">
        <v>18</v>
      </c>
      <c r="I657">
        <v>45</v>
      </c>
      <c r="J657">
        <v>19</v>
      </c>
      <c r="K657">
        <v>20</v>
      </c>
      <c r="L657">
        <v>2023</v>
      </c>
      <c r="N657" t="s">
        <v>47</v>
      </c>
      <c r="O657" t="s">
        <v>47</v>
      </c>
      <c r="P657" t="s">
        <v>8241</v>
      </c>
    </row>
    <row r="658" spans="1:16" x14ac:dyDescent="0.3">
      <c r="A658" t="s">
        <v>8242</v>
      </c>
      <c r="C658">
        <v>30</v>
      </c>
      <c r="D658" t="s">
        <v>10</v>
      </c>
      <c r="F658" s="43">
        <v>45034.75</v>
      </c>
      <c r="G658" s="43">
        <v>45034.770833333336</v>
      </c>
      <c r="H658">
        <v>18</v>
      </c>
      <c r="I658">
        <v>0</v>
      </c>
      <c r="J658">
        <v>18</v>
      </c>
      <c r="K658">
        <v>30</v>
      </c>
      <c r="L658">
        <v>2023</v>
      </c>
      <c r="N658" t="s">
        <v>47</v>
      </c>
      <c r="O658" t="s">
        <v>47</v>
      </c>
      <c r="P658" t="s">
        <v>8243</v>
      </c>
    </row>
    <row r="659" spans="1:16" x14ac:dyDescent="0.3">
      <c r="A659" t="s">
        <v>6959</v>
      </c>
      <c r="C659">
        <v>30</v>
      </c>
      <c r="D659" t="s">
        <v>10</v>
      </c>
      <c r="F659" s="43">
        <v>45034.729166666664</v>
      </c>
      <c r="G659" s="43">
        <v>45034.75</v>
      </c>
      <c r="H659">
        <v>17</v>
      </c>
      <c r="I659">
        <v>30</v>
      </c>
      <c r="J659">
        <v>18</v>
      </c>
      <c r="K659">
        <v>0</v>
      </c>
      <c r="L659">
        <v>2023</v>
      </c>
      <c r="N659" t="s">
        <v>47</v>
      </c>
      <c r="O659" t="s">
        <v>47</v>
      </c>
      <c r="P659" t="s">
        <v>8244</v>
      </c>
    </row>
    <row r="660" spans="1:16" x14ac:dyDescent="0.3">
      <c r="A660" t="s">
        <v>8222</v>
      </c>
      <c r="C660">
        <v>30</v>
      </c>
      <c r="D660" t="s">
        <v>10</v>
      </c>
      <c r="E660" t="s">
        <v>5</v>
      </c>
      <c r="F660" s="43">
        <v>45034.677083333336</v>
      </c>
      <c r="G660" s="43">
        <v>45034.697916666664</v>
      </c>
      <c r="H660">
        <v>16</v>
      </c>
      <c r="I660">
        <v>15</v>
      </c>
      <c r="J660">
        <v>16</v>
      </c>
      <c r="K660">
        <v>45</v>
      </c>
      <c r="L660">
        <v>2023</v>
      </c>
      <c r="N660" t="s">
        <v>8223</v>
      </c>
      <c r="O660" t="s">
        <v>8224</v>
      </c>
      <c r="P660" t="s">
        <v>8225</v>
      </c>
    </row>
    <row r="661" spans="1:16" x14ac:dyDescent="0.3">
      <c r="A661" t="s">
        <v>7028</v>
      </c>
      <c r="C661">
        <v>30</v>
      </c>
      <c r="D661" t="s">
        <v>10</v>
      </c>
      <c r="E661" t="s">
        <v>8216</v>
      </c>
      <c r="F661" s="43">
        <v>45034.645833333336</v>
      </c>
      <c r="G661" s="43">
        <v>45034.666666666664</v>
      </c>
      <c r="H661">
        <v>15</v>
      </c>
      <c r="I661">
        <v>30</v>
      </c>
      <c r="J661">
        <v>16</v>
      </c>
      <c r="K661">
        <v>0</v>
      </c>
      <c r="L661">
        <v>2023</v>
      </c>
      <c r="N661" t="s">
        <v>8217</v>
      </c>
      <c r="O661" t="s">
        <v>48</v>
      </c>
      <c r="P661" t="s">
        <v>8218</v>
      </c>
    </row>
    <row r="662" spans="1:16" x14ac:dyDescent="0.3">
      <c r="A662" t="s">
        <v>4358</v>
      </c>
      <c r="C662">
        <v>20</v>
      </c>
      <c r="D662" t="s">
        <v>10</v>
      </c>
      <c r="F662" s="43">
        <v>45034.611111111109</v>
      </c>
      <c r="G662" s="43">
        <v>45034.625</v>
      </c>
      <c r="H662">
        <v>14</v>
      </c>
      <c r="I662">
        <v>40</v>
      </c>
      <c r="J662">
        <v>15</v>
      </c>
      <c r="K662">
        <v>0</v>
      </c>
      <c r="L662">
        <v>2023</v>
      </c>
      <c r="N662" t="s">
        <v>47</v>
      </c>
      <c r="O662" t="s">
        <v>47</v>
      </c>
      <c r="P662" t="s">
        <v>8221</v>
      </c>
    </row>
    <row r="663" spans="1:16" x14ac:dyDescent="0.3">
      <c r="A663" t="s">
        <v>7745</v>
      </c>
      <c r="B663" t="s">
        <v>20</v>
      </c>
      <c r="C663">
        <v>60</v>
      </c>
      <c r="D663" t="s">
        <v>10</v>
      </c>
      <c r="E663" t="s">
        <v>5</v>
      </c>
      <c r="F663" s="43">
        <v>45034.5625</v>
      </c>
      <c r="G663" s="43">
        <v>45034.604166666664</v>
      </c>
      <c r="H663">
        <v>13</v>
      </c>
      <c r="I663">
        <v>30</v>
      </c>
      <c r="J663">
        <v>14</v>
      </c>
      <c r="K663">
        <v>30</v>
      </c>
      <c r="L663">
        <v>2023</v>
      </c>
      <c r="N663" t="s">
        <v>7746</v>
      </c>
      <c r="O663" t="s">
        <v>47</v>
      </c>
      <c r="P663" t="s">
        <v>7747</v>
      </c>
    </row>
    <row r="664" spans="1:16" x14ac:dyDescent="0.3">
      <c r="A664" t="s">
        <v>8209</v>
      </c>
      <c r="C664">
        <v>60</v>
      </c>
      <c r="D664" t="s">
        <v>10</v>
      </c>
      <c r="E664" t="s">
        <v>5</v>
      </c>
      <c r="F664" s="43">
        <v>45034.5625</v>
      </c>
      <c r="G664" s="43">
        <v>45034.604166666664</v>
      </c>
      <c r="H664">
        <v>13</v>
      </c>
      <c r="I664">
        <v>30</v>
      </c>
      <c r="J664">
        <v>14</v>
      </c>
      <c r="K664">
        <v>30</v>
      </c>
      <c r="L664">
        <v>2023</v>
      </c>
      <c r="N664" t="s">
        <v>8210</v>
      </c>
      <c r="O664" t="s">
        <v>7629</v>
      </c>
      <c r="P664" t="s">
        <v>8211</v>
      </c>
    </row>
    <row r="665" spans="1:16" x14ac:dyDescent="0.3">
      <c r="A665" t="s">
        <v>7853</v>
      </c>
      <c r="C665">
        <v>30</v>
      </c>
      <c r="D665" t="s">
        <v>10</v>
      </c>
      <c r="F665" s="43">
        <v>45034.520833333336</v>
      </c>
      <c r="G665" s="43">
        <v>45034.541666666664</v>
      </c>
      <c r="H665">
        <v>12</v>
      </c>
      <c r="I665">
        <v>30</v>
      </c>
      <c r="J665">
        <v>13</v>
      </c>
      <c r="K665">
        <v>0</v>
      </c>
      <c r="L665">
        <v>2023</v>
      </c>
      <c r="N665" t="s">
        <v>47</v>
      </c>
      <c r="O665" t="s">
        <v>47</v>
      </c>
      <c r="P665" t="s">
        <v>8220</v>
      </c>
    </row>
    <row r="666" spans="1:16" x14ac:dyDescent="0.3">
      <c r="A666" t="s">
        <v>8193</v>
      </c>
      <c r="C666">
        <v>30</v>
      </c>
      <c r="D666" t="s">
        <v>10</v>
      </c>
      <c r="F666" s="43">
        <v>45034.5</v>
      </c>
      <c r="G666" s="43">
        <v>45034.520833333336</v>
      </c>
      <c r="H666">
        <v>12</v>
      </c>
      <c r="I666">
        <v>0</v>
      </c>
      <c r="J666">
        <v>12</v>
      </c>
      <c r="K666">
        <v>30</v>
      </c>
      <c r="L666">
        <v>2023</v>
      </c>
      <c r="N666" t="s">
        <v>47</v>
      </c>
      <c r="O666" t="s">
        <v>47</v>
      </c>
      <c r="P666" t="s">
        <v>8219</v>
      </c>
    </row>
    <row r="667" spans="1:16" x14ac:dyDescent="0.3">
      <c r="A667" t="s">
        <v>8212</v>
      </c>
      <c r="C667">
        <v>20</v>
      </c>
      <c r="D667" t="s">
        <v>10</v>
      </c>
      <c r="F667" s="43">
        <v>45034.458333333336</v>
      </c>
      <c r="G667" s="43">
        <v>45034.472222222219</v>
      </c>
      <c r="H667">
        <v>11</v>
      </c>
      <c r="I667">
        <v>0</v>
      </c>
      <c r="J667">
        <v>11</v>
      </c>
      <c r="K667">
        <v>20</v>
      </c>
      <c r="L667">
        <v>2023</v>
      </c>
      <c r="N667" t="s">
        <v>47</v>
      </c>
      <c r="O667" t="s">
        <v>47</v>
      </c>
      <c r="P667" t="s">
        <v>8213</v>
      </c>
    </row>
    <row r="668" spans="1:16" x14ac:dyDescent="0.3">
      <c r="A668" t="s">
        <v>8214</v>
      </c>
      <c r="B668" t="s">
        <v>20</v>
      </c>
      <c r="C668">
        <v>30</v>
      </c>
      <c r="D668" t="s">
        <v>10</v>
      </c>
      <c r="F668" s="43">
        <v>45034.4375</v>
      </c>
      <c r="G668" s="43">
        <v>45034.458333333336</v>
      </c>
      <c r="H668">
        <v>10</v>
      </c>
      <c r="I668">
        <v>30</v>
      </c>
      <c r="J668">
        <v>11</v>
      </c>
      <c r="K668">
        <v>0</v>
      </c>
      <c r="L668">
        <v>2023</v>
      </c>
      <c r="N668" t="s">
        <v>47</v>
      </c>
      <c r="O668" t="s">
        <v>47</v>
      </c>
      <c r="P668" t="s">
        <v>8215</v>
      </c>
    </row>
    <row r="669" spans="1:16" x14ac:dyDescent="0.3">
      <c r="A669" t="s">
        <v>8087</v>
      </c>
      <c r="B669" t="s">
        <v>20</v>
      </c>
      <c r="C669">
        <v>30</v>
      </c>
      <c r="D669" t="s">
        <v>10</v>
      </c>
      <c r="E669" t="s">
        <v>8088</v>
      </c>
      <c r="F669" s="43">
        <v>45034.416666666664</v>
      </c>
      <c r="G669" s="43">
        <v>45034.4375</v>
      </c>
      <c r="H669">
        <v>10</v>
      </c>
      <c r="I669">
        <v>0</v>
      </c>
      <c r="J669">
        <v>10</v>
      </c>
      <c r="K669">
        <v>30</v>
      </c>
      <c r="L669">
        <v>2023</v>
      </c>
      <c r="N669" t="s">
        <v>8089</v>
      </c>
      <c r="O669" t="s">
        <v>73</v>
      </c>
      <c r="P669" t="s">
        <v>8090</v>
      </c>
    </row>
    <row r="670" spans="1:16" x14ac:dyDescent="0.3">
      <c r="A670" t="s">
        <v>8195</v>
      </c>
      <c r="C670">
        <v>30</v>
      </c>
      <c r="D670" t="s">
        <v>10</v>
      </c>
      <c r="E670" t="s">
        <v>501</v>
      </c>
      <c r="F670" s="43">
        <v>45034.375</v>
      </c>
      <c r="G670" s="43">
        <v>45034.395833333336</v>
      </c>
      <c r="H670">
        <v>9</v>
      </c>
      <c r="I670">
        <v>0</v>
      </c>
      <c r="J670">
        <v>9</v>
      </c>
      <c r="K670">
        <v>30</v>
      </c>
      <c r="L670">
        <v>2023</v>
      </c>
      <c r="N670" t="s">
        <v>8196</v>
      </c>
      <c r="O670" t="s">
        <v>47</v>
      </c>
      <c r="P670" t="s">
        <v>8197</v>
      </c>
    </row>
    <row r="671" spans="1:16" x14ac:dyDescent="0.3">
      <c r="A671" t="s">
        <v>7853</v>
      </c>
      <c r="C671">
        <v>30</v>
      </c>
      <c r="D671" t="s">
        <v>10</v>
      </c>
      <c r="F671" s="43">
        <v>45034.354166666664</v>
      </c>
      <c r="G671" s="43">
        <v>45034.375</v>
      </c>
      <c r="H671">
        <v>8</v>
      </c>
      <c r="I671">
        <v>30</v>
      </c>
      <c r="J671">
        <v>9</v>
      </c>
      <c r="K671">
        <v>0</v>
      </c>
      <c r="L671">
        <v>2023</v>
      </c>
      <c r="N671" t="s">
        <v>47</v>
      </c>
      <c r="O671" t="s">
        <v>47</v>
      </c>
      <c r="P671" t="s">
        <v>8203</v>
      </c>
    </row>
    <row r="672" spans="1:16" x14ac:dyDescent="0.3">
      <c r="A672" t="s">
        <v>8204</v>
      </c>
      <c r="C672">
        <v>30</v>
      </c>
      <c r="D672" t="s">
        <v>10</v>
      </c>
      <c r="F672" s="43">
        <v>45034.333333333336</v>
      </c>
      <c r="G672" s="43">
        <v>45034.354166666664</v>
      </c>
      <c r="H672">
        <v>8</v>
      </c>
      <c r="I672">
        <v>0</v>
      </c>
      <c r="J672">
        <v>8</v>
      </c>
      <c r="K672">
        <v>30</v>
      </c>
      <c r="L672">
        <v>2023</v>
      </c>
      <c r="N672" t="s">
        <v>47</v>
      </c>
      <c r="O672" t="s">
        <v>47</v>
      </c>
      <c r="P672" t="s">
        <v>8205</v>
      </c>
    </row>
    <row r="673" spans="1:16" x14ac:dyDescent="0.3">
      <c r="A673" t="s">
        <v>735</v>
      </c>
      <c r="C673">
        <v>30</v>
      </c>
      <c r="D673" t="s">
        <v>10</v>
      </c>
      <c r="F673" s="43">
        <v>45034.3125</v>
      </c>
      <c r="G673" s="43">
        <v>45034.333333333336</v>
      </c>
      <c r="H673">
        <v>7</v>
      </c>
      <c r="I673">
        <v>30</v>
      </c>
      <c r="J673">
        <v>8</v>
      </c>
      <c r="K673">
        <v>0</v>
      </c>
      <c r="L673">
        <v>2023</v>
      </c>
      <c r="N673" t="s">
        <v>47</v>
      </c>
      <c r="O673" t="s">
        <v>47</v>
      </c>
      <c r="P673" t="s">
        <v>8206</v>
      </c>
    </row>
    <row r="674" spans="1:16" x14ac:dyDescent="0.3">
      <c r="A674" t="s">
        <v>8207</v>
      </c>
      <c r="C674">
        <v>60</v>
      </c>
      <c r="D674" t="s">
        <v>10</v>
      </c>
      <c r="F674" s="43">
        <v>45034.208333333336</v>
      </c>
      <c r="G674" s="43">
        <v>45034.25</v>
      </c>
      <c r="H674">
        <v>5</v>
      </c>
      <c r="I674">
        <v>0</v>
      </c>
      <c r="J674">
        <v>6</v>
      </c>
      <c r="K674">
        <v>0</v>
      </c>
      <c r="L674">
        <v>2023</v>
      </c>
      <c r="N674" t="s">
        <v>47</v>
      </c>
      <c r="O674" t="s">
        <v>47</v>
      </c>
      <c r="P674" t="s">
        <v>8208</v>
      </c>
    </row>
    <row r="675" spans="1:16" x14ac:dyDescent="0.3">
      <c r="A675" t="s">
        <v>8200</v>
      </c>
      <c r="C675">
        <v>30</v>
      </c>
      <c r="D675" t="s">
        <v>10</v>
      </c>
      <c r="F675" s="43">
        <v>45033.777777777781</v>
      </c>
      <c r="G675" s="43">
        <v>45033.798611111109</v>
      </c>
      <c r="H675">
        <v>18</v>
      </c>
      <c r="I675">
        <v>40</v>
      </c>
      <c r="J675">
        <v>19</v>
      </c>
      <c r="K675">
        <v>10</v>
      </c>
      <c r="L675">
        <v>2023</v>
      </c>
      <c r="N675" t="s">
        <v>47</v>
      </c>
      <c r="O675" t="s">
        <v>47</v>
      </c>
      <c r="P675" t="s">
        <v>8202</v>
      </c>
    </row>
    <row r="676" spans="1:16" x14ac:dyDescent="0.3">
      <c r="A676" t="s">
        <v>8200</v>
      </c>
      <c r="C676">
        <v>45</v>
      </c>
      <c r="D676" t="s">
        <v>10</v>
      </c>
      <c r="F676" s="43">
        <v>45033.739583333336</v>
      </c>
      <c r="G676" s="43">
        <v>45033.770833333336</v>
      </c>
      <c r="H676">
        <v>17</v>
      </c>
      <c r="I676">
        <v>45</v>
      </c>
      <c r="J676">
        <v>18</v>
      </c>
      <c r="K676">
        <v>30</v>
      </c>
      <c r="L676">
        <v>2023</v>
      </c>
      <c r="N676" t="s">
        <v>47</v>
      </c>
      <c r="O676" t="s">
        <v>47</v>
      </c>
      <c r="P676" t="s">
        <v>8201</v>
      </c>
    </row>
    <row r="677" spans="1:16" x14ac:dyDescent="0.3">
      <c r="A677" t="s">
        <v>8198</v>
      </c>
      <c r="C677">
        <v>30</v>
      </c>
      <c r="D677" t="s">
        <v>10</v>
      </c>
      <c r="F677" s="43">
        <v>45033.6875</v>
      </c>
      <c r="G677" s="43">
        <v>45033.708333333336</v>
      </c>
      <c r="H677">
        <v>16</v>
      </c>
      <c r="I677">
        <v>30</v>
      </c>
      <c r="J677">
        <v>17</v>
      </c>
      <c r="K677">
        <v>0</v>
      </c>
      <c r="L677">
        <v>2023</v>
      </c>
      <c r="N677" t="s">
        <v>47</v>
      </c>
      <c r="O677" t="s">
        <v>47</v>
      </c>
      <c r="P677" t="s">
        <v>8199</v>
      </c>
    </row>
    <row r="678" spans="1:16" x14ac:dyDescent="0.3">
      <c r="A678" t="s">
        <v>8193</v>
      </c>
      <c r="C678">
        <v>30</v>
      </c>
      <c r="D678" t="s">
        <v>10</v>
      </c>
      <c r="F678" s="43">
        <v>45033.65625</v>
      </c>
      <c r="G678" s="43">
        <v>45033.677083333336</v>
      </c>
      <c r="H678">
        <v>15</v>
      </c>
      <c r="I678">
        <v>45</v>
      </c>
      <c r="J678">
        <v>16</v>
      </c>
      <c r="K678">
        <v>15</v>
      </c>
      <c r="L678">
        <v>2023</v>
      </c>
      <c r="N678" t="s">
        <v>47</v>
      </c>
      <c r="O678" t="s">
        <v>47</v>
      </c>
      <c r="P678" t="s">
        <v>8194</v>
      </c>
    </row>
    <row r="679" spans="1:16" x14ac:dyDescent="0.3">
      <c r="A679" t="s">
        <v>2528</v>
      </c>
      <c r="C679">
        <v>30</v>
      </c>
      <c r="D679" t="s">
        <v>10</v>
      </c>
      <c r="F679" s="43">
        <v>45033.604166666664</v>
      </c>
      <c r="G679" s="43">
        <v>45033.625</v>
      </c>
      <c r="H679">
        <v>14</v>
      </c>
      <c r="I679">
        <v>30</v>
      </c>
      <c r="J679">
        <v>15</v>
      </c>
      <c r="K679">
        <v>0</v>
      </c>
      <c r="L679">
        <v>2023</v>
      </c>
      <c r="N679" t="s">
        <v>47</v>
      </c>
      <c r="O679" t="s">
        <v>47</v>
      </c>
      <c r="P679" t="s">
        <v>8192</v>
      </c>
    </row>
    <row r="680" spans="1:16" x14ac:dyDescent="0.3">
      <c r="A680" t="s">
        <v>8183</v>
      </c>
      <c r="C680">
        <v>60</v>
      </c>
      <c r="D680" t="s">
        <v>10</v>
      </c>
      <c r="E680" t="s">
        <v>501</v>
      </c>
      <c r="F680" s="43">
        <v>45033.5625</v>
      </c>
      <c r="G680" s="43">
        <v>45033.604166666664</v>
      </c>
      <c r="H680">
        <v>13</v>
      </c>
      <c r="I680">
        <v>30</v>
      </c>
      <c r="J680">
        <v>14</v>
      </c>
      <c r="K680">
        <v>30</v>
      </c>
      <c r="L680">
        <v>2023</v>
      </c>
      <c r="N680" t="s">
        <v>8184</v>
      </c>
      <c r="O680" t="s">
        <v>47</v>
      </c>
      <c r="P680" t="s">
        <v>8185</v>
      </c>
    </row>
    <row r="681" spans="1:16" x14ac:dyDescent="0.3">
      <c r="A681" t="s">
        <v>8</v>
      </c>
      <c r="C681">
        <v>30</v>
      </c>
      <c r="D681" t="s">
        <v>10</v>
      </c>
      <c r="F681" s="43">
        <v>45033.541666666664</v>
      </c>
      <c r="G681" s="43">
        <v>45033.5625</v>
      </c>
      <c r="H681">
        <v>13</v>
      </c>
      <c r="I681">
        <v>0</v>
      </c>
      <c r="J681">
        <v>13</v>
      </c>
      <c r="K681">
        <v>30</v>
      </c>
      <c r="L681">
        <v>2023</v>
      </c>
      <c r="N681" t="s">
        <v>47</v>
      </c>
      <c r="O681" t="s">
        <v>47</v>
      </c>
      <c r="P681" t="s">
        <v>8191</v>
      </c>
    </row>
    <row r="682" spans="1:16" x14ac:dyDescent="0.3">
      <c r="A682" t="s">
        <v>8186</v>
      </c>
      <c r="C682">
        <v>30</v>
      </c>
      <c r="D682" t="s">
        <v>10</v>
      </c>
      <c r="F682" s="43">
        <v>45033.479166666664</v>
      </c>
      <c r="G682" s="43">
        <v>45033.5</v>
      </c>
      <c r="H682">
        <v>11</v>
      </c>
      <c r="I682">
        <v>30</v>
      </c>
      <c r="J682">
        <v>12</v>
      </c>
      <c r="K682">
        <v>0</v>
      </c>
      <c r="L682">
        <v>2023</v>
      </c>
      <c r="N682" t="s">
        <v>47</v>
      </c>
      <c r="O682" t="s">
        <v>47</v>
      </c>
      <c r="P682" t="s">
        <v>8187</v>
      </c>
    </row>
    <row r="683" spans="1:16" x14ac:dyDescent="0.3">
      <c r="A683" t="s">
        <v>8172</v>
      </c>
      <c r="C683">
        <v>30</v>
      </c>
      <c r="D683" t="s">
        <v>10</v>
      </c>
      <c r="F683" s="43">
        <v>45033.458333333336</v>
      </c>
      <c r="G683" s="43">
        <v>45033.479166666664</v>
      </c>
      <c r="H683">
        <v>11</v>
      </c>
      <c r="I683">
        <v>0</v>
      </c>
      <c r="J683">
        <v>11</v>
      </c>
      <c r="K683">
        <v>30</v>
      </c>
      <c r="L683">
        <v>2023</v>
      </c>
      <c r="N683" t="s">
        <v>47</v>
      </c>
      <c r="O683" t="s">
        <v>47</v>
      </c>
      <c r="P683" t="s">
        <v>8173</v>
      </c>
    </row>
    <row r="684" spans="1:16" x14ac:dyDescent="0.3">
      <c r="A684" t="s">
        <v>8179</v>
      </c>
      <c r="B684" t="s">
        <v>20</v>
      </c>
      <c r="C684">
        <v>30</v>
      </c>
      <c r="D684" t="s">
        <v>10</v>
      </c>
      <c r="E684" t="s">
        <v>5</v>
      </c>
      <c r="F684" s="43">
        <v>45033.4375</v>
      </c>
      <c r="G684" s="43">
        <v>45033.458333333336</v>
      </c>
      <c r="H684">
        <v>10</v>
      </c>
      <c r="I684">
        <v>30</v>
      </c>
      <c r="J684">
        <v>11</v>
      </c>
      <c r="K684">
        <v>0</v>
      </c>
      <c r="L684">
        <v>2023</v>
      </c>
      <c r="N684" t="s">
        <v>8180</v>
      </c>
      <c r="O684" t="s">
        <v>8181</v>
      </c>
      <c r="P684" t="s">
        <v>8182</v>
      </c>
    </row>
    <row r="685" spans="1:16" x14ac:dyDescent="0.3">
      <c r="A685" t="s">
        <v>8175</v>
      </c>
      <c r="C685">
        <v>60</v>
      </c>
      <c r="D685" t="s">
        <v>10</v>
      </c>
      <c r="F685" s="43">
        <v>45033.333333333336</v>
      </c>
      <c r="G685" s="43">
        <v>45033.375</v>
      </c>
      <c r="H685">
        <v>8</v>
      </c>
      <c r="I685">
        <v>0</v>
      </c>
      <c r="J685">
        <v>9</v>
      </c>
      <c r="K685">
        <v>0</v>
      </c>
      <c r="L685">
        <v>2023</v>
      </c>
      <c r="N685" t="s">
        <v>47</v>
      </c>
      <c r="O685" t="s">
        <v>47</v>
      </c>
      <c r="P685" t="s">
        <v>8176</v>
      </c>
    </row>
    <row r="686" spans="1:16" x14ac:dyDescent="0.3">
      <c r="A686" t="s">
        <v>8</v>
      </c>
      <c r="C686">
        <v>30</v>
      </c>
      <c r="D686" t="s">
        <v>10</v>
      </c>
      <c r="F686" s="43">
        <v>45033.229166666664</v>
      </c>
      <c r="G686" s="43">
        <v>45033.25</v>
      </c>
      <c r="H686">
        <v>5</v>
      </c>
      <c r="I686">
        <v>30</v>
      </c>
      <c r="J686">
        <v>6</v>
      </c>
      <c r="K686">
        <v>0</v>
      </c>
      <c r="L686">
        <v>2023</v>
      </c>
      <c r="N686" t="s">
        <v>47</v>
      </c>
      <c r="O686" t="s">
        <v>47</v>
      </c>
      <c r="P686" t="s">
        <v>8174</v>
      </c>
    </row>
    <row r="687" spans="1:16" x14ac:dyDescent="0.3">
      <c r="A687" t="s">
        <v>7984</v>
      </c>
      <c r="C687">
        <v>7200</v>
      </c>
      <c r="D687" t="s">
        <v>10</v>
      </c>
      <c r="F687" s="43">
        <v>45033</v>
      </c>
      <c r="G687" s="43">
        <v>45038</v>
      </c>
      <c r="H687">
        <v>0</v>
      </c>
      <c r="I687">
        <v>0</v>
      </c>
      <c r="J687">
        <v>0</v>
      </c>
      <c r="K687">
        <v>0</v>
      </c>
      <c r="L687">
        <v>2023</v>
      </c>
      <c r="N687" t="s">
        <v>7578</v>
      </c>
      <c r="O687" t="s">
        <v>73</v>
      </c>
      <c r="P687" t="s">
        <v>7985</v>
      </c>
    </row>
    <row r="688" spans="1:16" x14ac:dyDescent="0.3">
      <c r="A688" t="s">
        <v>8170</v>
      </c>
      <c r="C688">
        <v>45</v>
      </c>
      <c r="D688" t="s">
        <v>10</v>
      </c>
      <c r="F688" s="43">
        <v>45032.791666666664</v>
      </c>
      <c r="G688" s="43">
        <v>45032.822916666664</v>
      </c>
      <c r="H688">
        <v>19</v>
      </c>
      <c r="I688">
        <v>0</v>
      </c>
      <c r="J688">
        <v>19</v>
      </c>
      <c r="K688">
        <v>45</v>
      </c>
      <c r="L688">
        <v>2023</v>
      </c>
      <c r="N688" t="s">
        <v>47</v>
      </c>
      <c r="O688" t="s">
        <v>47</v>
      </c>
      <c r="P688" t="s">
        <v>8171</v>
      </c>
    </row>
    <row r="689" spans="1:16" x14ac:dyDescent="0.3">
      <c r="A689" t="s">
        <v>8168</v>
      </c>
      <c r="C689">
        <v>30</v>
      </c>
      <c r="D689" t="s">
        <v>10</v>
      </c>
      <c r="F689" s="43">
        <v>45032.770833333336</v>
      </c>
      <c r="G689" s="43">
        <v>45032.791666666664</v>
      </c>
      <c r="H689">
        <v>18</v>
      </c>
      <c r="I689">
        <v>30</v>
      </c>
      <c r="J689">
        <v>19</v>
      </c>
      <c r="K689">
        <v>0</v>
      </c>
      <c r="L689">
        <v>2023</v>
      </c>
      <c r="N689" t="s">
        <v>47</v>
      </c>
      <c r="O689" t="s">
        <v>47</v>
      </c>
      <c r="P689" t="s">
        <v>8169</v>
      </c>
    </row>
    <row r="690" spans="1:16" x14ac:dyDescent="0.3">
      <c r="A690" t="s">
        <v>8166</v>
      </c>
      <c r="C690">
        <v>40</v>
      </c>
      <c r="D690" t="s">
        <v>10</v>
      </c>
      <c r="F690" s="43">
        <v>45032.680555555555</v>
      </c>
      <c r="G690" s="43">
        <v>45032.708333333336</v>
      </c>
      <c r="H690">
        <v>16</v>
      </c>
      <c r="I690">
        <v>20</v>
      </c>
      <c r="J690">
        <v>17</v>
      </c>
      <c r="K690">
        <v>0</v>
      </c>
      <c r="L690">
        <v>2023</v>
      </c>
      <c r="N690" t="s">
        <v>47</v>
      </c>
      <c r="O690" t="s">
        <v>47</v>
      </c>
      <c r="P690" t="s">
        <v>8167</v>
      </c>
    </row>
    <row r="691" spans="1:16" x14ac:dyDescent="0.3">
      <c r="A691" t="s">
        <v>8164</v>
      </c>
      <c r="C691">
        <v>60</v>
      </c>
      <c r="D691" t="s">
        <v>10</v>
      </c>
      <c r="F691" s="43">
        <v>45032.625</v>
      </c>
      <c r="G691" s="43">
        <v>45032.666666666664</v>
      </c>
      <c r="H691">
        <v>15</v>
      </c>
      <c r="I691">
        <v>0</v>
      </c>
      <c r="J691">
        <v>16</v>
      </c>
      <c r="K691">
        <v>0</v>
      </c>
      <c r="L691">
        <v>2023</v>
      </c>
      <c r="N691" t="s">
        <v>47</v>
      </c>
      <c r="O691" t="s">
        <v>47</v>
      </c>
      <c r="P691" t="s">
        <v>8165</v>
      </c>
    </row>
    <row r="692" spans="1:16" x14ac:dyDescent="0.3">
      <c r="A692" t="s">
        <v>8152</v>
      </c>
      <c r="C692">
        <v>30</v>
      </c>
      <c r="D692" t="s">
        <v>10</v>
      </c>
      <c r="F692" s="43">
        <v>45032.510416666664</v>
      </c>
      <c r="G692" s="43">
        <v>45032.53125</v>
      </c>
      <c r="H692">
        <v>12</v>
      </c>
      <c r="I692">
        <v>15</v>
      </c>
      <c r="J692">
        <v>12</v>
      </c>
      <c r="K692">
        <v>45</v>
      </c>
      <c r="L692">
        <v>2023</v>
      </c>
      <c r="N692" t="s">
        <v>47</v>
      </c>
      <c r="O692" t="s">
        <v>47</v>
      </c>
      <c r="P692" t="s">
        <v>8153</v>
      </c>
    </row>
    <row r="693" spans="1:16" x14ac:dyDescent="0.3">
      <c r="A693" t="s">
        <v>8154</v>
      </c>
      <c r="C693">
        <v>30</v>
      </c>
      <c r="D693" t="s">
        <v>10</v>
      </c>
      <c r="F693" s="43">
        <v>45032.458333333336</v>
      </c>
      <c r="G693" s="43">
        <v>45032.479166666664</v>
      </c>
      <c r="H693">
        <v>11</v>
      </c>
      <c r="I693">
        <v>0</v>
      </c>
      <c r="J693">
        <v>11</v>
      </c>
      <c r="K693">
        <v>30</v>
      </c>
      <c r="L693">
        <v>2023</v>
      </c>
      <c r="N693" t="s">
        <v>47</v>
      </c>
      <c r="O693" t="s">
        <v>47</v>
      </c>
      <c r="P693" t="s">
        <v>8155</v>
      </c>
    </row>
    <row r="694" spans="1:16" x14ac:dyDescent="0.3">
      <c r="A694" t="s">
        <v>8156</v>
      </c>
      <c r="C694">
        <v>40</v>
      </c>
      <c r="D694" t="s">
        <v>10</v>
      </c>
      <c r="F694" s="43">
        <v>45032.416666666664</v>
      </c>
      <c r="G694" s="43">
        <v>45032.444444444445</v>
      </c>
      <c r="H694">
        <v>10</v>
      </c>
      <c r="I694">
        <v>0</v>
      </c>
      <c r="J694">
        <v>10</v>
      </c>
      <c r="K694">
        <v>40</v>
      </c>
      <c r="L694">
        <v>2023</v>
      </c>
      <c r="N694" t="s">
        <v>47</v>
      </c>
      <c r="O694" t="s">
        <v>47</v>
      </c>
      <c r="P694" t="s">
        <v>8157</v>
      </c>
    </row>
    <row r="695" spans="1:16" x14ac:dyDescent="0.3">
      <c r="A695" t="s">
        <v>8154</v>
      </c>
      <c r="C695">
        <v>45</v>
      </c>
      <c r="D695" t="s">
        <v>10</v>
      </c>
      <c r="F695" s="43">
        <v>45032.333333333336</v>
      </c>
      <c r="G695" s="43">
        <v>45032.364583333336</v>
      </c>
      <c r="H695">
        <v>8</v>
      </c>
      <c r="I695">
        <v>0</v>
      </c>
      <c r="J695">
        <v>8</v>
      </c>
      <c r="K695">
        <v>45</v>
      </c>
      <c r="L695">
        <v>2023</v>
      </c>
      <c r="N695" t="s">
        <v>47</v>
      </c>
      <c r="O695" t="s">
        <v>47</v>
      </c>
      <c r="P695" t="s">
        <v>8158</v>
      </c>
    </row>
    <row r="696" spans="1:16" x14ac:dyDescent="0.3">
      <c r="A696" t="s">
        <v>8154</v>
      </c>
      <c r="C696">
        <v>45</v>
      </c>
      <c r="D696" t="s">
        <v>10</v>
      </c>
      <c r="F696" s="43">
        <v>45032.25</v>
      </c>
      <c r="G696" s="43">
        <v>45032.28125</v>
      </c>
      <c r="H696">
        <v>6</v>
      </c>
      <c r="I696">
        <v>0</v>
      </c>
      <c r="J696">
        <v>6</v>
      </c>
      <c r="K696">
        <v>45</v>
      </c>
      <c r="L696">
        <v>2023</v>
      </c>
      <c r="N696" t="s">
        <v>47</v>
      </c>
      <c r="O696" t="s">
        <v>47</v>
      </c>
      <c r="P696" t="s">
        <v>8159</v>
      </c>
    </row>
    <row r="697" spans="1:16" x14ac:dyDescent="0.3">
      <c r="A697" t="s">
        <v>8132</v>
      </c>
      <c r="C697">
        <v>60</v>
      </c>
      <c r="D697" t="s">
        <v>10</v>
      </c>
      <c r="F697" s="43">
        <v>45031.75</v>
      </c>
      <c r="G697" s="43">
        <v>45031.791666666664</v>
      </c>
      <c r="H697">
        <v>18</v>
      </c>
      <c r="I697">
        <v>0</v>
      </c>
      <c r="J697">
        <v>19</v>
      </c>
      <c r="K697">
        <v>0</v>
      </c>
      <c r="L697">
        <v>2023</v>
      </c>
      <c r="N697" t="s">
        <v>47</v>
      </c>
      <c r="O697" t="s">
        <v>47</v>
      </c>
      <c r="P697" t="s">
        <v>8160</v>
      </c>
    </row>
    <row r="698" spans="1:16" x14ac:dyDescent="0.3">
      <c r="A698" t="s">
        <v>8127</v>
      </c>
      <c r="C698">
        <v>45</v>
      </c>
      <c r="D698" t="s">
        <v>10</v>
      </c>
      <c r="F698" s="43">
        <v>45031.697916666664</v>
      </c>
      <c r="G698" s="43">
        <v>45031.729166666664</v>
      </c>
      <c r="H698">
        <v>16</v>
      </c>
      <c r="I698">
        <v>45</v>
      </c>
      <c r="J698">
        <v>17</v>
      </c>
      <c r="K698">
        <v>30</v>
      </c>
      <c r="L698">
        <v>2023</v>
      </c>
      <c r="N698" t="s">
        <v>47</v>
      </c>
      <c r="O698" t="s">
        <v>47</v>
      </c>
      <c r="P698" t="s">
        <v>8161</v>
      </c>
    </row>
    <row r="699" spans="1:16" x14ac:dyDescent="0.3">
      <c r="A699" t="s">
        <v>8162</v>
      </c>
      <c r="C699">
        <v>90</v>
      </c>
      <c r="D699" t="s">
        <v>10</v>
      </c>
      <c r="F699" s="43">
        <v>45031.541666666664</v>
      </c>
      <c r="G699" s="43">
        <v>45031.604166666664</v>
      </c>
      <c r="H699">
        <v>13</v>
      </c>
      <c r="I699">
        <v>0</v>
      </c>
      <c r="J699">
        <v>14</v>
      </c>
      <c r="K699">
        <v>30</v>
      </c>
      <c r="L699">
        <v>2023</v>
      </c>
      <c r="N699" t="s">
        <v>47</v>
      </c>
      <c r="O699" t="s">
        <v>47</v>
      </c>
      <c r="P699" t="s">
        <v>8163</v>
      </c>
    </row>
    <row r="700" spans="1:16" x14ac:dyDescent="0.3">
      <c r="A700" t="s">
        <v>8148</v>
      </c>
      <c r="C700">
        <v>60</v>
      </c>
      <c r="D700" t="s">
        <v>10</v>
      </c>
      <c r="F700" s="43">
        <v>45031.4375</v>
      </c>
      <c r="G700" s="43">
        <v>45031.479166666664</v>
      </c>
      <c r="H700">
        <v>10</v>
      </c>
      <c r="I700">
        <v>30</v>
      </c>
      <c r="J700">
        <v>11</v>
      </c>
      <c r="K700">
        <v>30</v>
      </c>
      <c r="L700">
        <v>2023</v>
      </c>
      <c r="N700" t="s">
        <v>47</v>
      </c>
      <c r="O700" t="s">
        <v>47</v>
      </c>
      <c r="P700" t="s">
        <v>8149</v>
      </c>
    </row>
    <row r="701" spans="1:16" x14ac:dyDescent="0.3">
      <c r="A701" t="s">
        <v>8127</v>
      </c>
      <c r="C701">
        <v>30</v>
      </c>
      <c r="D701" t="s">
        <v>10</v>
      </c>
      <c r="F701" s="1">
        <v>45031.3125</v>
      </c>
      <c r="G701" s="1">
        <v>45031.333333333336</v>
      </c>
      <c r="H701">
        <v>7</v>
      </c>
      <c r="I701">
        <v>30</v>
      </c>
      <c r="J701">
        <v>8</v>
      </c>
      <c r="K701">
        <v>0</v>
      </c>
      <c r="L701">
        <v>2023</v>
      </c>
      <c r="N701" t="s">
        <v>47</v>
      </c>
      <c r="O701" t="s">
        <v>47</v>
      </c>
      <c r="P701" t="s">
        <v>8150</v>
      </c>
    </row>
    <row r="702" spans="1:16" x14ac:dyDescent="0.3">
      <c r="A702" t="s">
        <v>8127</v>
      </c>
      <c r="C702">
        <v>75</v>
      </c>
      <c r="D702" t="s">
        <v>10</v>
      </c>
      <c r="F702" s="43">
        <v>45031.229166666664</v>
      </c>
      <c r="G702" s="43">
        <v>45031.28125</v>
      </c>
      <c r="H702">
        <v>5</v>
      </c>
      <c r="I702">
        <v>30</v>
      </c>
      <c r="J702">
        <v>6</v>
      </c>
      <c r="K702">
        <v>45</v>
      </c>
      <c r="L702">
        <v>2023</v>
      </c>
      <c r="N702" t="s">
        <v>47</v>
      </c>
      <c r="O702" t="s">
        <v>47</v>
      </c>
      <c r="P702" t="s">
        <v>8151</v>
      </c>
    </row>
    <row r="703" spans="1:16" x14ac:dyDescent="0.3">
      <c r="A703" t="s">
        <v>8146</v>
      </c>
      <c r="C703">
        <v>45</v>
      </c>
      <c r="D703" t="s">
        <v>10</v>
      </c>
      <c r="F703" s="43">
        <v>45030.708333333336</v>
      </c>
      <c r="G703" s="43">
        <v>45030.739583333336</v>
      </c>
      <c r="H703">
        <v>17</v>
      </c>
      <c r="I703">
        <v>0</v>
      </c>
      <c r="J703">
        <v>17</v>
      </c>
      <c r="K703">
        <v>45</v>
      </c>
      <c r="L703">
        <v>2023</v>
      </c>
      <c r="N703" t="s">
        <v>47</v>
      </c>
      <c r="O703" t="s">
        <v>47</v>
      </c>
      <c r="P703" t="s">
        <v>8147</v>
      </c>
    </row>
    <row r="704" spans="1:16" x14ac:dyDescent="0.3">
      <c r="A704" t="s">
        <v>8144</v>
      </c>
      <c r="C704">
        <v>30</v>
      </c>
      <c r="D704" t="s">
        <v>10</v>
      </c>
      <c r="F704" s="43">
        <v>45030.6875</v>
      </c>
      <c r="G704" s="43">
        <v>45030.708333333336</v>
      </c>
      <c r="H704">
        <v>16</v>
      </c>
      <c r="I704">
        <v>30</v>
      </c>
      <c r="J704">
        <v>17</v>
      </c>
      <c r="K704">
        <v>0</v>
      </c>
      <c r="L704">
        <v>2023</v>
      </c>
      <c r="N704" t="s">
        <v>47</v>
      </c>
      <c r="O704" t="s">
        <v>47</v>
      </c>
      <c r="P704" t="s">
        <v>8145</v>
      </c>
    </row>
    <row r="705" spans="1:16" x14ac:dyDescent="0.3">
      <c r="A705" t="s">
        <v>8142</v>
      </c>
      <c r="C705">
        <v>30</v>
      </c>
      <c r="D705" t="s">
        <v>10</v>
      </c>
      <c r="F705" s="43">
        <v>45030.666666666664</v>
      </c>
      <c r="G705" s="43">
        <v>45030.6875</v>
      </c>
      <c r="H705">
        <v>16</v>
      </c>
      <c r="I705">
        <v>0</v>
      </c>
      <c r="J705">
        <v>16</v>
      </c>
      <c r="K705">
        <v>30</v>
      </c>
      <c r="L705">
        <v>2023</v>
      </c>
      <c r="N705" t="s">
        <v>47</v>
      </c>
      <c r="O705" t="s">
        <v>47</v>
      </c>
      <c r="P705" t="s">
        <v>8143</v>
      </c>
    </row>
    <row r="706" spans="1:16" x14ac:dyDescent="0.3">
      <c r="A706" t="s">
        <v>8137</v>
      </c>
      <c r="C706">
        <v>30</v>
      </c>
      <c r="D706" t="s">
        <v>10</v>
      </c>
      <c r="F706" s="43">
        <v>45030.625</v>
      </c>
      <c r="G706" s="43">
        <v>45030.645833333336</v>
      </c>
      <c r="H706">
        <v>15</v>
      </c>
      <c r="I706">
        <v>0</v>
      </c>
      <c r="J706">
        <v>15</v>
      </c>
      <c r="K706">
        <v>30</v>
      </c>
      <c r="L706">
        <v>2023</v>
      </c>
      <c r="N706" t="s">
        <v>47</v>
      </c>
      <c r="O706" t="s">
        <v>47</v>
      </c>
      <c r="P706" t="s">
        <v>8141</v>
      </c>
    </row>
    <row r="707" spans="1:16" x14ac:dyDescent="0.3">
      <c r="A707" t="s">
        <v>8124</v>
      </c>
      <c r="B707" t="s">
        <v>20</v>
      </c>
      <c r="C707">
        <v>25</v>
      </c>
      <c r="D707" t="s">
        <v>10</v>
      </c>
      <c r="F707" s="43">
        <v>45030.583333333336</v>
      </c>
      <c r="G707" s="43">
        <v>45030.600694444445</v>
      </c>
      <c r="H707">
        <v>14</v>
      </c>
      <c r="I707">
        <v>0</v>
      </c>
      <c r="J707">
        <v>14</v>
      </c>
      <c r="K707">
        <v>25</v>
      </c>
      <c r="L707">
        <v>2023</v>
      </c>
      <c r="N707" t="s">
        <v>8125</v>
      </c>
      <c r="O707" t="s">
        <v>49</v>
      </c>
      <c r="P707" t="s">
        <v>8126</v>
      </c>
    </row>
    <row r="708" spans="1:16" x14ac:dyDescent="0.3">
      <c r="A708" t="s">
        <v>8135</v>
      </c>
      <c r="C708">
        <v>30</v>
      </c>
      <c r="D708" t="s">
        <v>10</v>
      </c>
      <c r="F708" s="43">
        <v>45030.5625</v>
      </c>
      <c r="G708" s="43">
        <v>45030.583333333336</v>
      </c>
      <c r="H708">
        <v>13</v>
      </c>
      <c r="I708">
        <v>30</v>
      </c>
      <c r="J708">
        <v>14</v>
      </c>
      <c r="K708">
        <v>0</v>
      </c>
      <c r="L708">
        <v>2023</v>
      </c>
      <c r="N708" t="s">
        <v>47</v>
      </c>
      <c r="O708" t="s">
        <v>47</v>
      </c>
      <c r="P708" t="s">
        <v>8136</v>
      </c>
    </row>
    <row r="709" spans="1:16" x14ac:dyDescent="0.3">
      <c r="A709" t="s">
        <v>827</v>
      </c>
      <c r="C709">
        <v>30</v>
      </c>
      <c r="D709" t="s">
        <v>10</v>
      </c>
      <c r="F709" s="43">
        <v>45030.479166666664</v>
      </c>
      <c r="G709" s="43">
        <v>45030.5</v>
      </c>
      <c r="H709">
        <v>11</v>
      </c>
      <c r="I709">
        <v>30</v>
      </c>
      <c r="J709">
        <v>12</v>
      </c>
      <c r="K709">
        <v>0</v>
      </c>
      <c r="L709">
        <v>2023</v>
      </c>
      <c r="N709" t="s">
        <v>47</v>
      </c>
      <c r="O709" t="s">
        <v>47</v>
      </c>
      <c r="P709" t="s">
        <v>8140</v>
      </c>
    </row>
    <row r="710" spans="1:16" x14ac:dyDescent="0.3">
      <c r="A710" t="s">
        <v>8137</v>
      </c>
      <c r="C710">
        <v>60</v>
      </c>
      <c r="D710" t="s">
        <v>10</v>
      </c>
      <c r="F710" s="43">
        <v>45030.416666666664</v>
      </c>
      <c r="G710" s="43">
        <v>45030.458333333336</v>
      </c>
      <c r="H710">
        <v>10</v>
      </c>
      <c r="I710">
        <v>0</v>
      </c>
      <c r="J710">
        <v>11</v>
      </c>
      <c r="K710">
        <v>0</v>
      </c>
      <c r="L710">
        <v>2023</v>
      </c>
      <c r="N710" t="s">
        <v>47</v>
      </c>
      <c r="O710" t="s">
        <v>47</v>
      </c>
      <c r="P710" t="s">
        <v>8138</v>
      </c>
    </row>
    <row r="711" spans="1:16" x14ac:dyDescent="0.3">
      <c r="A711" t="s">
        <v>8132</v>
      </c>
      <c r="C711">
        <v>60</v>
      </c>
      <c r="D711" t="s">
        <v>10</v>
      </c>
      <c r="F711" s="43">
        <v>45030.375</v>
      </c>
      <c r="G711" s="43">
        <v>45030.416666666664</v>
      </c>
      <c r="H711">
        <v>9</v>
      </c>
      <c r="I711">
        <v>0</v>
      </c>
      <c r="J711">
        <v>10</v>
      </c>
      <c r="K711">
        <v>0</v>
      </c>
      <c r="L711">
        <v>2023</v>
      </c>
      <c r="N711" t="s">
        <v>47</v>
      </c>
      <c r="O711" t="s">
        <v>47</v>
      </c>
      <c r="P711" t="s">
        <v>8139</v>
      </c>
    </row>
    <row r="712" spans="1:16" x14ac:dyDescent="0.3">
      <c r="A712" t="s">
        <v>8127</v>
      </c>
      <c r="C712">
        <v>30</v>
      </c>
      <c r="D712" t="s">
        <v>10</v>
      </c>
      <c r="F712" s="43">
        <v>45030.3125</v>
      </c>
      <c r="G712" s="43">
        <v>45030.333333333336</v>
      </c>
      <c r="H712">
        <v>7</v>
      </c>
      <c r="I712">
        <v>30</v>
      </c>
      <c r="J712">
        <v>8</v>
      </c>
      <c r="K712">
        <v>0</v>
      </c>
      <c r="L712">
        <v>2023</v>
      </c>
      <c r="N712" t="s">
        <v>47</v>
      </c>
      <c r="O712" t="s">
        <v>47</v>
      </c>
      <c r="P712" t="s">
        <v>8128</v>
      </c>
    </row>
    <row r="713" spans="1:16" x14ac:dyDescent="0.3">
      <c r="A713" t="s">
        <v>8127</v>
      </c>
      <c r="C713">
        <v>60</v>
      </c>
      <c r="D713" t="s">
        <v>10</v>
      </c>
      <c r="F713" s="43">
        <v>45030.208333333336</v>
      </c>
      <c r="G713" s="43">
        <v>45030.25</v>
      </c>
      <c r="H713">
        <v>5</v>
      </c>
      <c r="I713">
        <v>0</v>
      </c>
      <c r="J713">
        <v>6</v>
      </c>
      <c r="K713">
        <v>0</v>
      </c>
      <c r="L713">
        <v>2023</v>
      </c>
      <c r="N713" t="s">
        <v>47</v>
      </c>
      <c r="O713" t="s">
        <v>47</v>
      </c>
      <c r="P713" t="s">
        <v>8129</v>
      </c>
    </row>
    <row r="714" spans="1:16" x14ac:dyDescent="0.3">
      <c r="A714" t="s">
        <v>8132</v>
      </c>
      <c r="C714">
        <v>150</v>
      </c>
      <c r="D714" t="s">
        <v>10</v>
      </c>
      <c r="F714" s="43">
        <v>45029.666666666664</v>
      </c>
      <c r="G714" s="43">
        <v>45029.770833333336</v>
      </c>
      <c r="H714">
        <v>16</v>
      </c>
      <c r="I714">
        <v>0</v>
      </c>
      <c r="J714">
        <v>18</v>
      </c>
      <c r="K714">
        <v>30</v>
      </c>
      <c r="L714">
        <v>2023</v>
      </c>
      <c r="N714" t="s">
        <v>47</v>
      </c>
      <c r="O714" t="s">
        <v>47</v>
      </c>
      <c r="P714" t="s">
        <v>8133</v>
      </c>
    </row>
    <row r="715" spans="1:16" x14ac:dyDescent="0.3">
      <c r="A715" t="s">
        <v>446</v>
      </c>
      <c r="C715">
        <v>45</v>
      </c>
      <c r="D715" t="s">
        <v>10</v>
      </c>
      <c r="F715" s="43">
        <v>45029.614583333336</v>
      </c>
      <c r="G715" s="43">
        <v>45029.645833333336</v>
      </c>
      <c r="H715">
        <v>14</v>
      </c>
      <c r="I715">
        <v>45</v>
      </c>
      <c r="J715">
        <v>15</v>
      </c>
      <c r="K715">
        <v>30</v>
      </c>
      <c r="L715">
        <v>2023</v>
      </c>
      <c r="N715" t="s">
        <v>47</v>
      </c>
      <c r="O715" t="s">
        <v>47</v>
      </c>
      <c r="P715" t="s">
        <v>8134</v>
      </c>
    </row>
    <row r="716" spans="1:16" x14ac:dyDescent="0.3">
      <c r="A716" t="s">
        <v>7943</v>
      </c>
      <c r="C716">
        <v>60</v>
      </c>
      <c r="D716" t="s">
        <v>10</v>
      </c>
      <c r="E716" t="s">
        <v>7944</v>
      </c>
      <c r="F716" s="43">
        <v>45029.416666666664</v>
      </c>
      <c r="G716" s="43">
        <v>45029.458333333336</v>
      </c>
      <c r="H716">
        <v>10</v>
      </c>
      <c r="I716">
        <v>0</v>
      </c>
      <c r="J716">
        <v>11</v>
      </c>
      <c r="K716">
        <v>0</v>
      </c>
      <c r="L716">
        <v>2023</v>
      </c>
      <c r="N716" t="s">
        <v>7945</v>
      </c>
      <c r="O716" t="s">
        <v>7946</v>
      </c>
      <c r="P716" t="s">
        <v>7947</v>
      </c>
    </row>
    <row r="717" spans="1:16" x14ac:dyDescent="0.3">
      <c r="A717" t="s">
        <v>7993</v>
      </c>
      <c r="B717" t="s">
        <v>20</v>
      </c>
      <c r="C717">
        <v>60</v>
      </c>
      <c r="D717" t="s">
        <v>10</v>
      </c>
      <c r="E717" t="s">
        <v>7994</v>
      </c>
      <c r="F717" s="43">
        <v>45029.375</v>
      </c>
      <c r="G717" s="43">
        <v>45029.416666666664</v>
      </c>
      <c r="H717">
        <v>9</v>
      </c>
      <c r="I717">
        <v>0</v>
      </c>
      <c r="J717">
        <v>10</v>
      </c>
      <c r="K717">
        <v>0</v>
      </c>
      <c r="L717">
        <v>2023</v>
      </c>
      <c r="N717" t="s">
        <v>7995</v>
      </c>
      <c r="O717" t="s">
        <v>73</v>
      </c>
      <c r="P717" t="s">
        <v>7996</v>
      </c>
    </row>
    <row r="718" spans="1:16" x14ac:dyDescent="0.3">
      <c r="A718" t="s">
        <v>8</v>
      </c>
      <c r="C718">
        <v>30</v>
      </c>
      <c r="D718" t="s">
        <v>10</v>
      </c>
      <c r="F718" s="43">
        <v>45027.229166666664</v>
      </c>
      <c r="G718" s="43">
        <v>45027.25</v>
      </c>
      <c r="H718">
        <v>5</v>
      </c>
      <c r="I718">
        <v>30</v>
      </c>
      <c r="J718">
        <v>6</v>
      </c>
      <c r="K718">
        <v>0</v>
      </c>
      <c r="L718">
        <v>2023</v>
      </c>
      <c r="N718" t="s">
        <v>47</v>
      </c>
      <c r="O718" t="s">
        <v>47</v>
      </c>
      <c r="P718" t="s">
        <v>8123</v>
      </c>
    </row>
    <row r="719" spans="1:16" x14ac:dyDescent="0.3">
      <c r="A719" t="s">
        <v>7988</v>
      </c>
      <c r="C719">
        <v>5760</v>
      </c>
      <c r="D719" t="s">
        <v>10</v>
      </c>
      <c r="F719" s="43">
        <v>45027</v>
      </c>
      <c r="G719" s="43">
        <v>45031</v>
      </c>
      <c r="H719">
        <v>0</v>
      </c>
      <c r="I719">
        <v>0</v>
      </c>
      <c r="J719">
        <v>0</v>
      </c>
      <c r="K719">
        <v>0</v>
      </c>
      <c r="L719">
        <v>2023</v>
      </c>
      <c r="N719" t="s">
        <v>7578</v>
      </c>
      <c r="O719" t="s">
        <v>73</v>
      </c>
      <c r="P719" t="s">
        <v>7989</v>
      </c>
    </row>
    <row r="720" spans="1:16" x14ac:dyDescent="0.3">
      <c r="A720" t="s">
        <v>8063</v>
      </c>
      <c r="C720">
        <v>4320</v>
      </c>
      <c r="D720" t="s">
        <v>10</v>
      </c>
      <c r="F720" s="43">
        <v>45027</v>
      </c>
      <c r="G720" s="43">
        <v>45030</v>
      </c>
      <c r="H720">
        <v>0</v>
      </c>
      <c r="I720">
        <v>0</v>
      </c>
      <c r="J720">
        <v>0</v>
      </c>
      <c r="K720">
        <v>0</v>
      </c>
      <c r="L720">
        <v>2023</v>
      </c>
      <c r="N720" t="s">
        <v>8064</v>
      </c>
      <c r="O720" t="s">
        <v>47</v>
      </c>
      <c r="P720" t="s">
        <v>8065</v>
      </c>
    </row>
    <row r="721" spans="1:16" x14ac:dyDescent="0.3">
      <c r="A721" t="s">
        <v>7986</v>
      </c>
      <c r="C721">
        <v>1440</v>
      </c>
      <c r="D721" t="s">
        <v>10</v>
      </c>
      <c r="F721" s="43">
        <v>45026</v>
      </c>
      <c r="G721" s="43">
        <v>45027</v>
      </c>
      <c r="H721">
        <v>0</v>
      </c>
      <c r="I721">
        <v>0</v>
      </c>
      <c r="J721">
        <v>0</v>
      </c>
      <c r="K721">
        <v>0</v>
      </c>
      <c r="L721">
        <v>2023</v>
      </c>
      <c r="N721" t="s">
        <v>7578</v>
      </c>
      <c r="O721" t="s">
        <v>73</v>
      </c>
      <c r="P721" t="s">
        <v>7987</v>
      </c>
    </row>
    <row r="722" spans="1:16" x14ac:dyDescent="0.3">
      <c r="A722" t="s">
        <v>8107</v>
      </c>
      <c r="C722">
        <v>30</v>
      </c>
      <c r="D722" t="s">
        <v>10</v>
      </c>
      <c r="F722" s="43">
        <v>45024.25</v>
      </c>
      <c r="G722" s="43">
        <v>45024.270833333336</v>
      </c>
      <c r="H722">
        <v>6</v>
      </c>
      <c r="I722">
        <v>0</v>
      </c>
      <c r="J722">
        <v>6</v>
      </c>
      <c r="K722">
        <v>30</v>
      </c>
      <c r="L722">
        <v>2023</v>
      </c>
      <c r="N722" t="s">
        <v>47</v>
      </c>
      <c r="O722" t="s">
        <v>47</v>
      </c>
      <c r="P722" t="s">
        <v>8108</v>
      </c>
    </row>
    <row r="723" spans="1:16" x14ac:dyDescent="0.3">
      <c r="A723" t="s">
        <v>6959</v>
      </c>
      <c r="C723">
        <v>30</v>
      </c>
      <c r="D723" t="s">
        <v>10</v>
      </c>
      <c r="F723" s="43">
        <v>45024.229166666664</v>
      </c>
      <c r="G723" s="43">
        <v>45024.25</v>
      </c>
      <c r="H723">
        <v>5</v>
      </c>
      <c r="I723">
        <v>30</v>
      </c>
      <c r="J723">
        <v>6</v>
      </c>
      <c r="K723">
        <v>0</v>
      </c>
      <c r="L723">
        <v>2023</v>
      </c>
      <c r="N723" t="s">
        <v>47</v>
      </c>
      <c r="O723" t="s">
        <v>47</v>
      </c>
      <c r="P723" t="s">
        <v>8109</v>
      </c>
    </row>
    <row r="724" spans="1:16" x14ac:dyDescent="0.3">
      <c r="A724" t="s">
        <v>4440</v>
      </c>
      <c r="C724">
        <v>60</v>
      </c>
      <c r="D724" t="s">
        <v>10</v>
      </c>
      <c r="F724" s="43">
        <v>45023.666666666664</v>
      </c>
      <c r="G724" s="43">
        <v>45023.708333333336</v>
      </c>
      <c r="H724">
        <v>16</v>
      </c>
      <c r="I724">
        <v>0</v>
      </c>
      <c r="J724">
        <v>17</v>
      </c>
      <c r="K724">
        <v>0</v>
      </c>
      <c r="L724">
        <v>2023</v>
      </c>
      <c r="N724" t="s">
        <v>47</v>
      </c>
      <c r="O724" t="s">
        <v>47</v>
      </c>
      <c r="P724" t="s">
        <v>8110</v>
      </c>
    </row>
    <row r="725" spans="1:16" x14ac:dyDescent="0.3">
      <c r="A725" t="s">
        <v>8107</v>
      </c>
      <c r="C725">
        <v>120</v>
      </c>
      <c r="D725" t="s">
        <v>10</v>
      </c>
      <c r="F725" s="43">
        <v>45023.541666666664</v>
      </c>
      <c r="G725" s="43">
        <v>45023.625</v>
      </c>
      <c r="H725">
        <v>13</v>
      </c>
      <c r="I725">
        <v>0</v>
      </c>
      <c r="J725">
        <v>15</v>
      </c>
      <c r="K725">
        <v>0</v>
      </c>
      <c r="L725">
        <v>2023</v>
      </c>
      <c r="N725" t="s">
        <v>47</v>
      </c>
      <c r="O725" t="s">
        <v>47</v>
      </c>
      <c r="P725" t="s">
        <v>8111</v>
      </c>
    </row>
    <row r="726" spans="1:16" x14ac:dyDescent="0.3">
      <c r="A726" t="s">
        <v>8112</v>
      </c>
      <c r="C726">
        <v>60</v>
      </c>
      <c r="D726" t="s">
        <v>10</v>
      </c>
      <c r="F726" s="43">
        <v>45023.458333333336</v>
      </c>
      <c r="G726" s="43">
        <v>45023.5</v>
      </c>
      <c r="H726">
        <v>11</v>
      </c>
      <c r="I726">
        <v>0</v>
      </c>
      <c r="J726">
        <v>12</v>
      </c>
      <c r="K726">
        <v>0</v>
      </c>
      <c r="L726">
        <v>2023</v>
      </c>
      <c r="N726" t="s">
        <v>47</v>
      </c>
      <c r="O726" t="s">
        <v>47</v>
      </c>
      <c r="P726" t="s">
        <v>8113</v>
      </c>
    </row>
    <row r="727" spans="1:16" x14ac:dyDescent="0.3">
      <c r="A727" t="s">
        <v>7924</v>
      </c>
      <c r="C727">
        <v>45</v>
      </c>
      <c r="D727" t="s">
        <v>10</v>
      </c>
      <c r="F727" s="43">
        <v>45022.739583333336</v>
      </c>
      <c r="G727" s="43">
        <v>45022.770833333336</v>
      </c>
      <c r="H727">
        <v>17</v>
      </c>
      <c r="I727">
        <v>45</v>
      </c>
      <c r="J727">
        <v>18</v>
      </c>
      <c r="K727">
        <v>30</v>
      </c>
      <c r="L727">
        <v>2023</v>
      </c>
      <c r="N727" t="s">
        <v>47</v>
      </c>
      <c r="O727" t="s">
        <v>47</v>
      </c>
      <c r="P727" t="s">
        <v>8106</v>
      </c>
    </row>
    <row r="728" spans="1:16" x14ac:dyDescent="0.3">
      <c r="A728" t="s">
        <v>8</v>
      </c>
      <c r="C728">
        <v>15</v>
      </c>
      <c r="D728" t="s">
        <v>10</v>
      </c>
      <c r="F728" s="43">
        <v>45022.6875</v>
      </c>
      <c r="G728" s="43">
        <v>45022.697916666664</v>
      </c>
      <c r="H728">
        <v>16</v>
      </c>
      <c r="I728">
        <v>30</v>
      </c>
      <c r="J728">
        <v>16</v>
      </c>
      <c r="K728">
        <v>45</v>
      </c>
      <c r="L728">
        <v>2023</v>
      </c>
      <c r="N728" t="s">
        <v>47</v>
      </c>
      <c r="O728" t="s">
        <v>47</v>
      </c>
      <c r="P728" t="s">
        <v>8105</v>
      </c>
    </row>
    <row r="729" spans="1:16" x14ac:dyDescent="0.3">
      <c r="A729" t="s">
        <v>4246</v>
      </c>
      <c r="C729">
        <v>30</v>
      </c>
      <c r="D729" t="s">
        <v>10</v>
      </c>
      <c r="E729" t="s">
        <v>501</v>
      </c>
      <c r="F729" s="43">
        <v>45022.666666666664</v>
      </c>
      <c r="G729" s="43">
        <v>45022.6875</v>
      </c>
      <c r="H729">
        <v>16</v>
      </c>
      <c r="I729">
        <v>0</v>
      </c>
      <c r="J729">
        <v>16</v>
      </c>
      <c r="K729">
        <v>30</v>
      </c>
      <c r="L729">
        <v>2023</v>
      </c>
      <c r="N729" t="s">
        <v>8103</v>
      </c>
      <c r="O729" t="s">
        <v>47</v>
      </c>
      <c r="P729" t="s">
        <v>8104</v>
      </c>
    </row>
    <row r="730" spans="1:16" x14ac:dyDescent="0.3">
      <c r="A730" t="s">
        <v>8094</v>
      </c>
      <c r="C730">
        <v>30</v>
      </c>
      <c r="D730" t="s">
        <v>10</v>
      </c>
      <c r="F730" s="43">
        <v>45022.604166666664</v>
      </c>
      <c r="G730" s="43">
        <v>45022.625</v>
      </c>
      <c r="H730">
        <v>14</v>
      </c>
      <c r="I730">
        <v>30</v>
      </c>
      <c r="J730">
        <v>15</v>
      </c>
      <c r="K730">
        <v>0</v>
      </c>
      <c r="L730">
        <v>2023</v>
      </c>
      <c r="N730" t="s">
        <v>47</v>
      </c>
      <c r="O730" t="s">
        <v>47</v>
      </c>
      <c r="P730" t="s">
        <v>8102</v>
      </c>
    </row>
    <row r="731" spans="1:16" x14ac:dyDescent="0.3">
      <c r="A731" t="s">
        <v>8100</v>
      </c>
      <c r="C731">
        <v>60</v>
      </c>
      <c r="D731" t="s">
        <v>10</v>
      </c>
      <c r="F731" s="1">
        <v>45022.541666666664</v>
      </c>
      <c r="G731" s="1">
        <v>45022.583333333336</v>
      </c>
      <c r="H731">
        <v>13</v>
      </c>
      <c r="I731">
        <v>0</v>
      </c>
      <c r="J731">
        <v>14</v>
      </c>
      <c r="K731">
        <v>0</v>
      </c>
      <c r="L731">
        <v>2023</v>
      </c>
      <c r="N731" t="s">
        <v>47</v>
      </c>
      <c r="O731" t="s">
        <v>47</v>
      </c>
      <c r="P731" t="s">
        <v>8101</v>
      </c>
    </row>
    <row r="732" spans="1:16" x14ac:dyDescent="0.3">
      <c r="A732" t="s">
        <v>9</v>
      </c>
      <c r="C732">
        <v>20</v>
      </c>
      <c r="D732" t="s">
        <v>10</v>
      </c>
      <c r="F732" s="43">
        <v>45022.458333333336</v>
      </c>
      <c r="G732" s="43">
        <v>45022.472222222219</v>
      </c>
      <c r="H732">
        <v>11</v>
      </c>
      <c r="I732">
        <v>0</v>
      </c>
      <c r="J732">
        <v>11</v>
      </c>
      <c r="K732">
        <v>20</v>
      </c>
      <c r="L732">
        <v>2023</v>
      </c>
      <c r="N732" t="s">
        <v>47</v>
      </c>
      <c r="O732" t="s">
        <v>47</v>
      </c>
      <c r="P732" t="s">
        <v>8082</v>
      </c>
    </row>
    <row r="733" spans="1:16" x14ac:dyDescent="0.3">
      <c r="A733" t="s">
        <v>8</v>
      </c>
      <c r="C733">
        <v>30</v>
      </c>
      <c r="D733" t="s">
        <v>10</v>
      </c>
      <c r="F733" s="43">
        <v>45022.416666666664</v>
      </c>
      <c r="G733" s="43">
        <v>45022.4375</v>
      </c>
      <c r="H733">
        <v>10</v>
      </c>
      <c r="I733">
        <v>0</v>
      </c>
      <c r="J733">
        <v>10</v>
      </c>
      <c r="K733">
        <v>30</v>
      </c>
      <c r="L733">
        <v>2023</v>
      </c>
      <c r="N733" t="s">
        <v>47</v>
      </c>
      <c r="O733" t="s">
        <v>47</v>
      </c>
      <c r="P733" t="s">
        <v>8083</v>
      </c>
    </row>
    <row r="734" spans="1:16" x14ac:dyDescent="0.3">
      <c r="A734" t="s">
        <v>8057</v>
      </c>
      <c r="B734" t="s">
        <v>20</v>
      </c>
      <c r="C734">
        <v>60</v>
      </c>
      <c r="D734" t="s">
        <v>10</v>
      </c>
      <c r="E734" t="s">
        <v>501</v>
      </c>
      <c r="F734" s="43">
        <v>45022.375</v>
      </c>
      <c r="G734" s="43">
        <v>45022.416666666664</v>
      </c>
      <c r="H734">
        <v>9</v>
      </c>
      <c r="I734">
        <v>0</v>
      </c>
      <c r="J734">
        <v>10</v>
      </c>
      <c r="K734">
        <v>0</v>
      </c>
      <c r="L734">
        <v>2023</v>
      </c>
      <c r="N734" t="s">
        <v>8058</v>
      </c>
      <c r="O734" t="s">
        <v>47</v>
      </c>
      <c r="P734" t="s">
        <v>8059</v>
      </c>
    </row>
    <row r="735" spans="1:16" x14ac:dyDescent="0.3">
      <c r="A735" t="s">
        <v>8078</v>
      </c>
      <c r="C735">
        <v>60</v>
      </c>
      <c r="D735" t="s">
        <v>10</v>
      </c>
      <c r="E735" t="s">
        <v>501</v>
      </c>
      <c r="F735" s="43">
        <v>45022.333333333336</v>
      </c>
      <c r="G735" s="43">
        <v>45022.375</v>
      </c>
      <c r="H735">
        <v>8</v>
      </c>
      <c r="I735">
        <v>0</v>
      </c>
      <c r="J735">
        <v>9</v>
      </c>
      <c r="K735">
        <v>0</v>
      </c>
      <c r="L735">
        <v>2023</v>
      </c>
      <c r="N735" t="s">
        <v>4629</v>
      </c>
      <c r="O735" t="s">
        <v>47</v>
      </c>
      <c r="P735" t="s">
        <v>8079</v>
      </c>
    </row>
    <row r="736" spans="1:16" x14ac:dyDescent="0.3">
      <c r="A736" t="s">
        <v>8084</v>
      </c>
      <c r="C736">
        <v>30</v>
      </c>
      <c r="D736" t="s">
        <v>10</v>
      </c>
      <c r="E736" t="s">
        <v>21</v>
      </c>
      <c r="F736" s="43">
        <v>45022.25</v>
      </c>
      <c r="G736" s="43">
        <v>45022.270833333336</v>
      </c>
      <c r="H736">
        <v>6</v>
      </c>
      <c r="I736">
        <v>0</v>
      </c>
      <c r="J736">
        <v>6</v>
      </c>
      <c r="K736">
        <v>30</v>
      </c>
      <c r="L736">
        <v>2023</v>
      </c>
      <c r="N736" t="s">
        <v>8085</v>
      </c>
      <c r="O736" t="s">
        <v>50</v>
      </c>
      <c r="P736" t="s">
        <v>8086</v>
      </c>
    </row>
    <row r="737" spans="1:16" x14ac:dyDescent="0.3">
      <c r="A737" t="s">
        <v>8096</v>
      </c>
      <c r="C737">
        <v>30</v>
      </c>
      <c r="D737" t="s">
        <v>10</v>
      </c>
      <c r="E737" t="s">
        <v>5292</v>
      </c>
      <c r="F737" s="43">
        <v>45022.25</v>
      </c>
      <c r="G737" s="43">
        <v>45022.270833333336</v>
      </c>
      <c r="H737">
        <v>6</v>
      </c>
      <c r="I737">
        <v>0</v>
      </c>
      <c r="J737">
        <v>6</v>
      </c>
      <c r="K737">
        <v>30</v>
      </c>
      <c r="L737">
        <v>2023</v>
      </c>
      <c r="N737" t="s">
        <v>8097</v>
      </c>
      <c r="O737" t="s">
        <v>47</v>
      </c>
      <c r="P737" t="s">
        <v>8098</v>
      </c>
    </row>
    <row r="738" spans="1:16" x14ac:dyDescent="0.3">
      <c r="A738" t="s">
        <v>6959</v>
      </c>
      <c r="C738">
        <v>60</v>
      </c>
      <c r="D738" t="s">
        <v>10</v>
      </c>
      <c r="F738" s="43">
        <v>45021.75</v>
      </c>
      <c r="G738" s="43">
        <v>45021.791666666664</v>
      </c>
      <c r="H738">
        <v>18</v>
      </c>
      <c r="I738">
        <v>0</v>
      </c>
      <c r="J738">
        <v>19</v>
      </c>
      <c r="K738">
        <v>0</v>
      </c>
      <c r="L738">
        <v>2023</v>
      </c>
      <c r="N738" t="s">
        <v>47</v>
      </c>
      <c r="O738" t="s">
        <v>47</v>
      </c>
      <c r="P738" t="s">
        <v>8091</v>
      </c>
    </row>
    <row r="739" spans="1:16" x14ac:dyDescent="0.3">
      <c r="A739" t="s">
        <v>8092</v>
      </c>
      <c r="C739">
        <v>60</v>
      </c>
      <c r="D739" t="s">
        <v>10</v>
      </c>
      <c r="F739" s="43">
        <v>45021.6875</v>
      </c>
      <c r="G739" s="43">
        <v>45021.729166666664</v>
      </c>
      <c r="H739">
        <v>16</v>
      </c>
      <c r="I739">
        <v>30</v>
      </c>
      <c r="J739">
        <v>17</v>
      </c>
      <c r="K739">
        <v>30</v>
      </c>
      <c r="L739">
        <v>2023</v>
      </c>
      <c r="N739" t="s">
        <v>47</v>
      </c>
      <c r="O739" t="s">
        <v>47</v>
      </c>
      <c r="P739" t="s">
        <v>8093</v>
      </c>
    </row>
    <row r="740" spans="1:16" x14ac:dyDescent="0.3">
      <c r="A740" t="s">
        <v>8094</v>
      </c>
      <c r="C740">
        <v>30</v>
      </c>
      <c r="D740" t="s">
        <v>10</v>
      </c>
      <c r="F740" s="43">
        <v>45021.652777777781</v>
      </c>
      <c r="G740" s="43">
        <v>45021.673611111109</v>
      </c>
      <c r="H740">
        <v>15</v>
      </c>
      <c r="I740">
        <v>40</v>
      </c>
      <c r="J740">
        <v>16</v>
      </c>
      <c r="K740">
        <v>10</v>
      </c>
      <c r="L740">
        <v>2023</v>
      </c>
      <c r="N740" t="s">
        <v>47</v>
      </c>
      <c r="O740" t="s">
        <v>47</v>
      </c>
      <c r="P740" t="s">
        <v>8095</v>
      </c>
    </row>
    <row r="741" spans="1:16" x14ac:dyDescent="0.3">
      <c r="A741" t="s">
        <v>8094</v>
      </c>
      <c r="C741">
        <v>60</v>
      </c>
      <c r="D741" t="s">
        <v>10</v>
      </c>
      <c r="F741" s="43">
        <v>45021.583333333336</v>
      </c>
      <c r="G741" s="43">
        <v>45021.625</v>
      </c>
      <c r="H741">
        <v>14</v>
      </c>
      <c r="I741">
        <v>0</v>
      </c>
      <c r="J741">
        <v>15</v>
      </c>
      <c r="K741">
        <v>0</v>
      </c>
      <c r="L741">
        <v>2023</v>
      </c>
      <c r="N741" t="s">
        <v>47</v>
      </c>
      <c r="O741" t="s">
        <v>47</v>
      </c>
      <c r="P741" t="s">
        <v>8099</v>
      </c>
    </row>
    <row r="742" spans="1:16" x14ac:dyDescent="0.3">
      <c r="A742" t="s">
        <v>7990</v>
      </c>
      <c r="B742" t="s">
        <v>225</v>
      </c>
      <c r="C742">
        <v>60</v>
      </c>
      <c r="D742" t="s">
        <v>10</v>
      </c>
      <c r="E742" t="s">
        <v>501</v>
      </c>
      <c r="F742" s="43">
        <v>45021.541666666664</v>
      </c>
      <c r="G742" s="43">
        <v>45021.583333333336</v>
      </c>
      <c r="H742">
        <v>13</v>
      </c>
      <c r="I742">
        <v>0</v>
      </c>
      <c r="J742">
        <v>14</v>
      </c>
      <c r="K742">
        <v>0</v>
      </c>
      <c r="L742">
        <v>2023</v>
      </c>
      <c r="N742" t="s">
        <v>7991</v>
      </c>
      <c r="O742" t="s">
        <v>47</v>
      </c>
      <c r="P742" t="s">
        <v>7992</v>
      </c>
    </row>
    <row r="743" spans="1:16" x14ac:dyDescent="0.3">
      <c r="A743" t="s">
        <v>8</v>
      </c>
      <c r="C743">
        <v>30</v>
      </c>
      <c r="D743" t="s">
        <v>10</v>
      </c>
      <c r="F743" s="43">
        <v>45021.520833333336</v>
      </c>
      <c r="G743" s="43">
        <v>45021.541666666664</v>
      </c>
      <c r="H743">
        <v>12</v>
      </c>
      <c r="I743">
        <v>30</v>
      </c>
      <c r="J743">
        <v>13</v>
      </c>
      <c r="K743">
        <v>0</v>
      </c>
      <c r="L743">
        <v>2023</v>
      </c>
      <c r="N743" t="s">
        <v>47</v>
      </c>
      <c r="O743" t="s">
        <v>47</v>
      </c>
      <c r="P743" t="s">
        <v>8081</v>
      </c>
    </row>
    <row r="744" spans="1:16" x14ac:dyDescent="0.3">
      <c r="A744" t="s">
        <v>8075</v>
      </c>
      <c r="C744">
        <v>45</v>
      </c>
      <c r="D744" t="s">
        <v>10</v>
      </c>
      <c r="F744" s="43">
        <v>45021.427083333336</v>
      </c>
      <c r="G744" s="43">
        <v>45021.458333333336</v>
      </c>
      <c r="H744">
        <v>10</v>
      </c>
      <c r="I744">
        <v>15</v>
      </c>
      <c r="J744">
        <v>11</v>
      </c>
      <c r="K744">
        <v>0</v>
      </c>
      <c r="L744">
        <v>2023</v>
      </c>
      <c r="N744" t="s">
        <v>47</v>
      </c>
      <c r="O744" t="s">
        <v>47</v>
      </c>
      <c r="P744" t="s">
        <v>8076</v>
      </c>
    </row>
    <row r="745" spans="1:16" x14ac:dyDescent="0.3">
      <c r="A745" t="s">
        <v>152</v>
      </c>
      <c r="C745">
        <v>15</v>
      </c>
      <c r="D745" t="s">
        <v>10</v>
      </c>
      <c r="F745" s="43">
        <v>45021.416666666664</v>
      </c>
      <c r="G745" s="43">
        <v>45021.427083333336</v>
      </c>
      <c r="H745">
        <v>10</v>
      </c>
      <c r="I745">
        <v>0</v>
      </c>
      <c r="J745">
        <v>10</v>
      </c>
      <c r="K745">
        <v>15</v>
      </c>
      <c r="L745">
        <v>2023</v>
      </c>
      <c r="N745" t="s">
        <v>47</v>
      </c>
      <c r="O745" t="s">
        <v>47</v>
      </c>
      <c r="P745" t="s">
        <v>8077</v>
      </c>
    </row>
    <row r="746" spans="1:16" x14ac:dyDescent="0.3">
      <c r="A746" t="s">
        <v>8</v>
      </c>
      <c r="C746">
        <v>30</v>
      </c>
      <c r="D746" t="s">
        <v>10</v>
      </c>
      <c r="F746" s="43">
        <v>45021.3125</v>
      </c>
      <c r="G746" s="43">
        <v>45021.333333333336</v>
      </c>
      <c r="H746">
        <v>7</v>
      </c>
      <c r="I746">
        <v>30</v>
      </c>
      <c r="J746">
        <v>8</v>
      </c>
      <c r="K746">
        <v>0</v>
      </c>
      <c r="L746">
        <v>2023</v>
      </c>
      <c r="N746" t="s">
        <v>47</v>
      </c>
      <c r="O746" t="s">
        <v>47</v>
      </c>
      <c r="P746" t="s">
        <v>8080</v>
      </c>
    </row>
    <row r="747" spans="1:16" x14ac:dyDescent="0.3">
      <c r="A747" t="s">
        <v>8</v>
      </c>
      <c r="C747">
        <v>30</v>
      </c>
      <c r="D747" t="s">
        <v>10</v>
      </c>
      <c r="F747" s="43">
        <v>45021.229166666664</v>
      </c>
      <c r="G747" s="43">
        <v>45021.25</v>
      </c>
      <c r="H747">
        <v>5</v>
      </c>
      <c r="I747">
        <v>30</v>
      </c>
      <c r="J747">
        <v>6</v>
      </c>
      <c r="K747">
        <v>0</v>
      </c>
      <c r="L747">
        <v>2023</v>
      </c>
      <c r="N747" t="s">
        <v>47</v>
      </c>
      <c r="O747" t="s">
        <v>47</v>
      </c>
      <c r="P747" t="s">
        <v>8074</v>
      </c>
    </row>
    <row r="748" spans="1:16" x14ac:dyDescent="0.3">
      <c r="A748" t="s">
        <v>8070</v>
      </c>
      <c r="C748">
        <v>30</v>
      </c>
      <c r="D748" t="s">
        <v>10</v>
      </c>
      <c r="F748" s="43">
        <v>45020.770833333336</v>
      </c>
      <c r="G748" s="43">
        <v>45020.791666666664</v>
      </c>
      <c r="H748">
        <v>18</v>
      </c>
      <c r="I748">
        <v>30</v>
      </c>
      <c r="J748">
        <v>19</v>
      </c>
      <c r="K748">
        <v>0</v>
      </c>
      <c r="L748">
        <v>2023</v>
      </c>
      <c r="N748" t="s">
        <v>47</v>
      </c>
      <c r="O748" t="s">
        <v>47</v>
      </c>
      <c r="P748" t="s">
        <v>8073</v>
      </c>
    </row>
    <row r="749" spans="1:16" x14ac:dyDescent="0.3">
      <c r="A749" t="s">
        <v>8070</v>
      </c>
      <c r="C749">
        <v>30</v>
      </c>
      <c r="D749" t="s">
        <v>10</v>
      </c>
      <c r="F749" s="43">
        <v>45020.729166666664</v>
      </c>
      <c r="G749" s="43">
        <v>45020.75</v>
      </c>
      <c r="H749">
        <v>17</v>
      </c>
      <c r="I749">
        <v>30</v>
      </c>
      <c r="J749">
        <v>18</v>
      </c>
      <c r="K749">
        <v>0</v>
      </c>
      <c r="L749">
        <v>2023</v>
      </c>
      <c r="N749" t="s">
        <v>47</v>
      </c>
      <c r="O749" t="s">
        <v>47</v>
      </c>
      <c r="P749" t="s">
        <v>8071</v>
      </c>
    </row>
    <row r="750" spans="1:16" x14ac:dyDescent="0.3">
      <c r="A750" t="s">
        <v>6959</v>
      </c>
      <c r="C750">
        <v>90</v>
      </c>
      <c r="D750" t="s">
        <v>10</v>
      </c>
      <c r="F750" s="43">
        <v>45020.645833333336</v>
      </c>
      <c r="G750" s="43">
        <v>45020.708333333336</v>
      </c>
      <c r="H750">
        <v>15</v>
      </c>
      <c r="I750">
        <v>30</v>
      </c>
      <c r="J750">
        <v>17</v>
      </c>
      <c r="K750">
        <v>0</v>
      </c>
      <c r="L750">
        <v>2023</v>
      </c>
      <c r="N750" t="s">
        <v>47</v>
      </c>
      <c r="O750" t="s">
        <v>47</v>
      </c>
      <c r="P750" t="s">
        <v>8072</v>
      </c>
    </row>
    <row r="751" spans="1:16" x14ac:dyDescent="0.3">
      <c r="A751" t="s">
        <v>8068</v>
      </c>
      <c r="C751">
        <v>30</v>
      </c>
      <c r="D751" t="s">
        <v>10</v>
      </c>
      <c r="F751" s="43">
        <v>45020.590277777781</v>
      </c>
      <c r="G751" s="43">
        <v>45020.611111111109</v>
      </c>
      <c r="H751">
        <v>14</v>
      </c>
      <c r="I751">
        <v>10</v>
      </c>
      <c r="J751">
        <v>14</v>
      </c>
      <c r="K751">
        <v>40</v>
      </c>
      <c r="L751">
        <v>2023</v>
      </c>
      <c r="N751" t="s">
        <v>47</v>
      </c>
      <c r="O751" t="s">
        <v>47</v>
      </c>
      <c r="P751" t="s">
        <v>8069</v>
      </c>
    </row>
    <row r="752" spans="1:16" x14ac:dyDescent="0.3">
      <c r="A752" t="s">
        <v>8066</v>
      </c>
      <c r="C752">
        <v>60</v>
      </c>
      <c r="D752" t="s">
        <v>10</v>
      </c>
      <c r="F752" s="43">
        <v>45020.541666666664</v>
      </c>
      <c r="G752" s="43">
        <v>45020.583333333336</v>
      </c>
      <c r="H752">
        <v>13</v>
      </c>
      <c r="I752">
        <v>0</v>
      </c>
      <c r="J752">
        <v>14</v>
      </c>
      <c r="K752">
        <v>0</v>
      </c>
      <c r="L752">
        <v>2023</v>
      </c>
      <c r="N752" t="s">
        <v>47</v>
      </c>
      <c r="O752" t="s">
        <v>47</v>
      </c>
      <c r="P752" t="s">
        <v>8067</v>
      </c>
    </row>
    <row r="753" spans="1:16" x14ac:dyDescent="0.3">
      <c r="A753" t="s">
        <v>8050</v>
      </c>
      <c r="C753">
        <v>30</v>
      </c>
      <c r="D753" t="s">
        <v>10</v>
      </c>
      <c r="F753" s="43">
        <v>45020.520833333336</v>
      </c>
      <c r="G753" s="43">
        <v>45020.541666666664</v>
      </c>
      <c r="H753">
        <v>12</v>
      </c>
      <c r="I753">
        <v>30</v>
      </c>
      <c r="J753">
        <v>13</v>
      </c>
      <c r="K753">
        <v>0</v>
      </c>
      <c r="L753">
        <v>2023</v>
      </c>
      <c r="N753" t="s">
        <v>47</v>
      </c>
      <c r="O753" t="s">
        <v>47</v>
      </c>
      <c r="P753" t="s">
        <v>8051</v>
      </c>
    </row>
    <row r="754" spans="1:16" x14ac:dyDescent="0.3">
      <c r="A754" t="s">
        <v>8052</v>
      </c>
      <c r="C754">
        <v>45</v>
      </c>
      <c r="D754" t="s">
        <v>10</v>
      </c>
      <c r="F754" s="43">
        <v>45020.46875</v>
      </c>
      <c r="G754" s="43">
        <v>45020.5</v>
      </c>
      <c r="H754">
        <v>11</v>
      </c>
      <c r="I754">
        <v>15</v>
      </c>
      <c r="J754">
        <v>12</v>
      </c>
      <c r="K754">
        <v>0</v>
      </c>
      <c r="L754">
        <v>2023</v>
      </c>
      <c r="N754" t="s">
        <v>47</v>
      </c>
      <c r="O754" t="s">
        <v>47</v>
      </c>
      <c r="P754" t="s">
        <v>8053</v>
      </c>
    </row>
    <row r="755" spans="1:16" x14ac:dyDescent="0.3">
      <c r="A755" t="s">
        <v>7972</v>
      </c>
      <c r="C755">
        <v>45</v>
      </c>
      <c r="D755" t="s">
        <v>10</v>
      </c>
      <c r="F755" s="43">
        <v>45020.4375</v>
      </c>
      <c r="G755" s="43">
        <v>45020.46875</v>
      </c>
      <c r="H755">
        <v>10</v>
      </c>
      <c r="I755">
        <v>30</v>
      </c>
      <c r="J755">
        <v>11</v>
      </c>
      <c r="K755">
        <v>15</v>
      </c>
      <c r="L755">
        <v>2023</v>
      </c>
      <c r="N755" t="s">
        <v>7973</v>
      </c>
      <c r="O755" t="s">
        <v>7974</v>
      </c>
      <c r="P755" t="s">
        <v>7975</v>
      </c>
    </row>
    <row r="756" spans="1:16" x14ac:dyDescent="0.3">
      <c r="A756" t="s">
        <v>4358</v>
      </c>
      <c r="C756">
        <v>55</v>
      </c>
      <c r="D756" t="s">
        <v>10</v>
      </c>
      <c r="F756" s="43">
        <v>45020.385416666664</v>
      </c>
      <c r="G756" s="43">
        <v>45020.423611111109</v>
      </c>
      <c r="H756">
        <v>9</v>
      </c>
      <c r="I756">
        <v>15</v>
      </c>
      <c r="J756">
        <v>10</v>
      </c>
      <c r="K756">
        <v>10</v>
      </c>
      <c r="L756">
        <v>2023</v>
      </c>
      <c r="N756" t="s">
        <v>47</v>
      </c>
      <c r="O756" t="s">
        <v>47</v>
      </c>
      <c r="P756" t="s">
        <v>8054</v>
      </c>
    </row>
    <row r="757" spans="1:16" x14ac:dyDescent="0.3">
      <c r="A757" t="s">
        <v>8036</v>
      </c>
      <c r="C757">
        <v>30</v>
      </c>
      <c r="D757" t="s">
        <v>10</v>
      </c>
      <c r="E757" t="s">
        <v>5</v>
      </c>
      <c r="F757" s="43">
        <v>45020.354166666664</v>
      </c>
      <c r="G757" s="43">
        <v>45020.375</v>
      </c>
      <c r="H757">
        <v>8</v>
      </c>
      <c r="I757">
        <v>30</v>
      </c>
      <c r="J757">
        <v>9</v>
      </c>
      <c r="K757">
        <v>0</v>
      </c>
      <c r="L757">
        <v>2023</v>
      </c>
      <c r="N757" t="s">
        <v>8037</v>
      </c>
      <c r="O757" t="s">
        <v>783</v>
      </c>
      <c r="P757" t="s">
        <v>8038</v>
      </c>
    </row>
    <row r="758" spans="1:16" x14ac:dyDescent="0.3">
      <c r="A758" t="s">
        <v>8055</v>
      </c>
      <c r="C758">
        <v>60</v>
      </c>
      <c r="D758" t="s">
        <v>10</v>
      </c>
      <c r="F758" s="1">
        <v>45020.3125</v>
      </c>
      <c r="G758" s="1">
        <v>45020.354166666664</v>
      </c>
      <c r="H758">
        <v>7</v>
      </c>
      <c r="I758">
        <v>30</v>
      </c>
      <c r="J758">
        <v>8</v>
      </c>
      <c r="K758">
        <v>30</v>
      </c>
      <c r="L758">
        <v>2023</v>
      </c>
      <c r="N758" t="s">
        <v>47</v>
      </c>
      <c r="O758" t="s">
        <v>47</v>
      </c>
      <c r="P758" t="s">
        <v>8056</v>
      </c>
    </row>
    <row r="759" spans="1:16" x14ac:dyDescent="0.3">
      <c r="A759" t="s">
        <v>7878</v>
      </c>
      <c r="C759">
        <v>60</v>
      </c>
      <c r="D759" t="s">
        <v>10</v>
      </c>
      <c r="F759" s="43">
        <v>45020.208333333336</v>
      </c>
      <c r="G759" s="43">
        <v>45020.25</v>
      </c>
      <c r="H759">
        <v>5</v>
      </c>
      <c r="I759">
        <v>0</v>
      </c>
      <c r="J759">
        <v>6</v>
      </c>
      <c r="K759">
        <v>0</v>
      </c>
      <c r="L759">
        <v>2023</v>
      </c>
      <c r="N759" t="s">
        <v>47</v>
      </c>
      <c r="O759" t="s">
        <v>47</v>
      </c>
      <c r="P759" t="s">
        <v>8060</v>
      </c>
    </row>
    <row r="760" spans="1:16" x14ac:dyDescent="0.3">
      <c r="A760" t="s">
        <v>6959</v>
      </c>
      <c r="C760">
        <v>30</v>
      </c>
      <c r="D760" t="s">
        <v>10</v>
      </c>
      <c r="F760" s="43">
        <v>45019.84375</v>
      </c>
      <c r="G760" s="43">
        <v>45019.864583333336</v>
      </c>
      <c r="H760">
        <v>20</v>
      </c>
      <c r="I760">
        <v>15</v>
      </c>
      <c r="J760">
        <v>20</v>
      </c>
      <c r="K760">
        <v>45</v>
      </c>
      <c r="L760">
        <v>2023</v>
      </c>
      <c r="N760" t="s">
        <v>47</v>
      </c>
      <c r="O760" t="s">
        <v>47</v>
      </c>
      <c r="P760" t="s">
        <v>8061</v>
      </c>
    </row>
    <row r="761" spans="1:16" x14ac:dyDescent="0.3">
      <c r="A761" t="s">
        <v>4590</v>
      </c>
      <c r="C761">
        <v>30</v>
      </c>
      <c r="D761" t="s">
        <v>10</v>
      </c>
      <c r="F761" s="43">
        <v>45019.770833333336</v>
      </c>
      <c r="G761" s="43">
        <v>45019.791666666664</v>
      </c>
      <c r="H761">
        <v>18</v>
      </c>
      <c r="I761">
        <v>30</v>
      </c>
      <c r="J761">
        <v>19</v>
      </c>
      <c r="K761">
        <v>0</v>
      </c>
      <c r="L761">
        <v>2023</v>
      </c>
      <c r="N761" t="s">
        <v>47</v>
      </c>
      <c r="O761" t="s">
        <v>47</v>
      </c>
      <c r="P761" t="s">
        <v>8062</v>
      </c>
    </row>
    <row r="762" spans="1:16" x14ac:dyDescent="0.3">
      <c r="A762" t="s">
        <v>8048</v>
      </c>
      <c r="C762">
        <v>30</v>
      </c>
      <c r="D762" t="s">
        <v>10</v>
      </c>
      <c r="F762" s="43">
        <v>45019.729166666664</v>
      </c>
      <c r="G762" s="43">
        <v>45019.75</v>
      </c>
      <c r="H762">
        <v>17</v>
      </c>
      <c r="I762">
        <v>30</v>
      </c>
      <c r="J762">
        <v>18</v>
      </c>
      <c r="K762">
        <v>0</v>
      </c>
      <c r="L762">
        <v>2023</v>
      </c>
      <c r="N762" t="s">
        <v>47</v>
      </c>
      <c r="O762" t="s">
        <v>47</v>
      </c>
      <c r="P762" t="s">
        <v>8049</v>
      </c>
    </row>
    <row r="763" spans="1:16" x14ac:dyDescent="0.3">
      <c r="A763" t="s">
        <v>8043</v>
      </c>
      <c r="C763">
        <v>30</v>
      </c>
      <c r="D763" t="s">
        <v>10</v>
      </c>
      <c r="F763" s="43">
        <v>45019.708333333336</v>
      </c>
      <c r="G763" s="43">
        <v>45019.729166666664</v>
      </c>
      <c r="H763">
        <v>17</v>
      </c>
      <c r="I763">
        <v>0</v>
      </c>
      <c r="J763">
        <v>17</v>
      </c>
      <c r="K763">
        <v>30</v>
      </c>
      <c r="L763">
        <v>2023</v>
      </c>
      <c r="N763" t="s">
        <v>47</v>
      </c>
      <c r="O763" t="s">
        <v>47</v>
      </c>
      <c r="P763" t="s">
        <v>8044</v>
      </c>
    </row>
    <row r="764" spans="1:16" x14ac:dyDescent="0.3">
      <c r="A764" t="s">
        <v>8045</v>
      </c>
      <c r="C764">
        <v>30</v>
      </c>
      <c r="D764" t="s">
        <v>10</v>
      </c>
      <c r="F764" s="43">
        <v>45019.666666666664</v>
      </c>
      <c r="G764" s="43">
        <v>45019.6875</v>
      </c>
      <c r="H764">
        <v>16</v>
      </c>
      <c r="I764">
        <v>0</v>
      </c>
      <c r="J764">
        <v>16</v>
      </c>
      <c r="K764">
        <v>30</v>
      </c>
      <c r="L764">
        <v>2023</v>
      </c>
      <c r="N764" t="s">
        <v>47</v>
      </c>
      <c r="O764" t="s">
        <v>47</v>
      </c>
      <c r="P764" t="s">
        <v>8046</v>
      </c>
    </row>
    <row r="765" spans="1:16" x14ac:dyDescent="0.3">
      <c r="A765" t="s">
        <v>7</v>
      </c>
      <c r="C765">
        <v>60</v>
      </c>
      <c r="D765" t="s">
        <v>10</v>
      </c>
      <c r="F765" s="43">
        <v>45019.604166666664</v>
      </c>
      <c r="G765" s="43">
        <v>45019.645833333336</v>
      </c>
      <c r="H765">
        <v>14</v>
      </c>
      <c r="I765">
        <v>30</v>
      </c>
      <c r="J765">
        <v>15</v>
      </c>
      <c r="K765">
        <v>30</v>
      </c>
      <c r="L765">
        <v>2023</v>
      </c>
      <c r="N765" t="s">
        <v>47</v>
      </c>
      <c r="O765" t="s">
        <v>47</v>
      </c>
      <c r="P765" t="s">
        <v>8047</v>
      </c>
    </row>
    <row r="766" spans="1:16" x14ac:dyDescent="0.3">
      <c r="A766" t="s">
        <v>8041</v>
      </c>
      <c r="C766">
        <v>60</v>
      </c>
      <c r="D766" t="s">
        <v>10</v>
      </c>
      <c r="F766" s="43">
        <v>45019.5625</v>
      </c>
      <c r="G766" s="43">
        <v>45019.604166666664</v>
      </c>
      <c r="H766">
        <v>13</v>
      </c>
      <c r="I766">
        <v>30</v>
      </c>
      <c r="J766">
        <v>14</v>
      </c>
      <c r="K766">
        <v>30</v>
      </c>
      <c r="L766">
        <v>2023</v>
      </c>
      <c r="N766" t="s">
        <v>47</v>
      </c>
      <c r="O766" t="s">
        <v>47</v>
      </c>
      <c r="P766" t="s">
        <v>8042</v>
      </c>
    </row>
    <row r="767" spans="1:16" x14ac:dyDescent="0.3">
      <c r="A767" t="s">
        <v>6959</v>
      </c>
      <c r="C767">
        <v>60</v>
      </c>
      <c r="D767" t="s">
        <v>10</v>
      </c>
      <c r="F767" s="43">
        <v>45019.520833333336</v>
      </c>
      <c r="G767" s="43">
        <v>45019.5625</v>
      </c>
      <c r="H767">
        <v>12</v>
      </c>
      <c r="I767">
        <v>30</v>
      </c>
      <c r="J767">
        <v>13</v>
      </c>
      <c r="K767">
        <v>30</v>
      </c>
      <c r="L767">
        <v>2023</v>
      </c>
      <c r="N767" t="s">
        <v>47</v>
      </c>
      <c r="O767" t="s">
        <v>47</v>
      </c>
      <c r="P767" t="s">
        <v>8032</v>
      </c>
    </row>
    <row r="768" spans="1:16" x14ac:dyDescent="0.3">
      <c r="A768" t="s">
        <v>8022</v>
      </c>
      <c r="C768">
        <v>60</v>
      </c>
      <c r="D768" t="s">
        <v>10</v>
      </c>
      <c r="E768" t="s">
        <v>8023</v>
      </c>
      <c r="F768" s="43">
        <v>45019.458333333336</v>
      </c>
      <c r="G768" s="43">
        <v>45019.5</v>
      </c>
      <c r="H768">
        <v>11</v>
      </c>
      <c r="I768">
        <v>0</v>
      </c>
      <c r="J768">
        <v>12</v>
      </c>
      <c r="K768">
        <v>0</v>
      </c>
      <c r="L768">
        <v>2023</v>
      </c>
      <c r="N768" t="s">
        <v>8024</v>
      </c>
      <c r="O768" t="s">
        <v>73</v>
      </c>
      <c r="P768" t="s">
        <v>8025</v>
      </c>
    </row>
    <row r="769" spans="1:16" x14ac:dyDescent="0.3">
      <c r="A769" t="s">
        <v>8</v>
      </c>
      <c r="C769">
        <v>30</v>
      </c>
      <c r="D769" t="s">
        <v>10</v>
      </c>
      <c r="F769" s="43">
        <v>45019.354166666664</v>
      </c>
      <c r="G769" s="43">
        <v>45019.375</v>
      </c>
      <c r="H769">
        <v>8</v>
      </c>
      <c r="I769">
        <v>30</v>
      </c>
      <c r="J769">
        <v>9</v>
      </c>
      <c r="K769">
        <v>0</v>
      </c>
      <c r="L769">
        <v>2023</v>
      </c>
      <c r="N769" t="s">
        <v>47</v>
      </c>
      <c r="O769" t="s">
        <v>47</v>
      </c>
      <c r="P769" t="s">
        <v>8035</v>
      </c>
    </row>
    <row r="770" spans="1:16" x14ac:dyDescent="0.3">
      <c r="A770" t="s">
        <v>8039</v>
      </c>
      <c r="C770">
        <v>30</v>
      </c>
      <c r="D770" t="s">
        <v>10</v>
      </c>
      <c r="F770" s="43">
        <v>45019.302083333336</v>
      </c>
      <c r="G770" s="43">
        <v>45019.322916666664</v>
      </c>
      <c r="H770">
        <v>7</v>
      </c>
      <c r="I770">
        <v>15</v>
      </c>
      <c r="J770">
        <v>7</v>
      </c>
      <c r="K770">
        <v>45</v>
      </c>
      <c r="L770">
        <v>2023</v>
      </c>
      <c r="N770" t="s">
        <v>47</v>
      </c>
      <c r="O770" t="s">
        <v>47</v>
      </c>
      <c r="P770" t="s">
        <v>8040</v>
      </c>
    </row>
    <row r="771" spans="1:16" x14ac:dyDescent="0.3">
      <c r="A771" t="s">
        <v>8033</v>
      </c>
      <c r="C771">
        <v>240</v>
      </c>
      <c r="D771" t="s">
        <v>10</v>
      </c>
      <c r="F771" s="43">
        <v>45018.416666666664</v>
      </c>
      <c r="G771" s="43">
        <v>45018.583333333336</v>
      </c>
      <c r="H771">
        <v>10</v>
      </c>
      <c r="I771">
        <v>0</v>
      </c>
      <c r="J771">
        <v>14</v>
      </c>
      <c r="K771">
        <v>0</v>
      </c>
      <c r="L771">
        <v>2023</v>
      </c>
      <c r="N771" t="s">
        <v>47</v>
      </c>
      <c r="O771" t="s">
        <v>47</v>
      </c>
      <c r="P771" t="s">
        <v>8034</v>
      </c>
    </row>
    <row r="772" spans="1:16" x14ac:dyDescent="0.3">
      <c r="A772" t="s">
        <v>6959</v>
      </c>
      <c r="C772">
        <v>30</v>
      </c>
      <c r="D772" t="s">
        <v>10</v>
      </c>
      <c r="F772" s="43">
        <v>45017.791666666664</v>
      </c>
      <c r="G772" s="43">
        <v>45017.8125</v>
      </c>
      <c r="H772">
        <v>19</v>
      </c>
      <c r="I772">
        <v>0</v>
      </c>
      <c r="J772">
        <v>19</v>
      </c>
      <c r="K772">
        <v>30</v>
      </c>
      <c r="L772">
        <v>2023</v>
      </c>
      <c r="N772" t="s">
        <v>47</v>
      </c>
      <c r="O772" t="s">
        <v>47</v>
      </c>
      <c r="P772" t="s">
        <v>8031</v>
      </c>
    </row>
    <row r="773" spans="1:16" x14ac:dyDescent="0.3">
      <c r="A773" t="s">
        <v>6959</v>
      </c>
      <c r="C773">
        <v>60</v>
      </c>
      <c r="D773" t="s">
        <v>10</v>
      </c>
      <c r="F773" s="43">
        <v>45017.729166666664</v>
      </c>
      <c r="G773" s="43">
        <v>45017.770833333336</v>
      </c>
      <c r="H773">
        <v>17</v>
      </c>
      <c r="I773">
        <v>30</v>
      </c>
      <c r="J773">
        <v>18</v>
      </c>
      <c r="K773">
        <v>30</v>
      </c>
      <c r="L773">
        <v>2023</v>
      </c>
      <c r="N773" t="s">
        <v>47</v>
      </c>
      <c r="O773" t="s">
        <v>47</v>
      </c>
      <c r="P773" t="s">
        <v>8030</v>
      </c>
    </row>
    <row r="774" spans="1:16" x14ac:dyDescent="0.3">
      <c r="A774" t="s">
        <v>6959</v>
      </c>
      <c r="C774">
        <v>60</v>
      </c>
      <c r="D774" t="s">
        <v>10</v>
      </c>
      <c r="F774" s="1">
        <v>45017.645833333336</v>
      </c>
      <c r="G774" s="1">
        <v>45017.6875</v>
      </c>
      <c r="H774">
        <v>15</v>
      </c>
      <c r="I774">
        <v>30</v>
      </c>
      <c r="J774">
        <v>16</v>
      </c>
      <c r="K774">
        <v>30</v>
      </c>
      <c r="L774">
        <v>2023</v>
      </c>
      <c r="N774" t="s">
        <v>47</v>
      </c>
      <c r="O774" t="s">
        <v>47</v>
      </c>
      <c r="P774" t="s">
        <v>8029</v>
      </c>
    </row>
    <row r="775" spans="1:16" x14ac:dyDescent="0.3">
      <c r="A775" t="s">
        <v>4358</v>
      </c>
      <c r="C775">
        <v>40</v>
      </c>
      <c r="D775" t="s">
        <v>10</v>
      </c>
      <c r="F775" s="43">
        <v>45017.5625</v>
      </c>
      <c r="G775" s="43">
        <v>45017.590277777781</v>
      </c>
      <c r="H775">
        <v>13</v>
      </c>
      <c r="I775">
        <v>30</v>
      </c>
      <c r="J775">
        <v>14</v>
      </c>
      <c r="K775">
        <v>10</v>
      </c>
      <c r="L775">
        <v>2023</v>
      </c>
      <c r="N775" t="s">
        <v>47</v>
      </c>
      <c r="O775" t="s">
        <v>47</v>
      </c>
      <c r="P775" t="s">
        <v>8026</v>
      </c>
    </row>
    <row r="776" spans="1:16" x14ac:dyDescent="0.3">
      <c r="A776" t="s">
        <v>8027</v>
      </c>
      <c r="C776">
        <v>90</v>
      </c>
      <c r="D776" t="s">
        <v>10</v>
      </c>
      <c r="F776" s="43">
        <v>45017.4375</v>
      </c>
      <c r="G776" s="43">
        <v>45017.5</v>
      </c>
      <c r="H776">
        <v>10</v>
      </c>
      <c r="I776">
        <v>30</v>
      </c>
      <c r="J776">
        <v>12</v>
      </c>
      <c r="K776">
        <v>0</v>
      </c>
      <c r="L776">
        <v>2023</v>
      </c>
      <c r="N776" t="s">
        <v>47</v>
      </c>
      <c r="O776" t="s">
        <v>47</v>
      </c>
      <c r="P776" t="s">
        <v>8028</v>
      </c>
    </row>
    <row r="777" spans="1:16" x14ac:dyDescent="0.3">
      <c r="A777" t="s">
        <v>8000</v>
      </c>
      <c r="C777">
        <v>30</v>
      </c>
      <c r="D777" t="s">
        <v>10</v>
      </c>
      <c r="F777" s="43">
        <v>45016.75</v>
      </c>
      <c r="G777" s="43">
        <v>45016.770833333336</v>
      </c>
      <c r="H777">
        <v>18</v>
      </c>
      <c r="I777">
        <v>0</v>
      </c>
      <c r="J777">
        <v>18</v>
      </c>
      <c r="K777">
        <v>30</v>
      </c>
      <c r="L777">
        <v>2023</v>
      </c>
      <c r="N777" t="s">
        <v>47</v>
      </c>
      <c r="O777" t="s">
        <v>47</v>
      </c>
      <c r="P777" t="s">
        <v>8001</v>
      </c>
    </row>
    <row r="778" spans="1:16" x14ac:dyDescent="0.3">
      <c r="A778" t="s">
        <v>8002</v>
      </c>
      <c r="C778">
        <v>75</v>
      </c>
      <c r="D778" t="s">
        <v>10</v>
      </c>
      <c r="F778" s="43">
        <v>45016.666666666664</v>
      </c>
      <c r="G778" s="43">
        <v>45016.71875</v>
      </c>
      <c r="H778">
        <v>16</v>
      </c>
      <c r="I778">
        <v>0</v>
      </c>
      <c r="J778">
        <v>17</v>
      </c>
      <c r="K778">
        <v>15</v>
      </c>
      <c r="L778">
        <v>2023</v>
      </c>
      <c r="N778" t="s">
        <v>47</v>
      </c>
      <c r="O778" t="s">
        <v>47</v>
      </c>
      <c r="P778" t="s">
        <v>8003</v>
      </c>
    </row>
    <row r="779" spans="1:16" x14ac:dyDescent="0.3">
      <c r="A779" t="s">
        <v>7931</v>
      </c>
      <c r="B779" t="s">
        <v>20</v>
      </c>
      <c r="C779">
        <v>30</v>
      </c>
      <c r="D779" t="s">
        <v>10</v>
      </c>
      <c r="E779" t="s">
        <v>501</v>
      </c>
      <c r="F779" s="43">
        <v>45016.583333333336</v>
      </c>
      <c r="G779" s="43">
        <v>45016.604166666664</v>
      </c>
      <c r="H779">
        <v>14</v>
      </c>
      <c r="I779">
        <v>0</v>
      </c>
      <c r="J779">
        <v>14</v>
      </c>
      <c r="K779">
        <v>30</v>
      </c>
      <c r="L779">
        <v>2023</v>
      </c>
      <c r="N779" t="s">
        <v>7932</v>
      </c>
      <c r="O779" t="s">
        <v>47</v>
      </c>
      <c r="P779" t="s">
        <v>7933</v>
      </c>
    </row>
    <row r="780" spans="1:16" x14ac:dyDescent="0.3">
      <c r="A780" t="s">
        <v>6959</v>
      </c>
      <c r="C780">
        <v>30</v>
      </c>
      <c r="D780" t="s">
        <v>10</v>
      </c>
      <c r="F780" s="43">
        <v>45016.5625</v>
      </c>
      <c r="G780" s="43">
        <v>45016.583333333336</v>
      </c>
      <c r="H780">
        <v>13</v>
      </c>
      <c r="I780">
        <v>30</v>
      </c>
      <c r="J780">
        <v>14</v>
      </c>
      <c r="K780">
        <v>0</v>
      </c>
      <c r="L780">
        <v>2023</v>
      </c>
      <c r="N780" t="s">
        <v>47</v>
      </c>
      <c r="O780" t="s">
        <v>47</v>
      </c>
      <c r="P780" t="s">
        <v>8004</v>
      </c>
    </row>
    <row r="781" spans="1:16" x14ac:dyDescent="0.3">
      <c r="A781" t="s">
        <v>8</v>
      </c>
      <c r="C781">
        <v>15</v>
      </c>
      <c r="D781" t="s">
        <v>10</v>
      </c>
      <c r="F781" s="43">
        <v>45016.520833333336</v>
      </c>
      <c r="G781" s="43">
        <v>45016.53125</v>
      </c>
      <c r="H781">
        <v>12</v>
      </c>
      <c r="I781">
        <v>30</v>
      </c>
      <c r="J781">
        <v>12</v>
      </c>
      <c r="K781">
        <v>45</v>
      </c>
      <c r="L781">
        <v>2023</v>
      </c>
      <c r="N781" t="s">
        <v>47</v>
      </c>
      <c r="O781" t="s">
        <v>47</v>
      </c>
      <c r="P781" t="s">
        <v>8005</v>
      </c>
    </row>
    <row r="782" spans="1:16" x14ac:dyDescent="0.3">
      <c r="A782" t="s">
        <v>6959</v>
      </c>
      <c r="C782">
        <v>40</v>
      </c>
      <c r="D782" t="s">
        <v>10</v>
      </c>
      <c r="F782" s="43">
        <v>45016.5</v>
      </c>
      <c r="G782" s="43">
        <v>45016.527777777781</v>
      </c>
      <c r="H782">
        <v>12</v>
      </c>
      <c r="I782">
        <v>0</v>
      </c>
      <c r="J782">
        <v>12</v>
      </c>
      <c r="K782">
        <v>40</v>
      </c>
      <c r="L782">
        <v>2023</v>
      </c>
      <c r="N782" t="s">
        <v>47</v>
      </c>
      <c r="O782" t="s">
        <v>47</v>
      </c>
      <c r="P782" t="s">
        <v>8008</v>
      </c>
    </row>
    <row r="783" spans="1:16" x14ac:dyDescent="0.3">
      <c r="A783" t="s">
        <v>8006</v>
      </c>
      <c r="C783">
        <v>30</v>
      </c>
      <c r="D783" t="s">
        <v>10</v>
      </c>
      <c r="F783" s="43">
        <v>45016.479166666664</v>
      </c>
      <c r="G783" s="43">
        <v>45016.5</v>
      </c>
      <c r="H783">
        <v>11</v>
      </c>
      <c r="I783">
        <v>30</v>
      </c>
      <c r="J783">
        <v>12</v>
      </c>
      <c r="K783">
        <v>0</v>
      </c>
      <c r="L783">
        <v>2023</v>
      </c>
      <c r="N783" t="s">
        <v>47</v>
      </c>
      <c r="O783" t="s">
        <v>47</v>
      </c>
      <c r="P783" t="s">
        <v>8007</v>
      </c>
    </row>
    <row r="784" spans="1:16" x14ac:dyDescent="0.3">
      <c r="A784" t="s">
        <v>8011</v>
      </c>
      <c r="C784">
        <v>30</v>
      </c>
      <c r="D784" t="s">
        <v>10</v>
      </c>
      <c r="F784" s="43">
        <v>45016.4375</v>
      </c>
      <c r="G784" s="43">
        <v>45016.458333333336</v>
      </c>
      <c r="H784">
        <v>10</v>
      </c>
      <c r="I784">
        <v>30</v>
      </c>
      <c r="J784">
        <v>11</v>
      </c>
      <c r="K784">
        <v>0</v>
      </c>
      <c r="L784">
        <v>2023</v>
      </c>
      <c r="N784" t="s">
        <v>47</v>
      </c>
      <c r="O784" t="s">
        <v>47</v>
      </c>
      <c r="P784" t="s">
        <v>8012</v>
      </c>
    </row>
    <row r="785" spans="1:18" x14ac:dyDescent="0.3">
      <c r="A785" t="s">
        <v>8014</v>
      </c>
      <c r="C785">
        <v>30</v>
      </c>
      <c r="D785" t="s">
        <v>10</v>
      </c>
      <c r="E785" t="s">
        <v>8015</v>
      </c>
      <c r="F785" s="43">
        <v>45016.427083333336</v>
      </c>
      <c r="G785" s="43">
        <v>45016.447916666664</v>
      </c>
      <c r="H785">
        <v>10</v>
      </c>
      <c r="I785">
        <v>15</v>
      </c>
      <c r="J785">
        <v>10</v>
      </c>
      <c r="K785">
        <v>45</v>
      </c>
      <c r="L785">
        <v>2023</v>
      </c>
      <c r="N785" t="s">
        <v>8016</v>
      </c>
      <c r="O785" t="s">
        <v>1863</v>
      </c>
      <c r="P785" t="s">
        <v>8017</v>
      </c>
    </row>
    <row r="786" spans="1:18" x14ac:dyDescent="0.3">
      <c r="A786" t="s">
        <v>7</v>
      </c>
      <c r="C786">
        <v>30</v>
      </c>
      <c r="D786" t="s">
        <v>10</v>
      </c>
      <c r="F786" s="43">
        <v>45016.416666666664</v>
      </c>
      <c r="G786" s="43">
        <v>45016.4375</v>
      </c>
      <c r="H786">
        <v>10</v>
      </c>
      <c r="I786">
        <v>0</v>
      </c>
      <c r="J786">
        <v>10</v>
      </c>
      <c r="K786">
        <v>30</v>
      </c>
      <c r="L786">
        <v>2023</v>
      </c>
      <c r="N786" t="s">
        <v>47</v>
      </c>
      <c r="O786" t="s">
        <v>47</v>
      </c>
      <c r="P786" t="s">
        <v>8013</v>
      </c>
    </row>
    <row r="787" spans="1:18" x14ac:dyDescent="0.3">
      <c r="A787" t="s">
        <v>6972</v>
      </c>
      <c r="B787" t="s">
        <v>31</v>
      </c>
      <c r="C787">
        <v>90</v>
      </c>
      <c r="D787" t="s">
        <v>10</v>
      </c>
      <c r="F787" s="43">
        <v>45016.354166666664</v>
      </c>
      <c r="G787" s="43">
        <v>45016.416666666664</v>
      </c>
      <c r="H787">
        <v>8</v>
      </c>
      <c r="I787">
        <v>30</v>
      </c>
      <c r="J787">
        <v>10</v>
      </c>
      <c r="K787">
        <v>0</v>
      </c>
      <c r="L787">
        <v>2023</v>
      </c>
      <c r="N787" t="s">
        <v>47</v>
      </c>
      <c r="O787" t="s">
        <v>47</v>
      </c>
      <c r="P787" t="s">
        <v>6973</v>
      </c>
    </row>
    <row r="788" spans="1:18" x14ac:dyDescent="0.3">
      <c r="A788" t="s">
        <v>8</v>
      </c>
      <c r="C788">
        <v>30</v>
      </c>
      <c r="D788" t="s">
        <v>10</v>
      </c>
      <c r="F788" s="43">
        <v>45016.3125</v>
      </c>
      <c r="G788" s="43">
        <v>45016.333333333336</v>
      </c>
      <c r="H788">
        <v>7</v>
      </c>
      <c r="I788">
        <v>30</v>
      </c>
      <c r="J788">
        <v>8</v>
      </c>
      <c r="K788">
        <v>0</v>
      </c>
      <c r="L788">
        <v>2023</v>
      </c>
      <c r="N788" t="s">
        <v>47</v>
      </c>
      <c r="O788" t="s">
        <v>47</v>
      </c>
      <c r="P788" t="s">
        <v>8009</v>
      </c>
    </row>
    <row r="789" spans="1:18" x14ac:dyDescent="0.3">
      <c r="A789" t="s">
        <v>8</v>
      </c>
      <c r="C789">
        <v>30</v>
      </c>
      <c r="D789" t="s">
        <v>10</v>
      </c>
      <c r="F789" s="43">
        <v>45016.229166666664</v>
      </c>
      <c r="G789" s="43">
        <v>45016.25</v>
      </c>
      <c r="H789">
        <v>5</v>
      </c>
      <c r="I789">
        <v>30</v>
      </c>
      <c r="J789">
        <v>6</v>
      </c>
      <c r="K789">
        <v>0</v>
      </c>
      <c r="L789">
        <v>2023</v>
      </c>
      <c r="N789" t="s">
        <v>47</v>
      </c>
      <c r="O789" t="s">
        <v>47</v>
      </c>
      <c r="P789" t="s">
        <v>8010</v>
      </c>
    </row>
    <row r="790" spans="1:18" x14ac:dyDescent="0.3">
      <c r="A790" t="s">
        <v>8018</v>
      </c>
      <c r="C790">
        <v>30</v>
      </c>
      <c r="D790" t="s">
        <v>10</v>
      </c>
      <c r="F790" s="43">
        <v>45015.791666666664</v>
      </c>
      <c r="G790" s="43">
        <v>45015.8125</v>
      </c>
      <c r="H790">
        <v>19</v>
      </c>
      <c r="I790">
        <v>0</v>
      </c>
      <c r="J790">
        <v>19</v>
      </c>
      <c r="K790">
        <v>30</v>
      </c>
      <c r="L790">
        <v>2023</v>
      </c>
      <c r="N790" t="s">
        <v>47</v>
      </c>
      <c r="O790" t="s">
        <v>47</v>
      </c>
      <c r="P790" t="s">
        <v>8020</v>
      </c>
    </row>
    <row r="791" spans="1:18" x14ac:dyDescent="0.3">
      <c r="A791" t="s">
        <v>8018</v>
      </c>
      <c r="C791">
        <v>60</v>
      </c>
      <c r="D791" t="s">
        <v>10</v>
      </c>
      <c r="F791" s="43">
        <v>45015.729166666664</v>
      </c>
      <c r="G791" s="43">
        <v>45015.770833333336</v>
      </c>
      <c r="H791">
        <v>17</v>
      </c>
      <c r="I791">
        <v>30</v>
      </c>
      <c r="J791">
        <v>18</v>
      </c>
      <c r="K791">
        <v>30</v>
      </c>
      <c r="L791">
        <v>2023</v>
      </c>
      <c r="N791" t="s">
        <v>47</v>
      </c>
      <c r="O791" t="s">
        <v>47</v>
      </c>
      <c r="P791" t="s">
        <v>8019</v>
      </c>
    </row>
    <row r="792" spans="1:18" x14ac:dyDescent="0.3">
      <c r="A792" t="s">
        <v>3626</v>
      </c>
      <c r="C792">
        <v>60</v>
      </c>
      <c r="D792" t="s">
        <v>10</v>
      </c>
      <c r="E792" t="s">
        <v>501</v>
      </c>
      <c r="F792" s="43">
        <v>45015.666666666664</v>
      </c>
      <c r="G792" s="43">
        <v>45015.708333333336</v>
      </c>
      <c r="H792">
        <v>16</v>
      </c>
      <c r="I792">
        <v>0</v>
      </c>
      <c r="J792">
        <v>17</v>
      </c>
      <c r="K792">
        <v>0</v>
      </c>
      <c r="L792">
        <v>2023</v>
      </c>
      <c r="N792" t="s">
        <v>7970</v>
      </c>
      <c r="O792" t="s">
        <v>47</v>
      </c>
      <c r="P792" t="s">
        <v>7971</v>
      </c>
    </row>
    <row r="793" spans="1:18" x14ac:dyDescent="0.3">
      <c r="A793" t="s">
        <v>7</v>
      </c>
      <c r="C793">
        <v>60</v>
      </c>
      <c r="D793" t="s">
        <v>10</v>
      </c>
      <c r="F793" s="43">
        <v>45015.604166666664</v>
      </c>
      <c r="G793" s="43">
        <v>45015.645833333336</v>
      </c>
      <c r="H793">
        <v>14</v>
      </c>
      <c r="I793">
        <v>30</v>
      </c>
      <c r="J793">
        <v>15</v>
      </c>
      <c r="K793">
        <v>30</v>
      </c>
      <c r="L793">
        <v>2023</v>
      </c>
      <c r="N793" t="s">
        <v>47</v>
      </c>
      <c r="O793" t="s">
        <v>47</v>
      </c>
      <c r="P793" t="s">
        <v>8021</v>
      </c>
    </row>
    <row r="794" spans="1:18" x14ac:dyDescent="0.3">
      <c r="A794" t="s">
        <v>7967</v>
      </c>
      <c r="C794">
        <v>60</v>
      </c>
      <c r="D794" t="s">
        <v>10</v>
      </c>
      <c r="F794" s="43">
        <v>45015.541666666664</v>
      </c>
      <c r="G794" s="43">
        <v>45015.583333333336</v>
      </c>
      <c r="H794">
        <v>13</v>
      </c>
      <c r="I794">
        <v>0</v>
      </c>
      <c r="J794">
        <v>14</v>
      </c>
      <c r="K794">
        <v>0</v>
      </c>
      <c r="L794">
        <v>2023</v>
      </c>
      <c r="N794" t="s">
        <v>47</v>
      </c>
      <c r="O794" t="s">
        <v>47</v>
      </c>
      <c r="P794" t="s">
        <v>7968</v>
      </c>
    </row>
    <row r="795" spans="1:18" x14ac:dyDescent="0.3">
      <c r="A795" t="s">
        <v>7976</v>
      </c>
      <c r="C795">
        <v>30</v>
      </c>
      <c r="D795" t="s">
        <v>10</v>
      </c>
      <c r="E795" t="s">
        <v>501</v>
      </c>
      <c r="F795" s="43">
        <v>45015.4375</v>
      </c>
      <c r="G795" s="43">
        <v>45015.458333333336</v>
      </c>
      <c r="H795">
        <v>10</v>
      </c>
      <c r="I795">
        <v>30</v>
      </c>
      <c r="J795">
        <v>11</v>
      </c>
      <c r="K795">
        <v>0</v>
      </c>
      <c r="L795">
        <v>2023</v>
      </c>
      <c r="N795" t="s">
        <v>7977</v>
      </c>
      <c r="O795" t="s">
        <v>47</v>
      </c>
      <c r="P795" t="s">
        <v>7978</v>
      </c>
      <c r="Q795" t="s">
        <v>6</v>
      </c>
      <c r="R795" s="41" t="s">
        <v>9112</v>
      </c>
    </row>
    <row r="796" spans="1:18" x14ac:dyDescent="0.3">
      <c r="A796" t="s">
        <v>7369</v>
      </c>
      <c r="B796" t="s">
        <v>6</v>
      </c>
      <c r="C796">
        <v>90</v>
      </c>
      <c r="D796" t="s">
        <v>10</v>
      </c>
      <c r="E796" t="s">
        <v>7370</v>
      </c>
      <c r="F796" s="43">
        <v>45015.375</v>
      </c>
      <c r="G796" s="43">
        <v>45015.4375</v>
      </c>
      <c r="H796">
        <v>9</v>
      </c>
      <c r="I796">
        <v>0</v>
      </c>
      <c r="J796">
        <v>10</v>
      </c>
      <c r="K796">
        <v>30</v>
      </c>
      <c r="L796">
        <v>2023</v>
      </c>
      <c r="N796" t="s">
        <v>7371</v>
      </c>
      <c r="O796" t="s">
        <v>6</v>
      </c>
      <c r="P796" t="s">
        <v>7372</v>
      </c>
    </row>
    <row r="797" spans="1:18" x14ac:dyDescent="0.3">
      <c r="A797" t="s">
        <v>8</v>
      </c>
      <c r="C797">
        <v>60</v>
      </c>
      <c r="D797" t="s">
        <v>10</v>
      </c>
      <c r="F797" s="43">
        <v>45015.333333333336</v>
      </c>
      <c r="G797" s="43">
        <v>45015.375</v>
      </c>
      <c r="H797">
        <v>8</v>
      </c>
      <c r="I797">
        <v>0</v>
      </c>
      <c r="J797">
        <v>9</v>
      </c>
      <c r="K797">
        <v>0</v>
      </c>
      <c r="L797">
        <v>2023</v>
      </c>
      <c r="N797" t="s">
        <v>47</v>
      </c>
      <c r="O797" t="s">
        <v>47</v>
      </c>
      <c r="P797" t="s">
        <v>7969</v>
      </c>
    </row>
    <row r="798" spans="1:18" x14ac:dyDescent="0.3">
      <c r="A798" t="s">
        <v>7979</v>
      </c>
      <c r="C798">
        <v>30</v>
      </c>
      <c r="D798" t="s">
        <v>10</v>
      </c>
      <c r="F798" s="43">
        <v>45015.3125</v>
      </c>
      <c r="G798" s="43">
        <v>45015.333333333336</v>
      </c>
      <c r="H798">
        <v>7</v>
      </c>
      <c r="I798">
        <v>30</v>
      </c>
      <c r="J798">
        <v>8</v>
      </c>
      <c r="K798">
        <v>0</v>
      </c>
      <c r="L798">
        <v>2023</v>
      </c>
      <c r="N798" t="s">
        <v>47</v>
      </c>
      <c r="O798" t="s">
        <v>47</v>
      </c>
      <c r="P798" t="s">
        <v>7980</v>
      </c>
    </row>
    <row r="799" spans="1:18" x14ac:dyDescent="0.3">
      <c r="A799" t="s">
        <v>7981</v>
      </c>
      <c r="C799">
        <v>30</v>
      </c>
      <c r="D799" t="s">
        <v>10</v>
      </c>
      <c r="F799" s="43">
        <v>45015.270833333336</v>
      </c>
      <c r="G799" s="43">
        <v>45015.291666666664</v>
      </c>
      <c r="H799">
        <v>6</v>
      </c>
      <c r="I799">
        <v>30</v>
      </c>
      <c r="J799">
        <v>7</v>
      </c>
      <c r="K799">
        <v>0</v>
      </c>
      <c r="L799">
        <v>2023</v>
      </c>
      <c r="N799" t="s">
        <v>47</v>
      </c>
      <c r="O799" t="s">
        <v>47</v>
      </c>
      <c r="P799" t="s">
        <v>7982</v>
      </c>
    </row>
    <row r="800" spans="1:18" x14ac:dyDescent="0.3">
      <c r="A800" t="s">
        <v>3128</v>
      </c>
      <c r="B800" t="s">
        <v>20</v>
      </c>
      <c r="C800">
        <v>40</v>
      </c>
      <c r="D800" t="s">
        <v>10</v>
      </c>
      <c r="F800" s="43">
        <v>45015.25</v>
      </c>
      <c r="G800" s="43">
        <v>45015.277777777781</v>
      </c>
      <c r="H800">
        <v>6</v>
      </c>
      <c r="I800">
        <v>0</v>
      </c>
      <c r="J800">
        <v>6</v>
      </c>
      <c r="K800">
        <v>40</v>
      </c>
      <c r="L800">
        <v>2023</v>
      </c>
      <c r="N800" t="s">
        <v>7765</v>
      </c>
      <c r="O800" t="s">
        <v>7766</v>
      </c>
      <c r="P800" t="s">
        <v>7767</v>
      </c>
    </row>
    <row r="801" spans="1:16" x14ac:dyDescent="0.3">
      <c r="A801" t="s">
        <v>4358</v>
      </c>
      <c r="C801">
        <v>60</v>
      </c>
      <c r="D801" t="s">
        <v>10</v>
      </c>
      <c r="F801" s="43">
        <v>45015.208333333336</v>
      </c>
      <c r="G801" s="43">
        <v>45015.25</v>
      </c>
      <c r="H801">
        <v>5</v>
      </c>
      <c r="I801">
        <v>0</v>
      </c>
      <c r="J801">
        <v>6</v>
      </c>
      <c r="K801">
        <v>0</v>
      </c>
      <c r="L801">
        <v>2023</v>
      </c>
      <c r="N801" t="s">
        <v>47</v>
      </c>
      <c r="O801" t="s">
        <v>47</v>
      </c>
      <c r="P801" t="s">
        <v>7983</v>
      </c>
    </row>
    <row r="802" spans="1:16" x14ac:dyDescent="0.3">
      <c r="A802" t="s">
        <v>573</v>
      </c>
      <c r="C802">
        <v>50</v>
      </c>
      <c r="D802" t="s">
        <v>10</v>
      </c>
      <c r="F802" s="43">
        <v>45014.770833333336</v>
      </c>
      <c r="G802" s="43">
        <v>45014.805555555555</v>
      </c>
      <c r="H802">
        <v>18</v>
      </c>
      <c r="I802">
        <v>30</v>
      </c>
      <c r="J802">
        <v>19</v>
      </c>
      <c r="K802">
        <v>20</v>
      </c>
      <c r="L802">
        <v>2023</v>
      </c>
      <c r="N802" t="s">
        <v>47</v>
      </c>
      <c r="O802" t="s">
        <v>47</v>
      </c>
      <c r="P802" t="s">
        <v>7997</v>
      </c>
    </row>
    <row r="803" spans="1:16" x14ac:dyDescent="0.3">
      <c r="A803" t="s">
        <v>573</v>
      </c>
      <c r="C803">
        <v>60</v>
      </c>
      <c r="D803" t="s">
        <v>10</v>
      </c>
      <c r="F803" s="43">
        <v>45014.708333333336</v>
      </c>
      <c r="G803" s="43">
        <v>45014.75</v>
      </c>
      <c r="H803">
        <v>17</v>
      </c>
      <c r="I803">
        <v>0</v>
      </c>
      <c r="J803">
        <v>18</v>
      </c>
      <c r="K803">
        <v>0</v>
      </c>
      <c r="L803">
        <v>2023</v>
      </c>
      <c r="N803" t="s">
        <v>47</v>
      </c>
      <c r="O803" t="s">
        <v>47</v>
      </c>
      <c r="P803" t="s">
        <v>7998</v>
      </c>
    </row>
    <row r="804" spans="1:16" x14ac:dyDescent="0.3">
      <c r="A804" t="s">
        <v>7</v>
      </c>
      <c r="C804">
        <v>30</v>
      </c>
      <c r="D804" t="s">
        <v>10</v>
      </c>
      <c r="F804" s="43">
        <v>45014.666666666664</v>
      </c>
      <c r="G804" s="43">
        <v>45014.6875</v>
      </c>
      <c r="H804">
        <v>16</v>
      </c>
      <c r="I804">
        <v>0</v>
      </c>
      <c r="J804">
        <v>16</v>
      </c>
      <c r="K804">
        <v>30</v>
      </c>
      <c r="L804">
        <v>2023</v>
      </c>
      <c r="N804" t="s">
        <v>47</v>
      </c>
      <c r="O804" t="s">
        <v>47</v>
      </c>
      <c r="P804" t="s">
        <v>7999</v>
      </c>
    </row>
    <row r="805" spans="1:16" x14ac:dyDescent="0.3">
      <c r="A805" t="s">
        <v>7936</v>
      </c>
      <c r="C805">
        <v>60</v>
      </c>
      <c r="D805" t="s">
        <v>10</v>
      </c>
      <c r="E805" t="s">
        <v>3759</v>
      </c>
      <c r="F805" s="43">
        <v>45014.625</v>
      </c>
      <c r="G805" s="43">
        <v>45014.666666666664</v>
      </c>
      <c r="H805">
        <v>15</v>
      </c>
      <c r="I805">
        <v>0</v>
      </c>
      <c r="J805">
        <v>16</v>
      </c>
      <c r="K805">
        <v>0</v>
      </c>
      <c r="L805">
        <v>2023</v>
      </c>
      <c r="N805" t="s">
        <v>7937</v>
      </c>
      <c r="O805" t="s">
        <v>47</v>
      </c>
      <c r="P805" t="s">
        <v>7938</v>
      </c>
    </row>
    <row r="806" spans="1:16" x14ac:dyDescent="0.3">
      <c r="A806" t="s">
        <v>7965</v>
      </c>
      <c r="C806">
        <v>75</v>
      </c>
      <c r="D806" t="s">
        <v>10</v>
      </c>
      <c r="F806" s="43">
        <v>45014.614583333336</v>
      </c>
      <c r="G806" s="43">
        <v>45014.666666666664</v>
      </c>
      <c r="H806">
        <v>14</v>
      </c>
      <c r="I806">
        <v>45</v>
      </c>
      <c r="J806">
        <v>16</v>
      </c>
      <c r="K806">
        <v>0</v>
      </c>
      <c r="L806">
        <v>2023</v>
      </c>
      <c r="N806" t="s">
        <v>47</v>
      </c>
      <c r="O806" t="s">
        <v>47</v>
      </c>
      <c r="P806" t="s">
        <v>7966</v>
      </c>
    </row>
    <row r="807" spans="1:16" x14ac:dyDescent="0.3">
      <c r="A807" t="s">
        <v>573</v>
      </c>
      <c r="C807">
        <v>50</v>
      </c>
      <c r="D807" t="s">
        <v>10</v>
      </c>
      <c r="F807" s="43">
        <v>45014.5625</v>
      </c>
      <c r="G807" s="43">
        <v>45014.597222222219</v>
      </c>
      <c r="H807">
        <v>13</v>
      </c>
      <c r="I807">
        <v>30</v>
      </c>
      <c r="J807">
        <v>14</v>
      </c>
      <c r="K807">
        <v>20</v>
      </c>
      <c r="L807">
        <v>2023</v>
      </c>
      <c r="N807" t="s">
        <v>47</v>
      </c>
      <c r="O807" t="s">
        <v>47</v>
      </c>
      <c r="P807" t="s">
        <v>7964</v>
      </c>
    </row>
    <row r="808" spans="1:16" x14ac:dyDescent="0.3">
      <c r="A808" t="s">
        <v>827</v>
      </c>
      <c r="C808">
        <v>30</v>
      </c>
      <c r="D808" t="s">
        <v>10</v>
      </c>
      <c r="F808" s="1">
        <v>45014.520833333336</v>
      </c>
      <c r="G808" s="1">
        <v>45014.541666666664</v>
      </c>
      <c r="H808">
        <v>12</v>
      </c>
      <c r="I808">
        <v>30</v>
      </c>
      <c r="J808">
        <v>13</v>
      </c>
      <c r="K808">
        <v>0</v>
      </c>
      <c r="L808">
        <v>2023</v>
      </c>
      <c r="N808" t="s">
        <v>47</v>
      </c>
      <c r="O808" t="s">
        <v>47</v>
      </c>
      <c r="P808" t="s">
        <v>7954</v>
      </c>
    </row>
    <row r="809" spans="1:16" x14ac:dyDescent="0.3">
      <c r="A809" t="s">
        <v>7955</v>
      </c>
      <c r="C809">
        <v>90</v>
      </c>
      <c r="D809" t="s">
        <v>10</v>
      </c>
      <c r="F809" s="43">
        <v>45014.458333333336</v>
      </c>
      <c r="G809" s="43">
        <v>45014.520833333336</v>
      </c>
      <c r="H809">
        <v>11</v>
      </c>
      <c r="I809">
        <v>0</v>
      </c>
      <c r="J809">
        <v>12</v>
      </c>
      <c r="K809">
        <v>30</v>
      </c>
      <c r="L809">
        <v>2023</v>
      </c>
      <c r="N809" t="s">
        <v>47</v>
      </c>
      <c r="O809" t="s">
        <v>47</v>
      </c>
      <c r="P809" t="s">
        <v>7956</v>
      </c>
    </row>
    <row r="810" spans="1:16" x14ac:dyDescent="0.3">
      <c r="A810" t="s">
        <v>573</v>
      </c>
      <c r="C810">
        <v>50</v>
      </c>
      <c r="D810" t="s">
        <v>10</v>
      </c>
      <c r="F810" s="43">
        <v>45014.416666666664</v>
      </c>
      <c r="G810" s="43">
        <v>45014.451388888891</v>
      </c>
      <c r="H810">
        <v>10</v>
      </c>
      <c r="I810">
        <v>0</v>
      </c>
      <c r="J810">
        <v>10</v>
      </c>
      <c r="K810">
        <v>50</v>
      </c>
      <c r="L810">
        <v>2023</v>
      </c>
      <c r="N810" t="s">
        <v>47</v>
      </c>
      <c r="O810" t="s">
        <v>47</v>
      </c>
      <c r="P810" t="s">
        <v>7957</v>
      </c>
    </row>
    <row r="811" spans="1:16" x14ac:dyDescent="0.3">
      <c r="A811" t="s">
        <v>7895</v>
      </c>
      <c r="B811" t="s">
        <v>20</v>
      </c>
      <c r="C811">
        <v>30</v>
      </c>
      <c r="D811" t="s">
        <v>10</v>
      </c>
      <c r="E811" t="s">
        <v>501</v>
      </c>
      <c r="F811" s="43">
        <v>45014.375</v>
      </c>
      <c r="G811" s="43">
        <v>45014.395833333336</v>
      </c>
      <c r="H811">
        <v>9</v>
      </c>
      <c r="I811">
        <v>0</v>
      </c>
      <c r="J811">
        <v>9</v>
      </c>
      <c r="K811">
        <v>30</v>
      </c>
      <c r="L811">
        <v>2023</v>
      </c>
      <c r="N811" t="s">
        <v>7896</v>
      </c>
      <c r="O811" t="s">
        <v>47</v>
      </c>
      <c r="P811" t="s">
        <v>7897</v>
      </c>
    </row>
    <row r="812" spans="1:16" x14ac:dyDescent="0.3">
      <c r="A812" t="s">
        <v>7939</v>
      </c>
      <c r="C812">
        <v>60</v>
      </c>
      <c r="D812" t="s">
        <v>10</v>
      </c>
      <c r="E812" t="s">
        <v>7940</v>
      </c>
      <c r="F812" s="43">
        <v>45014.375</v>
      </c>
      <c r="G812" s="43">
        <v>45014.416666666664</v>
      </c>
      <c r="H812">
        <v>9</v>
      </c>
      <c r="I812">
        <v>0</v>
      </c>
      <c r="J812">
        <v>10</v>
      </c>
      <c r="K812">
        <v>0</v>
      </c>
      <c r="L812">
        <v>2023</v>
      </c>
      <c r="N812" t="s">
        <v>7941</v>
      </c>
      <c r="O812" t="s">
        <v>47</v>
      </c>
      <c r="P812" t="s">
        <v>7942</v>
      </c>
    </row>
    <row r="813" spans="1:16" x14ac:dyDescent="0.3">
      <c r="A813" t="s">
        <v>7959</v>
      </c>
      <c r="C813">
        <v>30</v>
      </c>
      <c r="D813" t="s">
        <v>10</v>
      </c>
      <c r="F813" s="43">
        <v>45014.333333333336</v>
      </c>
      <c r="G813" s="43">
        <v>45014.354166666664</v>
      </c>
      <c r="H813">
        <v>8</v>
      </c>
      <c r="I813">
        <v>0</v>
      </c>
      <c r="J813">
        <v>8</v>
      </c>
      <c r="K813">
        <v>30</v>
      </c>
      <c r="L813">
        <v>2023</v>
      </c>
      <c r="N813" t="s">
        <v>47</v>
      </c>
      <c r="O813" t="s">
        <v>47</v>
      </c>
      <c r="P813" t="s">
        <v>7960</v>
      </c>
    </row>
    <row r="814" spans="1:16" x14ac:dyDescent="0.3">
      <c r="A814" t="s">
        <v>7948</v>
      </c>
      <c r="B814" t="s">
        <v>20</v>
      </c>
      <c r="C814">
        <v>15</v>
      </c>
      <c r="D814" t="s">
        <v>10</v>
      </c>
      <c r="E814" t="s">
        <v>5</v>
      </c>
      <c r="F814" s="43">
        <v>45014.25</v>
      </c>
      <c r="G814" s="43">
        <v>45014.260416666664</v>
      </c>
      <c r="H814">
        <v>6</v>
      </c>
      <c r="I814">
        <v>0</v>
      </c>
      <c r="J814">
        <v>6</v>
      </c>
      <c r="K814">
        <v>15</v>
      </c>
      <c r="L814">
        <v>2023</v>
      </c>
      <c r="N814" t="s">
        <v>7949</v>
      </c>
      <c r="O814" t="s">
        <v>6935</v>
      </c>
      <c r="P814" t="s">
        <v>7950</v>
      </c>
    </row>
    <row r="815" spans="1:16" x14ac:dyDescent="0.3">
      <c r="A815" t="s">
        <v>8</v>
      </c>
      <c r="C815">
        <v>30</v>
      </c>
      <c r="D815" t="s">
        <v>10</v>
      </c>
      <c r="F815" s="43">
        <v>45014.229166666664</v>
      </c>
      <c r="G815" s="43">
        <v>45014.25</v>
      </c>
      <c r="H815">
        <v>5</v>
      </c>
      <c r="I815">
        <v>30</v>
      </c>
      <c r="J815">
        <v>6</v>
      </c>
      <c r="K815">
        <v>0</v>
      </c>
      <c r="L815">
        <v>2023</v>
      </c>
      <c r="N815" t="s">
        <v>47</v>
      </c>
      <c r="O815" t="s">
        <v>47</v>
      </c>
      <c r="P815" t="s">
        <v>7958</v>
      </c>
    </row>
    <row r="816" spans="1:16" x14ac:dyDescent="0.3">
      <c r="A816" t="s">
        <v>2593</v>
      </c>
      <c r="C816">
        <v>25</v>
      </c>
      <c r="D816" t="s">
        <v>10</v>
      </c>
      <c r="F816" s="43">
        <v>45013.798611111109</v>
      </c>
      <c r="G816" s="43">
        <v>45013.815972222219</v>
      </c>
      <c r="H816">
        <v>19</v>
      </c>
      <c r="I816">
        <v>10</v>
      </c>
      <c r="J816">
        <v>19</v>
      </c>
      <c r="K816">
        <v>35</v>
      </c>
      <c r="L816">
        <v>2023</v>
      </c>
      <c r="N816" t="s">
        <v>47</v>
      </c>
      <c r="O816" t="s">
        <v>47</v>
      </c>
      <c r="P816" t="s">
        <v>7961</v>
      </c>
    </row>
    <row r="817" spans="1:16" x14ac:dyDescent="0.3">
      <c r="A817" t="s">
        <v>7962</v>
      </c>
      <c r="C817">
        <v>70</v>
      </c>
      <c r="D817" t="s">
        <v>10</v>
      </c>
      <c r="F817" s="43">
        <v>45013.729166666664</v>
      </c>
      <c r="G817" s="43">
        <v>45013.777777777781</v>
      </c>
      <c r="H817">
        <v>17</v>
      </c>
      <c r="I817">
        <v>30</v>
      </c>
      <c r="J817">
        <v>18</v>
      </c>
      <c r="K817">
        <v>40</v>
      </c>
      <c r="L817">
        <v>2023</v>
      </c>
      <c r="N817" t="s">
        <v>47</v>
      </c>
      <c r="O817" t="s">
        <v>47</v>
      </c>
      <c r="P817" t="s">
        <v>7963</v>
      </c>
    </row>
    <row r="818" spans="1:16" x14ac:dyDescent="0.3">
      <c r="A818" t="s">
        <v>9</v>
      </c>
      <c r="C818">
        <v>30</v>
      </c>
      <c r="D818" t="s">
        <v>10</v>
      </c>
      <c r="F818" s="43">
        <v>45013.694444444445</v>
      </c>
      <c r="G818" s="43">
        <v>45013.715277777781</v>
      </c>
      <c r="H818">
        <v>16</v>
      </c>
      <c r="I818">
        <v>40</v>
      </c>
      <c r="J818">
        <v>17</v>
      </c>
      <c r="K818">
        <v>10</v>
      </c>
      <c r="L818">
        <v>2023</v>
      </c>
      <c r="N818" t="s">
        <v>47</v>
      </c>
      <c r="O818" t="s">
        <v>47</v>
      </c>
      <c r="P818" t="s">
        <v>7953</v>
      </c>
    </row>
    <row r="819" spans="1:16" x14ac:dyDescent="0.3">
      <c r="A819" t="s">
        <v>7934</v>
      </c>
      <c r="C819">
        <v>50</v>
      </c>
      <c r="D819" t="s">
        <v>10</v>
      </c>
      <c r="F819" s="43">
        <v>45013.631944444445</v>
      </c>
      <c r="G819" s="43">
        <v>45013.666666666664</v>
      </c>
      <c r="H819">
        <v>15</v>
      </c>
      <c r="I819">
        <v>10</v>
      </c>
      <c r="J819">
        <v>16</v>
      </c>
      <c r="K819">
        <v>0</v>
      </c>
      <c r="L819">
        <v>2023</v>
      </c>
      <c r="N819" t="s">
        <v>47</v>
      </c>
      <c r="O819" t="s">
        <v>47</v>
      </c>
      <c r="P819" t="s">
        <v>7935</v>
      </c>
    </row>
    <row r="820" spans="1:16" x14ac:dyDescent="0.3">
      <c r="A820" t="s">
        <v>7915</v>
      </c>
      <c r="C820">
        <v>75</v>
      </c>
      <c r="D820" t="s">
        <v>10</v>
      </c>
      <c r="F820" s="43">
        <v>45013.541666666664</v>
      </c>
      <c r="G820" s="43">
        <v>45013.59375</v>
      </c>
      <c r="H820">
        <v>13</v>
      </c>
      <c r="I820">
        <v>0</v>
      </c>
      <c r="J820">
        <v>14</v>
      </c>
      <c r="K820">
        <v>15</v>
      </c>
      <c r="L820">
        <v>2023</v>
      </c>
      <c r="N820" t="s">
        <v>47</v>
      </c>
      <c r="O820" t="s">
        <v>47</v>
      </c>
      <c r="P820" t="s">
        <v>7916</v>
      </c>
    </row>
    <row r="821" spans="1:16" x14ac:dyDescent="0.3">
      <c r="A821" t="s">
        <v>7905</v>
      </c>
      <c r="B821" t="s">
        <v>225</v>
      </c>
      <c r="C821">
        <v>90</v>
      </c>
      <c r="D821" t="s">
        <v>10</v>
      </c>
      <c r="E821" t="s">
        <v>7906</v>
      </c>
      <c r="F821" s="43">
        <v>45013.5</v>
      </c>
      <c r="G821" s="43">
        <v>45013.5625</v>
      </c>
      <c r="H821">
        <v>12</v>
      </c>
      <c r="I821">
        <v>0</v>
      </c>
      <c r="J821">
        <v>13</v>
      </c>
      <c r="K821">
        <v>30</v>
      </c>
      <c r="L821">
        <v>2023</v>
      </c>
      <c r="N821" t="s">
        <v>7907</v>
      </c>
      <c r="O821" t="s">
        <v>47</v>
      </c>
      <c r="P821" t="s">
        <v>7908</v>
      </c>
    </row>
    <row r="822" spans="1:16" x14ac:dyDescent="0.3">
      <c r="A822" t="s">
        <v>7917</v>
      </c>
      <c r="C822">
        <v>90</v>
      </c>
      <c r="D822" t="s">
        <v>10</v>
      </c>
      <c r="F822" s="43">
        <v>45013.447916666664</v>
      </c>
      <c r="G822" s="43">
        <v>45013.510416666664</v>
      </c>
      <c r="H822">
        <v>10</v>
      </c>
      <c r="I822">
        <v>45</v>
      </c>
      <c r="J822">
        <v>12</v>
      </c>
      <c r="K822">
        <v>15</v>
      </c>
      <c r="L822">
        <v>2023</v>
      </c>
      <c r="N822" t="s">
        <v>47</v>
      </c>
      <c r="O822" t="s">
        <v>47</v>
      </c>
      <c r="P822" t="s">
        <v>7918</v>
      </c>
    </row>
    <row r="823" spans="1:16" x14ac:dyDescent="0.3">
      <c r="A823" t="s">
        <v>7951</v>
      </c>
      <c r="C823">
        <v>60</v>
      </c>
      <c r="D823" t="s">
        <v>10</v>
      </c>
      <c r="F823" s="43">
        <v>45013.40625</v>
      </c>
      <c r="G823" s="43">
        <v>45013.447916666664</v>
      </c>
      <c r="H823">
        <v>9</v>
      </c>
      <c r="I823">
        <v>45</v>
      </c>
      <c r="J823">
        <v>10</v>
      </c>
      <c r="K823">
        <v>45</v>
      </c>
      <c r="L823">
        <v>2023</v>
      </c>
      <c r="O823" t="s">
        <v>47</v>
      </c>
      <c r="P823" t="s">
        <v>7952</v>
      </c>
    </row>
    <row r="824" spans="1:16" x14ac:dyDescent="0.3">
      <c r="A824" t="s">
        <v>7912</v>
      </c>
      <c r="C824">
        <v>51</v>
      </c>
      <c r="D824" t="s">
        <v>10</v>
      </c>
      <c r="F824" s="43">
        <v>45013.364583333336</v>
      </c>
      <c r="G824" s="43">
        <v>45013.4</v>
      </c>
      <c r="H824">
        <v>8</v>
      </c>
      <c r="I824">
        <v>45</v>
      </c>
      <c r="J824">
        <v>9</v>
      </c>
      <c r="K824">
        <v>36</v>
      </c>
      <c r="L824">
        <v>2023</v>
      </c>
      <c r="N824" t="s">
        <v>47</v>
      </c>
      <c r="O824" t="s">
        <v>47</v>
      </c>
      <c r="P824" t="s">
        <v>7913</v>
      </c>
    </row>
    <row r="825" spans="1:16" x14ac:dyDescent="0.3">
      <c r="A825" t="s">
        <v>6959</v>
      </c>
      <c r="C825">
        <v>45</v>
      </c>
      <c r="D825" t="s">
        <v>10</v>
      </c>
      <c r="F825" s="43">
        <v>45013.3125</v>
      </c>
      <c r="G825" s="43">
        <v>45013.34375</v>
      </c>
      <c r="H825">
        <v>7</v>
      </c>
      <c r="I825">
        <v>30</v>
      </c>
      <c r="J825">
        <v>8</v>
      </c>
      <c r="K825">
        <v>15</v>
      </c>
      <c r="L825">
        <v>2023</v>
      </c>
      <c r="N825" t="s">
        <v>47</v>
      </c>
      <c r="O825" t="s">
        <v>47</v>
      </c>
      <c r="P825" t="s">
        <v>7914</v>
      </c>
    </row>
    <row r="826" spans="1:16" x14ac:dyDescent="0.3">
      <c r="A826" t="s">
        <v>7919</v>
      </c>
      <c r="C826">
        <v>15</v>
      </c>
      <c r="D826" t="s">
        <v>10</v>
      </c>
      <c r="F826" s="43">
        <v>45013.270833333336</v>
      </c>
      <c r="G826" s="43">
        <v>45013.28125</v>
      </c>
      <c r="H826">
        <v>6</v>
      </c>
      <c r="I826">
        <v>30</v>
      </c>
      <c r="J826">
        <v>6</v>
      </c>
      <c r="K826">
        <v>45</v>
      </c>
      <c r="L826">
        <v>2023</v>
      </c>
      <c r="N826" t="s">
        <v>47</v>
      </c>
      <c r="O826" t="s">
        <v>47</v>
      </c>
      <c r="P826" t="s">
        <v>7920</v>
      </c>
    </row>
    <row r="827" spans="1:16" x14ac:dyDescent="0.3">
      <c r="A827" t="s">
        <v>7921</v>
      </c>
      <c r="C827">
        <v>30</v>
      </c>
      <c r="D827" t="s">
        <v>10</v>
      </c>
      <c r="F827" s="43">
        <v>45013.25</v>
      </c>
      <c r="G827" s="43">
        <v>45013.270833333336</v>
      </c>
      <c r="H827">
        <v>6</v>
      </c>
      <c r="I827">
        <v>0</v>
      </c>
      <c r="J827">
        <v>6</v>
      </c>
      <c r="K827">
        <v>30</v>
      </c>
      <c r="L827">
        <v>2023</v>
      </c>
      <c r="N827" t="s">
        <v>47</v>
      </c>
      <c r="O827" t="s">
        <v>47</v>
      </c>
      <c r="P827" t="s">
        <v>7922</v>
      </c>
    </row>
    <row r="828" spans="1:16" x14ac:dyDescent="0.3">
      <c r="A828" t="s">
        <v>8</v>
      </c>
      <c r="C828">
        <v>30</v>
      </c>
      <c r="D828" t="s">
        <v>10</v>
      </c>
      <c r="F828" s="43">
        <v>45013.229166666664</v>
      </c>
      <c r="G828" s="43">
        <v>45013.25</v>
      </c>
      <c r="H828">
        <v>5</v>
      </c>
      <c r="I828">
        <v>30</v>
      </c>
      <c r="J828">
        <v>6</v>
      </c>
      <c r="K828">
        <v>0</v>
      </c>
      <c r="L828">
        <v>2023</v>
      </c>
      <c r="N828" t="s">
        <v>47</v>
      </c>
      <c r="O828" t="s">
        <v>47</v>
      </c>
      <c r="P828" t="s">
        <v>7923</v>
      </c>
    </row>
    <row r="829" spans="1:16" x14ac:dyDescent="0.3">
      <c r="A829" t="s">
        <v>7924</v>
      </c>
      <c r="C829">
        <v>70</v>
      </c>
      <c r="D829" t="s">
        <v>10</v>
      </c>
      <c r="F829" s="43">
        <v>45012.736111111109</v>
      </c>
      <c r="G829" s="43">
        <v>45012.784722222219</v>
      </c>
      <c r="H829">
        <v>17</v>
      </c>
      <c r="I829">
        <v>40</v>
      </c>
      <c r="J829">
        <v>18</v>
      </c>
      <c r="K829">
        <v>50</v>
      </c>
      <c r="L829">
        <v>2023</v>
      </c>
      <c r="N829" t="s">
        <v>47</v>
      </c>
      <c r="O829" t="s">
        <v>47</v>
      </c>
      <c r="P829" t="s">
        <v>7925</v>
      </c>
    </row>
    <row r="830" spans="1:16" x14ac:dyDescent="0.3">
      <c r="A830" t="s">
        <v>7926</v>
      </c>
      <c r="C830">
        <v>35</v>
      </c>
      <c r="D830" t="s">
        <v>10</v>
      </c>
      <c r="F830" s="43">
        <v>45012.694444444445</v>
      </c>
      <c r="G830" s="43">
        <v>45012.71875</v>
      </c>
      <c r="H830">
        <v>16</v>
      </c>
      <c r="I830">
        <v>40</v>
      </c>
      <c r="J830">
        <v>17</v>
      </c>
      <c r="K830">
        <v>15</v>
      </c>
      <c r="L830">
        <v>2023</v>
      </c>
      <c r="N830" t="s">
        <v>47</v>
      </c>
      <c r="O830" t="s">
        <v>47</v>
      </c>
      <c r="P830" t="s">
        <v>7927</v>
      </c>
    </row>
    <row r="831" spans="1:16" x14ac:dyDescent="0.3">
      <c r="A831" t="s">
        <v>7928</v>
      </c>
      <c r="B831" t="s">
        <v>20</v>
      </c>
      <c r="C831">
        <v>15</v>
      </c>
      <c r="D831" t="s">
        <v>10</v>
      </c>
      <c r="F831" s="43">
        <v>45012.604166666664</v>
      </c>
      <c r="G831" s="43">
        <v>45012.614583333336</v>
      </c>
      <c r="H831">
        <v>14</v>
      </c>
      <c r="I831">
        <v>30</v>
      </c>
      <c r="J831">
        <v>14</v>
      </c>
      <c r="K831">
        <v>45</v>
      </c>
      <c r="L831">
        <v>2023</v>
      </c>
      <c r="N831" t="s">
        <v>47</v>
      </c>
      <c r="O831" t="s">
        <v>47</v>
      </c>
      <c r="P831" t="s">
        <v>7929</v>
      </c>
    </row>
    <row r="832" spans="1:16" x14ac:dyDescent="0.3">
      <c r="A832" t="s">
        <v>7773</v>
      </c>
      <c r="B832" t="s">
        <v>20</v>
      </c>
      <c r="C832">
        <v>30</v>
      </c>
      <c r="D832" t="s">
        <v>10</v>
      </c>
      <c r="E832" t="s">
        <v>501</v>
      </c>
      <c r="F832" s="43">
        <v>45012.583333333336</v>
      </c>
      <c r="G832" s="43">
        <v>45012.604166666664</v>
      </c>
      <c r="H832">
        <v>14</v>
      </c>
      <c r="I832">
        <v>0</v>
      </c>
      <c r="J832">
        <v>14</v>
      </c>
      <c r="K832">
        <v>30</v>
      </c>
      <c r="L832">
        <v>2023</v>
      </c>
      <c r="N832" t="s">
        <v>7774</v>
      </c>
      <c r="O832" t="s">
        <v>47</v>
      </c>
      <c r="P832" t="s">
        <v>7775</v>
      </c>
    </row>
    <row r="833" spans="1:16" x14ac:dyDescent="0.3">
      <c r="A833" t="s">
        <v>8</v>
      </c>
      <c r="C833">
        <v>30</v>
      </c>
      <c r="D833" t="s">
        <v>10</v>
      </c>
      <c r="F833" s="43">
        <v>45012.5625</v>
      </c>
      <c r="G833" s="43">
        <v>45012.583333333336</v>
      </c>
      <c r="H833">
        <v>13</v>
      </c>
      <c r="I833">
        <v>30</v>
      </c>
      <c r="J833">
        <v>14</v>
      </c>
      <c r="K833">
        <v>0</v>
      </c>
      <c r="L833">
        <v>2023</v>
      </c>
      <c r="N833" t="s">
        <v>47</v>
      </c>
      <c r="O833" t="s">
        <v>47</v>
      </c>
      <c r="P833" t="s">
        <v>7930</v>
      </c>
    </row>
    <row r="834" spans="1:16" x14ac:dyDescent="0.3">
      <c r="A834" t="s">
        <v>7878</v>
      </c>
      <c r="C834">
        <v>50</v>
      </c>
      <c r="D834" t="s">
        <v>10</v>
      </c>
      <c r="F834" s="43">
        <v>45012.520833333336</v>
      </c>
      <c r="G834" s="43">
        <v>45012.555555555555</v>
      </c>
      <c r="H834">
        <v>12</v>
      </c>
      <c r="I834">
        <v>30</v>
      </c>
      <c r="J834">
        <v>13</v>
      </c>
      <c r="K834">
        <v>20</v>
      </c>
      <c r="L834">
        <v>2023</v>
      </c>
      <c r="N834" t="s">
        <v>47</v>
      </c>
      <c r="O834" t="s">
        <v>47</v>
      </c>
      <c r="P834" t="s">
        <v>7911</v>
      </c>
    </row>
    <row r="835" spans="1:16" x14ac:dyDescent="0.3">
      <c r="A835" t="s">
        <v>17</v>
      </c>
      <c r="C835">
        <v>30</v>
      </c>
      <c r="D835" t="s">
        <v>10</v>
      </c>
      <c r="F835" s="43">
        <v>45012.479166666664</v>
      </c>
      <c r="G835" s="43">
        <v>45012.5</v>
      </c>
      <c r="H835">
        <v>11</v>
      </c>
      <c r="I835">
        <v>30</v>
      </c>
      <c r="J835">
        <v>12</v>
      </c>
      <c r="K835">
        <v>0</v>
      </c>
      <c r="L835">
        <v>2023</v>
      </c>
      <c r="N835" t="s">
        <v>47</v>
      </c>
      <c r="O835" t="s">
        <v>47</v>
      </c>
      <c r="P835" t="s">
        <v>7909</v>
      </c>
    </row>
    <row r="836" spans="1:16" x14ac:dyDescent="0.3">
      <c r="A836" t="s">
        <v>7882</v>
      </c>
      <c r="C836">
        <v>60</v>
      </c>
      <c r="D836" t="s">
        <v>10</v>
      </c>
      <c r="F836" s="43">
        <v>45012.4375</v>
      </c>
      <c r="G836" s="43">
        <v>45012.479166666664</v>
      </c>
      <c r="H836">
        <v>10</v>
      </c>
      <c r="I836">
        <v>30</v>
      </c>
      <c r="J836">
        <v>11</v>
      </c>
      <c r="K836">
        <v>30</v>
      </c>
      <c r="L836">
        <v>2023</v>
      </c>
      <c r="N836" t="s">
        <v>47</v>
      </c>
      <c r="O836" t="s">
        <v>47</v>
      </c>
      <c r="P836" t="s">
        <v>7910</v>
      </c>
    </row>
    <row r="837" spans="1:16" x14ac:dyDescent="0.3">
      <c r="A837" t="s">
        <v>7864</v>
      </c>
      <c r="B837" t="s">
        <v>20</v>
      </c>
      <c r="C837">
        <v>30</v>
      </c>
      <c r="D837" t="s">
        <v>10</v>
      </c>
      <c r="E837" t="s">
        <v>7865</v>
      </c>
      <c r="F837" s="43">
        <v>45012.40625</v>
      </c>
      <c r="G837" s="43">
        <v>45012.427083333336</v>
      </c>
      <c r="H837">
        <v>9</v>
      </c>
      <c r="I837">
        <v>45</v>
      </c>
      <c r="J837">
        <v>10</v>
      </c>
      <c r="K837">
        <v>15</v>
      </c>
      <c r="L837">
        <v>2023</v>
      </c>
      <c r="N837" t="s">
        <v>7866</v>
      </c>
      <c r="O837" t="s">
        <v>7867</v>
      </c>
      <c r="P837" t="s">
        <v>7868</v>
      </c>
    </row>
    <row r="838" spans="1:16" x14ac:dyDescent="0.3">
      <c r="A838" t="s">
        <v>8</v>
      </c>
      <c r="C838">
        <v>30</v>
      </c>
      <c r="D838" t="s">
        <v>10</v>
      </c>
      <c r="F838" s="43">
        <v>45012.375</v>
      </c>
      <c r="G838" s="43">
        <v>45012.395833333336</v>
      </c>
      <c r="H838">
        <v>9</v>
      </c>
      <c r="I838">
        <v>0</v>
      </c>
      <c r="J838">
        <v>9</v>
      </c>
      <c r="K838">
        <v>30</v>
      </c>
      <c r="L838">
        <v>2023</v>
      </c>
      <c r="N838" t="s">
        <v>47</v>
      </c>
      <c r="O838" t="s">
        <v>47</v>
      </c>
      <c r="P838" t="s">
        <v>7902</v>
      </c>
    </row>
    <row r="839" spans="1:16" x14ac:dyDescent="0.3">
      <c r="A839" t="s">
        <v>7845</v>
      </c>
      <c r="C839">
        <v>15</v>
      </c>
      <c r="D839" t="s">
        <v>10</v>
      </c>
      <c r="F839" s="43">
        <v>45012.354166666664</v>
      </c>
      <c r="G839" s="43">
        <v>45012.364583333336</v>
      </c>
      <c r="H839">
        <v>8</v>
      </c>
      <c r="I839">
        <v>30</v>
      </c>
      <c r="J839">
        <v>8</v>
      </c>
      <c r="K839">
        <v>45</v>
      </c>
      <c r="L839">
        <v>2023</v>
      </c>
      <c r="N839" t="s">
        <v>47</v>
      </c>
      <c r="O839" t="s">
        <v>47</v>
      </c>
      <c r="P839" t="s">
        <v>7903</v>
      </c>
    </row>
    <row r="840" spans="1:16" x14ac:dyDescent="0.3">
      <c r="A840" t="s">
        <v>7882</v>
      </c>
      <c r="C840">
        <v>30</v>
      </c>
      <c r="D840" t="s">
        <v>10</v>
      </c>
      <c r="F840" s="43">
        <v>45012.229166666664</v>
      </c>
      <c r="G840" s="43">
        <v>45012.25</v>
      </c>
      <c r="H840">
        <v>5</v>
      </c>
      <c r="I840">
        <v>30</v>
      </c>
      <c r="J840">
        <v>6</v>
      </c>
      <c r="K840">
        <v>0</v>
      </c>
      <c r="L840">
        <v>2023</v>
      </c>
      <c r="N840" t="s">
        <v>47</v>
      </c>
      <c r="O840" t="s">
        <v>47</v>
      </c>
      <c r="P840" t="s">
        <v>7904</v>
      </c>
    </row>
    <row r="841" spans="1:16" x14ac:dyDescent="0.3">
      <c r="A841" t="s">
        <v>7882</v>
      </c>
      <c r="C841">
        <v>60</v>
      </c>
      <c r="D841" t="s">
        <v>10</v>
      </c>
      <c r="E841" s="44"/>
      <c r="F841" s="43">
        <v>45011.75</v>
      </c>
      <c r="G841" s="43">
        <v>45011.791666666664</v>
      </c>
      <c r="H841">
        <v>18</v>
      </c>
      <c r="I841">
        <v>0</v>
      </c>
      <c r="J841">
        <v>19</v>
      </c>
      <c r="K841">
        <v>0</v>
      </c>
      <c r="L841">
        <v>2023</v>
      </c>
      <c r="N841" t="s">
        <v>47</v>
      </c>
      <c r="O841" t="s">
        <v>47</v>
      </c>
      <c r="P841" t="s">
        <v>7901</v>
      </c>
    </row>
    <row r="842" spans="1:16" x14ac:dyDescent="0.3">
      <c r="A842" t="s">
        <v>7899</v>
      </c>
      <c r="C842">
        <v>60</v>
      </c>
      <c r="D842" t="s">
        <v>10</v>
      </c>
      <c r="F842" s="43">
        <v>45011.708333333336</v>
      </c>
      <c r="G842" s="43">
        <v>45011.75</v>
      </c>
      <c r="H842">
        <v>17</v>
      </c>
      <c r="I842">
        <v>0</v>
      </c>
      <c r="J842">
        <v>18</v>
      </c>
      <c r="K842">
        <v>0</v>
      </c>
      <c r="L842">
        <v>2023</v>
      </c>
      <c r="N842" t="s">
        <v>47</v>
      </c>
      <c r="O842" t="s">
        <v>47</v>
      </c>
      <c r="P842" t="s">
        <v>7900</v>
      </c>
    </row>
    <row r="843" spans="1:16" x14ac:dyDescent="0.3">
      <c r="A843" t="s">
        <v>7882</v>
      </c>
      <c r="C843">
        <v>60</v>
      </c>
      <c r="D843" t="s">
        <v>10</v>
      </c>
      <c r="F843" s="43">
        <v>45011.645833333336</v>
      </c>
      <c r="G843" s="43">
        <v>45011.6875</v>
      </c>
      <c r="H843">
        <v>15</v>
      </c>
      <c r="I843">
        <v>30</v>
      </c>
      <c r="J843">
        <v>16</v>
      </c>
      <c r="K843">
        <v>30</v>
      </c>
      <c r="L843">
        <v>2023</v>
      </c>
      <c r="N843" t="s">
        <v>47</v>
      </c>
      <c r="O843" t="s">
        <v>47</v>
      </c>
      <c r="P843" t="s">
        <v>7898</v>
      </c>
    </row>
    <row r="844" spans="1:16" x14ac:dyDescent="0.3">
      <c r="A844" t="s">
        <v>7878</v>
      </c>
      <c r="C844">
        <v>60</v>
      </c>
      <c r="D844" t="s">
        <v>10</v>
      </c>
      <c r="F844" s="43">
        <v>45011.3125</v>
      </c>
      <c r="G844" s="43">
        <v>45011.354166666664</v>
      </c>
      <c r="H844">
        <v>7</v>
      </c>
      <c r="I844">
        <v>30</v>
      </c>
      <c r="J844">
        <v>8</v>
      </c>
      <c r="K844">
        <v>30</v>
      </c>
      <c r="L844">
        <v>2023</v>
      </c>
      <c r="N844" t="s">
        <v>47</v>
      </c>
      <c r="O844" t="s">
        <v>47</v>
      </c>
      <c r="P844" t="s">
        <v>7879</v>
      </c>
    </row>
    <row r="845" spans="1:16" x14ac:dyDescent="0.3">
      <c r="A845" t="s">
        <v>7880</v>
      </c>
      <c r="C845">
        <v>60</v>
      </c>
      <c r="D845" t="s">
        <v>10</v>
      </c>
      <c r="F845" s="43">
        <v>45010.770833333336</v>
      </c>
      <c r="G845" s="43">
        <v>45010.8125</v>
      </c>
      <c r="H845">
        <v>18</v>
      </c>
      <c r="I845">
        <v>30</v>
      </c>
      <c r="J845">
        <v>19</v>
      </c>
      <c r="K845">
        <v>30</v>
      </c>
      <c r="L845">
        <v>2023</v>
      </c>
      <c r="N845" t="s">
        <v>47</v>
      </c>
      <c r="O845" t="s">
        <v>47</v>
      </c>
      <c r="P845" t="s">
        <v>7881</v>
      </c>
    </row>
    <row r="846" spans="1:16" x14ac:dyDescent="0.3">
      <c r="A846" t="s">
        <v>7882</v>
      </c>
      <c r="C846">
        <v>60</v>
      </c>
      <c r="D846" t="s">
        <v>10</v>
      </c>
      <c r="F846" s="43">
        <v>45010.666666666664</v>
      </c>
      <c r="G846" s="43">
        <v>45010.708333333336</v>
      </c>
      <c r="H846">
        <v>16</v>
      </c>
      <c r="I846">
        <v>0</v>
      </c>
      <c r="J846">
        <v>17</v>
      </c>
      <c r="K846">
        <v>0</v>
      </c>
      <c r="L846">
        <v>2023</v>
      </c>
      <c r="N846" t="s">
        <v>47</v>
      </c>
      <c r="O846" t="s">
        <v>47</v>
      </c>
      <c r="P846" t="s">
        <v>7883</v>
      </c>
    </row>
    <row r="847" spans="1:16" x14ac:dyDescent="0.3">
      <c r="A847" t="s">
        <v>7882</v>
      </c>
      <c r="C847">
        <v>30</v>
      </c>
      <c r="D847" t="s">
        <v>10</v>
      </c>
      <c r="F847" s="43">
        <v>45010.541666666664</v>
      </c>
      <c r="G847" s="43">
        <v>45010.5625</v>
      </c>
      <c r="H847">
        <v>13</v>
      </c>
      <c r="I847">
        <v>0</v>
      </c>
      <c r="J847">
        <v>13</v>
      </c>
      <c r="K847">
        <v>30</v>
      </c>
      <c r="L847">
        <v>2023</v>
      </c>
      <c r="N847" t="s">
        <v>47</v>
      </c>
      <c r="O847" t="s">
        <v>47</v>
      </c>
      <c r="P847" t="s">
        <v>7884</v>
      </c>
    </row>
    <row r="848" spans="1:16" x14ac:dyDescent="0.3">
      <c r="A848" t="s">
        <v>7882</v>
      </c>
      <c r="C848">
        <v>60</v>
      </c>
      <c r="D848" t="s">
        <v>10</v>
      </c>
      <c r="F848" s="43">
        <v>45010.479166666664</v>
      </c>
      <c r="G848" s="43">
        <v>45010.520833333336</v>
      </c>
      <c r="H848">
        <v>11</v>
      </c>
      <c r="I848">
        <v>30</v>
      </c>
      <c r="J848">
        <v>12</v>
      </c>
      <c r="K848">
        <v>30</v>
      </c>
      <c r="L848">
        <v>2023</v>
      </c>
      <c r="N848" t="s">
        <v>47</v>
      </c>
      <c r="O848" t="s">
        <v>47</v>
      </c>
      <c r="P848" t="s">
        <v>7885</v>
      </c>
    </row>
    <row r="849" spans="1:16" x14ac:dyDescent="0.3">
      <c r="A849" t="s">
        <v>7886</v>
      </c>
      <c r="C849">
        <v>60</v>
      </c>
      <c r="D849" t="s">
        <v>10</v>
      </c>
      <c r="F849" s="43">
        <v>45010.416666666664</v>
      </c>
      <c r="G849" s="43">
        <v>45010.458333333336</v>
      </c>
      <c r="H849">
        <v>10</v>
      </c>
      <c r="I849">
        <v>0</v>
      </c>
      <c r="J849">
        <v>11</v>
      </c>
      <c r="K849">
        <v>0</v>
      </c>
      <c r="L849">
        <v>2023</v>
      </c>
      <c r="N849" t="s">
        <v>47</v>
      </c>
      <c r="O849" t="s">
        <v>47</v>
      </c>
      <c r="P849" t="s">
        <v>7887</v>
      </c>
    </row>
    <row r="850" spans="1:16" x14ac:dyDescent="0.3">
      <c r="A850" t="s">
        <v>7880</v>
      </c>
      <c r="C850">
        <v>60</v>
      </c>
      <c r="D850" t="s">
        <v>10</v>
      </c>
      <c r="F850" s="43">
        <v>45010.25</v>
      </c>
      <c r="G850" s="43">
        <v>45010.291666666664</v>
      </c>
      <c r="H850">
        <v>6</v>
      </c>
      <c r="I850">
        <v>0</v>
      </c>
      <c r="J850">
        <v>7</v>
      </c>
      <c r="K850">
        <v>0</v>
      </c>
      <c r="L850">
        <v>2023</v>
      </c>
      <c r="N850" t="s">
        <v>47</v>
      </c>
      <c r="O850" t="s">
        <v>47</v>
      </c>
      <c r="P850" t="s">
        <v>7888</v>
      </c>
    </row>
    <row r="851" spans="1:16" x14ac:dyDescent="0.3">
      <c r="A851" t="s">
        <v>7886</v>
      </c>
      <c r="C851">
        <v>30</v>
      </c>
      <c r="D851" t="s">
        <v>10</v>
      </c>
      <c r="F851" s="43">
        <v>45009.729166666664</v>
      </c>
      <c r="G851" s="43">
        <v>45009.75</v>
      </c>
      <c r="H851">
        <v>17</v>
      </c>
      <c r="I851">
        <v>30</v>
      </c>
      <c r="J851">
        <v>18</v>
      </c>
      <c r="K851">
        <v>0</v>
      </c>
      <c r="L851">
        <v>2023</v>
      </c>
      <c r="N851" t="s">
        <v>47</v>
      </c>
      <c r="O851" t="s">
        <v>47</v>
      </c>
      <c r="P851" t="s">
        <v>7889</v>
      </c>
    </row>
    <row r="852" spans="1:16" x14ac:dyDescent="0.3">
      <c r="A852" t="s">
        <v>7890</v>
      </c>
      <c r="C852">
        <v>30</v>
      </c>
      <c r="D852" t="s">
        <v>10</v>
      </c>
      <c r="F852" s="43">
        <v>45009.677083333336</v>
      </c>
      <c r="G852" s="43">
        <v>45009.697916666664</v>
      </c>
      <c r="H852">
        <v>16</v>
      </c>
      <c r="I852">
        <v>15</v>
      </c>
      <c r="J852">
        <v>16</v>
      </c>
      <c r="K852">
        <v>45</v>
      </c>
      <c r="L852">
        <v>2023</v>
      </c>
      <c r="N852" t="s">
        <v>47</v>
      </c>
      <c r="O852" t="s">
        <v>47</v>
      </c>
      <c r="P852" t="s">
        <v>7891</v>
      </c>
    </row>
    <row r="853" spans="1:16" x14ac:dyDescent="0.3">
      <c r="A853" t="s">
        <v>7</v>
      </c>
      <c r="C853">
        <v>45</v>
      </c>
      <c r="D853" t="s">
        <v>10</v>
      </c>
      <c r="F853" s="43">
        <v>45009.645833333336</v>
      </c>
      <c r="G853" s="43">
        <v>45009.677083333336</v>
      </c>
      <c r="H853">
        <v>15</v>
      </c>
      <c r="I853">
        <v>30</v>
      </c>
      <c r="J853">
        <v>16</v>
      </c>
      <c r="K853">
        <v>15</v>
      </c>
      <c r="L853">
        <v>2023</v>
      </c>
      <c r="N853" t="s">
        <v>47</v>
      </c>
      <c r="O853" t="s">
        <v>47</v>
      </c>
      <c r="P853" t="s">
        <v>7892</v>
      </c>
    </row>
    <row r="854" spans="1:16" x14ac:dyDescent="0.3">
      <c r="A854" t="s">
        <v>7893</v>
      </c>
      <c r="C854">
        <v>75</v>
      </c>
      <c r="D854" t="s">
        <v>10</v>
      </c>
      <c r="E854" s="44"/>
      <c r="F854" s="43">
        <v>45009.5625</v>
      </c>
      <c r="G854" s="43">
        <v>45009.614583333336</v>
      </c>
      <c r="H854">
        <v>13</v>
      </c>
      <c r="I854">
        <v>30</v>
      </c>
      <c r="J854">
        <v>14</v>
      </c>
      <c r="K854">
        <v>45</v>
      </c>
      <c r="L854">
        <v>2023</v>
      </c>
      <c r="N854" t="s">
        <v>47</v>
      </c>
      <c r="O854" t="s">
        <v>47</v>
      </c>
      <c r="P854" t="s">
        <v>7894</v>
      </c>
    </row>
    <row r="855" spans="1:16" x14ac:dyDescent="0.3">
      <c r="A855" t="s">
        <v>7841</v>
      </c>
      <c r="B855" t="s">
        <v>7842</v>
      </c>
      <c r="C855">
        <v>45</v>
      </c>
      <c r="D855" t="s">
        <v>10</v>
      </c>
      <c r="E855" t="s">
        <v>2807</v>
      </c>
      <c r="F855" s="43">
        <v>45009.5</v>
      </c>
      <c r="G855" s="43">
        <v>45009.53125</v>
      </c>
      <c r="H855">
        <v>12</v>
      </c>
      <c r="I855">
        <v>0</v>
      </c>
      <c r="J855">
        <v>12</v>
      </c>
      <c r="K855">
        <v>45</v>
      </c>
      <c r="L855">
        <v>2023</v>
      </c>
      <c r="N855" t="s">
        <v>7843</v>
      </c>
      <c r="O855" t="s">
        <v>50</v>
      </c>
      <c r="P855" t="s">
        <v>7844</v>
      </c>
    </row>
    <row r="856" spans="1:16" x14ac:dyDescent="0.3">
      <c r="A856" t="s">
        <v>7758</v>
      </c>
      <c r="B856" t="s">
        <v>225</v>
      </c>
      <c r="C856">
        <v>30</v>
      </c>
      <c r="D856" t="s">
        <v>10</v>
      </c>
      <c r="E856" t="s">
        <v>501</v>
      </c>
      <c r="F856" s="1">
        <v>45009.458333333336</v>
      </c>
      <c r="G856" s="1">
        <v>45009.479166666664</v>
      </c>
      <c r="H856">
        <v>11</v>
      </c>
      <c r="I856">
        <v>0</v>
      </c>
      <c r="J856">
        <v>11</v>
      </c>
      <c r="K856">
        <v>30</v>
      </c>
      <c r="L856">
        <v>2023</v>
      </c>
      <c r="N856" t="s">
        <v>7759</v>
      </c>
      <c r="O856" t="s">
        <v>47</v>
      </c>
      <c r="P856" t="s">
        <v>7760</v>
      </c>
    </row>
    <row r="857" spans="1:16" x14ac:dyDescent="0.3">
      <c r="A857" t="s">
        <v>17</v>
      </c>
      <c r="C857">
        <v>30</v>
      </c>
      <c r="D857" t="s">
        <v>10</v>
      </c>
      <c r="F857" s="43">
        <v>45009.4375</v>
      </c>
      <c r="G857" s="43">
        <v>45009.458333333336</v>
      </c>
      <c r="H857">
        <v>10</v>
      </c>
      <c r="I857">
        <v>30</v>
      </c>
      <c r="J857">
        <v>11</v>
      </c>
      <c r="K857">
        <v>0</v>
      </c>
      <c r="L857">
        <v>2023</v>
      </c>
      <c r="N857" t="s">
        <v>47</v>
      </c>
      <c r="O857" t="s">
        <v>47</v>
      </c>
      <c r="P857" t="s">
        <v>7823</v>
      </c>
    </row>
    <row r="858" spans="1:16" x14ac:dyDescent="0.3">
      <c r="A858" t="s">
        <v>7824</v>
      </c>
      <c r="C858">
        <v>30</v>
      </c>
      <c r="D858" t="s">
        <v>10</v>
      </c>
      <c r="F858" s="43">
        <v>45009.354166666664</v>
      </c>
      <c r="G858" s="43">
        <v>45009.375</v>
      </c>
      <c r="H858">
        <v>8</v>
      </c>
      <c r="I858">
        <v>30</v>
      </c>
      <c r="J858">
        <v>9</v>
      </c>
      <c r="K858">
        <v>0</v>
      </c>
      <c r="L858">
        <v>2023</v>
      </c>
      <c r="N858" t="s">
        <v>47</v>
      </c>
      <c r="O858" t="s">
        <v>47</v>
      </c>
      <c r="P858" t="s">
        <v>7825</v>
      </c>
    </row>
    <row r="859" spans="1:16" x14ac:dyDescent="0.3">
      <c r="A859" t="s">
        <v>7826</v>
      </c>
      <c r="C859">
        <v>90</v>
      </c>
      <c r="D859" t="s">
        <v>10</v>
      </c>
      <c r="F859" s="43">
        <v>45009.1875</v>
      </c>
      <c r="G859" s="43">
        <v>45009.25</v>
      </c>
      <c r="H859">
        <v>4</v>
      </c>
      <c r="I859">
        <v>30</v>
      </c>
      <c r="J859">
        <v>6</v>
      </c>
      <c r="K859">
        <v>0</v>
      </c>
      <c r="L859">
        <v>2023</v>
      </c>
      <c r="N859" t="s">
        <v>47</v>
      </c>
      <c r="O859" t="s">
        <v>47</v>
      </c>
      <c r="P859" t="s">
        <v>7827</v>
      </c>
    </row>
    <row r="860" spans="1:16" x14ac:dyDescent="0.3">
      <c r="A860" t="s">
        <v>7828</v>
      </c>
      <c r="C860">
        <v>60</v>
      </c>
      <c r="D860" t="s">
        <v>10</v>
      </c>
      <c r="F860" s="43">
        <v>45008.729166666664</v>
      </c>
      <c r="G860" s="43">
        <v>45008.770833333336</v>
      </c>
      <c r="H860">
        <v>17</v>
      </c>
      <c r="I860">
        <v>30</v>
      </c>
      <c r="J860">
        <v>18</v>
      </c>
      <c r="K860">
        <v>30</v>
      </c>
      <c r="L860">
        <v>2023</v>
      </c>
      <c r="N860" t="s">
        <v>47</v>
      </c>
      <c r="O860" t="s">
        <v>47</v>
      </c>
      <c r="P860" t="s">
        <v>7829</v>
      </c>
    </row>
    <row r="861" spans="1:16" x14ac:dyDescent="0.3">
      <c r="A861" t="s">
        <v>7828</v>
      </c>
      <c r="C861">
        <v>30</v>
      </c>
      <c r="D861" t="s">
        <v>10</v>
      </c>
      <c r="F861" s="43">
        <v>45008.697916666664</v>
      </c>
      <c r="G861" s="43">
        <v>45008.71875</v>
      </c>
      <c r="H861">
        <v>16</v>
      </c>
      <c r="I861">
        <v>45</v>
      </c>
      <c r="J861">
        <v>17</v>
      </c>
      <c r="K861">
        <v>15</v>
      </c>
      <c r="L861">
        <v>2023</v>
      </c>
      <c r="N861" t="s">
        <v>47</v>
      </c>
      <c r="O861" t="s">
        <v>47</v>
      </c>
      <c r="P861" t="s">
        <v>7830</v>
      </c>
    </row>
    <row r="862" spans="1:16" x14ac:dyDescent="0.3">
      <c r="A862" t="s">
        <v>9</v>
      </c>
      <c r="C862">
        <v>20</v>
      </c>
      <c r="D862" t="s">
        <v>10</v>
      </c>
      <c r="F862" s="43">
        <v>45008.6875</v>
      </c>
      <c r="G862" s="43">
        <v>45008.701388888891</v>
      </c>
      <c r="H862">
        <v>16</v>
      </c>
      <c r="I862">
        <v>30</v>
      </c>
      <c r="J862">
        <v>16</v>
      </c>
      <c r="K862">
        <v>50</v>
      </c>
      <c r="L862">
        <v>2023</v>
      </c>
      <c r="N862" t="s">
        <v>47</v>
      </c>
      <c r="O862" t="s">
        <v>47</v>
      </c>
      <c r="P862" t="s">
        <v>7831</v>
      </c>
    </row>
    <row r="863" spans="1:16" x14ac:dyDescent="0.3">
      <c r="A863" t="s">
        <v>7832</v>
      </c>
      <c r="C863">
        <v>30</v>
      </c>
      <c r="D863" t="s">
        <v>10</v>
      </c>
      <c r="F863" s="43">
        <v>45008.666666666664</v>
      </c>
      <c r="G863" s="43">
        <v>45008.6875</v>
      </c>
      <c r="H863">
        <v>16</v>
      </c>
      <c r="I863">
        <v>0</v>
      </c>
      <c r="J863">
        <v>16</v>
      </c>
      <c r="K863">
        <v>30</v>
      </c>
      <c r="L863">
        <v>2023</v>
      </c>
      <c r="N863" t="s">
        <v>47</v>
      </c>
      <c r="O863" t="s">
        <v>47</v>
      </c>
      <c r="P863" t="s">
        <v>7833</v>
      </c>
    </row>
    <row r="864" spans="1:16" x14ac:dyDescent="0.3">
      <c r="A864" t="s">
        <v>7873</v>
      </c>
      <c r="B864" t="s">
        <v>20</v>
      </c>
      <c r="C864">
        <v>30</v>
      </c>
      <c r="D864" t="s">
        <v>10</v>
      </c>
      <c r="E864" t="s">
        <v>7874</v>
      </c>
      <c r="F864" s="43">
        <v>45008.645833333336</v>
      </c>
      <c r="G864" s="43">
        <v>45008.666666666664</v>
      </c>
      <c r="H864">
        <v>15</v>
      </c>
      <c r="I864">
        <v>30</v>
      </c>
      <c r="J864">
        <v>16</v>
      </c>
      <c r="K864">
        <v>0</v>
      </c>
      <c r="L864">
        <v>2023</v>
      </c>
      <c r="N864" t="s">
        <v>7875</v>
      </c>
      <c r="O864" t="s">
        <v>7876</v>
      </c>
      <c r="P864" t="s">
        <v>7877</v>
      </c>
    </row>
    <row r="865" spans="1:16" x14ac:dyDescent="0.3">
      <c r="A865" t="s">
        <v>7834</v>
      </c>
      <c r="C865">
        <v>60</v>
      </c>
      <c r="D865" t="s">
        <v>10</v>
      </c>
      <c r="F865" s="43">
        <v>45008.5625</v>
      </c>
      <c r="G865" s="43">
        <v>45008.604166666664</v>
      </c>
      <c r="H865">
        <v>13</v>
      </c>
      <c r="I865">
        <v>30</v>
      </c>
      <c r="J865">
        <v>14</v>
      </c>
      <c r="K865">
        <v>30</v>
      </c>
      <c r="L865">
        <v>2023</v>
      </c>
      <c r="N865" t="s">
        <v>47</v>
      </c>
      <c r="O865" t="s">
        <v>47</v>
      </c>
      <c r="P865" t="s">
        <v>7835</v>
      </c>
    </row>
    <row r="866" spans="1:16" x14ac:dyDescent="0.3">
      <c r="A866" t="s">
        <v>7776</v>
      </c>
      <c r="B866" t="s">
        <v>20</v>
      </c>
      <c r="C866">
        <v>60</v>
      </c>
      <c r="D866" t="s">
        <v>10</v>
      </c>
      <c r="E866" t="s">
        <v>5</v>
      </c>
      <c r="F866" s="43">
        <v>45008.458333333336</v>
      </c>
      <c r="G866" s="43">
        <v>45008.5</v>
      </c>
      <c r="H866">
        <v>11</v>
      </c>
      <c r="I866">
        <v>0</v>
      </c>
      <c r="J866">
        <v>12</v>
      </c>
      <c r="K866">
        <v>0</v>
      </c>
      <c r="L866">
        <v>2023</v>
      </c>
      <c r="N866" t="s">
        <v>7777</v>
      </c>
      <c r="O866" t="s">
        <v>7778</v>
      </c>
      <c r="P866" t="s">
        <v>7779</v>
      </c>
    </row>
    <row r="867" spans="1:16" x14ac:dyDescent="0.3">
      <c r="A867" t="s">
        <v>7836</v>
      </c>
      <c r="C867">
        <v>15</v>
      </c>
      <c r="D867" t="s">
        <v>10</v>
      </c>
      <c r="F867" s="43">
        <v>45008.416666666664</v>
      </c>
      <c r="G867" s="43">
        <v>45008.427083333336</v>
      </c>
      <c r="H867">
        <v>10</v>
      </c>
      <c r="I867">
        <v>0</v>
      </c>
      <c r="J867">
        <v>10</v>
      </c>
      <c r="K867">
        <v>15</v>
      </c>
      <c r="L867">
        <v>2023</v>
      </c>
      <c r="N867" t="s">
        <v>47</v>
      </c>
      <c r="O867" t="s">
        <v>47</v>
      </c>
      <c r="P867" t="s">
        <v>7837</v>
      </c>
    </row>
    <row r="868" spans="1:16" x14ac:dyDescent="0.3">
      <c r="A868" t="s">
        <v>1222</v>
      </c>
      <c r="C868">
        <v>30</v>
      </c>
      <c r="D868" t="s">
        <v>10</v>
      </c>
      <c r="F868" s="43">
        <v>45008.395833333336</v>
      </c>
      <c r="G868" s="43">
        <v>45008.416666666664</v>
      </c>
      <c r="H868">
        <v>9</v>
      </c>
      <c r="I868">
        <v>30</v>
      </c>
      <c r="J868">
        <v>10</v>
      </c>
      <c r="K868">
        <v>0</v>
      </c>
      <c r="L868">
        <v>2023</v>
      </c>
      <c r="N868" t="s">
        <v>47</v>
      </c>
      <c r="O868" t="s">
        <v>47</v>
      </c>
      <c r="P868" t="s">
        <v>7838</v>
      </c>
    </row>
    <row r="869" spans="1:16" x14ac:dyDescent="0.3">
      <c r="A869" t="s">
        <v>7839</v>
      </c>
      <c r="C869">
        <v>15</v>
      </c>
      <c r="D869" t="s">
        <v>10</v>
      </c>
      <c r="F869" s="43">
        <v>45008.375</v>
      </c>
      <c r="G869" s="43">
        <v>45008.385416666664</v>
      </c>
      <c r="H869">
        <v>9</v>
      </c>
      <c r="I869">
        <v>0</v>
      </c>
      <c r="J869">
        <v>9</v>
      </c>
      <c r="K869">
        <v>15</v>
      </c>
      <c r="L869">
        <v>2023</v>
      </c>
      <c r="N869" t="s">
        <v>47</v>
      </c>
      <c r="O869" t="s">
        <v>47</v>
      </c>
      <c r="P869" t="s">
        <v>7840</v>
      </c>
    </row>
    <row r="870" spans="1:16" x14ac:dyDescent="0.3">
      <c r="A870" t="s">
        <v>416</v>
      </c>
      <c r="B870" t="s">
        <v>20</v>
      </c>
      <c r="C870">
        <v>60</v>
      </c>
      <c r="D870" t="s">
        <v>10</v>
      </c>
      <c r="E870" s="47" t="s">
        <v>501</v>
      </c>
      <c r="F870" s="43">
        <v>45008.333333333336</v>
      </c>
      <c r="G870" s="43">
        <v>45008.375</v>
      </c>
      <c r="H870">
        <v>8</v>
      </c>
      <c r="I870">
        <v>0</v>
      </c>
      <c r="J870">
        <v>9</v>
      </c>
      <c r="K870">
        <v>0</v>
      </c>
      <c r="L870">
        <v>2023</v>
      </c>
      <c r="N870" t="s">
        <v>7785</v>
      </c>
      <c r="O870" t="s">
        <v>47</v>
      </c>
      <c r="P870" t="s">
        <v>7786</v>
      </c>
    </row>
    <row r="871" spans="1:16" x14ac:dyDescent="0.3">
      <c r="A871" t="s">
        <v>7845</v>
      </c>
      <c r="C871">
        <v>60</v>
      </c>
      <c r="D871" t="s">
        <v>10</v>
      </c>
      <c r="F871" s="43">
        <v>45008.291666666664</v>
      </c>
      <c r="G871" s="43">
        <v>45008.333333333336</v>
      </c>
      <c r="H871">
        <v>7</v>
      </c>
      <c r="I871">
        <v>0</v>
      </c>
      <c r="J871">
        <v>8</v>
      </c>
      <c r="K871">
        <v>0</v>
      </c>
      <c r="L871">
        <v>2023</v>
      </c>
      <c r="N871" t="s">
        <v>47</v>
      </c>
      <c r="O871" t="s">
        <v>47</v>
      </c>
      <c r="P871" t="s">
        <v>7846</v>
      </c>
    </row>
    <row r="872" spans="1:16" x14ac:dyDescent="0.3">
      <c r="A872" t="s">
        <v>7847</v>
      </c>
      <c r="C872">
        <v>120</v>
      </c>
      <c r="D872" t="s">
        <v>10</v>
      </c>
      <c r="F872" s="43">
        <v>45008.166666666664</v>
      </c>
      <c r="G872" s="43">
        <v>45008.25</v>
      </c>
      <c r="H872">
        <v>4</v>
      </c>
      <c r="I872">
        <v>0</v>
      </c>
      <c r="J872">
        <v>6</v>
      </c>
      <c r="K872">
        <v>0</v>
      </c>
      <c r="L872">
        <v>2023</v>
      </c>
      <c r="N872" t="s">
        <v>47</v>
      </c>
      <c r="O872" t="s">
        <v>47</v>
      </c>
      <c r="P872" t="s">
        <v>7848</v>
      </c>
    </row>
    <row r="873" spans="1:16" x14ac:dyDescent="0.3">
      <c r="A873" t="s">
        <v>2990</v>
      </c>
      <c r="C873">
        <v>30</v>
      </c>
      <c r="D873" t="s">
        <v>10</v>
      </c>
      <c r="F873" s="43">
        <v>45007.78125</v>
      </c>
      <c r="G873" s="43">
        <v>45007.802083333336</v>
      </c>
      <c r="H873">
        <v>18</v>
      </c>
      <c r="I873">
        <v>45</v>
      </c>
      <c r="J873">
        <v>19</v>
      </c>
      <c r="K873">
        <v>15</v>
      </c>
      <c r="L873">
        <v>2023</v>
      </c>
      <c r="N873" t="s">
        <v>47</v>
      </c>
      <c r="O873" t="s">
        <v>47</v>
      </c>
      <c r="P873" t="s">
        <v>7849</v>
      </c>
    </row>
    <row r="874" spans="1:16" x14ac:dyDescent="0.3">
      <c r="A874" t="s">
        <v>7850</v>
      </c>
      <c r="C874">
        <v>45</v>
      </c>
      <c r="D874" t="s">
        <v>10</v>
      </c>
      <c r="F874" s="43">
        <v>45007.729166666664</v>
      </c>
      <c r="G874" s="43">
        <v>45007.760416666664</v>
      </c>
      <c r="H874">
        <v>17</v>
      </c>
      <c r="I874">
        <v>30</v>
      </c>
      <c r="J874">
        <v>18</v>
      </c>
      <c r="K874">
        <v>15</v>
      </c>
      <c r="L874">
        <v>2023</v>
      </c>
      <c r="N874" t="s">
        <v>47</v>
      </c>
      <c r="O874" t="s">
        <v>47</v>
      </c>
      <c r="P874" t="s">
        <v>7851</v>
      </c>
    </row>
    <row r="875" spans="1:16" x14ac:dyDescent="0.3">
      <c r="A875" t="s">
        <v>2990</v>
      </c>
      <c r="C875">
        <v>60</v>
      </c>
      <c r="D875" t="s">
        <v>10</v>
      </c>
      <c r="F875" s="43">
        <v>45007.673611111109</v>
      </c>
      <c r="G875" s="43">
        <v>45007.715277777781</v>
      </c>
      <c r="H875">
        <v>16</v>
      </c>
      <c r="I875">
        <v>10</v>
      </c>
      <c r="J875">
        <v>17</v>
      </c>
      <c r="K875">
        <v>10</v>
      </c>
      <c r="L875">
        <v>2023</v>
      </c>
      <c r="N875" t="s">
        <v>47</v>
      </c>
      <c r="O875" t="s">
        <v>47</v>
      </c>
      <c r="P875" t="s">
        <v>7852</v>
      </c>
    </row>
    <row r="876" spans="1:16" x14ac:dyDescent="0.3">
      <c r="A876" t="s">
        <v>7853</v>
      </c>
      <c r="C876">
        <v>30</v>
      </c>
      <c r="D876" t="s">
        <v>10</v>
      </c>
      <c r="F876" s="43">
        <v>45007.625</v>
      </c>
      <c r="G876" s="43">
        <v>45007.645833333336</v>
      </c>
      <c r="H876">
        <v>15</v>
      </c>
      <c r="I876">
        <v>0</v>
      </c>
      <c r="J876">
        <v>15</v>
      </c>
      <c r="K876">
        <v>30</v>
      </c>
      <c r="L876">
        <v>2023</v>
      </c>
      <c r="N876" t="s">
        <v>47</v>
      </c>
      <c r="O876" t="s">
        <v>47</v>
      </c>
      <c r="P876" t="s">
        <v>7854</v>
      </c>
    </row>
    <row r="877" spans="1:16" x14ac:dyDescent="0.3">
      <c r="A877" t="s">
        <v>9</v>
      </c>
      <c r="C877">
        <v>30</v>
      </c>
      <c r="D877" t="s">
        <v>10</v>
      </c>
      <c r="F877" s="43">
        <v>45007.604166666664</v>
      </c>
      <c r="G877" s="43">
        <v>45007.625</v>
      </c>
      <c r="H877">
        <v>14</v>
      </c>
      <c r="I877">
        <v>30</v>
      </c>
      <c r="J877">
        <v>15</v>
      </c>
      <c r="K877">
        <v>0</v>
      </c>
      <c r="L877">
        <v>2023</v>
      </c>
      <c r="N877" t="s">
        <v>47</v>
      </c>
      <c r="O877" t="s">
        <v>47</v>
      </c>
      <c r="P877" t="s">
        <v>7855</v>
      </c>
    </row>
    <row r="878" spans="1:16" x14ac:dyDescent="0.3">
      <c r="A878" t="s">
        <v>7853</v>
      </c>
      <c r="C878">
        <v>30</v>
      </c>
      <c r="D878" t="s">
        <v>10</v>
      </c>
      <c r="F878" s="1">
        <v>45007.572916666664</v>
      </c>
      <c r="G878" s="1">
        <v>45007.59375</v>
      </c>
      <c r="H878">
        <v>13</v>
      </c>
      <c r="I878">
        <v>45</v>
      </c>
      <c r="J878">
        <v>14</v>
      </c>
      <c r="K878">
        <v>15</v>
      </c>
      <c r="L878">
        <v>2023</v>
      </c>
      <c r="N878" t="s">
        <v>47</v>
      </c>
      <c r="O878" t="s">
        <v>47</v>
      </c>
      <c r="P878" t="s">
        <v>7856</v>
      </c>
    </row>
    <row r="879" spans="1:16" x14ac:dyDescent="0.3">
      <c r="A879" t="s">
        <v>7787</v>
      </c>
      <c r="C879">
        <v>30</v>
      </c>
      <c r="D879" t="s">
        <v>10</v>
      </c>
      <c r="E879" t="s">
        <v>5</v>
      </c>
      <c r="F879" s="43">
        <v>45007.552083333336</v>
      </c>
      <c r="G879" s="43">
        <v>45007.572916666664</v>
      </c>
      <c r="H879">
        <v>13</v>
      </c>
      <c r="I879">
        <v>15</v>
      </c>
      <c r="J879">
        <v>13</v>
      </c>
      <c r="K879">
        <v>45</v>
      </c>
      <c r="L879">
        <v>2023</v>
      </c>
      <c r="N879" t="s">
        <v>7788</v>
      </c>
      <c r="O879" t="s">
        <v>5970</v>
      </c>
      <c r="P879" t="s">
        <v>7789</v>
      </c>
    </row>
    <row r="880" spans="1:16" x14ac:dyDescent="0.3">
      <c r="A880" t="s">
        <v>7781</v>
      </c>
      <c r="B880" t="s">
        <v>109</v>
      </c>
      <c r="C880">
        <v>60</v>
      </c>
      <c r="D880" t="s">
        <v>10</v>
      </c>
      <c r="E880" t="s">
        <v>2796</v>
      </c>
      <c r="F880" s="43">
        <v>45007.5</v>
      </c>
      <c r="G880" s="43">
        <v>45007.541666666664</v>
      </c>
      <c r="H880">
        <v>12</v>
      </c>
      <c r="I880">
        <v>0</v>
      </c>
      <c r="J880">
        <v>13</v>
      </c>
      <c r="K880">
        <v>0</v>
      </c>
      <c r="L880">
        <v>2023</v>
      </c>
      <c r="N880" t="s">
        <v>4629</v>
      </c>
      <c r="O880" t="s">
        <v>47</v>
      </c>
      <c r="P880" t="s">
        <v>7782</v>
      </c>
    </row>
    <row r="881" spans="1:16" x14ac:dyDescent="0.3">
      <c r="A881" t="s">
        <v>7816</v>
      </c>
      <c r="B881" t="s">
        <v>20</v>
      </c>
      <c r="C881">
        <v>45</v>
      </c>
      <c r="D881" t="s">
        <v>10</v>
      </c>
      <c r="E881" t="s">
        <v>5</v>
      </c>
      <c r="F881" s="43">
        <v>45007.458333333336</v>
      </c>
      <c r="G881" s="43">
        <v>45007.489583333336</v>
      </c>
      <c r="H881">
        <v>11</v>
      </c>
      <c r="I881">
        <v>0</v>
      </c>
      <c r="J881">
        <v>11</v>
      </c>
      <c r="K881">
        <v>45</v>
      </c>
      <c r="L881">
        <v>2023</v>
      </c>
      <c r="N881" t="s">
        <v>7817</v>
      </c>
      <c r="O881" t="s">
        <v>7818</v>
      </c>
      <c r="P881" t="s">
        <v>7819</v>
      </c>
    </row>
    <row r="882" spans="1:16" x14ac:dyDescent="0.3">
      <c r="A882" t="s">
        <v>7857</v>
      </c>
      <c r="C882">
        <v>30</v>
      </c>
      <c r="D882" t="s">
        <v>10</v>
      </c>
      <c r="F882" s="1">
        <v>45007.4375</v>
      </c>
      <c r="G882" s="1">
        <v>45007.458333333336</v>
      </c>
      <c r="H882">
        <v>10</v>
      </c>
      <c r="I882">
        <v>30</v>
      </c>
      <c r="J882">
        <v>11</v>
      </c>
      <c r="K882">
        <v>0</v>
      </c>
      <c r="L882">
        <v>2023</v>
      </c>
      <c r="N882" t="s">
        <v>47</v>
      </c>
      <c r="O882" t="s">
        <v>47</v>
      </c>
      <c r="P882" t="s">
        <v>7858</v>
      </c>
    </row>
    <row r="883" spans="1:16" x14ac:dyDescent="0.3">
      <c r="A883" t="s">
        <v>2568</v>
      </c>
      <c r="C883">
        <v>15</v>
      </c>
      <c r="D883" t="s">
        <v>10</v>
      </c>
      <c r="F883" s="43">
        <v>45007.385416666664</v>
      </c>
      <c r="G883" s="43">
        <v>45007.395833333336</v>
      </c>
      <c r="H883">
        <v>9</v>
      </c>
      <c r="I883">
        <v>15</v>
      </c>
      <c r="J883">
        <v>9</v>
      </c>
      <c r="K883">
        <v>30</v>
      </c>
      <c r="L883">
        <v>2023</v>
      </c>
      <c r="N883" t="s">
        <v>47</v>
      </c>
      <c r="O883" t="s">
        <v>47</v>
      </c>
      <c r="P883" t="s">
        <v>7859</v>
      </c>
    </row>
    <row r="884" spans="1:16" x14ac:dyDescent="0.3">
      <c r="A884" t="s">
        <v>7794</v>
      </c>
      <c r="B884" t="s">
        <v>20</v>
      </c>
      <c r="C884">
        <v>60</v>
      </c>
      <c r="D884" t="s">
        <v>10</v>
      </c>
      <c r="E884" t="s">
        <v>5</v>
      </c>
      <c r="F884" s="43">
        <v>45007.34375</v>
      </c>
      <c r="G884" s="43">
        <v>45007.385416666664</v>
      </c>
      <c r="H884">
        <v>8</v>
      </c>
      <c r="I884">
        <v>15</v>
      </c>
      <c r="J884">
        <v>9</v>
      </c>
      <c r="K884">
        <v>15</v>
      </c>
      <c r="L884">
        <v>2023</v>
      </c>
      <c r="N884" t="s">
        <v>7795</v>
      </c>
      <c r="O884" t="s">
        <v>7796</v>
      </c>
      <c r="P884" t="s">
        <v>7797</v>
      </c>
    </row>
    <row r="885" spans="1:16" x14ac:dyDescent="0.3">
      <c r="A885" t="s">
        <v>7729</v>
      </c>
      <c r="B885" t="s">
        <v>225</v>
      </c>
      <c r="C885">
        <v>45</v>
      </c>
      <c r="D885" t="s">
        <v>10</v>
      </c>
      <c r="E885" t="s">
        <v>501</v>
      </c>
      <c r="F885" s="43">
        <v>45007.3125</v>
      </c>
      <c r="G885" s="43">
        <v>45007.34375</v>
      </c>
      <c r="H885">
        <v>7</v>
      </c>
      <c r="I885">
        <v>30</v>
      </c>
      <c r="J885">
        <v>8</v>
      </c>
      <c r="K885">
        <v>15</v>
      </c>
      <c r="L885">
        <v>2023</v>
      </c>
      <c r="N885" t="s">
        <v>7730</v>
      </c>
      <c r="O885" t="s">
        <v>50</v>
      </c>
      <c r="P885" t="s">
        <v>7731</v>
      </c>
    </row>
    <row r="886" spans="1:16" x14ac:dyDescent="0.3">
      <c r="A886" t="s">
        <v>4598</v>
      </c>
      <c r="C886">
        <v>45</v>
      </c>
      <c r="D886" t="s">
        <v>10</v>
      </c>
      <c r="F886" s="43">
        <v>45007.166666666664</v>
      </c>
      <c r="G886" s="43">
        <v>45007.197916666664</v>
      </c>
      <c r="H886">
        <v>4</v>
      </c>
      <c r="I886">
        <v>0</v>
      </c>
      <c r="J886">
        <v>4</v>
      </c>
      <c r="K886">
        <v>45</v>
      </c>
      <c r="L886">
        <v>2023</v>
      </c>
      <c r="N886" t="s">
        <v>47</v>
      </c>
      <c r="O886" t="s">
        <v>47</v>
      </c>
      <c r="P886" t="s">
        <v>7860</v>
      </c>
    </row>
    <row r="887" spans="1:16" x14ac:dyDescent="0.3">
      <c r="A887" t="s">
        <v>7861</v>
      </c>
      <c r="C887">
        <v>30</v>
      </c>
      <c r="D887" t="s">
        <v>10</v>
      </c>
      <c r="F887" s="43">
        <v>45006.833333333336</v>
      </c>
      <c r="G887" s="43">
        <v>45006.854166666664</v>
      </c>
      <c r="H887">
        <v>20</v>
      </c>
      <c r="I887">
        <v>0</v>
      </c>
      <c r="J887">
        <v>20</v>
      </c>
      <c r="K887">
        <v>30</v>
      </c>
      <c r="L887">
        <v>2023</v>
      </c>
      <c r="N887" t="s">
        <v>47</v>
      </c>
      <c r="O887" t="s">
        <v>47</v>
      </c>
      <c r="P887" t="s">
        <v>7862</v>
      </c>
    </row>
    <row r="888" spans="1:16" x14ac:dyDescent="0.3">
      <c r="A888" t="s">
        <v>7853</v>
      </c>
      <c r="C888">
        <v>45</v>
      </c>
      <c r="D888" t="s">
        <v>10</v>
      </c>
      <c r="F888" s="43">
        <v>45006.75</v>
      </c>
      <c r="G888" s="43">
        <v>45006.78125</v>
      </c>
      <c r="H888">
        <v>18</v>
      </c>
      <c r="I888">
        <v>0</v>
      </c>
      <c r="J888">
        <v>18</v>
      </c>
      <c r="K888">
        <v>45</v>
      </c>
      <c r="L888">
        <v>2023</v>
      </c>
      <c r="N888" t="s">
        <v>47</v>
      </c>
      <c r="O888" t="s">
        <v>47</v>
      </c>
      <c r="P888" t="s">
        <v>7863</v>
      </c>
    </row>
    <row r="889" spans="1:16" x14ac:dyDescent="0.3">
      <c r="A889" t="s">
        <v>9</v>
      </c>
      <c r="C889">
        <v>30</v>
      </c>
      <c r="D889" t="s">
        <v>10</v>
      </c>
      <c r="F889" s="43">
        <v>45006.701388888891</v>
      </c>
      <c r="G889" s="43">
        <v>45006.722222222219</v>
      </c>
      <c r="H889">
        <v>16</v>
      </c>
      <c r="I889">
        <v>50</v>
      </c>
      <c r="J889">
        <v>17</v>
      </c>
      <c r="K889">
        <v>20</v>
      </c>
      <c r="L889">
        <v>2023</v>
      </c>
      <c r="N889" t="s">
        <v>47</v>
      </c>
      <c r="O889" t="s">
        <v>47</v>
      </c>
      <c r="P889" t="s">
        <v>7869</v>
      </c>
    </row>
    <row r="890" spans="1:16" x14ac:dyDescent="0.3">
      <c r="A890" t="s">
        <v>7853</v>
      </c>
      <c r="C890">
        <v>20</v>
      </c>
      <c r="D890" t="s">
        <v>10</v>
      </c>
      <c r="F890" s="43">
        <v>45006.6875</v>
      </c>
      <c r="G890" s="43">
        <v>45006.701388888891</v>
      </c>
      <c r="H890">
        <v>16</v>
      </c>
      <c r="I890">
        <v>30</v>
      </c>
      <c r="J890">
        <v>16</v>
      </c>
      <c r="K890">
        <v>50</v>
      </c>
      <c r="L890">
        <v>2023</v>
      </c>
      <c r="N890" t="s">
        <v>47</v>
      </c>
      <c r="O890" t="s">
        <v>47</v>
      </c>
      <c r="P890" t="s">
        <v>7870</v>
      </c>
    </row>
    <row r="891" spans="1:16" x14ac:dyDescent="0.3">
      <c r="A891" t="s">
        <v>7820</v>
      </c>
      <c r="C891">
        <v>30</v>
      </c>
      <c r="D891" t="s">
        <v>10</v>
      </c>
      <c r="E891" t="s">
        <v>5</v>
      </c>
      <c r="F891" s="43">
        <v>45006.666666666664</v>
      </c>
      <c r="G891" s="43">
        <v>45006.6875</v>
      </c>
      <c r="H891">
        <v>16</v>
      </c>
      <c r="I891">
        <v>0</v>
      </c>
      <c r="J891">
        <v>16</v>
      </c>
      <c r="K891">
        <v>30</v>
      </c>
      <c r="L891">
        <v>2023</v>
      </c>
      <c r="N891" t="s">
        <v>4365</v>
      </c>
      <c r="O891" t="s">
        <v>783</v>
      </c>
      <c r="P891" t="s">
        <v>7821</v>
      </c>
    </row>
    <row r="892" spans="1:16" x14ac:dyDescent="0.3">
      <c r="A892" t="s">
        <v>446</v>
      </c>
      <c r="C892">
        <v>30</v>
      </c>
      <c r="D892" t="s">
        <v>10</v>
      </c>
      <c r="F892" s="43">
        <v>45006.604166666664</v>
      </c>
      <c r="G892" s="43">
        <v>45006.625</v>
      </c>
      <c r="H892">
        <v>14</v>
      </c>
      <c r="I892">
        <v>30</v>
      </c>
      <c r="J892">
        <v>15</v>
      </c>
      <c r="K892">
        <v>0</v>
      </c>
      <c r="L892">
        <v>2023</v>
      </c>
      <c r="N892" t="s">
        <v>47</v>
      </c>
      <c r="O892" t="s">
        <v>47</v>
      </c>
      <c r="P892" t="s">
        <v>7822</v>
      </c>
    </row>
    <row r="893" spans="1:16" x14ac:dyDescent="0.3">
      <c r="A893" t="s">
        <v>7871</v>
      </c>
      <c r="C893">
        <v>60</v>
      </c>
      <c r="D893" t="s">
        <v>10</v>
      </c>
      <c r="F893" s="43">
        <v>45006.5625</v>
      </c>
      <c r="G893" s="43">
        <v>45006.604166666664</v>
      </c>
      <c r="H893">
        <v>13</v>
      </c>
      <c r="I893">
        <v>30</v>
      </c>
      <c r="J893">
        <v>14</v>
      </c>
      <c r="K893">
        <v>30</v>
      </c>
      <c r="L893">
        <v>2023</v>
      </c>
      <c r="N893" t="s">
        <v>47</v>
      </c>
      <c r="O893" t="s">
        <v>47</v>
      </c>
      <c r="P893" t="s">
        <v>7872</v>
      </c>
    </row>
    <row r="894" spans="1:16" x14ac:dyDescent="0.3">
      <c r="A894" t="s">
        <v>7752</v>
      </c>
      <c r="B894" t="s">
        <v>20</v>
      </c>
      <c r="C894">
        <v>30</v>
      </c>
      <c r="D894" t="s">
        <v>10</v>
      </c>
      <c r="E894" t="s">
        <v>7753</v>
      </c>
      <c r="F894" s="43">
        <v>45006.541666666664</v>
      </c>
      <c r="G894" s="43">
        <v>45006.5625</v>
      </c>
      <c r="H894">
        <v>13</v>
      </c>
      <c r="I894">
        <v>0</v>
      </c>
      <c r="J894">
        <v>13</v>
      </c>
      <c r="K894">
        <v>30</v>
      </c>
      <c r="L894">
        <v>2023</v>
      </c>
      <c r="N894" t="s">
        <v>7754</v>
      </c>
      <c r="O894" t="s">
        <v>7755</v>
      </c>
      <c r="P894" t="s">
        <v>7756</v>
      </c>
    </row>
    <row r="895" spans="1:16" x14ac:dyDescent="0.3">
      <c r="A895" t="s">
        <v>7798</v>
      </c>
      <c r="B895" t="s">
        <v>20</v>
      </c>
      <c r="C895">
        <v>60</v>
      </c>
      <c r="D895" t="s">
        <v>10</v>
      </c>
      <c r="E895" t="s">
        <v>5</v>
      </c>
      <c r="F895" s="43">
        <v>45006.5</v>
      </c>
      <c r="G895" s="1">
        <v>45006.541666666664</v>
      </c>
      <c r="H895">
        <v>12</v>
      </c>
      <c r="I895">
        <v>0</v>
      </c>
      <c r="J895">
        <v>13</v>
      </c>
      <c r="K895">
        <v>0</v>
      </c>
      <c r="L895">
        <v>2023</v>
      </c>
      <c r="N895" t="s">
        <v>7799</v>
      </c>
      <c r="O895" t="s">
        <v>7800</v>
      </c>
      <c r="P895" t="s">
        <v>7801</v>
      </c>
    </row>
    <row r="896" spans="1:16" x14ac:dyDescent="0.3">
      <c r="A896" t="s">
        <v>8</v>
      </c>
      <c r="C896">
        <v>30</v>
      </c>
      <c r="D896" t="s">
        <v>10</v>
      </c>
      <c r="F896" s="43">
        <v>45006.458333333336</v>
      </c>
      <c r="G896" s="43">
        <v>45006.479166666664</v>
      </c>
      <c r="H896">
        <v>11</v>
      </c>
      <c r="I896">
        <v>0</v>
      </c>
      <c r="J896">
        <v>11</v>
      </c>
      <c r="K896">
        <v>30</v>
      </c>
      <c r="L896">
        <v>2023</v>
      </c>
      <c r="N896" t="s">
        <v>47</v>
      </c>
      <c r="O896" t="s">
        <v>47</v>
      </c>
      <c r="P896" t="s">
        <v>7780</v>
      </c>
    </row>
    <row r="897" spans="1:16" x14ac:dyDescent="0.3">
      <c r="A897" t="s">
        <v>7783</v>
      </c>
      <c r="C897">
        <v>30</v>
      </c>
      <c r="D897" t="s">
        <v>10</v>
      </c>
      <c r="F897" s="43">
        <v>45006.4375</v>
      </c>
      <c r="G897" s="43">
        <v>45006.458333333336</v>
      </c>
      <c r="H897">
        <v>10</v>
      </c>
      <c r="I897">
        <v>30</v>
      </c>
      <c r="J897">
        <v>11</v>
      </c>
      <c r="K897">
        <v>0</v>
      </c>
      <c r="L897">
        <v>2023</v>
      </c>
      <c r="N897" t="s">
        <v>47</v>
      </c>
      <c r="O897" t="s">
        <v>47</v>
      </c>
      <c r="P897" t="s">
        <v>7784</v>
      </c>
    </row>
    <row r="898" spans="1:16" x14ac:dyDescent="0.3">
      <c r="A898" t="s">
        <v>7812</v>
      </c>
      <c r="B898" t="s">
        <v>20</v>
      </c>
      <c r="C898">
        <v>30</v>
      </c>
      <c r="D898" t="s">
        <v>10</v>
      </c>
      <c r="E898" t="s">
        <v>7813</v>
      </c>
      <c r="F898" s="43">
        <v>45006.416666666664</v>
      </c>
      <c r="G898" s="43">
        <v>45006.4375</v>
      </c>
      <c r="H898">
        <v>10</v>
      </c>
      <c r="I898">
        <v>0</v>
      </c>
      <c r="J898">
        <v>10</v>
      </c>
      <c r="K898">
        <v>30</v>
      </c>
      <c r="L898">
        <v>2023</v>
      </c>
      <c r="N898" t="s">
        <v>7814</v>
      </c>
      <c r="O898" t="s">
        <v>3928</v>
      </c>
      <c r="P898" t="s">
        <v>7815</v>
      </c>
    </row>
    <row r="899" spans="1:16" x14ac:dyDescent="0.3">
      <c r="A899" t="s">
        <v>6829</v>
      </c>
      <c r="C899">
        <v>30</v>
      </c>
      <c r="D899" t="s">
        <v>10</v>
      </c>
      <c r="F899" s="43">
        <v>45006.354166666664</v>
      </c>
      <c r="G899" s="43">
        <v>45006.375</v>
      </c>
      <c r="H899">
        <v>8</v>
      </c>
      <c r="I899">
        <v>30</v>
      </c>
      <c r="J899">
        <v>9</v>
      </c>
      <c r="K899">
        <v>0</v>
      </c>
      <c r="L899">
        <v>2023</v>
      </c>
      <c r="N899" t="s">
        <v>47</v>
      </c>
      <c r="O899" t="s">
        <v>47</v>
      </c>
      <c r="P899" t="s">
        <v>7790</v>
      </c>
    </row>
    <row r="900" spans="1:16" x14ac:dyDescent="0.3">
      <c r="A900" t="s">
        <v>7</v>
      </c>
      <c r="C900">
        <v>30</v>
      </c>
      <c r="D900" t="s">
        <v>10</v>
      </c>
      <c r="F900" s="43">
        <v>45006.333333333336</v>
      </c>
      <c r="G900" s="43">
        <v>45006.354166666664</v>
      </c>
      <c r="H900">
        <v>8</v>
      </c>
      <c r="I900">
        <v>0</v>
      </c>
      <c r="J900">
        <v>8</v>
      </c>
      <c r="K900">
        <v>30</v>
      </c>
      <c r="L900">
        <v>2023</v>
      </c>
      <c r="N900" t="s">
        <v>47</v>
      </c>
      <c r="O900" t="s">
        <v>47</v>
      </c>
      <c r="P900" t="s">
        <v>7793</v>
      </c>
    </row>
    <row r="901" spans="1:16" x14ac:dyDescent="0.3">
      <c r="A901" t="s">
        <v>7791</v>
      </c>
      <c r="C901">
        <v>30</v>
      </c>
      <c r="D901" t="s">
        <v>10</v>
      </c>
      <c r="F901" s="43">
        <v>45006.270833333336</v>
      </c>
      <c r="G901" s="43">
        <v>45006.291666666664</v>
      </c>
      <c r="H901">
        <v>6</v>
      </c>
      <c r="I901">
        <v>30</v>
      </c>
      <c r="J901">
        <v>7</v>
      </c>
      <c r="K901">
        <v>0</v>
      </c>
      <c r="L901">
        <v>2023</v>
      </c>
      <c r="N901" t="s">
        <v>47</v>
      </c>
      <c r="O901" t="s">
        <v>47</v>
      </c>
      <c r="P901" t="s">
        <v>7792</v>
      </c>
    </row>
    <row r="902" spans="1:16" x14ac:dyDescent="0.3">
      <c r="A902" t="s">
        <v>7802</v>
      </c>
      <c r="C902">
        <v>45</v>
      </c>
      <c r="D902" t="s">
        <v>10</v>
      </c>
      <c r="F902" s="43">
        <v>45006.239583333336</v>
      </c>
      <c r="G902" s="43">
        <v>45006.270833333336</v>
      </c>
      <c r="H902">
        <v>5</v>
      </c>
      <c r="I902">
        <v>45</v>
      </c>
      <c r="J902">
        <v>6</v>
      </c>
      <c r="K902">
        <v>30</v>
      </c>
      <c r="L902">
        <v>2023</v>
      </c>
      <c r="N902" t="s">
        <v>47</v>
      </c>
      <c r="O902" t="s">
        <v>47</v>
      </c>
      <c r="P902" t="s">
        <v>7803</v>
      </c>
    </row>
    <row r="903" spans="1:16" x14ac:dyDescent="0.3">
      <c r="A903" t="s">
        <v>7804</v>
      </c>
      <c r="C903">
        <v>45</v>
      </c>
      <c r="D903" t="s">
        <v>10</v>
      </c>
      <c r="F903" s="43">
        <v>45006.208333333336</v>
      </c>
      <c r="G903" s="43">
        <v>45006.239583333336</v>
      </c>
      <c r="H903">
        <v>5</v>
      </c>
      <c r="I903">
        <v>0</v>
      </c>
      <c r="J903">
        <v>5</v>
      </c>
      <c r="K903">
        <v>45</v>
      </c>
      <c r="L903">
        <v>2023</v>
      </c>
      <c r="N903" t="s">
        <v>47</v>
      </c>
      <c r="O903" t="s">
        <v>47</v>
      </c>
      <c r="P903" t="s">
        <v>7805</v>
      </c>
    </row>
    <row r="904" spans="1:16" x14ac:dyDescent="0.3">
      <c r="A904" t="s">
        <v>4358</v>
      </c>
      <c r="C904">
        <v>80</v>
      </c>
      <c r="D904" t="s">
        <v>10</v>
      </c>
      <c r="F904" s="43">
        <v>45005.708333333336</v>
      </c>
      <c r="G904" s="43">
        <v>45005.763888888891</v>
      </c>
      <c r="H904">
        <v>17</v>
      </c>
      <c r="I904">
        <v>0</v>
      </c>
      <c r="J904">
        <v>18</v>
      </c>
      <c r="K904">
        <v>20</v>
      </c>
      <c r="L904">
        <v>2023</v>
      </c>
      <c r="N904" t="s">
        <v>47</v>
      </c>
      <c r="O904" t="s">
        <v>47</v>
      </c>
      <c r="P904" t="s">
        <v>7806</v>
      </c>
    </row>
    <row r="905" spans="1:16" x14ac:dyDescent="0.3">
      <c r="A905" t="s">
        <v>4358</v>
      </c>
      <c r="C905">
        <v>20</v>
      </c>
      <c r="D905" t="s">
        <v>10</v>
      </c>
      <c r="F905" s="43">
        <v>45005.666666666664</v>
      </c>
      <c r="G905" s="43">
        <v>45005.680555555555</v>
      </c>
      <c r="H905">
        <v>16</v>
      </c>
      <c r="I905">
        <v>0</v>
      </c>
      <c r="J905">
        <v>16</v>
      </c>
      <c r="K905">
        <v>20</v>
      </c>
      <c r="L905">
        <v>2023</v>
      </c>
      <c r="N905" t="s">
        <v>47</v>
      </c>
      <c r="O905" t="s">
        <v>47</v>
      </c>
      <c r="P905" t="s">
        <v>7809</v>
      </c>
    </row>
    <row r="906" spans="1:16" x14ac:dyDescent="0.3">
      <c r="A906" t="s">
        <v>7807</v>
      </c>
      <c r="C906">
        <v>15</v>
      </c>
      <c r="D906" t="s">
        <v>10</v>
      </c>
      <c r="F906" s="43">
        <v>45005.625</v>
      </c>
      <c r="G906" s="43">
        <v>45005.635416666664</v>
      </c>
      <c r="H906">
        <v>15</v>
      </c>
      <c r="I906">
        <v>0</v>
      </c>
      <c r="J906">
        <v>15</v>
      </c>
      <c r="K906">
        <v>15</v>
      </c>
      <c r="L906">
        <v>2023</v>
      </c>
      <c r="N906" t="s">
        <v>47</v>
      </c>
      <c r="O906" t="s">
        <v>47</v>
      </c>
      <c r="P906" t="s">
        <v>7808</v>
      </c>
    </row>
    <row r="907" spans="1:16" x14ac:dyDescent="0.3">
      <c r="A907" t="s">
        <v>7748</v>
      </c>
      <c r="B907" t="s">
        <v>20</v>
      </c>
      <c r="C907">
        <v>30</v>
      </c>
      <c r="D907" t="s">
        <v>10</v>
      </c>
      <c r="E907" t="s">
        <v>501</v>
      </c>
      <c r="F907" s="43">
        <v>45005.604166666664</v>
      </c>
      <c r="G907" s="43">
        <v>45005.625</v>
      </c>
      <c r="H907">
        <v>14</v>
      </c>
      <c r="I907">
        <v>30</v>
      </c>
      <c r="J907">
        <v>15</v>
      </c>
      <c r="K907">
        <v>0</v>
      </c>
      <c r="L907">
        <v>2023</v>
      </c>
      <c r="N907" t="s">
        <v>7749</v>
      </c>
      <c r="O907" t="s">
        <v>47</v>
      </c>
      <c r="P907" t="s">
        <v>7750</v>
      </c>
    </row>
    <row r="908" spans="1:16" x14ac:dyDescent="0.3">
      <c r="A908" t="s">
        <v>7738</v>
      </c>
      <c r="B908" t="s">
        <v>20</v>
      </c>
      <c r="C908">
        <v>25</v>
      </c>
      <c r="D908" t="s">
        <v>10</v>
      </c>
      <c r="F908" s="43">
        <v>45005.583333333336</v>
      </c>
      <c r="G908" s="43">
        <v>45005.600694444445</v>
      </c>
      <c r="H908">
        <v>14</v>
      </c>
      <c r="I908">
        <v>0</v>
      </c>
      <c r="J908">
        <v>14</v>
      </c>
      <c r="K908">
        <v>25</v>
      </c>
      <c r="L908">
        <v>2023</v>
      </c>
      <c r="N908" t="s">
        <v>7739</v>
      </c>
      <c r="O908" t="s">
        <v>7740</v>
      </c>
      <c r="P908" t="s">
        <v>7741</v>
      </c>
    </row>
    <row r="909" spans="1:16" x14ac:dyDescent="0.3">
      <c r="A909" t="s">
        <v>7810</v>
      </c>
      <c r="C909">
        <v>50</v>
      </c>
      <c r="D909" t="s">
        <v>10</v>
      </c>
      <c r="F909" s="43">
        <v>45005.548611111109</v>
      </c>
      <c r="G909" s="43">
        <v>45005.583333333336</v>
      </c>
      <c r="H909">
        <v>13</v>
      </c>
      <c r="I909">
        <v>10</v>
      </c>
      <c r="J909">
        <v>14</v>
      </c>
      <c r="K909">
        <v>0</v>
      </c>
      <c r="L909">
        <v>2023</v>
      </c>
      <c r="N909" t="s">
        <v>47</v>
      </c>
      <c r="O909" t="s">
        <v>47</v>
      </c>
      <c r="P909" t="s">
        <v>7811</v>
      </c>
    </row>
    <row r="910" spans="1:16" x14ac:dyDescent="0.3">
      <c r="A910" t="s">
        <v>59</v>
      </c>
      <c r="C910">
        <v>40</v>
      </c>
      <c r="D910" t="s">
        <v>10</v>
      </c>
      <c r="F910" s="43">
        <v>45005.520833333336</v>
      </c>
      <c r="G910" s="43">
        <v>45005.548611111109</v>
      </c>
      <c r="H910">
        <v>12</v>
      </c>
      <c r="I910">
        <v>30</v>
      </c>
      <c r="J910">
        <v>13</v>
      </c>
      <c r="K910">
        <v>10</v>
      </c>
      <c r="L910">
        <v>2023</v>
      </c>
      <c r="N910" t="s">
        <v>47</v>
      </c>
      <c r="O910" t="s">
        <v>47</v>
      </c>
      <c r="P910" t="s">
        <v>7757</v>
      </c>
    </row>
    <row r="911" spans="1:16" x14ac:dyDescent="0.3">
      <c r="A911" t="s">
        <v>8</v>
      </c>
      <c r="C911">
        <v>30</v>
      </c>
      <c r="D911" t="s">
        <v>10</v>
      </c>
      <c r="F911" s="43">
        <v>45005.479166666664</v>
      </c>
      <c r="G911" s="43">
        <v>45005.5</v>
      </c>
      <c r="H911">
        <v>11</v>
      </c>
      <c r="I911">
        <v>30</v>
      </c>
      <c r="J911">
        <v>12</v>
      </c>
      <c r="K911">
        <v>0</v>
      </c>
      <c r="L911">
        <v>2023</v>
      </c>
      <c r="N911" t="s">
        <v>47</v>
      </c>
      <c r="O911" t="s">
        <v>47</v>
      </c>
      <c r="P911" t="s">
        <v>7761</v>
      </c>
    </row>
    <row r="912" spans="1:16" x14ac:dyDescent="0.3">
      <c r="A912" t="s">
        <v>7762</v>
      </c>
      <c r="C912">
        <v>30</v>
      </c>
      <c r="D912" t="s">
        <v>10</v>
      </c>
      <c r="F912" s="43">
        <v>45005.4375</v>
      </c>
      <c r="G912" s="43">
        <v>45005.458333333336</v>
      </c>
      <c r="H912">
        <v>10</v>
      </c>
      <c r="I912">
        <v>30</v>
      </c>
      <c r="J912">
        <v>11</v>
      </c>
      <c r="K912">
        <v>0</v>
      </c>
      <c r="L912">
        <v>2023</v>
      </c>
      <c r="N912" t="s">
        <v>47</v>
      </c>
      <c r="O912" t="s">
        <v>47</v>
      </c>
      <c r="P912" t="s">
        <v>7763</v>
      </c>
    </row>
    <row r="913" spans="1:16" x14ac:dyDescent="0.3">
      <c r="A913" t="s">
        <v>9</v>
      </c>
      <c r="C913">
        <v>30</v>
      </c>
      <c r="D913" t="s">
        <v>10</v>
      </c>
      <c r="F913" s="43">
        <v>45005.416666666664</v>
      </c>
      <c r="G913" s="43">
        <v>45005.4375</v>
      </c>
      <c r="H913">
        <v>10</v>
      </c>
      <c r="I913">
        <v>0</v>
      </c>
      <c r="J913">
        <v>10</v>
      </c>
      <c r="K913">
        <v>30</v>
      </c>
      <c r="L913">
        <v>2023</v>
      </c>
      <c r="N913" t="s">
        <v>47</v>
      </c>
      <c r="O913" t="s">
        <v>47</v>
      </c>
      <c r="P913" t="s">
        <v>7764</v>
      </c>
    </row>
    <row r="914" spans="1:16" x14ac:dyDescent="0.3">
      <c r="A914" t="s">
        <v>7722</v>
      </c>
      <c r="C914">
        <v>30</v>
      </c>
      <c r="D914" t="s">
        <v>10</v>
      </c>
      <c r="E914" t="s">
        <v>7723</v>
      </c>
      <c r="F914" s="43">
        <v>45005.395833333336</v>
      </c>
      <c r="G914" s="43">
        <v>45005.416666666664</v>
      </c>
      <c r="H914">
        <v>9</v>
      </c>
      <c r="I914">
        <v>30</v>
      </c>
      <c r="J914">
        <v>10</v>
      </c>
      <c r="K914">
        <v>0</v>
      </c>
      <c r="L914">
        <v>2023</v>
      </c>
      <c r="N914" t="s">
        <v>7724</v>
      </c>
      <c r="O914" t="s">
        <v>7725</v>
      </c>
      <c r="P914" t="s">
        <v>7726</v>
      </c>
    </row>
    <row r="915" spans="1:16" x14ac:dyDescent="0.3">
      <c r="A915" t="s">
        <v>8</v>
      </c>
      <c r="C915">
        <v>45</v>
      </c>
      <c r="D915" t="s">
        <v>10</v>
      </c>
      <c r="F915" s="43">
        <v>45005.333333333336</v>
      </c>
      <c r="G915" s="43">
        <v>45005.364583333336</v>
      </c>
      <c r="H915">
        <v>8</v>
      </c>
      <c r="I915">
        <v>0</v>
      </c>
      <c r="J915">
        <v>8</v>
      </c>
      <c r="K915">
        <v>45</v>
      </c>
      <c r="L915">
        <v>2023</v>
      </c>
      <c r="N915" t="s">
        <v>47</v>
      </c>
      <c r="O915" t="s">
        <v>47</v>
      </c>
      <c r="P915" t="s">
        <v>7768</v>
      </c>
    </row>
    <row r="916" spans="1:16" x14ac:dyDescent="0.3">
      <c r="A916" t="s">
        <v>7769</v>
      </c>
      <c r="C916">
        <v>74</v>
      </c>
      <c r="D916" t="s">
        <v>10</v>
      </c>
      <c r="F916" s="43">
        <v>45005.270833333336</v>
      </c>
      <c r="G916" s="43">
        <v>45005.322222222225</v>
      </c>
      <c r="H916">
        <v>6</v>
      </c>
      <c r="I916">
        <v>30</v>
      </c>
      <c r="J916">
        <v>7</v>
      </c>
      <c r="K916">
        <v>44</v>
      </c>
      <c r="L916">
        <v>2023</v>
      </c>
      <c r="N916" t="s">
        <v>47</v>
      </c>
      <c r="O916" t="s">
        <v>47</v>
      </c>
      <c r="P916" t="s">
        <v>7770</v>
      </c>
    </row>
    <row r="917" spans="1:16" x14ac:dyDescent="0.3">
      <c r="A917" t="s">
        <v>7771</v>
      </c>
      <c r="C917">
        <v>75</v>
      </c>
      <c r="D917" t="s">
        <v>10</v>
      </c>
      <c r="F917" s="43">
        <v>45005.1875</v>
      </c>
      <c r="G917" s="43">
        <v>45005.239583333336</v>
      </c>
      <c r="H917">
        <v>4</v>
      </c>
      <c r="I917">
        <v>30</v>
      </c>
      <c r="J917">
        <v>5</v>
      </c>
      <c r="K917">
        <v>45</v>
      </c>
      <c r="L917">
        <v>2023</v>
      </c>
      <c r="N917" t="s">
        <v>47</v>
      </c>
      <c r="O917" t="s">
        <v>47</v>
      </c>
      <c r="P917" t="s">
        <v>7772</v>
      </c>
    </row>
    <row r="918" spans="1:16" x14ac:dyDescent="0.3">
      <c r="A918" t="s">
        <v>7283</v>
      </c>
      <c r="C918">
        <v>210</v>
      </c>
      <c r="D918" t="s">
        <v>10</v>
      </c>
      <c r="F918" s="43">
        <v>45003.166666666664</v>
      </c>
      <c r="G918" s="43">
        <v>45003.3125</v>
      </c>
      <c r="H918">
        <v>4</v>
      </c>
      <c r="I918">
        <v>0</v>
      </c>
      <c r="J918">
        <v>7</v>
      </c>
      <c r="K918">
        <v>30</v>
      </c>
      <c r="L918">
        <v>2023</v>
      </c>
      <c r="N918" t="s">
        <v>47</v>
      </c>
      <c r="O918" t="s">
        <v>47</v>
      </c>
      <c r="P918" t="s">
        <v>7751</v>
      </c>
    </row>
    <row r="919" spans="1:16" x14ac:dyDescent="0.3">
      <c r="A919" t="s">
        <v>7742</v>
      </c>
      <c r="C919">
        <v>60</v>
      </c>
      <c r="D919" t="s">
        <v>10</v>
      </c>
      <c r="F919" s="43">
        <v>45002.354166666664</v>
      </c>
      <c r="G919" s="43">
        <v>45002.395833333336</v>
      </c>
      <c r="H919">
        <v>8</v>
      </c>
      <c r="I919">
        <v>30</v>
      </c>
      <c r="J919">
        <v>9</v>
      </c>
      <c r="K919">
        <v>30</v>
      </c>
      <c r="L919">
        <v>2023</v>
      </c>
      <c r="N919" t="s">
        <v>47</v>
      </c>
      <c r="O919" t="s">
        <v>47</v>
      </c>
      <c r="P919" t="s">
        <v>7743</v>
      </c>
    </row>
    <row r="920" spans="1:16" x14ac:dyDescent="0.3">
      <c r="A920" t="s">
        <v>7742</v>
      </c>
      <c r="C920">
        <v>90</v>
      </c>
      <c r="D920" t="s">
        <v>10</v>
      </c>
      <c r="F920" s="43">
        <v>45002.208333333336</v>
      </c>
      <c r="G920" s="43">
        <v>45002.270833333336</v>
      </c>
      <c r="H920">
        <v>5</v>
      </c>
      <c r="I920">
        <v>0</v>
      </c>
      <c r="J920">
        <v>6</v>
      </c>
      <c r="K920">
        <v>30</v>
      </c>
      <c r="L920">
        <v>2023</v>
      </c>
      <c r="N920" t="s">
        <v>47</v>
      </c>
      <c r="O920" t="s">
        <v>47</v>
      </c>
      <c r="P920" t="s">
        <v>7744</v>
      </c>
    </row>
    <row r="921" spans="1:16" x14ac:dyDescent="0.3">
      <c r="A921" t="s">
        <v>7718</v>
      </c>
      <c r="C921">
        <v>870</v>
      </c>
      <c r="D921" t="s">
        <v>10</v>
      </c>
      <c r="F921" s="43">
        <v>45002.020833333336</v>
      </c>
      <c r="G921" s="43">
        <v>45002.625</v>
      </c>
      <c r="H921">
        <v>0</v>
      </c>
      <c r="I921">
        <v>30</v>
      </c>
      <c r="J921">
        <v>15</v>
      </c>
      <c r="K921">
        <v>0</v>
      </c>
      <c r="L921">
        <v>2023</v>
      </c>
      <c r="N921" t="s">
        <v>47</v>
      </c>
      <c r="O921" t="s">
        <v>47</v>
      </c>
      <c r="P921" t="s">
        <v>7719</v>
      </c>
    </row>
    <row r="922" spans="1:16" x14ac:dyDescent="0.3">
      <c r="A922" t="s">
        <v>7732</v>
      </c>
      <c r="C922">
        <v>60</v>
      </c>
      <c r="D922" t="s">
        <v>10</v>
      </c>
      <c r="F922" s="43">
        <v>45001.604166666664</v>
      </c>
      <c r="G922" s="43">
        <v>45001.645833333336</v>
      </c>
      <c r="H922">
        <v>14</v>
      </c>
      <c r="I922">
        <v>30</v>
      </c>
      <c r="J922">
        <v>15</v>
      </c>
      <c r="K922">
        <v>30</v>
      </c>
      <c r="L922">
        <v>2023</v>
      </c>
      <c r="N922" t="s">
        <v>47</v>
      </c>
      <c r="O922" t="s">
        <v>47</v>
      </c>
      <c r="P922" t="s">
        <v>7733</v>
      </c>
    </row>
    <row r="923" spans="1:16" x14ac:dyDescent="0.3">
      <c r="A923" t="s">
        <v>7611</v>
      </c>
      <c r="B923" t="s">
        <v>20</v>
      </c>
      <c r="C923">
        <v>120</v>
      </c>
      <c r="D923" t="s">
        <v>10</v>
      </c>
      <c r="E923" t="s">
        <v>7265</v>
      </c>
      <c r="F923" s="43">
        <v>45001.520833333336</v>
      </c>
      <c r="G923" s="43">
        <v>45001.604166666664</v>
      </c>
      <c r="H923">
        <v>12</v>
      </c>
      <c r="I923">
        <v>30</v>
      </c>
      <c r="J923">
        <v>14</v>
      </c>
      <c r="K923">
        <v>30</v>
      </c>
      <c r="L923">
        <v>2023</v>
      </c>
      <c r="N923" t="s">
        <v>7612</v>
      </c>
      <c r="O923" t="s">
        <v>73</v>
      </c>
      <c r="P923" t="s">
        <v>7613</v>
      </c>
    </row>
    <row r="924" spans="1:16" x14ac:dyDescent="0.3">
      <c r="A924" t="s">
        <v>7712</v>
      </c>
      <c r="B924" t="s">
        <v>20</v>
      </c>
      <c r="C924">
        <v>60</v>
      </c>
      <c r="D924" t="s">
        <v>10</v>
      </c>
      <c r="E924" t="s">
        <v>7713</v>
      </c>
      <c r="F924" s="43">
        <v>45001.416666666664</v>
      </c>
      <c r="G924" s="43">
        <v>45001.458333333336</v>
      </c>
      <c r="H924">
        <v>10</v>
      </c>
      <c r="I924">
        <v>0</v>
      </c>
      <c r="J924">
        <v>11</v>
      </c>
      <c r="K924">
        <v>0</v>
      </c>
      <c r="L924">
        <v>2023</v>
      </c>
      <c r="N924" t="s">
        <v>7714</v>
      </c>
      <c r="O924" t="s">
        <v>73</v>
      </c>
      <c r="P924" t="s">
        <v>7715</v>
      </c>
    </row>
    <row r="925" spans="1:16" x14ac:dyDescent="0.3">
      <c r="A925" t="s">
        <v>7597</v>
      </c>
      <c r="B925" t="s">
        <v>20</v>
      </c>
      <c r="C925">
        <v>75</v>
      </c>
      <c r="D925" t="s">
        <v>10</v>
      </c>
      <c r="E925" t="s">
        <v>7598</v>
      </c>
      <c r="F925" s="43">
        <v>45001.354166666664</v>
      </c>
      <c r="G925" s="43">
        <v>45001.40625</v>
      </c>
      <c r="H925">
        <v>8</v>
      </c>
      <c r="I925">
        <v>30</v>
      </c>
      <c r="J925">
        <v>9</v>
      </c>
      <c r="K925">
        <v>45</v>
      </c>
      <c r="L925">
        <v>2023</v>
      </c>
      <c r="N925" t="s">
        <v>7599</v>
      </c>
      <c r="O925" t="s">
        <v>73</v>
      </c>
      <c r="P925" t="s">
        <v>7600</v>
      </c>
    </row>
    <row r="926" spans="1:16" x14ac:dyDescent="0.3">
      <c r="A926" t="s">
        <v>7734</v>
      </c>
      <c r="C926">
        <v>120</v>
      </c>
      <c r="D926" t="s">
        <v>10</v>
      </c>
      <c r="F926" s="43">
        <v>45001.25</v>
      </c>
      <c r="G926" s="43">
        <v>45001.333333333336</v>
      </c>
      <c r="H926">
        <v>6</v>
      </c>
      <c r="I926">
        <v>0</v>
      </c>
      <c r="J926">
        <v>8</v>
      </c>
      <c r="K926">
        <v>0</v>
      </c>
      <c r="L926">
        <v>2023</v>
      </c>
      <c r="N926" t="s">
        <v>47</v>
      </c>
      <c r="O926" t="s">
        <v>47</v>
      </c>
      <c r="P926" t="s">
        <v>7735</v>
      </c>
    </row>
    <row r="927" spans="1:16" x14ac:dyDescent="0.3">
      <c r="A927" t="s">
        <v>7551</v>
      </c>
      <c r="C927">
        <v>300</v>
      </c>
      <c r="D927" t="s">
        <v>10</v>
      </c>
      <c r="E927" t="s">
        <v>7552</v>
      </c>
      <c r="F927" s="43">
        <v>45001.020833333336</v>
      </c>
      <c r="G927" s="43">
        <v>45001.229166666664</v>
      </c>
      <c r="H927">
        <v>0</v>
      </c>
      <c r="I927">
        <v>30</v>
      </c>
      <c r="J927">
        <v>5</v>
      </c>
      <c r="K927">
        <v>30</v>
      </c>
      <c r="L927">
        <v>2023</v>
      </c>
      <c r="O927" t="s">
        <v>47</v>
      </c>
      <c r="P927" t="s">
        <v>7553</v>
      </c>
    </row>
    <row r="928" spans="1:16" x14ac:dyDescent="0.3">
      <c r="A928" t="s">
        <v>7727</v>
      </c>
      <c r="C928">
        <v>90</v>
      </c>
      <c r="D928" t="s">
        <v>10</v>
      </c>
      <c r="F928" s="43">
        <v>45000.541666666664</v>
      </c>
      <c r="G928" s="43">
        <v>45000.604166666664</v>
      </c>
      <c r="H928">
        <v>13</v>
      </c>
      <c r="I928">
        <v>0</v>
      </c>
      <c r="J928">
        <v>14</v>
      </c>
      <c r="K928">
        <v>30</v>
      </c>
      <c r="L928">
        <v>2023</v>
      </c>
      <c r="N928" t="s">
        <v>47</v>
      </c>
      <c r="O928" t="s">
        <v>47</v>
      </c>
      <c r="P928" t="s">
        <v>7728</v>
      </c>
    </row>
    <row r="929" spans="1:16" x14ac:dyDescent="0.3">
      <c r="A929" t="s">
        <v>7720</v>
      </c>
      <c r="C929">
        <v>120</v>
      </c>
      <c r="D929" t="s">
        <v>10</v>
      </c>
      <c r="F929" s="43">
        <v>45000.416666666664</v>
      </c>
      <c r="G929" s="43">
        <v>45000.5</v>
      </c>
      <c r="H929">
        <v>10</v>
      </c>
      <c r="I929">
        <v>0</v>
      </c>
      <c r="J929">
        <v>12</v>
      </c>
      <c r="K929">
        <v>0</v>
      </c>
      <c r="L929">
        <v>2023</v>
      </c>
      <c r="N929" t="s">
        <v>47</v>
      </c>
      <c r="O929" t="s">
        <v>47</v>
      </c>
      <c r="P929" t="s">
        <v>7721</v>
      </c>
    </row>
    <row r="930" spans="1:16" x14ac:dyDescent="0.3">
      <c r="A930" t="s">
        <v>7395</v>
      </c>
      <c r="B930" t="s">
        <v>20</v>
      </c>
      <c r="C930">
        <v>60</v>
      </c>
      <c r="D930" t="s">
        <v>10</v>
      </c>
      <c r="E930" t="s">
        <v>7396</v>
      </c>
      <c r="F930" s="43">
        <v>45000.3125</v>
      </c>
      <c r="G930" s="43">
        <v>45000.354166666664</v>
      </c>
      <c r="H930">
        <v>7</v>
      </c>
      <c r="I930">
        <v>30</v>
      </c>
      <c r="J930">
        <v>8</v>
      </c>
      <c r="K930">
        <v>30</v>
      </c>
      <c r="L930">
        <v>2023</v>
      </c>
      <c r="N930" t="s">
        <v>7397</v>
      </c>
      <c r="O930" t="s">
        <v>73</v>
      </c>
      <c r="P930" t="s">
        <v>7398</v>
      </c>
    </row>
    <row r="931" spans="1:16" x14ac:dyDescent="0.3">
      <c r="A931" t="s">
        <v>7705</v>
      </c>
      <c r="C931">
        <v>60</v>
      </c>
      <c r="D931" t="s">
        <v>10</v>
      </c>
      <c r="E931" t="s">
        <v>7706</v>
      </c>
      <c r="F931" s="43">
        <v>45000.3125</v>
      </c>
      <c r="G931" s="43">
        <v>45000.354166666664</v>
      </c>
      <c r="H931">
        <v>7</v>
      </c>
      <c r="I931">
        <v>30</v>
      </c>
      <c r="J931">
        <v>8</v>
      </c>
      <c r="K931">
        <v>30</v>
      </c>
      <c r="L931">
        <v>2023</v>
      </c>
      <c r="N931" t="s">
        <v>7707</v>
      </c>
      <c r="O931" t="s">
        <v>7708</v>
      </c>
      <c r="P931" t="s">
        <v>7709</v>
      </c>
    </row>
    <row r="932" spans="1:16" x14ac:dyDescent="0.3">
      <c r="A932" t="s">
        <v>7716</v>
      </c>
      <c r="C932">
        <v>180</v>
      </c>
      <c r="D932" t="s">
        <v>10</v>
      </c>
      <c r="F932" s="43">
        <v>45000.104166666664</v>
      </c>
      <c r="G932" s="43">
        <v>45000.229166666664</v>
      </c>
      <c r="H932">
        <v>2</v>
      </c>
      <c r="I932">
        <v>30</v>
      </c>
      <c r="J932">
        <v>5</v>
      </c>
      <c r="K932">
        <v>30</v>
      </c>
      <c r="L932">
        <v>2023</v>
      </c>
      <c r="N932" t="s">
        <v>47</v>
      </c>
      <c r="O932" t="s">
        <v>47</v>
      </c>
      <c r="P932" t="s">
        <v>7717</v>
      </c>
    </row>
    <row r="933" spans="1:16" x14ac:dyDescent="0.3">
      <c r="A933" t="s">
        <v>7736</v>
      </c>
      <c r="C933">
        <v>120</v>
      </c>
      <c r="D933" t="s">
        <v>10</v>
      </c>
      <c r="F933" s="1">
        <v>44999.625</v>
      </c>
      <c r="G933" s="1">
        <v>44999.708333333336</v>
      </c>
      <c r="H933">
        <v>15</v>
      </c>
      <c r="I933">
        <v>0</v>
      </c>
      <c r="J933">
        <v>17</v>
      </c>
      <c r="K933">
        <v>0</v>
      </c>
      <c r="L933">
        <v>2023</v>
      </c>
      <c r="N933" t="s">
        <v>47</v>
      </c>
      <c r="O933" t="s">
        <v>47</v>
      </c>
      <c r="P933" t="s">
        <v>7737</v>
      </c>
    </row>
    <row r="934" spans="1:16" x14ac:dyDescent="0.3">
      <c r="A934" t="s">
        <v>7264</v>
      </c>
      <c r="B934" t="s">
        <v>20</v>
      </c>
      <c r="C934">
        <v>120</v>
      </c>
      <c r="D934" t="s">
        <v>10</v>
      </c>
      <c r="E934" t="s">
        <v>7265</v>
      </c>
      <c r="F934" s="43">
        <v>44999.520833333336</v>
      </c>
      <c r="G934" s="43">
        <v>44999.604166666664</v>
      </c>
      <c r="H934">
        <v>12</v>
      </c>
      <c r="I934">
        <v>30</v>
      </c>
      <c r="J934">
        <v>14</v>
      </c>
      <c r="K934">
        <v>30</v>
      </c>
      <c r="L934">
        <v>2023</v>
      </c>
      <c r="N934" t="s">
        <v>7266</v>
      </c>
      <c r="O934" t="s">
        <v>73</v>
      </c>
      <c r="P934" t="s">
        <v>7267</v>
      </c>
    </row>
    <row r="935" spans="1:16" x14ac:dyDescent="0.3">
      <c r="A935" t="s">
        <v>7693</v>
      </c>
      <c r="C935">
        <v>30</v>
      </c>
      <c r="D935" t="s">
        <v>10</v>
      </c>
      <c r="E935" t="s">
        <v>5</v>
      </c>
      <c r="F935" s="43">
        <v>44999.479166666664</v>
      </c>
      <c r="G935" s="43">
        <v>44999.5</v>
      </c>
      <c r="H935">
        <v>11</v>
      </c>
      <c r="I935">
        <v>30</v>
      </c>
      <c r="J935">
        <v>12</v>
      </c>
      <c r="K935">
        <v>0</v>
      </c>
      <c r="L935">
        <v>2023</v>
      </c>
      <c r="N935" t="s">
        <v>7640</v>
      </c>
      <c r="O935" t="s">
        <v>7641</v>
      </c>
      <c r="P935" t="s">
        <v>7694</v>
      </c>
    </row>
    <row r="936" spans="1:16" x14ac:dyDescent="0.3">
      <c r="A936" t="s">
        <v>7359</v>
      </c>
      <c r="B936" t="s">
        <v>20</v>
      </c>
      <c r="C936">
        <v>60</v>
      </c>
      <c r="D936" t="s">
        <v>10</v>
      </c>
      <c r="E936" t="s">
        <v>7360</v>
      </c>
      <c r="F936" s="43">
        <v>44999.3125</v>
      </c>
      <c r="G936" s="43">
        <v>44999.354166666664</v>
      </c>
      <c r="H936">
        <v>7</v>
      </c>
      <c r="I936">
        <v>30</v>
      </c>
      <c r="J936">
        <v>8</v>
      </c>
      <c r="K936">
        <v>30</v>
      </c>
      <c r="L936">
        <v>2023</v>
      </c>
      <c r="N936" t="s">
        <v>7361</v>
      </c>
      <c r="O936" t="s">
        <v>73</v>
      </c>
      <c r="P936" t="s">
        <v>7362</v>
      </c>
    </row>
    <row r="937" spans="1:16" x14ac:dyDescent="0.3">
      <c r="A937" t="s">
        <v>7710</v>
      </c>
      <c r="C937">
        <v>60</v>
      </c>
      <c r="D937" t="s">
        <v>10</v>
      </c>
      <c r="F937" s="43">
        <v>44999.270833333336</v>
      </c>
      <c r="G937" s="43">
        <v>44999.3125</v>
      </c>
      <c r="H937">
        <v>6</v>
      </c>
      <c r="I937">
        <v>30</v>
      </c>
      <c r="J937">
        <v>7</v>
      </c>
      <c r="K937">
        <v>30</v>
      </c>
      <c r="L937">
        <v>2023</v>
      </c>
      <c r="N937" t="s">
        <v>47</v>
      </c>
      <c r="O937" t="s">
        <v>47</v>
      </c>
      <c r="P937" t="s">
        <v>7711</v>
      </c>
    </row>
    <row r="938" spans="1:16" x14ac:dyDescent="0.3">
      <c r="A938" t="s">
        <v>7703</v>
      </c>
      <c r="C938">
        <v>45</v>
      </c>
      <c r="D938" t="s">
        <v>10</v>
      </c>
      <c r="F938" s="43">
        <v>44999.21875</v>
      </c>
      <c r="G938" s="43">
        <v>44999.25</v>
      </c>
      <c r="H938">
        <v>5</v>
      </c>
      <c r="I938">
        <v>15</v>
      </c>
      <c r="J938">
        <v>6</v>
      </c>
      <c r="K938">
        <v>0</v>
      </c>
      <c r="L938">
        <v>2023</v>
      </c>
      <c r="N938" t="s">
        <v>47</v>
      </c>
      <c r="O938" t="s">
        <v>47</v>
      </c>
      <c r="P938" t="s">
        <v>7704</v>
      </c>
    </row>
    <row r="939" spans="1:16" x14ac:dyDescent="0.3">
      <c r="A939" t="s">
        <v>7458</v>
      </c>
      <c r="B939" t="s">
        <v>20</v>
      </c>
      <c r="C939">
        <v>60</v>
      </c>
      <c r="D939" t="s">
        <v>10</v>
      </c>
      <c r="E939" t="s">
        <v>7459</v>
      </c>
      <c r="F939" s="43">
        <v>44999.166666666664</v>
      </c>
      <c r="G939" s="43">
        <v>44999.208333333336</v>
      </c>
      <c r="H939">
        <v>4</v>
      </c>
      <c r="I939">
        <v>0</v>
      </c>
      <c r="J939">
        <v>5</v>
      </c>
      <c r="K939">
        <v>0</v>
      </c>
      <c r="L939">
        <v>2023</v>
      </c>
      <c r="M939" t="s">
        <v>33</v>
      </c>
      <c r="N939" t="s">
        <v>7460</v>
      </c>
      <c r="O939" t="s">
        <v>73</v>
      </c>
      <c r="P939" t="s">
        <v>7461</v>
      </c>
    </row>
    <row r="940" spans="1:16" x14ac:dyDescent="0.3">
      <c r="A940" t="s">
        <v>7680</v>
      </c>
      <c r="C940">
        <v>90</v>
      </c>
      <c r="D940" t="s">
        <v>10</v>
      </c>
      <c r="F940" s="43">
        <v>44999.145833333336</v>
      </c>
      <c r="G940" s="43">
        <v>44999.208333333336</v>
      </c>
      <c r="H940">
        <v>3</v>
      </c>
      <c r="I940">
        <v>30</v>
      </c>
      <c r="J940">
        <v>5</v>
      </c>
      <c r="K940">
        <v>0</v>
      </c>
      <c r="L940">
        <v>2023</v>
      </c>
      <c r="N940" t="s">
        <v>47</v>
      </c>
      <c r="O940" t="s">
        <v>47</v>
      </c>
      <c r="P940" t="s">
        <v>7700</v>
      </c>
    </row>
    <row r="941" spans="1:16" x14ac:dyDescent="0.3">
      <c r="A941" t="s">
        <v>7697</v>
      </c>
      <c r="C941">
        <v>30</v>
      </c>
      <c r="D941" t="s">
        <v>10</v>
      </c>
      <c r="F941" s="43">
        <v>44999.104166666664</v>
      </c>
      <c r="G941" s="43">
        <v>44999.125</v>
      </c>
      <c r="H941">
        <v>2</v>
      </c>
      <c r="I941">
        <v>30</v>
      </c>
      <c r="J941">
        <v>3</v>
      </c>
      <c r="K941">
        <v>0</v>
      </c>
      <c r="L941">
        <v>2023</v>
      </c>
      <c r="N941" t="s">
        <v>47</v>
      </c>
      <c r="O941" t="s">
        <v>47</v>
      </c>
      <c r="P941" t="s">
        <v>7699</v>
      </c>
    </row>
    <row r="942" spans="1:16" x14ac:dyDescent="0.3">
      <c r="A942" t="s">
        <v>7682</v>
      </c>
      <c r="B942" t="s">
        <v>20</v>
      </c>
      <c r="C942">
        <v>30</v>
      </c>
      <c r="D942" t="s">
        <v>10</v>
      </c>
      <c r="E942" t="s">
        <v>7683</v>
      </c>
      <c r="F942" s="43">
        <v>44999.083333333336</v>
      </c>
      <c r="G942" s="43">
        <v>44999.104166666664</v>
      </c>
      <c r="H942">
        <v>2</v>
      </c>
      <c r="I942">
        <v>0</v>
      </c>
      <c r="J942">
        <v>2</v>
      </c>
      <c r="K942">
        <v>30</v>
      </c>
      <c r="L942">
        <v>2023</v>
      </c>
      <c r="N942" t="s">
        <v>7684</v>
      </c>
      <c r="O942" t="s">
        <v>7685</v>
      </c>
      <c r="P942" t="s">
        <v>7686</v>
      </c>
    </row>
    <row r="943" spans="1:16" x14ac:dyDescent="0.3">
      <c r="A943" t="s">
        <v>7697</v>
      </c>
      <c r="C943">
        <v>30</v>
      </c>
      <c r="D943" t="s">
        <v>10</v>
      </c>
      <c r="F943" s="43">
        <v>44999.0625</v>
      </c>
      <c r="G943" s="43">
        <v>44999.083333333336</v>
      </c>
      <c r="H943">
        <v>1</v>
      </c>
      <c r="I943">
        <v>30</v>
      </c>
      <c r="J943">
        <v>2</v>
      </c>
      <c r="K943">
        <v>0</v>
      </c>
      <c r="L943">
        <v>2023</v>
      </c>
      <c r="N943" t="s">
        <v>47</v>
      </c>
      <c r="O943" t="s">
        <v>47</v>
      </c>
      <c r="P943" t="s">
        <v>7698</v>
      </c>
    </row>
    <row r="944" spans="1:16" x14ac:dyDescent="0.3">
      <c r="A944" t="s">
        <v>7695</v>
      </c>
      <c r="C944">
        <v>30</v>
      </c>
      <c r="D944" t="s">
        <v>10</v>
      </c>
      <c r="F944" s="43">
        <v>44999</v>
      </c>
      <c r="G944" s="43">
        <v>44999.020833333336</v>
      </c>
      <c r="H944">
        <v>0</v>
      </c>
      <c r="I944">
        <v>0</v>
      </c>
      <c r="J944">
        <v>0</v>
      </c>
      <c r="K944">
        <v>30</v>
      </c>
      <c r="L944">
        <v>2023</v>
      </c>
      <c r="N944" t="s">
        <v>47</v>
      </c>
      <c r="O944" t="s">
        <v>47</v>
      </c>
      <c r="P944" t="s">
        <v>7696</v>
      </c>
    </row>
    <row r="945" spans="1:16" x14ac:dyDescent="0.3">
      <c r="A945" t="s">
        <v>7268</v>
      </c>
      <c r="B945" t="s">
        <v>20</v>
      </c>
      <c r="C945">
        <v>150</v>
      </c>
      <c r="D945" t="s">
        <v>10</v>
      </c>
      <c r="E945" t="s">
        <v>7269</v>
      </c>
      <c r="F945" s="43">
        <v>44998.583333333336</v>
      </c>
      <c r="G945" s="43">
        <v>44998.6875</v>
      </c>
      <c r="H945">
        <v>14</v>
      </c>
      <c r="I945">
        <v>0</v>
      </c>
      <c r="J945">
        <v>16</v>
      </c>
      <c r="K945">
        <v>30</v>
      </c>
      <c r="L945">
        <v>2023</v>
      </c>
      <c r="N945" t="s">
        <v>7270</v>
      </c>
      <c r="O945" t="s">
        <v>73</v>
      </c>
      <c r="P945" t="s">
        <v>7271</v>
      </c>
    </row>
    <row r="946" spans="1:16" x14ac:dyDescent="0.3">
      <c r="A946" t="s">
        <v>7701</v>
      </c>
      <c r="B946" t="s">
        <v>20</v>
      </c>
      <c r="C946">
        <v>90</v>
      </c>
      <c r="D946" t="s">
        <v>10</v>
      </c>
      <c r="F946" s="43">
        <v>44998.520833333336</v>
      </c>
      <c r="G946" s="43">
        <v>44998.583333333336</v>
      </c>
      <c r="H946">
        <v>12</v>
      </c>
      <c r="I946">
        <v>30</v>
      </c>
      <c r="J946">
        <v>14</v>
      </c>
      <c r="K946">
        <v>0</v>
      </c>
      <c r="L946">
        <v>2023</v>
      </c>
      <c r="N946" t="s">
        <v>47</v>
      </c>
      <c r="O946" t="s">
        <v>47</v>
      </c>
      <c r="P946" t="s">
        <v>7702</v>
      </c>
    </row>
    <row r="947" spans="1:16" x14ac:dyDescent="0.3">
      <c r="A947" t="s">
        <v>7672</v>
      </c>
      <c r="B947" t="s">
        <v>20</v>
      </c>
      <c r="C947">
        <v>90</v>
      </c>
      <c r="D947" t="s">
        <v>10</v>
      </c>
      <c r="E947" t="s">
        <v>7269</v>
      </c>
      <c r="F947" s="43">
        <v>44998.458333333336</v>
      </c>
      <c r="G947" s="43">
        <v>44998.520833333336</v>
      </c>
      <c r="H947">
        <v>11</v>
      </c>
      <c r="I947">
        <v>0</v>
      </c>
      <c r="J947">
        <v>12</v>
      </c>
      <c r="K947">
        <v>30</v>
      </c>
      <c r="L947">
        <v>2023</v>
      </c>
      <c r="N947" t="s">
        <v>7673</v>
      </c>
      <c r="O947" t="s">
        <v>73</v>
      </c>
      <c r="P947" t="s">
        <v>7674</v>
      </c>
    </row>
    <row r="948" spans="1:16" x14ac:dyDescent="0.3">
      <c r="A948" t="s">
        <v>7639</v>
      </c>
      <c r="C948">
        <v>30</v>
      </c>
      <c r="D948" t="s">
        <v>10</v>
      </c>
      <c r="E948" t="s">
        <v>5</v>
      </c>
      <c r="F948" s="43">
        <v>44998.416666666664</v>
      </c>
      <c r="G948" s="43">
        <v>44998.4375</v>
      </c>
      <c r="H948">
        <v>10</v>
      </c>
      <c r="I948">
        <v>0</v>
      </c>
      <c r="J948">
        <v>10</v>
      </c>
      <c r="K948">
        <v>30</v>
      </c>
      <c r="L948">
        <v>2023</v>
      </c>
      <c r="M948" t="s">
        <v>33</v>
      </c>
      <c r="N948" t="s">
        <v>7640</v>
      </c>
      <c r="O948" t="s">
        <v>7641</v>
      </c>
      <c r="P948" t="s">
        <v>7642</v>
      </c>
    </row>
    <row r="949" spans="1:16" x14ac:dyDescent="0.3">
      <c r="A949" t="s">
        <v>7675</v>
      </c>
      <c r="C949">
        <v>60</v>
      </c>
      <c r="D949" t="s">
        <v>10</v>
      </c>
      <c r="F949" s="43">
        <v>44998.416666666664</v>
      </c>
      <c r="G949" s="43">
        <v>44998.458333333336</v>
      </c>
      <c r="H949">
        <v>10</v>
      </c>
      <c r="I949">
        <v>0</v>
      </c>
      <c r="J949">
        <v>11</v>
      </c>
      <c r="K949">
        <v>0</v>
      </c>
      <c r="L949">
        <v>2023</v>
      </c>
      <c r="N949" t="s">
        <v>47</v>
      </c>
      <c r="O949" t="s">
        <v>47</v>
      </c>
      <c r="P949" t="s">
        <v>7676</v>
      </c>
    </row>
    <row r="950" spans="1:16" x14ac:dyDescent="0.3">
      <c r="A950" t="s">
        <v>7691</v>
      </c>
      <c r="C950">
        <v>60</v>
      </c>
      <c r="D950" t="s">
        <v>10</v>
      </c>
      <c r="F950" s="43">
        <v>44998.333333333336</v>
      </c>
      <c r="G950" s="43">
        <v>44998.375</v>
      </c>
      <c r="H950">
        <v>8</v>
      </c>
      <c r="I950">
        <v>0</v>
      </c>
      <c r="J950">
        <v>9</v>
      </c>
      <c r="K950">
        <v>0</v>
      </c>
      <c r="L950">
        <v>2023</v>
      </c>
      <c r="N950" t="s">
        <v>47</v>
      </c>
      <c r="O950" t="s">
        <v>47</v>
      </c>
      <c r="P950" t="s">
        <v>7692</v>
      </c>
    </row>
    <row r="951" spans="1:16" x14ac:dyDescent="0.3">
      <c r="A951" t="s">
        <v>7689</v>
      </c>
      <c r="C951">
        <v>30</v>
      </c>
      <c r="D951" t="s">
        <v>10</v>
      </c>
      <c r="F951" s="43">
        <v>44998.291666666664</v>
      </c>
      <c r="G951" s="43">
        <v>44998.3125</v>
      </c>
      <c r="H951">
        <v>7</v>
      </c>
      <c r="I951">
        <v>0</v>
      </c>
      <c r="J951">
        <v>7</v>
      </c>
      <c r="K951">
        <v>30</v>
      </c>
      <c r="L951">
        <v>2023</v>
      </c>
      <c r="N951" t="s">
        <v>47</v>
      </c>
      <c r="O951" t="s">
        <v>47</v>
      </c>
      <c r="P951" t="s">
        <v>7690</v>
      </c>
    </row>
    <row r="952" spans="1:16" x14ac:dyDescent="0.3">
      <c r="A952" t="s">
        <v>7687</v>
      </c>
      <c r="C952">
        <v>60</v>
      </c>
      <c r="D952" t="s">
        <v>10</v>
      </c>
      <c r="F952" s="43">
        <v>44998.208333333336</v>
      </c>
      <c r="G952" s="43">
        <v>44998.25</v>
      </c>
      <c r="H952">
        <v>5</v>
      </c>
      <c r="I952">
        <v>0</v>
      </c>
      <c r="J952">
        <v>6</v>
      </c>
      <c r="K952">
        <v>0</v>
      </c>
      <c r="L952">
        <v>2023</v>
      </c>
      <c r="N952" t="s">
        <v>47</v>
      </c>
      <c r="O952" t="s">
        <v>47</v>
      </c>
      <c r="P952" t="s">
        <v>7688</v>
      </c>
    </row>
    <row r="953" spans="1:16" x14ac:dyDescent="0.3">
      <c r="A953" t="s">
        <v>7677</v>
      </c>
      <c r="C953">
        <v>30</v>
      </c>
      <c r="D953" t="s">
        <v>10</v>
      </c>
      <c r="F953" s="43">
        <v>44998.1875</v>
      </c>
      <c r="G953" s="43">
        <v>44998.208333333336</v>
      </c>
      <c r="H953">
        <v>4</v>
      </c>
      <c r="I953">
        <v>30</v>
      </c>
      <c r="J953">
        <v>5</v>
      </c>
      <c r="K953">
        <v>0</v>
      </c>
      <c r="L953">
        <v>2023</v>
      </c>
      <c r="N953" t="s">
        <v>47</v>
      </c>
      <c r="O953" t="s">
        <v>47</v>
      </c>
      <c r="P953" t="s">
        <v>7679</v>
      </c>
    </row>
    <row r="954" spans="1:16" x14ac:dyDescent="0.3">
      <c r="A954" t="s">
        <v>7306</v>
      </c>
      <c r="B954" t="s">
        <v>20</v>
      </c>
      <c r="C954">
        <v>60</v>
      </c>
      <c r="D954" t="s">
        <v>10</v>
      </c>
      <c r="E954" t="s">
        <v>7307</v>
      </c>
      <c r="F954" s="43">
        <v>44998.145833333336</v>
      </c>
      <c r="G954" s="43">
        <v>44998.1875</v>
      </c>
      <c r="H954">
        <v>3</v>
      </c>
      <c r="I954">
        <v>30</v>
      </c>
      <c r="J954">
        <v>4</v>
      </c>
      <c r="K954">
        <v>30</v>
      </c>
      <c r="L954">
        <v>2023</v>
      </c>
      <c r="N954" t="s">
        <v>7308</v>
      </c>
      <c r="O954" t="s">
        <v>73</v>
      </c>
      <c r="P954" t="s">
        <v>7309</v>
      </c>
    </row>
    <row r="955" spans="1:16" x14ac:dyDescent="0.3">
      <c r="A955" t="s">
        <v>7677</v>
      </c>
      <c r="C955">
        <v>30</v>
      </c>
      <c r="D955" t="s">
        <v>10</v>
      </c>
      <c r="F955" s="43">
        <v>44998.125</v>
      </c>
      <c r="G955" s="43">
        <v>44998.145833333336</v>
      </c>
      <c r="H955">
        <v>3</v>
      </c>
      <c r="I955">
        <v>0</v>
      </c>
      <c r="J955">
        <v>3</v>
      </c>
      <c r="K955">
        <v>30</v>
      </c>
      <c r="L955">
        <v>2023</v>
      </c>
      <c r="N955" t="s">
        <v>47</v>
      </c>
      <c r="O955" t="s">
        <v>47</v>
      </c>
      <c r="P955" t="s">
        <v>7678</v>
      </c>
    </row>
    <row r="956" spans="1:16" x14ac:dyDescent="0.3">
      <c r="A956" t="s">
        <v>7680</v>
      </c>
      <c r="C956">
        <v>60</v>
      </c>
      <c r="D956" t="s">
        <v>10</v>
      </c>
      <c r="F956" s="43">
        <v>44998.0625</v>
      </c>
      <c r="G956" s="43">
        <v>44998.104166666664</v>
      </c>
      <c r="H956">
        <v>1</v>
      </c>
      <c r="I956">
        <v>30</v>
      </c>
      <c r="J956">
        <v>2</v>
      </c>
      <c r="K956">
        <v>30</v>
      </c>
      <c r="L956">
        <v>2023</v>
      </c>
      <c r="N956" t="s">
        <v>47</v>
      </c>
      <c r="O956" t="s">
        <v>47</v>
      </c>
      <c r="P956" t="s">
        <v>7681</v>
      </c>
    </row>
    <row r="957" spans="1:16" x14ac:dyDescent="0.3">
      <c r="A957" t="s">
        <v>7669</v>
      </c>
      <c r="C957">
        <v>180</v>
      </c>
      <c r="D957" t="s">
        <v>10</v>
      </c>
      <c r="F957" s="43">
        <v>44997.416666666664</v>
      </c>
      <c r="G957" s="43">
        <v>44997.541666666664</v>
      </c>
      <c r="H957">
        <v>10</v>
      </c>
      <c r="I957">
        <v>0</v>
      </c>
      <c r="J957">
        <v>13</v>
      </c>
      <c r="K957">
        <v>0</v>
      </c>
      <c r="L957">
        <v>2023</v>
      </c>
      <c r="N957" t="s">
        <v>47</v>
      </c>
      <c r="O957" t="s">
        <v>47</v>
      </c>
      <c r="P957" t="s">
        <v>7671</v>
      </c>
    </row>
    <row r="958" spans="1:16" x14ac:dyDescent="0.3">
      <c r="A958" t="s">
        <v>7669</v>
      </c>
      <c r="C958">
        <v>60</v>
      </c>
      <c r="D958" t="s">
        <v>10</v>
      </c>
      <c r="F958" s="43">
        <v>44997.291666666664</v>
      </c>
      <c r="G958" s="43">
        <v>44997.333333333336</v>
      </c>
      <c r="H958">
        <v>7</v>
      </c>
      <c r="I958">
        <v>0</v>
      </c>
      <c r="J958">
        <v>8</v>
      </c>
      <c r="K958">
        <v>0</v>
      </c>
      <c r="L958">
        <v>2023</v>
      </c>
      <c r="N958" t="s">
        <v>47</v>
      </c>
      <c r="O958" t="s">
        <v>47</v>
      </c>
      <c r="P958" t="s">
        <v>7670</v>
      </c>
    </row>
    <row r="959" spans="1:16" x14ac:dyDescent="0.3">
      <c r="A959" t="s">
        <v>7667</v>
      </c>
      <c r="C959">
        <v>60</v>
      </c>
      <c r="D959" t="s">
        <v>10</v>
      </c>
      <c r="F959" s="43">
        <v>44997.145833333336</v>
      </c>
      <c r="G959" s="43">
        <v>44997.1875</v>
      </c>
      <c r="H959">
        <v>3</v>
      </c>
      <c r="I959">
        <v>30</v>
      </c>
      <c r="J959">
        <v>4</v>
      </c>
      <c r="K959">
        <v>30</v>
      </c>
      <c r="L959">
        <v>2023</v>
      </c>
      <c r="N959" t="s">
        <v>47</v>
      </c>
      <c r="O959" t="s">
        <v>47</v>
      </c>
      <c r="P959" t="s">
        <v>7668</v>
      </c>
    </row>
    <row r="960" spans="1:16" x14ac:dyDescent="0.3">
      <c r="A960" t="s">
        <v>7665</v>
      </c>
      <c r="C960">
        <v>90</v>
      </c>
      <c r="D960" t="s">
        <v>10</v>
      </c>
      <c r="F960" s="43">
        <v>44997.041666666664</v>
      </c>
      <c r="G960" s="43">
        <v>44997.104166666664</v>
      </c>
      <c r="H960">
        <v>1</v>
      </c>
      <c r="I960">
        <v>0</v>
      </c>
      <c r="J960">
        <v>2</v>
      </c>
      <c r="K960">
        <v>30</v>
      </c>
      <c r="L960">
        <v>2023</v>
      </c>
      <c r="N960" t="s">
        <v>47</v>
      </c>
      <c r="O960" t="s">
        <v>47</v>
      </c>
      <c r="P960" t="s">
        <v>7666</v>
      </c>
    </row>
    <row r="961" spans="1:16" x14ac:dyDescent="0.3">
      <c r="A961" t="s">
        <v>7663</v>
      </c>
      <c r="C961">
        <v>60</v>
      </c>
      <c r="D961" t="s">
        <v>10</v>
      </c>
      <c r="F961" s="43">
        <v>44996.5625</v>
      </c>
      <c r="G961" s="43">
        <v>44996.604166666664</v>
      </c>
      <c r="H961">
        <v>13</v>
      </c>
      <c r="I961">
        <v>30</v>
      </c>
      <c r="J961">
        <v>14</v>
      </c>
      <c r="K961">
        <v>30</v>
      </c>
      <c r="L961">
        <v>2023</v>
      </c>
      <c r="N961" t="s">
        <v>47</v>
      </c>
      <c r="O961" t="s">
        <v>47</v>
      </c>
      <c r="P961" t="s">
        <v>7664</v>
      </c>
    </row>
    <row r="962" spans="1:16" x14ac:dyDescent="0.3">
      <c r="A962" t="s">
        <v>4358</v>
      </c>
      <c r="C962">
        <v>30</v>
      </c>
      <c r="D962" t="s">
        <v>10</v>
      </c>
      <c r="F962" s="43">
        <v>44996.520833333336</v>
      </c>
      <c r="G962" s="43">
        <v>44996.541666666664</v>
      </c>
      <c r="H962">
        <v>12</v>
      </c>
      <c r="I962">
        <v>30</v>
      </c>
      <c r="J962">
        <v>13</v>
      </c>
      <c r="K962">
        <v>0</v>
      </c>
      <c r="L962">
        <v>2023</v>
      </c>
      <c r="N962" t="s">
        <v>47</v>
      </c>
      <c r="O962" t="s">
        <v>47</v>
      </c>
      <c r="P962" t="s">
        <v>7662</v>
      </c>
    </row>
    <row r="963" spans="1:16" x14ac:dyDescent="0.3">
      <c r="A963" t="s">
        <v>7660</v>
      </c>
      <c r="C963">
        <v>30</v>
      </c>
      <c r="D963" t="s">
        <v>10</v>
      </c>
      <c r="F963" s="43">
        <v>44996.5</v>
      </c>
      <c r="G963" s="43">
        <v>44996.520833333336</v>
      </c>
      <c r="H963">
        <v>12</v>
      </c>
      <c r="I963">
        <v>0</v>
      </c>
      <c r="J963">
        <v>12</v>
      </c>
      <c r="K963">
        <v>30</v>
      </c>
      <c r="L963">
        <v>2023</v>
      </c>
      <c r="N963" t="s">
        <v>47</v>
      </c>
      <c r="O963" t="s">
        <v>47</v>
      </c>
      <c r="P963" t="s">
        <v>7661</v>
      </c>
    </row>
    <row r="964" spans="1:16" x14ac:dyDescent="0.3">
      <c r="A964" t="s">
        <v>4358</v>
      </c>
      <c r="C964">
        <v>30</v>
      </c>
      <c r="D964" t="s">
        <v>10</v>
      </c>
      <c r="F964" s="1">
        <v>44996.479166666664</v>
      </c>
      <c r="G964" s="1">
        <v>44996.5</v>
      </c>
      <c r="H964">
        <v>11</v>
      </c>
      <c r="I964">
        <v>30</v>
      </c>
      <c r="J964">
        <v>12</v>
      </c>
      <c r="K964">
        <v>0</v>
      </c>
      <c r="L964">
        <v>2023</v>
      </c>
      <c r="N964" t="s">
        <v>47</v>
      </c>
      <c r="O964" t="s">
        <v>47</v>
      </c>
      <c r="P964" t="s">
        <v>7659</v>
      </c>
    </row>
    <row r="965" spans="1:16" x14ac:dyDescent="0.3">
      <c r="A965" t="s">
        <v>7654</v>
      </c>
      <c r="C965">
        <v>30</v>
      </c>
      <c r="D965" t="s">
        <v>10</v>
      </c>
      <c r="F965" s="43">
        <v>44996.458333333336</v>
      </c>
      <c r="G965" s="43">
        <v>44996.479166666664</v>
      </c>
      <c r="H965">
        <v>11</v>
      </c>
      <c r="I965">
        <v>0</v>
      </c>
      <c r="J965">
        <v>11</v>
      </c>
      <c r="K965">
        <v>30</v>
      </c>
      <c r="L965">
        <v>2023</v>
      </c>
      <c r="N965" t="s">
        <v>47</v>
      </c>
      <c r="O965" t="s">
        <v>47</v>
      </c>
      <c r="P965" t="s">
        <v>7655</v>
      </c>
    </row>
    <row r="966" spans="1:16" x14ac:dyDescent="0.3">
      <c r="A966" t="s">
        <v>7652</v>
      </c>
      <c r="C966">
        <v>60</v>
      </c>
      <c r="D966" t="s">
        <v>10</v>
      </c>
      <c r="F966" s="43">
        <v>44996.395833333336</v>
      </c>
      <c r="G966" s="43">
        <v>44996.4375</v>
      </c>
      <c r="H966">
        <v>9</v>
      </c>
      <c r="I966">
        <v>30</v>
      </c>
      <c r="J966">
        <v>10</v>
      </c>
      <c r="K966">
        <v>30</v>
      </c>
      <c r="L966">
        <v>2023</v>
      </c>
      <c r="N966" t="s">
        <v>47</v>
      </c>
      <c r="O966" t="s">
        <v>47</v>
      </c>
      <c r="P966" t="s">
        <v>7653</v>
      </c>
    </row>
    <row r="967" spans="1:16" x14ac:dyDescent="0.3">
      <c r="A967" t="s">
        <v>7650</v>
      </c>
      <c r="C967">
        <v>60</v>
      </c>
      <c r="D967" t="s">
        <v>10</v>
      </c>
      <c r="F967" s="43">
        <v>44996.291666666664</v>
      </c>
      <c r="G967" s="43">
        <v>44996.333333333336</v>
      </c>
      <c r="H967">
        <v>7</v>
      </c>
      <c r="I967">
        <v>0</v>
      </c>
      <c r="J967">
        <v>8</v>
      </c>
      <c r="K967">
        <v>0</v>
      </c>
      <c r="L967">
        <v>2023</v>
      </c>
      <c r="N967" t="s">
        <v>47</v>
      </c>
      <c r="O967" t="s">
        <v>47</v>
      </c>
      <c r="P967" t="s">
        <v>7651</v>
      </c>
    </row>
    <row r="968" spans="1:16" x14ac:dyDescent="0.3">
      <c r="A968" t="s">
        <v>7648</v>
      </c>
      <c r="C968">
        <v>30</v>
      </c>
      <c r="D968" t="s">
        <v>10</v>
      </c>
      <c r="F968" s="43">
        <v>44996.25</v>
      </c>
      <c r="G968" s="43">
        <v>44996.270833333336</v>
      </c>
      <c r="H968">
        <v>6</v>
      </c>
      <c r="I968">
        <v>0</v>
      </c>
      <c r="J968">
        <v>6</v>
      </c>
      <c r="K968">
        <v>30</v>
      </c>
      <c r="L968">
        <v>2023</v>
      </c>
      <c r="N968" t="s">
        <v>47</v>
      </c>
      <c r="O968" t="s">
        <v>47</v>
      </c>
      <c r="P968" t="s">
        <v>7649</v>
      </c>
    </row>
    <row r="969" spans="1:16" x14ac:dyDescent="0.3">
      <c r="A969" t="s">
        <v>7646</v>
      </c>
      <c r="C969">
        <v>60</v>
      </c>
      <c r="D969" t="s">
        <v>10</v>
      </c>
      <c r="F969" s="43">
        <v>44996.208333333336</v>
      </c>
      <c r="G969" s="43">
        <v>44996.25</v>
      </c>
      <c r="H969">
        <v>5</v>
      </c>
      <c r="I969">
        <v>0</v>
      </c>
      <c r="J969">
        <v>6</v>
      </c>
      <c r="K969">
        <v>0</v>
      </c>
      <c r="L969">
        <v>2023</v>
      </c>
      <c r="N969" t="s">
        <v>47</v>
      </c>
      <c r="O969" t="s">
        <v>47</v>
      </c>
      <c r="P969" t="s">
        <v>7647</v>
      </c>
    </row>
    <row r="970" spans="1:16" x14ac:dyDescent="0.3">
      <c r="A970" t="s">
        <v>7644</v>
      </c>
      <c r="C970">
        <v>90</v>
      </c>
      <c r="D970" t="s">
        <v>10</v>
      </c>
      <c r="F970" s="43">
        <v>44996.145833333336</v>
      </c>
      <c r="G970" s="43">
        <v>44996.208333333336</v>
      </c>
      <c r="H970">
        <v>3</v>
      </c>
      <c r="I970">
        <v>30</v>
      </c>
      <c r="J970">
        <v>5</v>
      </c>
      <c r="K970">
        <v>0</v>
      </c>
      <c r="L970">
        <v>2023</v>
      </c>
      <c r="N970" t="s">
        <v>47</v>
      </c>
      <c r="O970" t="s">
        <v>47</v>
      </c>
      <c r="P970" t="s">
        <v>7645</v>
      </c>
    </row>
    <row r="971" spans="1:16" x14ac:dyDescent="0.3">
      <c r="A971" t="s">
        <v>8</v>
      </c>
      <c r="C971">
        <v>30</v>
      </c>
      <c r="D971" t="s">
        <v>10</v>
      </c>
      <c r="F971" s="43">
        <v>44996.104166666664</v>
      </c>
      <c r="G971" s="43">
        <v>44996.125</v>
      </c>
      <c r="H971">
        <v>2</v>
      </c>
      <c r="I971">
        <v>30</v>
      </c>
      <c r="J971">
        <v>3</v>
      </c>
      <c r="K971">
        <v>0</v>
      </c>
      <c r="L971">
        <v>2023</v>
      </c>
      <c r="N971" t="s">
        <v>47</v>
      </c>
      <c r="O971" t="s">
        <v>47</v>
      </c>
      <c r="P971" t="s">
        <v>7643</v>
      </c>
    </row>
    <row r="972" spans="1:16" x14ac:dyDescent="0.3">
      <c r="A972" t="s">
        <v>7637</v>
      </c>
      <c r="C972">
        <v>60</v>
      </c>
      <c r="D972" t="s">
        <v>10</v>
      </c>
      <c r="F972" s="43">
        <v>44995.541666666664</v>
      </c>
      <c r="G972" s="43">
        <v>44995.583333333336</v>
      </c>
      <c r="H972">
        <v>13</v>
      </c>
      <c r="I972">
        <v>0</v>
      </c>
      <c r="J972">
        <v>14</v>
      </c>
      <c r="K972">
        <v>0</v>
      </c>
      <c r="L972">
        <v>2023</v>
      </c>
      <c r="N972" t="s">
        <v>47</v>
      </c>
      <c r="O972" t="s">
        <v>47</v>
      </c>
      <c r="P972" t="s">
        <v>7638</v>
      </c>
    </row>
    <row r="973" spans="1:16" x14ac:dyDescent="0.3">
      <c r="A973" t="s">
        <v>7621</v>
      </c>
      <c r="C973">
        <v>60</v>
      </c>
      <c r="D973" t="s">
        <v>10</v>
      </c>
      <c r="E973" t="s">
        <v>7622</v>
      </c>
      <c r="F973" s="43">
        <v>44995.458333333336</v>
      </c>
      <c r="G973" s="43">
        <v>44995.5</v>
      </c>
      <c r="H973">
        <v>11</v>
      </c>
      <c r="I973">
        <v>0</v>
      </c>
      <c r="J973">
        <v>12</v>
      </c>
      <c r="K973">
        <v>0</v>
      </c>
      <c r="L973">
        <v>2023</v>
      </c>
      <c r="N973" t="s">
        <v>7623</v>
      </c>
      <c r="O973" t="s">
        <v>48</v>
      </c>
      <c r="P973" t="s">
        <v>7624</v>
      </c>
    </row>
    <row r="974" spans="1:16" x14ac:dyDescent="0.3">
      <c r="A974" t="s">
        <v>7633</v>
      </c>
      <c r="C974">
        <v>60</v>
      </c>
      <c r="D974" t="s">
        <v>10</v>
      </c>
      <c r="F974" s="43">
        <v>44995.427083333336</v>
      </c>
      <c r="G974" s="43">
        <v>44995.46875</v>
      </c>
      <c r="H974">
        <v>10</v>
      </c>
      <c r="I974">
        <v>15</v>
      </c>
      <c r="J974">
        <v>11</v>
      </c>
      <c r="K974">
        <v>15</v>
      </c>
      <c r="L974">
        <v>2023</v>
      </c>
      <c r="O974" t="s">
        <v>47</v>
      </c>
      <c r="P974" t="s">
        <v>7634</v>
      </c>
    </row>
    <row r="975" spans="1:16" x14ac:dyDescent="0.3">
      <c r="A975" t="s">
        <v>7635</v>
      </c>
      <c r="C975">
        <v>45</v>
      </c>
      <c r="D975" t="s">
        <v>10</v>
      </c>
      <c r="F975" s="43">
        <v>44995.385416666664</v>
      </c>
      <c r="G975" s="43">
        <v>44995.416666666664</v>
      </c>
      <c r="H975">
        <v>9</v>
      </c>
      <c r="I975">
        <v>15</v>
      </c>
      <c r="J975">
        <v>10</v>
      </c>
      <c r="K975">
        <v>0</v>
      </c>
      <c r="L975">
        <v>2023</v>
      </c>
      <c r="O975" t="s">
        <v>47</v>
      </c>
      <c r="P975" t="s">
        <v>7636</v>
      </c>
    </row>
    <row r="976" spans="1:16" x14ac:dyDescent="0.3">
      <c r="A976" t="s">
        <v>7505</v>
      </c>
      <c r="B976" t="s">
        <v>20</v>
      </c>
      <c r="C976">
        <v>120</v>
      </c>
      <c r="D976" t="s">
        <v>10</v>
      </c>
      <c r="E976" t="s">
        <v>7506</v>
      </c>
      <c r="F976" s="43">
        <v>44995.291666666664</v>
      </c>
      <c r="G976" s="43">
        <v>44995.375</v>
      </c>
      <c r="H976">
        <v>7</v>
      </c>
      <c r="I976">
        <v>0</v>
      </c>
      <c r="J976">
        <v>9</v>
      </c>
      <c r="K976">
        <v>0</v>
      </c>
      <c r="L976">
        <v>2023</v>
      </c>
      <c r="N976" t="s">
        <v>7507</v>
      </c>
      <c r="O976" t="s">
        <v>1241</v>
      </c>
      <c r="P976" t="s">
        <v>7508</v>
      </c>
    </row>
    <row r="977" spans="1:16" x14ac:dyDescent="0.3">
      <c r="A977" t="s">
        <v>7566</v>
      </c>
      <c r="B977" t="s">
        <v>20</v>
      </c>
      <c r="C977">
        <v>45</v>
      </c>
      <c r="D977" t="s">
        <v>10</v>
      </c>
      <c r="E977" t="s">
        <v>5</v>
      </c>
      <c r="F977" s="43">
        <v>44995.208333333336</v>
      </c>
      <c r="G977" s="43">
        <v>44995.239583333336</v>
      </c>
      <c r="H977">
        <v>5</v>
      </c>
      <c r="I977">
        <v>0</v>
      </c>
      <c r="J977">
        <v>5</v>
      </c>
      <c r="K977">
        <v>45</v>
      </c>
      <c r="L977">
        <v>2023</v>
      </c>
      <c r="N977" t="s">
        <v>6295</v>
      </c>
      <c r="O977" t="s">
        <v>6296</v>
      </c>
      <c r="P977" t="s">
        <v>7567</v>
      </c>
    </row>
    <row r="978" spans="1:16" x14ac:dyDescent="0.3">
      <c r="A978" t="s">
        <v>7626</v>
      </c>
      <c r="B978" t="s">
        <v>20</v>
      </c>
      <c r="C978">
        <v>30</v>
      </c>
      <c r="D978" t="s">
        <v>10</v>
      </c>
      <c r="E978" t="s">
        <v>7627</v>
      </c>
      <c r="F978" s="43">
        <v>44995.208333333336</v>
      </c>
      <c r="G978" s="43">
        <v>44995.229166666664</v>
      </c>
      <c r="H978">
        <v>5</v>
      </c>
      <c r="I978">
        <v>0</v>
      </c>
      <c r="J978">
        <v>5</v>
      </c>
      <c r="K978">
        <v>30</v>
      </c>
      <c r="L978">
        <v>2023</v>
      </c>
      <c r="N978" t="s">
        <v>7628</v>
      </c>
      <c r="O978" t="s">
        <v>7629</v>
      </c>
      <c r="P978" t="s">
        <v>7630</v>
      </c>
    </row>
    <row r="979" spans="1:16" x14ac:dyDescent="0.3">
      <c r="A979" t="s">
        <v>7509</v>
      </c>
      <c r="B979" t="s">
        <v>20</v>
      </c>
      <c r="C979">
        <v>60</v>
      </c>
      <c r="D979" t="s">
        <v>10</v>
      </c>
      <c r="E979" t="s">
        <v>7265</v>
      </c>
      <c r="F979" s="43">
        <v>44995.125</v>
      </c>
      <c r="G979" s="43">
        <v>44995.166666666664</v>
      </c>
      <c r="H979">
        <v>3</v>
      </c>
      <c r="I979">
        <v>0</v>
      </c>
      <c r="J979">
        <v>4</v>
      </c>
      <c r="K979">
        <v>0</v>
      </c>
      <c r="L979">
        <v>2023</v>
      </c>
      <c r="N979" t="s">
        <v>4346</v>
      </c>
      <c r="O979" t="s">
        <v>47</v>
      </c>
      <c r="P979" t="s">
        <v>7510</v>
      </c>
    </row>
    <row r="980" spans="1:16" x14ac:dyDescent="0.3">
      <c r="A980" t="s">
        <v>7577</v>
      </c>
      <c r="C980">
        <v>120</v>
      </c>
      <c r="D980" t="s">
        <v>10</v>
      </c>
      <c r="E980" t="s">
        <v>7265</v>
      </c>
      <c r="F980" s="43">
        <v>44994.604166666664</v>
      </c>
      <c r="G980" s="43">
        <v>44994.6875</v>
      </c>
      <c r="H980">
        <v>14</v>
      </c>
      <c r="I980">
        <v>30</v>
      </c>
      <c r="J980">
        <v>16</v>
      </c>
      <c r="K980">
        <v>30</v>
      </c>
      <c r="L980">
        <v>2023</v>
      </c>
      <c r="M980" t="s">
        <v>33</v>
      </c>
      <c r="N980" t="s">
        <v>7578</v>
      </c>
      <c r="O980" t="s">
        <v>73</v>
      </c>
      <c r="P980" t="s">
        <v>7579</v>
      </c>
    </row>
    <row r="981" spans="1:16" x14ac:dyDescent="0.3">
      <c r="A981" t="s">
        <v>7604</v>
      </c>
      <c r="C981">
        <v>120</v>
      </c>
      <c r="D981" t="s">
        <v>10</v>
      </c>
      <c r="E981" t="s">
        <v>7605</v>
      </c>
      <c r="F981" s="43">
        <v>44994.5625</v>
      </c>
      <c r="G981" s="43">
        <v>44994.645833333336</v>
      </c>
      <c r="H981">
        <v>13</v>
      </c>
      <c r="I981">
        <v>30</v>
      </c>
      <c r="J981">
        <v>15</v>
      </c>
      <c r="K981">
        <v>30</v>
      </c>
      <c r="L981">
        <v>2023</v>
      </c>
      <c r="N981" t="s">
        <v>7606</v>
      </c>
      <c r="O981" t="s">
        <v>50</v>
      </c>
      <c r="P981" t="s">
        <v>7607</v>
      </c>
    </row>
    <row r="982" spans="1:16" x14ac:dyDescent="0.3">
      <c r="A982" t="s">
        <v>2466</v>
      </c>
      <c r="C982">
        <v>60</v>
      </c>
      <c r="D982" t="s">
        <v>10</v>
      </c>
      <c r="F982" s="43">
        <v>44994.5</v>
      </c>
      <c r="G982" s="43">
        <v>44994.541666666664</v>
      </c>
      <c r="H982">
        <v>12</v>
      </c>
      <c r="I982">
        <v>0</v>
      </c>
      <c r="J982">
        <v>13</v>
      </c>
      <c r="K982">
        <v>0</v>
      </c>
      <c r="L982">
        <v>2023</v>
      </c>
      <c r="O982" t="s">
        <v>47</v>
      </c>
      <c r="P982" t="s">
        <v>7625</v>
      </c>
    </row>
    <row r="983" spans="1:16" x14ac:dyDescent="0.3">
      <c r="A983" t="s">
        <v>7490</v>
      </c>
      <c r="B983" t="s">
        <v>20</v>
      </c>
      <c r="C983">
        <v>60</v>
      </c>
      <c r="D983" t="s">
        <v>10</v>
      </c>
      <c r="E983" t="s">
        <v>7491</v>
      </c>
      <c r="F983" s="43">
        <v>44994.458333333336</v>
      </c>
      <c r="G983" s="43">
        <v>44994.5</v>
      </c>
      <c r="H983">
        <v>11</v>
      </c>
      <c r="I983">
        <v>0</v>
      </c>
      <c r="J983">
        <v>12</v>
      </c>
      <c r="K983">
        <v>0</v>
      </c>
      <c r="L983">
        <v>2023</v>
      </c>
      <c r="N983" t="s">
        <v>6979</v>
      </c>
      <c r="O983" t="s">
        <v>47</v>
      </c>
      <c r="P983" t="s">
        <v>7492</v>
      </c>
    </row>
    <row r="984" spans="1:16" x14ac:dyDescent="0.3">
      <c r="A984" t="s">
        <v>7593</v>
      </c>
      <c r="B984" t="s">
        <v>20</v>
      </c>
      <c r="C984">
        <v>60</v>
      </c>
      <c r="D984" t="s">
        <v>10</v>
      </c>
      <c r="E984" t="s">
        <v>7594</v>
      </c>
      <c r="F984" s="43">
        <v>44994.395833333336</v>
      </c>
      <c r="G984" s="43">
        <v>44994.4375</v>
      </c>
      <c r="H984">
        <v>9</v>
      </c>
      <c r="I984">
        <v>30</v>
      </c>
      <c r="J984">
        <v>10</v>
      </c>
      <c r="K984">
        <v>30</v>
      </c>
      <c r="L984">
        <v>2023</v>
      </c>
      <c r="N984" t="s">
        <v>7595</v>
      </c>
      <c r="O984" t="s">
        <v>73</v>
      </c>
      <c r="P984" t="s">
        <v>7596</v>
      </c>
    </row>
    <row r="985" spans="1:16" x14ac:dyDescent="0.3">
      <c r="A985" t="s">
        <v>7570</v>
      </c>
      <c r="B985" t="s">
        <v>20</v>
      </c>
      <c r="C985">
        <v>30</v>
      </c>
      <c r="D985" t="s">
        <v>10</v>
      </c>
      <c r="E985" t="s">
        <v>7571</v>
      </c>
      <c r="F985" s="43">
        <v>44994.333333333336</v>
      </c>
      <c r="G985" s="43">
        <v>44994.354166666664</v>
      </c>
      <c r="H985">
        <v>8</v>
      </c>
      <c r="I985">
        <v>0</v>
      </c>
      <c r="J985">
        <v>8</v>
      </c>
      <c r="K985">
        <v>30</v>
      </c>
      <c r="L985">
        <v>2023</v>
      </c>
      <c r="N985" t="s">
        <v>1063</v>
      </c>
      <c r="O985" t="s">
        <v>916</v>
      </c>
      <c r="P985" t="s">
        <v>7572</v>
      </c>
    </row>
    <row r="986" spans="1:16" x14ac:dyDescent="0.3">
      <c r="A986" t="s">
        <v>7562</v>
      </c>
      <c r="B986" t="s">
        <v>6</v>
      </c>
      <c r="C986">
        <v>75</v>
      </c>
      <c r="D986" t="s">
        <v>10</v>
      </c>
      <c r="E986" t="s">
        <v>7563</v>
      </c>
      <c r="F986" s="43">
        <v>44994.28125</v>
      </c>
      <c r="G986" s="43">
        <v>44994.333333333336</v>
      </c>
      <c r="H986">
        <v>6</v>
      </c>
      <c r="I986">
        <v>45</v>
      </c>
      <c r="J986">
        <v>8</v>
      </c>
      <c r="K986">
        <v>0</v>
      </c>
      <c r="L986">
        <v>2023</v>
      </c>
      <c r="N986" t="s">
        <v>7564</v>
      </c>
      <c r="O986" t="s">
        <v>47</v>
      </c>
      <c r="P986" t="s">
        <v>7565</v>
      </c>
    </row>
    <row r="987" spans="1:16" x14ac:dyDescent="0.3">
      <c r="A987" t="s">
        <v>7601</v>
      </c>
      <c r="B987" t="s">
        <v>20</v>
      </c>
      <c r="C987">
        <v>60</v>
      </c>
      <c r="D987" t="s">
        <v>10</v>
      </c>
      <c r="E987" t="s">
        <v>7602</v>
      </c>
      <c r="F987" s="43">
        <v>44994.229166666664</v>
      </c>
      <c r="G987" s="43">
        <v>44994.270833333336</v>
      </c>
      <c r="H987">
        <v>5</v>
      </c>
      <c r="I987">
        <v>30</v>
      </c>
      <c r="J987">
        <v>6</v>
      </c>
      <c r="K987">
        <v>30</v>
      </c>
      <c r="L987">
        <v>2023</v>
      </c>
      <c r="N987" t="s">
        <v>68</v>
      </c>
      <c r="O987" t="s">
        <v>69</v>
      </c>
      <c r="P987" t="s">
        <v>7603</v>
      </c>
    </row>
    <row r="988" spans="1:16" x14ac:dyDescent="0.3">
      <c r="A988" t="s">
        <v>7479</v>
      </c>
      <c r="B988" t="s">
        <v>20</v>
      </c>
      <c r="C988">
        <v>60</v>
      </c>
      <c r="D988" t="s">
        <v>10</v>
      </c>
      <c r="E988" t="s">
        <v>7480</v>
      </c>
      <c r="F988" s="43">
        <v>44994.125</v>
      </c>
      <c r="G988" s="43">
        <v>44994.166666666664</v>
      </c>
      <c r="H988">
        <v>3</v>
      </c>
      <c r="I988">
        <v>0</v>
      </c>
      <c r="J988">
        <v>4</v>
      </c>
      <c r="K988">
        <v>0</v>
      </c>
      <c r="L988">
        <v>2023</v>
      </c>
      <c r="N988" t="s">
        <v>7481</v>
      </c>
      <c r="O988" t="s">
        <v>73</v>
      </c>
      <c r="P988" t="s">
        <v>7482</v>
      </c>
    </row>
    <row r="989" spans="1:16" x14ac:dyDescent="0.3">
      <c r="A989" t="s">
        <v>6538</v>
      </c>
      <c r="C989">
        <v>1440</v>
      </c>
      <c r="D989" t="s">
        <v>10</v>
      </c>
      <c r="E989" t="s">
        <v>6539</v>
      </c>
      <c r="F989" s="43">
        <v>44994</v>
      </c>
      <c r="G989" s="43">
        <v>44995</v>
      </c>
      <c r="H989">
        <v>0</v>
      </c>
      <c r="I989">
        <v>0</v>
      </c>
      <c r="J989">
        <v>0</v>
      </c>
      <c r="K989">
        <v>0</v>
      </c>
      <c r="L989">
        <v>2023</v>
      </c>
      <c r="N989" t="s">
        <v>6540</v>
      </c>
      <c r="O989" t="s">
        <v>48</v>
      </c>
      <c r="P989" t="s">
        <v>6541</v>
      </c>
    </row>
    <row r="990" spans="1:16" x14ac:dyDescent="0.3">
      <c r="A990" t="s">
        <v>7</v>
      </c>
      <c r="C990">
        <v>30</v>
      </c>
      <c r="D990" t="s">
        <v>10</v>
      </c>
      <c r="F990" s="43">
        <v>44993.604166666664</v>
      </c>
      <c r="G990" s="43">
        <v>44993.625</v>
      </c>
      <c r="H990">
        <v>14</v>
      </c>
      <c r="I990">
        <v>30</v>
      </c>
      <c r="J990">
        <v>15</v>
      </c>
      <c r="K990">
        <v>0</v>
      </c>
      <c r="L990">
        <v>2023</v>
      </c>
      <c r="N990" t="s">
        <v>47</v>
      </c>
      <c r="O990" t="s">
        <v>47</v>
      </c>
      <c r="P990" t="s">
        <v>7620</v>
      </c>
    </row>
    <row r="991" spans="1:16" x14ac:dyDescent="0.3">
      <c r="A991" t="s">
        <v>7580</v>
      </c>
      <c r="B991" t="s">
        <v>20</v>
      </c>
      <c r="C991">
        <v>60</v>
      </c>
      <c r="D991" t="s">
        <v>10</v>
      </c>
      <c r="E991" t="s">
        <v>7581</v>
      </c>
      <c r="F991" s="43">
        <v>44993.541666666664</v>
      </c>
      <c r="G991" s="43">
        <v>44993.583333333336</v>
      </c>
      <c r="H991">
        <v>13</v>
      </c>
      <c r="I991">
        <v>0</v>
      </c>
      <c r="J991">
        <v>14</v>
      </c>
      <c r="K991">
        <v>0</v>
      </c>
      <c r="L991">
        <v>2023</v>
      </c>
      <c r="N991" t="s">
        <v>7582</v>
      </c>
      <c r="O991" t="s">
        <v>47</v>
      </c>
      <c r="P991" t="s">
        <v>7583</v>
      </c>
    </row>
    <row r="992" spans="1:16" x14ac:dyDescent="0.3">
      <c r="A992" t="s">
        <v>7573</v>
      </c>
      <c r="C992">
        <v>60</v>
      </c>
      <c r="D992" t="s">
        <v>10</v>
      </c>
      <c r="E992" t="s">
        <v>7574</v>
      </c>
      <c r="F992" s="43">
        <v>44993.458333333336</v>
      </c>
      <c r="G992" s="43">
        <v>44993.5</v>
      </c>
      <c r="H992">
        <v>11</v>
      </c>
      <c r="I992">
        <v>0</v>
      </c>
      <c r="J992">
        <v>12</v>
      </c>
      <c r="K992">
        <v>0</v>
      </c>
      <c r="L992">
        <v>2023</v>
      </c>
      <c r="N992" t="s">
        <v>7575</v>
      </c>
      <c r="O992" t="s">
        <v>48</v>
      </c>
      <c r="P992" t="s">
        <v>7576</v>
      </c>
    </row>
    <row r="993" spans="1:16" x14ac:dyDescent="0.3">
      <c r="A993" t="s">
        <v>7631</v>
      </c>
      <c r="B993" t="s">
        <v>20</v>
      </c>
      <c r="C993">
        <v>60</v>
      </c>
      <c r="D993" t="s">
        <v>10</v>
      </c>
      <c r="F993" s="43">
        <v>44993.416666666664</v>
      </c>
      <c r="G993" s="43">
        <v>44993.458333333336</v>
      </c>
      <c r="H993">
        <v>10</v>
      </c>
      <c r="I993">
        <v>0</v>
      </c>
      <c r="J993">
        <v>11</v>
      </c>
      <c r="K993">
        <v>0</v>
      </c>
      <c r="L993">
        <v>2023</v>
      </c>
      <c r="N993" t="s">
        <v>47</v>
      </c>
      <c r="O993" t="s">
        <v>47</v>
      </c>
      <c r="P993" t="s">
        <v>7632</v>
      </c>
    </row>
    <row r="994" spans="1:16" x14ac:dyDescent="0.3">
      <c r="A994" t="s">
        <v>7614</v>
      </c>
      <c r="B994" t="s">
        <v>20</v>
      </c>
      <c r="C994">
        <v>90</v>
      </c>
      <c r="D994" t="s">
        <v>10</v>
      </c>
      <c r="E994" t="s">
        <v>7615</v>
      </c>
      <c r="F994" s="43">
        <v>44993.34375</v>
      </c>
      <c r="G994" s="43">
        <v>44993.40625</v>
      </c>
      <c r="H994">
        <v>8</v>
      </c>
      <c r="I994">
        <v>15</v>
      </c>
      <c r="J994">
        <v>9</v>
      </c>
      <c r="K994">
        <v>45</v>
      </c>
      <c r="L994">
        <v>2023</v>
      </c>
      <c r="N994" t="s">
        <v>7436</v>
      </c>
      <c r="O994" t="s">
        <v>73</v>
      </c>
      <c r="P994" t="s">
        <v>7616</v>
      </c>
    </row>
    <row r="995" spans="1:16" x14ac:dyDescent="0.3">
      <c r="A995" t="s">
        <v>7434</v>
      </c>
      <c r="B995" t="s">
        <v>20</v>
      </c>
      <c r="C995">
        <v>45</v>
      </c>
      <c r="D995" t="s">
        <v>10</v>
      </c>
      <c r="E995" t="s">
        <v>7435</v>
      </c>
      <c r="F995" s="43">
        <v>44993.3125</v>
      </c>
      <c r="G995" s="43">
        <v>44993.34375</v>
      </c>
      <c r="H995">
        <v>7</v>
      </c>
      <c r="I995">
        <v>30</v>
      </c>
      <c r="J995">
        <v>8</v>
      </c>
      <c r="K995">
        <v>15</v>
      </c>
      <c r="L995">
        <v>2023</v>
      </c>
      <c r="N995" t="s">
        <v>7436</v>
      </c>
      <c r="O995" t="s">
        <v>73</v>
      </c>
      <c r="P995" t="s">
        <v>7437</v>
      </c>
    </row>
    <row r="996" spans="1:16" x14ac:dyDescent="0.3">
      <c r="A996" t="s">
        <v>7511</v>
      </c>
      <c r="B996" t="s">
        <v>20</v>
      </c>
      <c r="C996">
        <v>30</v>
      </c>
      <c r="D996" t="s">
        <v>10</v>
      </c>
      <c r="E996" t="s">
        <v>7512</v>
      </c>
      <c r="F996" s="43">
        <v>44993.291666666664</v>
      </c>
      <c r="G996" s="43">
        <v>44993.3125</v>
      </c>
      <c r="H996">
        <v>7</v>
      </c>
      <c r="I996">
        <v>0</v>
      </c>
      <c r="J996">
        <v>7</v>
      </c>
      <c r="K996">
        <v>30</v>
      </c>
      <c r="L996">
        <v>2023</v>
      </c>
      <c r="N996" t="s">
        <v>7513</v>
      </c>
      <c r="O996" t="s">
        <v>47</v>
      </c>
      <c r="P996" t="s">
        <v>7514</v>
      </c>
    </row>
    <row r="997" spans="1:16" x14ac:dyDescent="0.3">
      <c r="A997" t="s">
        <v>7617</v>
      </c>
      <c r="B997" t="s">
        <v>20</v>
      </c>
      <c r="C997">
        <v>45</v>
      </c>
      <c r="D997" t="s">
        <v>10</v>
      </c>
      <c r="E997" t="s">
        <v>7618</v>
      </c>
      <c r="F997" s="43">
        <v>44993.208333333336</v>
      </c>
      <c r="G997" s="43">
        <v>44993.239583333336</v>
      </c>
      <c r="H997">
        <v>5</v>
      </c>
      <c r="I997">
        <v>0</v>
      </c>
      <c r="J997">
        <v>5</v>
      </c>
      <c r="K997">
        <v>45</v>
      </c>
      <c r="L997">
        <v>2023</v>
      </c>
      <c r="N997" t="s">
        <v>4875</v>
      </c>
      <c r="O997" t="s">
        <v>2186</v>
      </c>
      <c r="P997" t="s">
        <v>7619</v>
      </c>
    </row>
    <row r="998" spans="1:16" x14ac:dyDescent="0.3">
      <c r="A998" t="s">
        <v>7486</v>
      </c>
      <c r="B998" t="s">
        <v>20</v>
      </c>
      <c r="C998">
        <v>30</v>
      </c>
      <c r="D998" t="s">
        <v>10</v>
      </c>
      <c r="E998" t="s">
        <v>7487</v>
      </c>
      <c r="F998" s="43">
        <v>44993.166666666664</v>
      </c>
      <c r="G998" s="43">
        <v>44993.1875</v>
      </c>
      <c r="H998">
        <v>4</v>
      </c>
      <c r="I998">
        <v>0</v>
      </c>
      <c r="J998">
        <v>4</v>
      </c>
      <c r="K998">
        <v>30</v>
      </c>
      <c r="L998">
        <v>2023</v>
      </c>
      <c r="N998" t="s">
        <v>7488</v>
      </c>
      <c r="O998" t="s">
        <v>47</v>
      </c>
      <c r="P998" t="s">
        <v>7489</v>
      </c>
    </row>
    <row r="999" spans="1:16" x14ac:dyDescent="0.3">
      <c r="A999" t="s">
        <v>7589</v>
      </c>
      <c r="B999" t="s">
        <v>7590</v>
      </c>
      <c r="C999">
        <v>60</v>
      </c>
      <c r="D999" t="s">
        <v>10</v>
      </c>
      <c r="E999" t="s">
        <v>7591</v>
      </c>
      <c r="F999" s="43">
        <v>44993.125</v>
      </c>
      <c r="G999" s="43">
        <v>44993.166666666664</v>
      </c>
      <c r="H999">
        <v>3</v>
      </c>
      <c r="I999">
        <v>0</v>
      </c>
      <c r="J999">
        <v>4</v>
      </c>
      <c r="K999">
        <v>0</v>
      </c>
      <c r="L999">
        <v>2023</v>
      </c>
      <c r="N999" t="s">
        <v>7025</v>
      </c>
      <c r="O999" t="s">
        <v>7026</v>
      </c>
      <c r="P999" t="s">
        <v>7592</v>
      </c>
    </row>
    <row r="1000" spans="1:16" x14ac:dyDescent="0.3">
      <c r="A1000" t="s">
        <v>7609</v>
      </c>
      <c r="C1000">
        <v>60</v>
      </c>
      <c r="D1000" t="s">
        <v>10</v>
      </c>
      <c r="F1000" s="43">
        <v>44992.5625</v>
      </c>
      <c r="G1000" s="43">
        <v>44992.604166666664</v>
      </c>
      <c r="H1000">
        <v>13</v>
      </c>
      <c r="I1000">
        <v>30</v>
      </c>
      <c r="J1000">
        <v>14</v>
      </c>
      <c r="K1000">
        <v>30</v>
      </c>
      <c r="L1000">
        <v>2023</v>
      </c>
      <c r="N1000" t="s">
        <v>47</v>
      </c>
      <c r="O1000" t="s">
        <v>47</v>
      </c>
      <c r="P1000" t="s">
        <v>7610</v>
      </c>
    </row>
    <row r="1001" spans="1:16" x14ac:dyDescent="0.3">
      <c r="A1001" t="s">
        <v>4440</v>
      </c>
      <c r="C1001">
        <v>120</v>
      </c>
      <c r="D1001" t="s">
        <v>10</v>
      </c>
      <c r="F1001" s="43">
        <v>44992.4375</v>
      </c>
      <c r="G1001" s="43">
        <v>44992.520833333336</v>
      </c>
      <c r="H1001">
        <v>10</v>
      </c>
      <c r="I1001">
        <v>30</v>
      </c>
      <c r="J1001">
        <v>12</v>
      </c>
      <c r="K1001">
        <v>30</v>
      </c>
      <c r="L1001">
        <v>2023</v>
      </c>
      <c r="N1001" t="s">
        <v>47</v>
      </c>
      <c r="O1001" t="s">
        <v>47</v>
      </c>
      <c r="P1001" t="s">
        <v>7608</v>
      </c>
    </row>
    <row r="1002" spans="1:16" x14ac:dyDescent="0.3">
      <c r="A1002" t="s">
        <v>7310</v>
      </c>
      <c r="C1002">
        <v>30</v>
      </c>
      <c r="D1002" t="s">
        <v>10</v>
      </c>
      <c r="E1002" t="s">
        <v>5</v>
      </c>
      <c r="F1002" s="43">
        <v>44992.375</v>
      </c>
      <c r="G1002" s="43">
        <v>44992.395833333336</v>
      </c>
      <c r="H1002">
        <v>9</v>
      </c>
      <c r="I1002">
        <v>0</v>
      </c>
      <c r="J1002">
        <v>9</v>
      </c>
      <c r="K1002">
        <v>30</v>
      </c>
      <c r="L1002">
        <v>2023</v>
      </c>
      <c r="M1002" t="s">
        <v>33</v>
      </c>
      <c r="N1002" t="s">
        <v>7311</v>
      </c>
      <c r="O1002" t="s">
        <v>5483</v>
      </c>
      <c r="P1002" t="s">
        <v>7312</v>
      </c>
    </row>
    <row r="1003" spans="1:16" x14ac:dyDescent="0.3">
      <c r="A1003" t="s">
        <v>6</v>
      </c>
      <c r="C1003">
        <v>90</v>
      </c>
      <c r="D1003" t="s">
        <v>10</v>
      </c>
      <c r="F1003" s="43">
        <v>44992.21875</v>
      </c>
      <c r="G1003" s="43">
        <v>44992.28125</v>
      </c>
      <c r="H1003">
        <v>5</v>
      </c>
      <c r="I1003">
        <v>15</v>
      </c>
      <c r="J1003">
        <v>6</v>
      </c>
      <c r="K1003">
        <v>45</v>
      </c>
      <c r="L1003">
        <v>2023</v>
      </c>
      <c r="O1003" t="s">
        <v>47</v>
      </c>
      <c r="P1003" t="s">
        <v>7588</v>
      </c>
    </row>
    <row r="1004" spans="1:16" x14ac:dyDescent="0.3">
      <c r="A1004" t="s">
        <v>7517</v>
      </c>
      <c r="C1004">
        <v>1440</v>
      </c>
      <c r="D1004" t="s">
        <v>10</v>
      </c>
      <c r="F1004" s="43">
        <v>44992</v>
      </c>
      <c r="G1004" s="43">
        <v>44993</v>
      </c>
      <c r="H1004">
        <v>0</v>
      </c>
      <c r="I1004">
        <v>0</v>
      </c>
      <c r="J1004">
        <v>0</v>
      </c>
      <c r="K1004">
        <v>0</v>
      </c>
      <c r="L1004">
        <v>2023</v>
      </c>
      <c r="N1004" t="s">
        <v>47</v>
      </c>
      <c r="O1004" t="s">
        <v>47</v>
      </c>
      <c r="P1004" t="s">
        <v>7518</v>
      </c>
    </row>
    <row r="1005" spans="1:16" x14ac:dyDescent="0.3">
      <c r="A1005" t="s">
        <v>7586</v>
      </c>
      <c r="C1005">
        <v>60</v>
      </c>
      <c r="D1005" t="s">
        <v>10</v>
      </c>
      <c r="F1005" s="43">
        <v>44991.760416666664</v>
      </c>
      <c r="G1005" s="43">
        <v>44991.802083333336</v>
      </c>
      <c r="H1005">
        <v>18</v>
      </c>
      <c r="I1005">
        <v>15</v>
      </c>
      <c r="J1005">
        <v>19</v>
      </c>
      <c r="K1005">
        <v>15</v>
      </c>
      <c r="L1005">
        <v>2023</v>
      </c>
      <c r="O1005" t="s">
        <v>47</v>
      </c>
      <c r="P1005" t="s">
        <v>7587</v>
      </c>
    </row>
    <row r="1006" spans="1:16" x14ac:dyDescent="0.3">
      <c r="A1006" t="s">
        <v>7584</v>
      </c>
      <c r="C1006">
        <v>30</v>
      </c>
      <c r="D1006" t="s">
        <v>10</v>
      </c>
      <c r="F1006" s="43">
        <v>44991.652777777781</v>
      </c>
      <c r="G1006" s="43">
        <v>44991.673611111109</v>
      </c>
      <c r="H1006">
        <v>15</v>
      </c>
      <c r="I1006">
        <v>40</v>
      </c>
      <c r="J1006">
        <v>16</v>
      </c>
      <c r="K1006">
        <v>10</v>
      </c>
      <c r="L1006">
        <v>2023</v>
      </c>
      <c r="N1006" t="s">
        <v>47</v>
      </c>
      <c r="O1006" t="s">
        <v>47</v>
      </c>
      <c r="P1006" t="s">
        <v>7585</v>
      </c>
    </row>
    <row r="1007" spans="1:16" x14ac:dyDescent="0.3">
      <c r="A1007" t="s">
        <v>7568</v>
      </c>
      <c r="C1007">
        <v>45</v>
      </c>
      <c r="D1007" t="s">
        <v>10</v>
      </c>
      <c r="F1007" s="43">
        <v>44991.583333333336</v>
      </c>
      <c r="G1007" s="43">
        <v>44991.614583333336</v>
      </c>
      <c r="H1007">
        <v>14</v>
      </c>
      <c r="I1007">
        <v>0</v>
      </c>
      <c r="J1007">
        <v>14</v>
      </c>
      <c r="K1007">
        <v>45</v>
      </c>
      <c r="L1007">
        <v>2023</v>
      </c>
      <c r="N1007" t="s">
        <v>47</v>
      </c>
      <c r="O1007" t="s">
        <v>47</v>
      </c>
      <c r="P1007" t="s">
        <v>7569</v>
      </c>
    </row>
    <row r="1008" spans="1:16" x14ac:dyDescent="0.3">
      <c r="A1008" t="s">
        <v>7548</v>
      </c>
      <c r="C1008">
        <v>30</v>
      </c>
      <c r="D1008" t="s">
        <v>10</v>
      </c>
      <c r="F1008" s="43">
        <v>44991.5625</v>
      </c>
      <c r="G1008" s="43">
        <v>44991.583333333336</v>
      </c>
      <c r="H1008">
        <v>13</v>
      </c>
      <c r="I1008">
        <v>30</v>
      </c>
      <c r="J1008">
        <v>14</v>
      </c>
      <c r="K1008">
        <v>0</v>
      </c>
      <c r="L1008">
        <v>2023</v>
      </c>
      <c r="N1008" t="s">
        <v>47</v>
      </c>
      <c r="O1008" t="s">
        <v>47</v>
      </c>
      <c r="P1008" t="s">
        <v>7549</v>
      </c>
    </row>
    <row r="1009" spans="1:16" x14ac:dyDescent="0.3">
      <c r="A1009" t="s">
        <v>7556</v>
      </c>
      <c r="C1009">
        <v>30</v>
      </c>
      <c r="D1009" t="s">
        <v>10</v>
      </c>
      <c r="E1009" t="s">
        <v>7557</v>
      </c>
      <c r="F1009" s="43">
        <v>44991.541666666664</v>
      </c>
      <c r="G1009" s="43">
        <v>44991.5625</v>
      </c>
      <c r="H1009">
        <v>13</v>
      </c>
      <c r="I1009">
        <v>0</v>
      </c>
      <c r="J1009">
        <v>13</v>
      </c>
      <c r="K1009">
        <v>30</v>
      </c>
      <c r="L1009">
        <v>2023</v>
      </c>
      <c r="N1009" t="s">
        <v>2176</v>
      </c>
      <c r="O1009" t="s">
        <v>48</v>
      </c>
      <c r="P1009" t="s">
        <v>7558</v>
      </c>
    </row>
    <row r="1010" spans="1:16" x14ac:dyDescent="0.3">
      <c r="A1010" t="s">
        <v>1222</v>
      </c>
      <c r="C1010">
        <v>30</v>
      </c>
      <c r="D1010" t="s">
        <v>10</v>
      </c>
      <c r="F1010" s="43">
        <v>44991.5</v>
      </c>
      <c r="G1010" s="43">
        <v>44991.520833333336</v>
      </c>
      <c r="H1010">
        <v>12</v>
      </c>
      <c r="I1010">
        <v>0</v>
      </c>
      <c r="J1010">
        <v>12</v>
      </c>
      <c r="K1010">
        <v>30</v>
      </c>
      <c r="L1010">
        <v>2023</v>
      </c>
      <c r="N1010" t="s">
        <v>47</v>
      </c>
      <c r="O1010" t="s">
        <v>47</v>
      </c>
      <c r="P1010" t="s">
        <v>7550</v>
      </c>
    </row>
    <row r="1011" spans="1:16" x14ac:dyDescent="0.3">
      <c r="A1011" t="s">
        <v>7536</v>
      </c>
      <c r="C1011">
        <v>30</v>
      </c>
      <c r="D1011" t="s">
        <v>10</v>
      </c>
      <c r="E1011" t="s">
        <v>501</v>
      </c>
      <c r="F1011" s="43">
        <v>44991.4375</v>
      </c>
      <c r="G1011" s="43">
        <v>44991.458333333336</v>
      </c>
      <c r="H1011">
        <v>10</v>
      </c>
      <c r="I1011">
        <v>30</v>
      </c>
      <c r="J1011">
        <v>11</v>
      </c>
      <c r="K1011">
        <v>0</v>
      </c>
      <c r="L1011">
        <v>2023</v>
      </c>
      <c r="N1011" t="s">
        <v>7537</v>
      </c>
      <c r="O1011" t="s">
        <v>47</v>
      </c>
      <c r="P1011" t="s">
        <v>7538</v>
      </c>
    </row>
    <row r="1012" spans="1:16" x14ac:dyDescent="0.3">
      <c r="A1012" t="s">
        <v>7554</v>
      </c>
      <c r="C1012">
        <v>60</v>
      </c>
      <c r="D1012" t="s">
        <v>10</v>
      </c>
      <c r="F1012" s="43">
        <v>44991.395833333336</v>
      </c>
      <c r="G1012" s="43">
        <v>44991.4375</v>
      </c>
      <c r="H1012">
        <v>9</v>
      </c>
      <c r="I1012">
        <v>30</v>
      </c>
      <c r="J1012">
        <v>10</v>
      </c>
      <c r="K1012">
        <v>30</v>
      </c>
      <c r="L1012">
        <v>2023</v>
      </c>
      <c r="N1012" t="s">
        <v>47</v>
      </c>
      <c r="O1012" t="s">
        <v>47</v>
      </c>
      <c r="P1012" t="s">
        <v>7555</v>
      </c>
    </row>
    <row r="1013" spans="1:16" x14ac:dyDescent="0.3">
      <c r="A1013" t="s">
        <v>6829</v>
      </c>
      <c r="C1013">
        <v>50</v>
      </c>
      <c r="D1013" t="s">
        <v>10</v>
      </c>
      <c r="F1013" s="43">
        <v>44991.305555555555</v>
      </c>
      <c r="G1013" s="43">
        <v>44991.340277777781</v>
      </c>
      <c r="H1013">
        <v>7</v>
      </c>
      <c r="I1013">
        <v>20</v>
      </c>
      <c r="J1013">
        <v>8</v>
      </c>
      <c r="K1013">
        <v>10</v>
      </c>
      <c r="L1013">
        <v>2023</v>
      </c>
      <c r="N1013" t="s">
        <v>47</v>
      </c>
      <c r="O1013" t="s">
        <v>47</v>
      </c>
      <c r="P1013" t="s">
        <v>7559</v>
      </c>
    </row>
    <row r="1014" spans="1:16" x14ac:dyDescent="0.3">
      <c r="A1014" t="s">
        <v>4440</v>
      </c>
      <c r="C1014">
        <v>30</v>
      </c>
      <c r="D1014" t="s">
        <v>10</v>
      </c>
      <c r="F1014" s="43">
        <v>44990.75</v>
      </c>
      <c r="G1014" s="43">
        <v>44990.770833333336</v>
      </c>
      <c r="H1014">
        <v>18</v>
      </c>
      <c r="I1014">
        <v>0</v>
      </c>
      <c r="J1014">
        <v>18</v>
      </c>
      <c r="K1014">
        <v>30</v>
      </c>
      <c r="L1014">
        <v>2023</v>
      </c>
      <c r="N1014" t="s">
        <v>47</v>
      </c>
      <c r="O1014" t="s">
        <v>47</v>
      </c>
      <c r="P1014" t="s">
        <v>7546</v>
      </c>
    </row>
    <row r="1015" spans="1:16" x14ac:dyDescent="0.3">
      <c r="A1015" t="s">
        <v>4440</v>
      </c>
      <c r="C1015">
        <v>30</v>
      </c>
      <c r="D1015" t="s">
        <v>10</v>
      </c>
      <c r="F1015" s="43">
        <v>44990.666666666664</v>
      </c>
      <c r="G1015" s="43">
        <v>44990.6875</v>
      </c>
      <c r="H1015">
        <v>16</v>
      </c>
      <c r="I1015">
        <v>0</v>
      </c>
      <c r="J1015">
        <v>16</v>
      </c>
      <c r="K1015">
        <v>30</v>
      </c>
      <c r="L1015">
        <v>2023</v>
      </c>
      <c r="N1015" t="s">
        <v>47</v>
      </c>
      <c r="O1015" t="s">
        <v>47</v>
      </c>
      <c r="P1015" t="s">
        <v>7547</v>
      </c>
    </row>
    <row r="1016" spans="1:16" x14ac:dyDescent="0.3">
      <c r="A1016" t="s">
        <v>4440</v>
      </c>
      <c r="C1016">
        <v>60</v>
      </c>
      <c r="D1016" t="s">
        <v>10</v>
      </c>
      <c r="F1016" s="43">
        <v>44990.597222222219</v>
      </c>
      <c r="G1016" s="43">
        <v>44990.638888888891</v>
      </c>
      <c r="H1016">
        <v>14</v>
      </c>
      <c r="I1016">
        <v>20</v>
      </c>
      <c r="J1016">
        <v>15</v>
      </c>
      <c r="K1016">
        <v>20</v>
      </c>
      <c r="L1016">
        <v>2023</v>
      </c>
      <c r="N1016" t="s">
        <v>47</v>
      </c>
      <c r="O1016" t="s">
        <v>47</v>
      </c>
      <c r="P1016" t="s">
        <v>7545</v>
      </c>
    </row>
    <row r="1017" spans="1:16" x14ac:dyDescent="0.3">
      <c r="A1017" t="s">
        <v>7529</v>
      </c>
      <c r="C1017">
        <v>75</v>
      </c>
      <c r="D1017" t="s">
        <v>10</v>
      </c>
      <c r="F1017" s="43">
        <v>44990.4375</v>
      </c>
      <c r="G1017" s="43">
        <v>44990.489583333336</v>
      </c>
      <c r="H1017">
        <v>10</v>
      </c>
      <c r="I1017">
        <v>30</v>
      </c>
      <c r="J1017">
        <v>11</v>
      </c>
      <c r="K1017">
        <v>45</v>
      </c>
      <c r="L1017">
        <v>2023</v>
      </c>
      <c r="N1017" t="s">
        <v>47</v>
      </c>
      <c r="O1017" t="s">
        <v>47</v>
      </c>
      <c r="P1017" t="s">
        <v>7544</v>
      </c>
    </row>
    <row r="1018" spans="1:16" x14ac:dyDescent="0.3">
      <c r="A1018" t="s">
        <v>7529</v>
      </c>
      <c r="C1018">
        <v>30</v>
      </c>
      <c r="D1018" t="s">
        <v>10</v>
      </c>
      <c r="F1018" s="43">
        <v>44990.395833333336</v>
      </c>
      <c r="G1018" s="43">
        <v>44990.416666666664</v>
      </c>
      <c r="H1018">
        <v>9</v>
      </c>
      <c r="I1018">
        <v>30</v>
      </c>
      <c r="J1018">
        <v>10</v>
      </c>
      <c r="K1018">
        <v>0</v>
      </c>
      <c r="L1018">
        <v>2023</v>
      </c>
      <c r="N1018" t="s">
        <v>47</v>
      </c>
      <c r="O1018" t="s">
        <v>47</v>
      </c>
      <c r="P1018" t="s">
        <v>7543</v>
      </c>
    </row>
    <row r="1019" spans="1:16" x14ac:dyDescent="0.3">
      <c r="A1019" s="46" t="s">
        <v>7529</v>
      </c>
      <c r="C1019">
        <v>60</v>
      </c>
      <c r="D1019" t="s">
        <v>10</v>
      </c>
      <c r="F1019" s="43">
        <v>44990.333333333336</v>
      </c>
      <c r="G1019" s="43">
        <v>44990.375</v>
      </c>
      <c r="H1019">
        <v>8</v>
      </c>
      <c r="I1019">
        <v>0</v>
      </c>
      <c r="J1019">
        <v>9</v>
      </c>
      <c r="K1019">
        <v>0</v>
      </c>
      <c r="L1019">
        <v>2023</v>
      </c>
      <c r="N1019" t="s">
        <v>47</v>
      </c>
      <c r="O1019" t="s">
        <v>47</v>
      </c>
      <c r="P1019" t="s">
        <v>7530</v>
      </c>
    </row>
    <row r="1020" spans="1:16" x14ac:dyDescent="0.3">
      <c r="A1020" t="s">
        <v>7531</v>
      </c>
      <c r="C1020">
        <v>30</v>
      </c>
      <c r="D1020" t="s">
        <v>10</v>
      </c>
      <c r="F1020" s="43">
        <v>44989.854166666664</v>
      </c>
      <c r="G1020" s="43">
        <v>44989.875</v>
      </c>
      <c r="H1020">
        <v>20</v>
      </c>
      <c r="I1020">
        <v>30</v>
      </c>
      <c r="J1020">
        <v>21</v>
      </c>
      <c r="K1020">
        <v>0</v>
      </c>
      <c r="L1020">
        <v>2023</v>
      </c>
      <c r="N1020" t="s">
        <v>47</v>
      </c>
      <c r="O1020" t="s">
        <v>47</v>
      </c>
      <c r="P1020" t="s">
        <v>7532</v>
      </c>
    </row>
    <row r="1021" spans="1:16" x14ac:dyDescent="0.3">
      <c r="A1021" t="s">
        <v>7533</v>
      </c>
      <c r="C1021">
        <v>30</v>
      </c>
      <c r="D1021" t="s">
        <v>10</v>
      </c>
      <c r="F1021" s="43">
        <v>44989.791666666664</v>
      </c>
      <c r="G1021" s="43">
        <v>44989.8125</v>
      </c>
      <c r="H1021">
        <v>19</v>
      </c>
      <c r="I1021">
        <v>0</v>
      </c>
      <c r="J1021">
        <v>19</v>
      </c>
      <c r="K1021">
        <v>30</v>
      </c>
      <c r="L1021">
        <v>2023</v>
      </c>
      <c r="N1021" t="s">
        <v>47</v>
      </c>
      <c r="O1021" t="s">
        <v>47</v>
      </c>
      <c r="P1021" t="s">
        <v>7534</v>
      </c>
    </row>
    <row r="1022" spans="1:16" x14ac:dyDescent="0.3">
      <c r="A1022" t="s">
        <v>7531</v>
      </c>
      <c r="C1022">
        <v>30</v>
      </c>
      <c r="D1022" t="s">
        <v>10</v>
      </c>
      <c r="F1022" s="43">
        <v>44989.770833333336</v>
      </c>
      <c r="G1022" s="43">
        <v>44989.791666666664</v>
      </c>
      <c r="H1022">
        <v>18</v>
      </c>
      <c r="I1022">
        <v>30</v>
      </c>
      <c r="J1022">
        <v>19</v>
      </c>
      <c r="K1022">
        <v>0</v>
      </c>
      <c r="L1022">
        <v>2023</v>
      </c>
      <c r="N1022" t="s">
        <v>47</v>
      </c>
      <c r="O1022" t="s">
        <v>47</v>
      </c>
      <c r="P1022" t="s">
        <v>7535</v>
      </c>
    </row>
    <row r="1023" spans="1:16" x14ac:dyDescent="0.3">
      <c r="A1023" t="s">
        <v>7539</v>
      </c>
      <c r="C1023">
        <v>55</v>
      </c>
      <c r="D1023" t="s">
        <v>10</v>
      </c>
      <c r="F1023" s="43">
        <v>44989.65625</v>
      </c>
      <c r="G1023" s="43">
        <v>44989.694444444445</v>
      </c>
      <c r="H1023">
        <v>15</v>
      </c>
      <c r="I1023">
        <v>45</v>
      </c>
      <c r="J1023">
        <v>16</v>
      </c>
      <c r="K1023">
        <v>40</v>
      </c>
      <c r="L1023">
        <v>2023</v>
      </c>
      <c r="N1023" t="s">
        <v>47</v>
      </c>
      <c r="O1023" t="s">
        <v>47</v>
      </c>
      <c r="P1023" t="s">
        <v>7540</v>
      </c>
    </row>
    <row r="1024" spans="1:16" x14ac:dyDescent="0.3">
      <c r="A1024" t="s">
        <v>7539</v>
      </c>
      <c r="C1024">
        <v>30</v>
      </c>
      <c r="D1024" t="s">
        <v>10</v>
      </c>
      <c r="F1024" s="43">
        <v>44989.583333333336</v>
      </c>
      <c r="G1024" s="43">
        <v>44989.604166666664</v>
      </c>
      <c r="H1024">
        <v>14</v>
      </c>
      <c r="I1024">
        <v>0</v>
      </c>
      <c r="J1024">
        <v>14</v>
      </c>
      <c r="K1024">
        <v>30</v>
      </c>
      <c r="L1024">
        <v>2023</v>
      </c>
      <c r="N1024" t="s">
        <v>47</v>
      </c>
      <c r="O1024" t="s">
        <v>47</v>
      </c>
      <c r="P1024" t="s">
        <v>7541</v>
      </c>
    </row>
    <row r="1025" spans="1:16" x14ac:dyDescent="0.3">
      <c r="A1025" t="s">
        <v>7539</v>
      </c>
      <c r="C1025">
        <v>60</v>
      </c>
      <c r="D1025" t="s">
        <v>10</v>
      </c>
      <c r="F1025" s="43">
        <v>44989.520833333336</v>
      </c>
      <c r="G1025" s="43">
        <v>44989.5625</v>
      </c>
      <c r="H1025">
        <v>12</v>
      </c>
      <c r="I1025">
        <v>30</v>
      </c>
      <c r="J1025">
        <v>13</v>
      </c>
      <c r="K1025">
        <v>30</v>
      </c>
      <c r="L1025">
        <v>2023</v>
      </c>
      <c r="N1025" t="s">
        <v>47</v>
      </c>
      <c r="O1025" t="s">
        <v>47</v>
      </c>
      <c r="P1025" t="s">
        <v>7542</v>
      </c>
    </row>
    <row r="1026" spans="1:16" x14ac:dyDescent="0.3">
      <c r="A1026" t="s">
        <v>7521</v>
      </c>
      <c r="C1026">
        <v>30</v>
      </c>
      <c r="D1026" t="s">
        <v>10</v>
      </c>
      <c r="F1026" s="43">
        <v>44988.770833333336</v>
      </c>
      <c r="G1026" s="43">
        <v>44988.791666666664</v>
      </c>
      <c r="H1026">
        <v>18</v>
      </c>
      <c r="I1026">
        <v>30</v>
      </c>
      <c r="J1026">
        <v>19</v>
      </c>
      <c r="K1026">
        <v>0</v>
      </c>
      <c r="L1026">
        <v>2023</v>
      </c>
      <c r="N1026" t="s">
        <v>47</v>
      </c>
      <c r="O1026" t="s">
        <v>47</v>
      </c>
      <c r="P1026" t="s">
        <v>7528</v>
      </c>
    </row>
    <row r="1027" spans="1:16" x14ac:dyDescent="0.3">
      <c r="A1027" t="s">
        <v>7521</v>
      </c>
      <c r="C1027">
        <v>30</v>
      </c>
      <c r="D1027" t="s">
        <v>10</v>
      </c>
      <c r="F1027" s="43">
        <v>44988.729166666664</v>
      </c>
      <c r="G1027" s="43">
        <v>44988.75</v>
      </c>
      <c r="H1027">
        <v>17</v>
      </c>
      <c r="I1027">
        <v>30</v>
      </c>
      <c r="J1027">
        <v>18</v>
      </c>
      <c r="K1027">
        <v>0</v>
      </c>
      <c r="L1027">
        <v>2023</v>
      </c>
      <c r="N1027" t="s">
        <v>47</v>
      </c>
      <c r="O1027" t="s">
        <v>47</v>
      </c>
      <c r="P1027" t="s">
        <v>7522</v>
      </c>
    </row>
    <row r="1028" spans="1:16" x14ac:dyDescent="0.3">
      <c r="A1028" t="s">
        <v>852</v>
      </c>
      <c r="C1028">
        <v>60</v>
      </c>
      <c r="D1028" t="s">
        <v>10</v>
      </c>
      <c r="F1028" s="43">
        <v>44988.666666666664</v>
      </c>
      <c r="G1028" s="43">
        <v>44988.708333333336</v>
      </c>
      <c r="H1028">
        <v>16</v>
      </c>
      <c r="I1028">
        <v>0</v>
      </c>
      <c r="J1028">
        <v>17</v>
      </c>
      <c r="K1028">
        <v>0</v>
      </c>
      <c r="L1028">
        <v>2023</v>
      </c>
      <c r="N1028" t="s">
        <v>47</v>
      </c>
      <c r="O1028" t="s">
        <v>47</v>
      </c>
      <c r="P1028" t="s">
        <v>7523</v>
      </c>
    </row>
    <row r="1029" spans="1:16" x14ac:dyDescent="0.3">
      <c r="A1029" t="s">
        <v>7524</v>
      </c>
      <c r="C1029">
        <v>30</v>
      </c>
      <c r="D1029" t="s">
        <v>10</v>
      </c>
      <c r="F1029" s="43">
        <v>44988.618055555555</v>
      </c>
      <c r="G1029" s="43">
        <v>44988.638888888891</v>
      </c>
      <c r="H1029">
        <v>14</v>
      </c>
      <c r="I1029">
        <v>50</v>
      </c>
      <c r="J1029">
        <v>15</v>
      </c>
      <c r="K1029">
        <v>20</v>
      </c>
      <c r="L1029">
        <v>2023</v>
      </c>
      <c r="N1029" t="s">
        <v>47</v>
      </c>
      <c r="O1029" t="s">
        <v>47</v>
      </c>
      <c r="P1029" t="s">
        <v>7525</v>
      </c>
    </row>
    <row r="1030" spans="1:16" x14ac:dyDescent="0.3">
      <c r="A1030" t="s">
        <v>7526</v>
      </c>
      <c r="C1030">
        <v>30</v>
      </c>
      <c r="D1030" t="s">
        <v>10</v>
      </c>
      <c r="F1030" s="43">
        <v>44988.59375</v>
      </c>
      <c r="G1030" s="43">
        <v>44988.614583333336</v>
      </c>
      <c r="H1030">
        <v>14</v>
      </c>
      <c r="I1030">
        <v>15</v>
      </c>
      <c r="J1030">
        <v>14</v>
      </c>
      <c r="K1030">
        <v>45</v>
      </c>
      <c r="L1030">
        <v>2023</v>
      </c>
      <c r="N1030" t="s">
        <v>47</v>
      </c>
      <c r="O1030" t="s">
        <v>47</v>
      </c>
      <c r="P1030" t="s">
        <v>7527</v>
      </c>
    </row>
    <row r="1031" spans="1:16" x14ac:dyDescent="0.3">
      <c r="A1031" t="s">
        <v>7519</v>
      </c>
      <c r="C1031">
        <v>40</v>
      </c>
      <c r="D1031" t="s">
        <v>10</v>
      </c>
      <c r="F1031" s="43">
        <v>44988.569444444445</v>
      </c>
      <c r="G1031" s="43">
        <v>44988.597222222219</v>
      </c>
      <c r="H1031">
        <v>13</v>
      </c>
      <c r="I1031">
        <v>40</v>
      </c>
      <c r="J1031">
        <v>14</v>
      </c>
      <c r="K1031">
        <v>20</v>
      </c>
      <c r="L1031">
        <v>2023</v>
      </c>
      <c r="N1031" t="s">
        <v>47</v>
      </c>
      <c r="O1031" t="s">
        <v>47</v>
      </c>
      <c r="P1031" t="s">
        <v>7520</v>
      </c>
    </row>
    <row r="1032" spans="1:16" x14ac:dyDescent="0.3">
      <c r="A1032" t="s">
        <v>1222</v>
      </c>
      <c r="C1032">
        <v>45</v>
      </c>
      <c r="D1032" t="s">
        <v>10</v>
      </c>
      <c r="F1032" s="43">
        <v>44988.5</v>
      </c>
      <c r="G1032" s="43">
        <v>44988.53125</v>
      </c>
      <c r="H1032">
        <v>12</v>
      </c>
      <c r="I1032">
        <v>0</v>
      </c>
      <c r="J1032">
        <v>12</v>
      </c>
      <c r="K1032">
        <v>45</v>
      </c>
      <c r="L1032">
        <v>2023</v>
      </c>
      <c r="N1032" t="s">
        <v>47</v>
      </c>
      <c r="O1032" t="s">
        <v>47</v>
      </c>
      <c r="P1032" t="s">
        <v>7502</v>
      </c>
    </row>
    <row r="1033" spans="1:16" x14ac:dyDescent="0.3">
      <c r="A1033" t="s">
        <v>7503</v>
      </c>
      <c r="C1033">
        <v>90</v>
      </c>
      <c r="D1033" t="s">
        <v>10</v>
      </c>
      <c r="F1033" s="1">
        <v>44988.40625</v>
      </c>
      <c r="G1033" s="1">
        <v>44988.46875</v>
      </c>
      <c r="H1033">
        <v>9</v>
      </c>
      <c r="I1033">
        <v>45</v>
      </c>
      <c r="J1033">
        <v>11</v>
      </c>
      <c r="K1033">
        <v>15</v>
      </c>
      <c r="L1033">
        <v>2023</v>
      </c>
      <c r="N1033" t="s">
        <v>47</v>
      </c>
      <c r="O1033" t="s">
        <v>47</v>
      </c>
      <c r="P1033" t="s">
        <v>7504</v>
      </c>
    </row>
    <row r="1034" spans="1:16" x14ac:dyDescent="0.3">
      <c r="A1034" t="s">
        <v>7515</v>
      </c>
      <c r="C1034">
        <v>60</v>
      </c>
      <c r="D1034" t="s">
        <v>10</v>
      </c>
      <c r="F1034" s="43">
        <v>44988.34375</v>
      </c>
      <c r="G1034" s="43">
        <v>44988.385416666664</v>
      </c>
      <c r="H1034">
        <v>8</v>
      </c>
      <c r="I1034">
        <v>15</v>
      </c>
      <c r="J1034">
        <v>9</v>
      </c>
      <c r="K1034">
        <v>15</v>
      </c>
      <c r="L1034">
        <v>2023</v>
      </c>
      <c r="N1034" t="s">
        <v>47</v>
      </c>
      <c r="O1034" t="s">
        <v>47</v>
      </c>
      <c r="P1034" t="s">
        <v>7516</v>
      </c>
    </row>
    <row r="1035" spans="1:16" x14ac:dyDescent="0.3">
      <c r="A1035" t="s">
        <v>7494</v>
      </c>
      <c r="C1035">
        <v>20</v>
      </c>
      <c r="D1035" t="s">
        <v>10</v>
      </c>
      <c r="F1035" s="43">
        <v>44987.784722222219</v>
      </c>
      <c r="G1035" s="43">
        <v>44987.798611111109</v>
      </c>
      <c r="H1035">
        <v>18</v>
      </c>
      <c r="I1035">
        <v>50</v>
      </c>
      <c r="J1035">
        <v>19</v>
      </c>
      <c r="K1035">
        <v>10</v>
      </c>
      <c r="L1035">
        <v>2023</v>
      </c>
      <c r="N1035" t="s">
        <v>47</v>
      </c>
      <c r="O1035" t="s">
        <v>47</v>
      </c>
      <c r="P1035" t="s">
        <v>7495</v>
      </c>
    </row>
    <row r="1036" spans="1:16" x14ac:dyDescent="0.3">
      <c r="A1036" t="s">
        <v>7496</v>
      </c>
      <c r="C1036">
        <v>50</v>
      </c>
      <c r="D1036" t="s">
        <v>10</v>
      </c>
      <c r="F1036" s="43">
        <v>44987.729166666664</v>
      </c>
      <c r="G1036" s="43">
        <v>44987.763888888891</v>
      </c>
      <c r="H1036">
        <v>17</v>
      </c>
      <c r="I1036">
        <v>30</v>
      </c>
      <c r="J1036">
        <v>18</v>
      </c>
      <c r="K1036">
        <v>20</v>
      </c>
      <c r="L1036">
        <v>2023</v>
      </c>
      <c r="N1036" t="s">
        <v>47</v>
      </c>
      <c r="O1036" t="s">
        <v>47</v>
      </c>
      <c r="P1036" t="s">
        <v>7497</v>
      </c>
    </row>
    <row r="1037" spans="1:16" x14ac:dyDescent="0.3">
      <c r="A1037" t="s">
        <v>7498</v>
      </c>
      <c r="C1037">
        <v>30</v>
      </c>
      <c r="D1037" t="s">
        <v>10</v>
      </c>
      <c r="F1037" s="43">
        <v>44987.708333333336</v>
      </c>
      <c r="G1037" s="43">
        <v>44987.729166666664</v>
      </c>
      <c r="H1037">
        <v>17</v>
      </c>
      <c r="I1037">
        <v>0</v>
      </c>
      <c r="J1037">
        <v>17</v>
      </c>
      <c r="K1037">
        <v>30</v>
      </c>
      <c r="L1037">
        <v>2023</v>
      </c>
      <c r="N1037" t="s">
        <v>47</v>
      </c>
      <c r="O1037" t="s">
        <v>47</v>
      </c>
      <c r="P1037" t="s">
        <v>7499</v>
      </c>
    </row>
    <row r="1038" spans="1:16" x14ac:dyDescent="0.3">
      <c r="A1038" t="s">
        <v>7500</v>
      </c>
      <c r="C1038">
        <v>30</v>
      </c>
      <c r="D1038" t="s">
        <v>10</v>
      </c>
      <c r="F1038" s="43">
        <v>44987.666666666664</v>
      </c>
      <c r="G1038" s="43">
        <v>44987.6875</v>
      </c>
      <c r="H1038">
        <v>16</v>
      </c>
      <c r="I1038">
        <v>0</v>
      </c>
      <c r="J1038">
        <v>16</v>
      </c>
      <c r="K1038">
        <v>30</v>
      </c>
      <c r="L1038">
        <v>2023</v>
      </c>
      <c r="N1038" t="s">
        <v>47</v>
      </c>
      <c r="O1038" t="s">
        <v>47</v>
      </c>
      <c r="P1038" t="s">
        <v>7501</v>
      </c>
    </row>
    <row r="1039" spans="1:16" x14ac:dyDescent="0.3">
      <c r="A1039" t="s">
        <v>8</v>
      </c>
      <c r="C1039">
        <v>20</v>
      </c>
      <c r="D1039" t="s">
        <v>10</v>
      </c>
      <c r="F1039" s="43">
        <v>44987.604166666664</v>
      </c>
      <c r="G1039" s="43">
        <v>44987.618055555555</v>
      </c>
      <c r="H1039">
        <v>14</v>
      </c>
      <c r="I1039">
        <v>30</v>
      </c>
      <c r="J1039">
        <v>14</v>
      </c>
      <c r="K1039">
        <v>50</v>
      </c>
      <c r="L1039">
        <v>2023</v>
      </c>
      <c r="N1039" t="s">
        <v>47</v>
      </c>
      <c r="O1039" t="s">
        <v>47</v>
      </c>
      <c r="P1039" t="s">
        <v>7493</v>
      </c>
    </row>
    <row r="1040" spans="1:16" x14ac:dyDescent="0.3">
      <c r="A1040" t="s">
        <v>7323</v>
      </c>
      <c r="B1040" t="s">
        <v>20</v>
      </c>
      <c r="C1040">
        <v>30</v>
      </c>
      <c r="D1040" t="s">
        <v>10</v>
      </c>
      <c r="E1040" t="s">
        <v>7324</v>
      </c>
      <c r="F1040" s="43">
        <v>44987.583333333336</v>
      </c>
      <c r="G1040" s="43">
        <v>44987.604166666664</v>
      </c>
      <c r="H1040">
        <v>14</v>
      </c>
      <c r="I1040">
        <v>0</v>
      </c>
      <c r="J1040">
        <v>14</v>
      </c>
      <c r="K1040">
        <v>30</v>
      </c>
      <c r="L1040">
        <v>2023</v>
      </c>
      <c r="N1040" t="s">
        <v>2971</v>
      </c>
      <c r="O1040" t="s">
        <v>2972</v>
      </c>
      <c r="P1040" t="s">
        <v>7325</v>
      </c>
    </row>
    <row r="1041" spans="1:16" x14ac:dyDescent="0.3">
      <c r="A1041" t="s">
        <v>6959</v>
      </c>
      <c r="C1041">
        <v>15</v>
      </c>
      <c r="D1041" t="s">
        <v>10</v>
      </c>
      <c r="F1041" s="43">
        <v>44987.5625</v>
      </c>
      <c r="G1041" s="43">
        <v>44987.572916666664</v>
      </c>
      <c r="H1041">
        <v>13</v>
      </c>
      <c r="I1041">
        <v>30</v>
      </c>
      <c r="J1041">
        <v>13</v>
      </c>
      <c r="K1041">
        <v>45</v>
      </c>
      <c r="L1041">
        <v>2023</v>
      </c>
      <c r="N1041" t="s">
        <v>47</v>
      </c>
      <c r="O1041" t="s">
        <v>47</v>
      </c>
      <c r="P1041" t="s">
        <v>7472</v>
      </c>
    </row>
    <row r="1042" spans="1:16" x14ac:dyDescent="0.3">
      <c r="A1042" t="s">
        <v>7</v>
      </c>
      <c r="C1042">
        <v>30</v>
      </c>
      <c r="D1042" t="s">
        <v>10</v>
      </c>
      <c r="F1042" s="43">
        <v>44987.541666666664</v>
      </c>
      <c r="G1042" s="43">
        <v>44987.5625</v>
      </c>
      <c r="H1042">
        <v>13</v>
      </c>
      <c r="I1042">
        <v>0</v>
      </c>
      <c r="J1042">
        <v>13</v>
      </c>
      <c r="K1042">
        <v>30</v>
      </c>
      <c r="L1042">
        <v>2023</v>
      </c>
      <c r="N1042" t="s">
        <v>47</v>
      </c>
      <c r="O1042" t="s">
        <v>47</v>
      </c>
      <c r="P1042" t="s">
        <v>7473</v>
      </c>
    </row>
    <row r="1043" spans="1:16" x14ac:dyDescent="0.3">
      <c r="A1043" t="s">
        <v>8</v>
      </c>
      <c r="C1043">
        <v>15</v>
      </c>
      <c r="D1043" t="s">
        <v>10</v>
      </c>
      <c r="F1043" s="43">
        <v>44987.479166666664</v>
      </c>
      <c r="G1043" s="43">
        <v>44987.489583333336</v>
      </c>
      <c r="H1043">
        <v>11</v>
      </c>
      <c r="I1043">
        <v>30</v>
      </c>
      <c r="J1043">
        <v>11</v>
      </c>
      <c r="K1043">
        <v>45</v>
      </c>
      <c r="L1043">
        <v>2023</v>
      </c>
      <c r="N1043" t="s">
        <v>47</v>
      </c>
      <c r="O1043" t="s">
        <v>47</v>
      </c>
      <c r="P1043" t="s">
        <v>7474</v>
      </c>
    </row>
    <row r="1044" spans="1:16" x14ac:dyDescent="0.3">
      <c r="A1044" t="s">
        <v>8</v>
      </c>
      <c r="C1044">
        <v>50</v>
      </c>
      <c r="D1044" t="s">
        <v>10</v>
      </c>
      <c r="F1044" s="43">
        <v>44987.416666666664</v>
      </c>
      <c r="G1044" s="43">
        <v>44987.451388888891</v>
      </c>
      <c r="H1044">
        <v>10</v>
      </c>
      <c r="I1044">
        <v>0</v>
      </c>
      <c r="J1044">
        <v>10</v>
      </c>
      <c r="K1044">
        <v>50</v>
      </c>
      <c r="L1044">
        <v>2023</v>
      </c>
      <c r="N1044" t="s">
        <v>47</v>
      </c>
      <c r="O1044" t="s">
        <v>47</v>
      </c>
      <c r="P1044" t="s">
        <v>7475</v>
      </c>
    </row>
    <row r="1045" spans="1:16" x14ac:dyDescent="0.3">
      <c r="A1045" t="s">
        <v>8</v>
      </c>
      <c r="C1045">
        <v>25</v>
      </c>
      <c r="D1045" t="s">
        <v>10</v>
      </c>
      <c r="F1045" s="43">
        <v>44987.364583333336</v>
      </c>
      <c r="G1045" s="43">
        <v>44987.381944444445</v>
      </c>
      <c r="H1045">
        <v>8</v>
      </c>
      <c r="I1045">
        <v>45</v>
      </c>
      <c r="J1045">
        <v>9</v>
      </c>
      <c r="K1045">
        <v>10</v>
      </c>
      <c r="L1045">
        <v>2023</v>
      </c>
      <c r="N1045" t="s">
        <v>47</v>
      </c>
      <c r="O1045" t="s">
        <v>47</v>
      </c>
      <c r="P1045" t="s">
        <v>7476</v>
      </c>
    </row>
    <row r="1046" spans="1:16" x14ac:dyDescent="0.3">
      <c r="A1046" t="s">
        <v>4558</v>
      </c>
      <c r="B1046" t="s">
        <v>20</v>
      </c>
      <c r="C1046">
        <v>45</v>
      </c>
      <c r="D1046" t="s">
        <v>10</v>
      </c>
      <c r="F1046" s="43">
        <v>44987.333333333336</v>
      </c>
      <c r="G1046" s="43">
        <v>44987.364583333336</v>
      </c>
      <c r="H1046">
        <v>8</v>
      </c>
      <c r="I1046">
        <v>0</v>
      </c>
      <c r="J1046">
        <v>8</v>
      </c>
      <c r="K1046">
        <v>45</v>
      </c>
      <c r="L1046">
        <v>2023</v>
      </c>
      <c r="N1046" t="s">
        <v>7363</v>
      </c>
      <c r="O1046" t="s">
        <v>6840</v>
      </c>
      <c r="P1046" t="s">
        <v>7364</v>
      </c>
    </row>
    <row r="1047" spans="1:16" x14ac:dyDescent="0.3">
      <c r="A1047" t="s">
        <v>7477</v>
      </c>
      <c r="C1047">
        <v>120</v>
      </c>
      <c r="D1047" t="s">
        <v>10</v>
      </c>
      <c r="F1047" s="43">
        <v>44987.229166666664</v>
      </c>
      <c r="G1047" s="43">
        <v>44987.3125</v>
      </c>
      <c r="H1047">
        <v>5</v>
      </c>
      <c r="I1047">
        <v>30</v>
      </c>
      <c r="J1047">
        <v>7</v>
      </c>
      <c r="K1047">
        <v>30</v>
      </c>
      <c r="L1047">
        <v>2023</v>
      </c>
      <c r="O1047" t="s">
        <v>47</v>
      </c>
      <c r="P1047" t="s">
        <v>7478</v>
      </c>
    </row>
    <row r="1048" spans="1:16" x14ac:dyDescent="0.3">
      <c r="A1048" t="s">
        <v>3258</v>
      </c>
      <c r="C1048">
        <v>90</v>
      </c>
      <c r="D1048" t="s">
        <v>10</v>
      </c>
      <c r="F1048" s="43">
        <v>44986.6875</v>
      </c>
      <c r="G1048" s="43">
        <v>44986.75</v>
      </c>
      <c r="H1048">
        <v>16</v>
      </c>
      <c r="I1048">
        <v>30</v>
      </c>
      <c r="J1048">
        <v>18</v>
      </c>
      <c r="K1048">
        <v>0</v>
      </c>
      <c r="L1048">
        <v>2023</v>
      </c>
      <c r="N1048" t="s">
        <v>47</v>
      </c>
      <c r="O1048" t="s">
        <v>47</v>
      </c>
      <c r="P1048" t="s">
        <v>7483</v>
      </c>
    </row>
    <row r="1049" spans="1:16" x14ac:dyDescent="0.3">
      <c r="A1049" t="s">
        <v>3258</v>
      </c>
      <c r="C1049">
        <v>90</v>
      </c>
      <c r="D1049" t="s">
        <v>10</v>
      </c>
      <c r="F1049" s="43">
        <v>44986.604166666664</v>
      </c>
      <c r="G1049" s="43">
        <v>44986.666666666664</v>
      </c>
      <c r="H1049">
        <v>14</v>
      </c>
      <c r="I1049">
        <v>30</v>
      </c>
      <c r="J1049">
        <v>16</v>
      </c>
      <c r="K1049">
        <v>0</v>
      </c>
      <c r="L1049">
        <v>2023</v>
      </c>
      <c r="N1049" t="s">
        <v>47</v>
      </c>
      <c r="O1049" t="s">
        <v>47</v>
      </c>
      <c r="P1049" t="s">
        <v>7484</v>
      </c>
    </row>
    <row r="1050" spans="1:16" x14ac:dyDescent="0.3">
      <c r="A1050" t="s">
        <v>3258</v>
      </c>
      <c r="C1050">
        <v>45</v>
      </c>
      <c r="D1050" t="s">
        <v>10</v>
      </c>
      <c r="F1050" s="1">
        <v>44986.520833333336</v>
      </c>
      <c r="G1050" s="1">
        <v>44986.552083333336</v>
      </c>
      <c r="H1050">
        <v>12</v>
      </c>
      <c r="I1050">
        <v>30</v>
      </c>
      <c r="J1050">
        <v>13</v>
      </c>
      <c r="K1050">
        <v>15</v>
      </c>
      <c r="L1050">
        <v>2023</v>
      </c>
      <c r="N1050" t="s">
        <v>47</v>
      </c>
      <c r="O1050" t="s">
        <v>47</v>
      </c>
      <c r="P1050" t="s">
        <v>7471</v>
      </c>
    </row>
    <row r="1051" spans="1:16" x14ac:dyDescent="0.3">
      <c r="A1051" t="s">
        <v>7469</v>
      </c>
      <c r="C1051">
        <v>30</v>
      </c>
      <c r="D1051" t="s">
        <v>10</v>
      </c>
      <c r="F1051" s="43">
        <v>44986.5</v>
      </c>
      <c r="G1051" s="43">
        <v>44986.520833333336</v>
      </c>
      <c r="H1051">
        <v>12</v>
      </c>
      <c r="I1051">
        <v>0</v>
      </c>
      <c r="J1051">
        <v>12</v>
      </c>
      <c r="K1051">
        <v>30</v>
      </c>
      <c r="L1051">
        <v>2023</v>
      </c>
      <c r="N1051" t="s">
        <v>47</v>
      </c>
      <c r="O1051" t="s">
        <v>47</v>
      </c>
      <c r="P1051" t="s">
        <v>7470</v>
      </c>
    </row>
    <row r="1052" spans="1:16" x14ac:dyDescent="0.3">
      <c r="A1052" t="s">
        <v>7450</v>
      </c>
      <c r="C1052">
        <v>30</v>
      </c>
      <c r="D1052" t="s">
        <v>10</v>
      </c>
      <c r="F1052" s="43">
        <v>44986.479166666664</v>
      </c>
      <c r="G1052" s="43">
        <v>44986.5</v>
      </c>
      <c r="H1052">
        <v>11</v>
      </c>
      <c r="I1052">
        <v>30</v>
      </c>
      <c r="J1052">
        <v>12</v>
      </c>
      <c r="K1052">
        <v>0</v>
      </c>
      <c r="L1052">
        <v>2023</v>
      </c>
      <c r="N1052" t="s">
        <v>47</v>
      </c>
      <c r="O1052" t="s">
        <v>47</v>
      </c>
      <c r="P1052" t="s">
        <v>7451</v>
      </c>
    </row>
    <row r="1053" spans="1:16" x14ac:dyDescent="0.3">
      <c r="A1053" t="s">
        <v>7452</v>
      </c>
      <c r="C1053">
        <v>45</v>
      </c>
      <c r="D1053" t="s">
        <v>10</v>
      </c>
      <c r="F1053" s="43">
        <v>44986.4375</v>
      </c>
      <c r="G1053" s="43">
        <v>44986.46875</v>
      </c>
      <c r="H1053">
        <v>10</v>
      </c>
      <c r="I1053">
        <v>30</v>
      </c>
      <c r="J1053">
        <v>11</v>
      </c>
      <c r="K1053">
        <v>15</v>
      </c>
      <c r="L1053">
        <v>2023</v>
      </c>
      <c r="N1053" t="s">
        <v>47</v>
      </c>
      <c r="O1053" t="s">
        <v>47</v>
      </c>
      <c r="P1053" t="s">
        <v>7453</v>
      </c>
    </row>
    <row r="1054" spans="1:16" x14ac:dyDescent="0.3">
      <c r="A1054" t="s">
        <v>7456</v>
      </c>
      <c r="C1054">
        <v>30</v>
      </c>
      <c r="D1054" t="s">
        <v>10</v>
      </c>
      <c r="F1054" s="43">
        <v>44986.375</v>
      </c>
      <c r="G1054" s="43">
        <v>44986.395833333336</v>
      </c>
      <c r="H1054">
        <v>9</v>
      </c>
      <c r="I1054">
        <v>0</v>
      </c>
      <c r="J1054">
        <v>9</v>
      </c>
      <c r="K1054">
        <v>30</v>
      </c>
      <c r="L1054">
        <v>2023</v>
      </c>
      <c r="N1054" t="s">
        <v>47</v>
      </c>
      <c r="O1054" t="s">
        <v>47</v>
      </c>
      <c r="P1054" t="s">
        <v>7457</v>
      </c>
    </row>
    <row r="1055" spans="1:16" x14ac:dyDescent="0.3">
      <c r="A1055" t="s">
        <v>7373</v>
      </c>
      <c r="B1055" t="s">
        <v>20</v>
      </c>
      <c r="C1055">
        <v>60</v>
      </c>
      <c r="D1055" t="s">
        <v>10</v>
      </c>
      <c r="E1055" t="s">
        <v>7374</v>
      </c>
      <c r="F1055" s="43">
        <v>44986.333333333336</v>
      </c>
      <c r="G1055" s="43">
        <v>44986.375</v>
      </c>
      <c r="H1055">
        <v>8</v>
      </c>
      <c r="I1055">
        <v>0</v>
      </c>
      <c r="J1055">
        <v>9</v>
      </c>
      <c r="K1055">
        <v>0</v>
      </c>
      <c r="L1055">
        <v>2023</v>
      </c>
      <c r="N1055" t="s">
        <v>7375</v>
      </c>
      <c r="O1055" t="s">
        <v>73</v>
      </c>
      <c r="P1055" t="s">
        <v>7376</v>
      </c>
    </row>
    <row r="1056" spans="1:16" x14ac:dyDescent="0.3">
      <c r="A1056" t="s">
        <v>7454</v>
      </c>
      <c r="C1056">
        <v>30</v>
      </c>
      <c r="D1056" t="s">
        <v>10</v>
      </c>
      <c r="F1056" s="43">
        <v>44986.3125</v>
      </c>
      <c r="G1056" s="43">
        <v>44986.333333333336</v>
      </c>
      <c r="H1056">
        <v>7</v>
      </c>
      <c r="I1056">
        <v>30</v>
      </c>
      <c r="J1056">
        <v>8</v>
      </c>
      <c r="K1056">
        <v>0</v>
      </c>
      <c r="L1056">
        <v>2023</v>
      </c>
      <c r="N1056" t="s">
        <v>47</v>
      </c>
      <c r="O1056" t="s">
        <v>47</v>
      </c>
      <c r="P1056" t="s">
        <v>7455</v>
      </c>
    </row>
    <row r="1057" spans="1:16" x14ac:dyDescent="0.3">
      <c r="A1057" t="s">
        <v>7427</v>
      </c>
      <c r="C1057">
        <v>60</v>
      </c>
      <c r="D1057" t="s">
        <v>10</v>
      </c>
      <c r="F1057" s="43">
        <v>44986.25</v>
      </c>
      <c r="G1057" s="43">
        <v>44986.291666666664</v>
      </c>
      <c r="H1057">
        <v>6</v>
      </c>
      <c r="I1057">
        <v>0</v>
      </c>
      <c r="J1057">
        <v>7</v>
      </c>
      <c r="K1057">
        <v>0</v>
      </c>
      <c r="L1057">
        <v>2023</v>
      </c>
      <c r="N1057" t="s">
        <v>87</v>
      </c>
      <c r="O1057" t="s">
        <v>73</v>
      </c>
      <c r="P1057" t="s">
        <v>7428</v>
      </c>
    </row>
    <row r="1058" spans="1:16" x14ac:dyDescent="0.3">
      <c r="A1058" t="s">
        <v>8</v>
      </c>
      <c r="C1058">
        <v>30</v>
      </c>
      <c r="D1058" t="s">
        <v>10</v>
      </c>
      <c r="F1058" s="43">
        <v>44986.229166666664</v>
      </c>
      <c r="G1058" s="43">
        <v>44986.25</v>
      </c>
      <c r="H1058">
        <v>5</v>
      </c>
      <c r="I1058">
        <v>30</v>
      </c>
      <c r="J1058">
        <v>6</v>
      </c>
      <c r="K1058">
        <v>0</v>
      </c>
      <c r="L1058">
        <v>2023</v>
      </c>
      <c r="N1058" t="s">
        <v>47</v>
      </c>
      <c r="O1058" t="s">
        <v>47</v>
      </c>
      <c r="P1058" t="s">
        <v>7485</v>
      </c>
    </row>
    <row r="1059" spans="1:16" x14ac:dyDescent="0.3">
      <c r="A1059" t="s">
        <v>7462</v>
      </c>
      <c r="C1059">
        <v>50</v>
      </c>
      <c r="D1059" t="s">
        <v>10</v>
      </c>
      <c r="F1059" s="43">
        <v>44985.770833333336</v>
      </c>
      <c r="G1059" s="43">
        <v>44985.805555555555</v>
      </c>
      <c r="H1059">
        <v>18</v>
      </c>
      <c r="I1059">
        <v>30</v>
      </c>
      <c r="J1059">
        <v>19</v>
      </c>
      <c r="K1059">
        <v>20</v>
      </c>
      <c r="L1059">
        <v>2023</v>
      </c>
      <c r="N1059" t="s">
        <v>47</v>
      </c>
      <c r="O1059" t="s">
        <v>47</v>
      </c>
      <c r="P1059" t="s">
        <v>7463</v>
      </c>
    </row>
    <row r="1060" spans="1:16" x14ac:dyDescent="0.3">
      <c r="A1060" t="s">
        <v>7464</v>
      </c>
      <c r="C1060">
        <v>60</v>
      </c>
      <c r="D1060" t="s">
        <v>10</v>
      </c>
      <c r="F1060" s="43">
        <v>44985.708333333336</v>
      </c>
      <c r="G1060" s="43">
        <v>44985.75</v>
      </c>
      <c r="H1060">
        <v>17</v>
      </c>
      <c r="I1060">
        <v>0</v>
      </c>
      <c r="J1060">
        <v>18</v>
      </c>
      <c r="K1060">
        <v>0</v>
      </c>
      <c r="L1060">
        <v>2023</v>
      </c>
      <c r="N1060" t="s">
        <v>47</v>
      </c>
      <c r="O1060" t="s">
        <v>47</v>
      </c>
      <c r="P1060" t="s">
        <v>7465</v>
      </c>
    </row>
    <row r="1061" spans="1:16" x14ac:dyDescent="0.3">
      <c r="A1061" t="s">
        <v>7</v>
      </c>
      <c r="C1061">
        <v>30</v>
      </c>
      <c r="D1061" t="s">
        <v>10</v>
      </c>
      <c r="F1061" s="43">
        <v>44985.6875</v>
      </c>
      <c r="G1061" s="43">
        <v>44985.708333333336</v>
      </c>
      <c r="H1061">
        <v>16</v>
      </c>
      <c r="I1061">
        <v>30</v>
      </c>
      <c r="J1061">
        <v>17</v>
      </c>
      <c r="K1061">
        <v>0</v>
      </c>
      <c r="L1061">
        <v>2023</v>
      </c>
      <c r="N1061" t="s">
        <v>47</v>
      </c>
      <c r="O1061" t="s">
        <v>47</v>
      </c>
      <c r="P1061" t="s">
        <v>7466</v>
      </c>
    </row>
    <row r="1062" spans="1:16" x14ac:dyDescent="0.3">
      <c r="A1062" t="s">
        <v>7467</v>
      </c>
      <c r="C1062">
        <v>90</v>
      </c>
      <c r="D1062" t="s">
        <v>10</v>
      </c>
      <c r="F1062" s="43">
        <v>44985.604166666664</v>
      </c>
      <c r="G1062" s="43">
        <v>44985.666666666664</v>
      </c>
      <c r="H1062">
        <v>14</v>
      </c>
      <c r="I1062">
        <v>30</v>
      </c>
      <c r="J1062">
        <v>16</v>
      </c>
      <c r="K1062">
        <v>0</v>
      </c>
      <c r="L1062">
        <v>2023</v>
      </c>
      <c r="N1062" t="s">
        <v>47</v>
      </c>
      <c r="O1062" t="s">
        <v>47</v>
      </c>
      <c r="P1062" t="s">
        <v>7468</v>
      </c>
    </row>
    <row r="1063" spans="1:16" x14ac:dyDescent="0.3">
      <c r="A1063" t="s">
        <v>7448</v>
      </c>
      <c r="C1063">
        <v>45</v>
      </c>
      <c r="D1063" t="s">
        <v>10</v>
      </c>
      <c r="F1063" s="43">
        <v>44985.552083333336</v>
      </c>
      <c r="G1063" s="43">
        <v>44985.583333333336</v>
      </c>
      <c r="H1063">
        <v>13</v>
      </c>
      <c r="I1063">
        <v>15</v>
      </c>
      <c r="J1063">
        <v>14</v>
      </c>
      <c r="K1063">
        <v>0</v>
      </c>
      <c r="L1063">
        <v>2023</v>
      </c>
      <c r="N1063" t="s">
        <v>47</v>
      </c>
      <c r="O1063" t="s">
        <v>47</v>
      </c>
      <c r="P1063" t="s">
        <v>7449</v>
      </c>
    </row>
    <row r="1064" spans="1:16" x14ac:dyDescent="0.3">
      <c r="A1064" t="s">
        <v>7425</v>
      </c>
      <c r="C1064">
        <v>30</v>
      </c>
      <c r="D1064" t="s">
        <v>10</v>
      </c>
      <c r="F1064" s="43">
        <v>44985.5</v>
      </c>
      <c r="G1064" s="43">
        <v>44985.520833333336</v>
      </c>
      <c r="H1064">
        <v>12</v>
      </c>
      <c r="I1064">
        <v>0</v>
      </c>
      <c r="J1064">
        <v>12</v>
      </c>
      <c r="K1064">
        <v>30</v>
      </c>
      <c r="L1064">
        <v>2023</v>
      </c>
      <c r="N1064" t="s">
        <v>47</v>
      </c>
      <c r="O1064" t="s">
        <v>47</v>
      </c>
      <c r="P1064" t="s">
        <v>7426</v>
      </c>
    </row>
    <row r="1065" spans="1:16" x14ac:dyDescent="0.3">
      <c r="A1065" t="s">
        <v>7021</v>
      </c>
      <c r="B1065" t="s">
        <v>20</v>
      </c>
      <c r="C1065">
        <v>60</v>
      </c>
      <c r="D1065" t="s">
        <v>10</v>
      </c>
      <c r="F1065" s="43">
        <v>44985.458333333336</v>
      </c>
      <c r="G1065" s="43">
        <v>44985.5</v>
      </c>
      <c r="H1065">
        <v>11</v>
      </c>
      <c r="I1065">
        <v>0</v>
      </c>
      <c r="J1065">
        <v>12</v>
      </c>
      <c r="K1065">
        <v>0</v>
      </c>
      <c r="L1065">
        <v>2023</v>
      </c>
      <c r="N1065" t="s">
        <v>7022</v>
      </c>
      <c r="O1065" t="s">
        <v>783</v>
      </c>
      <c r="P1065" t="s">
        <v>7023</v>
      </c>
    </row>
    <row r="1066" spans="1:16" x14ac:dyDescent="0.3">
      <c r="A1066" t="s">
        <v>7187</v>
      </c>
      <c r="B1066" t="s">
        <v>20</v>
      </c>
      <c r="C1066">
        <v>60</v>
      </c>
      <c r="D1066" t="s">
        <v>10</v>
      </c>
      <c r="E1066" t="s">
        <v>5</v>
      </c>
      <c r="F1066" s="43">
        <v>44985.4375</v>
      </c>
      <c r="G1066" s="43">
        <v>44985.479166666664</v>
      </c>
      <c r="H1066">
        <v>10</v>
      </c>
      <c r="I1066">
        <v>30</v>
      </c>
      <c r="J1066">
        <v>11</v>
      </c>
      <c r="K1066">
        <v>30</v>
      </c>
      <c r="L1066">
        <v>2023</v>
      </c>
      <c r="N1066" t="s">
        <v>7188</v>
      </c>
      <c r="O1066" t="s">
        <v>1241</v>
      </c>
      <c r="P1066" t="s">
        <v>7189</v>
      </c>
    </row>
    <row r="1067" spans="1:16" x14ac:dyDescent="0.3">
      <c r="A1067" t="s">
        <v>8</v>
      </c>
      <c r="C1067">
        <v>30</v>
      </c>
      <c r="D1067" t="s">
        <v>10</v>
      </c>
      <c r="F1067" s="43">
        <v>44985.4375</v>
      </c>
      <c r="G1067" s="43">
        <v>44985.458333333336</v>
      </c>
      <c r="H1067">
        <v>10</v>
      </c>
      <c r="I1067">
        <v>30</v>
      </c>
      <c r="J1067">
        <v>11</v>
      </c>
      <c r="K1067">
        <v>0</v>
      </c>
      <c r="L1067">
        <v>2023</v>
      </c>
      <c r="N1067" t="s">
        <v>47</v>
      </c>
      <c r="O1067" t="s">
        <v>47</v>
      </c>
      <c r="P1067" t="s">
        <v>7429</v>
      </c>
    </row>
    <row r="1068" spans="1:16" x14ac:dyDescent="0.3">
      <c r="A1068" t="s">
        <v>7430</v>
      </c>
      <c r="C1068">
        <v>30</v>
      </c>
      <c r="D1068" t="s">
        <v>10</v>
      </c>
      <c r="E1068" t="s">
        <v>501</v>
      </c>
      <c r="F1068" s="43">
        <v>44985.416666666664</v>
      </c>
      <c r="G1068" s="43">
        <v>44985.4375</v>
      </c>
      <c r="H1068">
        <v>10</v>
      </c>
      <c r="I1068">
        <v>0</v>
      </c>
      <c r="J1068">
        <v>10</v>
      </c>
      <c r="K1068">
        <v>30</v>
      </c>
      <c r="L1068">
        <v>2023</v>
      </c>
      <c r="N1068" t="s">
        <v>4629</v>
      </c>
      <c r="O1068" t="s">
        <v>47</v>
      </c>
      <c r="P1068" t="s">
        <v>7431</v>
      </c>
    </row>
    <row r="1069" spans="1:16" x14ac:dyDescent="0.3">
      <c r="A1069" t="s">
        <v>7432</v>
      </c>
      <c r="C1069">
        <v>30</v>
      </c>
      <c r="D1069" t="s">
        <v>10</v>
      </c>
      <c r="F1069" s="43">
        <v>44985.354166666664</v>
      </c>
      <c r="G1069" s="43">
        <v>44985.375</v>
      </c>
      <c r="H1069">
        <v>8</v>
      </c>
      <c r="I1069">
        <v>30</v>
      </c>
      <c r="J1069">
        <v>9</v>
      </c>
      <c r="K1069">
        <v>0</v>
      </c>
      <c r="L1069">
        <v>2023</v>
      </c>
      <c r="N1069" t="s">
        <v>47</v>
      </c>
      <c r="O1069" t="s">
        <v>47</v>
      </c>
      <c r="P1069" t="s">
        <v>7433</v>
      </c>
    </row>
    <row r="1070" spans="1:16" x14ac:dyDescent="0.3">
      <c r="A1070" t="s">
        <v>7385</v>
      </c>
      <c r="B1070" t="s">
        <v>20</v>
      </c>
      <c r="C1070">
        <v>60</v>
      </c>
      <c r="D1070" t="s">
        <v>10</v>
      </c>
      <c r="E1070" t="s">
        <v>7386</v>
      </c>
      <c r="F1070" s="43">
        <v>44985.3125</v>
      </c>
      <c r="G1070" s="43">
        <v>44985.354166666664</v>
      </c>
      <c r="H1070">
        <v>7</v>
      </c>
      <c r="I1070">
        <v>30</v>
      </c>
      <c r="J1070">
        <v>8</v>
      </c>
      <c r="K1070">
        <v>30</v>
      </c>
      <c r="L1070">
        <v>2023</v>
      </c>
      <c r="N1070" t="s">
        <v>7387</v>
      </c>
      <c r="O1070" t="s">
        <v>73</v>
      </c>
      <c r="P1070" t="s">
        <v>7388</v>
      </c>
    </row>
    <row r="1071" spans="1:16" x14ac:dyDescent="0.3">
      <c r="A1071" t="s">
        <v>7438</v>
      </c>
      <c r="C1071">
        <v>20</v>
      </c>
      <c r="D1071" t="s">
        <v>10</v>
      </c>
      <c r="F1071" s="43">
        <v>44984.795138888891</v>
      </c>
      <c r="G1071" s="43">
        <v>44984.809027777781</v>
      </c>
      <c r="H1071">
        <v>19</v>
      </c>
      <c r="I1071">
        <v>5</v>
      </c>
      <c r="J1071">
        <v>19</v>
      </c>
      <c r="K1071">
        <v>25</v>
      </c>
      <c r="L1071">
        <v>2023</v>
      </c>
      <c r="N1071" t="s">
        <v>47</v>
      </c>
      <c r="O1071" t="s">
        <v>47</v>
      </c>
      <c r="P1071" t="s">
        <v>7439</v>
      </c>
    </row>
    <row r="1072" spans="1:16" x14ac:dyDescent="0.3">
      <c r="A1072" t="s">
        <v>7440</v>
      </c>
      <c r="C1072">
        <v>15</v>
      </c>
      <c r="D1072" t="s">
        <v>10</v>
      </c>
      <c r="F1072" s="43">
        <v>44984.784722222219</v>
      </c>
      <c r="G1072" s="43">
        <v>44984.795138888891</v>
      </c>
      <c r="H1072">
        <v>18</v>
      </c>
      <c r="I1072">
        <v>50</v>
      </c>
      <c r="J1072">
        <v>19</v>
      </c>
      <c r="K1072">
        <v>5</v>
      </c>
      <c r="L1072">
        <v>2023</v>
      </c>
      <c r="N1072" t="s">
        <v>47</v>
      </c>
      <c r="O1072" t="s">
        <v>47</v>
      </c>
      <c r="P1072" t="s">
        <v>7441</v>
      </c>
    </row>
    <row r="1073" spans="1:16" x14ac:dyDescent="0.3">
      <c r="A1073" t="s">
        <v>7442</v>
      </c>
      <c r="C1073">
        <v>30</v>
      </c>
      <c r="D1073" t="s">
        <v>10</v>
      </c>
      <c r="F1073" s="43">
        <v>44984.75</v>
      </c>
      <c r="G1073" s="43">
        <v>44984.770833333336</v>
      </c>
      <c r="H1073">
        <v>18</v>
      </c>
      <c r="I1073">
        <v>0</v>
      </c>
      <c r="J1073">
        <v>18</v>
      </c>
      <c r="K1073">
        <v>30</v>
      </c>
      <c r="L1073">
        <v>2023</v>
      </c>
      <c r="N1073" t="s">
        <v>47</v>
      </c>
      <c r="O1073" t="s">
        <v>47</v>
      </c>
      <c r="P1073" t="s">
        <v>7443</v>
      </c>
    </row>
    <row r="1074" spans="1:16" x14ac:dyDescent="0.3">
      <c r="A1074" t="s">
        <v>7444</v>
      </c>
      <c r="C1074">
        <v>30</v>
      </c>
      <c r="D1074" t="s">
        <v>10</v>
      </c>
      <c r="F1074" s="43">
        <v>44984.708333333336</v>
      </c>
      <c r="G1074" s="43">
        <v>44984.729166666664</v>
      </c>
      <c r="H1074">
        <v>17</v>
      </c>
      <c r="I1074">
        <v>0</v>
      </c>
      <c r="J1074">
        <v>17</v>
      </c>
      <c r="K1074">
        <v>30</v>
      </c>
      <c r="L1074">
        <v>2023</v>
      </c>
      <c r="N1074" t="s">
        <v>47</v>
      </c>
      <c r="O1074" t="s">
        <v>47</v>
      </c>
      <c r="P1074" t="s">
        <v>7445</v>
      </c>
    </row>
    <row r="1075" spans="1:16" x14ac:dyDescent="0.3">
      <c r="A1075" t="s">
        <v>7444</v>
      </c>
      <c r="C1075">
        <v>20</v>
      </c>
      <c r="D1075" t="s">
        <v>10</v>
      </c>
      <c r="F1075" s="43">
        <v>44984.666666666664</v>
      </c>
      <c r="G1075" s="43">
        <v>44984.680555555555</v>
      </c>
      <c r="H1075">
        <v>16</v>
      </c>
      <c r="I1075">
        <v>0</v>
      </c>
      <c r="J1075">
        <v>16</v>
      </c>
      <c r="K1075">
        <v>20</v>
      </c>
      <c r="L1075">
        <v>2023</v>
      </c>
      <c r="N1075" t="s">
        <v>47</v>
      </c>
      <c r="O1075" t="s">
        <v>47</v>
      </c>
      <c r="P1075" t="s">
        <v>7447</v>
      </c>
    </row>
    <row r="1076" spans="1:16" x14ac:dyDescent="0.3">
      <c r="A1076" t="s">
        <v>4519</v>
      </c>
      <c r="C1076">
        <v>20</v>
      </c>
      <c r="D1076" t="s">
        <v>10</v>
      </c>
      <c r="F1076" s="43">
        <v>44984.652777777781</v>
      </c>
      <c r="G1076" s="43">
        <v>44984.666666666664</v>
      </c>
      <c r="H1076">
        <v>15</v>
      </c>
      <c r="I1076">
        <v>40</v>
      </c>
      <c r="J1076">
        <v>16</v>
      </c>
      <c r="K1076">
        <v>0</v>
      </c>
      <c r="L1076">
        <v>2023</v>
      </c>
      <c r="N1076" t="s">
        <v>47</v>
      </c>
      <c r="O1076" t="s">
        <v>47</v>
      </c>
      <c r="P1076" t="s">
        <v>7446</v>
      </c>
    </row>
    <row r="1077" spans="1:16" x14ac:dyDescent="0.3">
      <c r="A1077" t="s">
        <v>7423</v>
      </c>
      <c r="C1077">
        <v>45</v>
      </c>
      <c r="D1077" t="s">
        <v>10</v>
      </c>
      <c r="F1077" s="43">
        <v>44984.583333333336</v>
      </c>
      <c r="G1077" s="43">
        <v>44984.614583333336</v>
      </c>
      <c r="H1077">
        <v>14</v>
      </c>
      <c r="I1077">
        <v>0</v>
      </c>
      <c r="J1077">
        <v>14</v>
      </c>
      <c r="K1077">
        <v>45</v>
      </c>
      <c r="L1077">
        <v>2023</v>
      </c>
      <c r="N1077" t="s">
        <v>47</v>
      </c>
      <c r="O1077" t="s">
        <v>47</v>
      </c>
      <c r="P1077" t="s">
        <v>7424</v>
      </c>
    </row>
    <row r="1078" spans="1:16" x14ac:dyDescent="0.3">
      <c r="A1078" t="s">
        <v>7392</v>
      </c>
      <c r="C1078">
        <v>60</v>
      </c>
      <c r="D1078" t="s">
        <v>10</v>
      </c>
      <c r="F1078" s="43">
        <v>44984.541666666664</v>
      </c>
      <c r="G1078" s="43">
        <v>44984.583333333336</v>
      </c>
      <c r="H1078">
        <v>13</v>
      </c>
      <c r="I1078">
        <v>0</v>
      </c>
      <c r="J1078">
        <v>14</v>
      </c>
      <c r="K1078">
        <v>0</v>
      </c>
      <c r="L1078">
        <v>2023</v>
      </c>
      <c r="N1078" t="s">
        <v>7393</v>
      </c>
      <c r="O1078" t="s">
        <v>783</v>
      </c>
      <c r="P1078" t="s">
        <v>7394</v>
      </c>
    </row>
    <row r="1079" spans="1:16" x14ac:dyDescent="0.3">
      <c r="A1079" t="s">
        <v>7</v>
      </c>
      <c r="C1079">
        <v>30</v>
      </c>
      <c r="D1079" t="s">
        <v>10</v>
      </c>
      <c r="F1079" s="43">
        <v>44984.489583333336</v>
      </c>
      <c r="G1079" s="43">
        <v>44984.510416666664</v>
      </c>
      <c r="H1079">
        <v>11</v>
      </c>
      <c r="I1079">
        <v>45</v>
      </c>
      <c r="J1079">
        <v>12</v>
      </c>
      <c r="K1079">
        <v>15</v>
      </c>
      <c r="L1079">
        <v>2023</v>
      </c>
      <c r="N1079" t="s">
        <v>47</v>
      </c>
      <c r="O1079" t="s">
        <v>47</v>
      </c>
      <c r="P1079" t="s">
        <v>7422</v>
      </c>
    </row>
    <row r="1080" spans="1:16" x14ac:dyDescent="0.3">
      <c r="A1080" t="s">
        <v>7389</v>
      </c>
      <c r="B1080" t="s">
        <v>20</v>
      </c>
      <c r="C1080">
        <v>50</v>
      </c>
      <c r="D1080" t="s">
        <v>10</v>
      </c>
      <c r="F1080" s="1">
        <v>44984.458333333336</v>
      </c>
      <c r="G1080" s="1">
        <v>44984.493055555555</v>
      </c>
      <c r="H1080">
        <v>11</v>
      </c>
      <c r="I1080">
        <v>0</v>
      </c>
      <c r="J1080">
        <v>11</v>
      </c>
      <c r="K1080">
        <v>50</v>
      </c>
      <c r="L1080">
        <v>2023</v>
      </c>
      <c r="N1080" t="s">
        <v>7390</v>
      </c>
      <c r="O1080" t="s">
        <v>49</v>
      </c>
      <c r="P1080" t="s">
        <v>7391</v>
      </c>
    </row>
    <row r="1081" spans="1:16" x14ac:dyDescent="0.3">
      <c r="A1081" t="s">
        <v>7418</v>
      </c>
      <c r="C1081">
        <v>30</v>
      </c>
      <c r="D1081" t="s">
        <v>10</v>
      </c>
      <c r="F1081" s="43">
        <v>44984.416666666664</v>
      </c>
      <c r="G1081" s="43">
        <v>44984.4375</v>
      </c>
      <c r="H1081">
        <v>10</v>
      </c>
      <c r="I1081">
        <v>0</v>
      </c>
      <c r="J1081">
        <v>10</v>
      </c>
      <c r="K1081">
        <v>30</v>
      </c>
      <c r="L1081">
        <v>2023</v>
      </c>
      <c r="N1081" t="s">
        <v>47</v>
      </c>
      <c r="O1081" t="s">
        <v>47</v>
      </c>
      <c r="P1081" t="s">
        <v>7419</v>
      </c>
    </row>
    <row r="1082" spans="1:16" x14ac:dyDescent="0.3">
      <c r="A1082" t="s">
        <v>7420</v>
      </c>
      <c r="C1082">
        <v>30</v>
      </c>
      <c r="D1082" t="s">
        <v>10</v>
      </c>
      <c r="F1082" s="43">
        <v>44984.395833333336</v>
      </c>
      <c r="G1082" s="43">
        <v>44984.416666666664</v>
      </c>
      <c r="H1082">
        <v>9</v>
      </c>
      <c r="I1082">
        <v>30</v>
      </c>
      <c r="J1082">
        <v>10</v>
      </c>
      <c r="K1082">
        <v>0</v>
      </c>
      <c r="L1082">
        <v>2023</v>
      </c>
      <c r="N1082" t="s">
        <v>47</v>
      </c>
      <c r="O1082" t="s">
        <v>47</v>
      </c>
      <c r="P1082" t="s">
        <v>7421</v>
      </c>
    </row>
    <row r="1083" spans="1:16" x14ac:dyDescent="0.3">
      <c r="A1083" t="s">
        <v>152</v>
      </c>
      <c r="C1083">
        <v>30</v>
      </c>
      <c r="D1083" t="s">
        <v>10</v>
      </c>
      <c r="F1083" s="43">
        <v>44984.364583333336</v>
      </c>
      <c r="G1083" s="43">
        <v>44984.385416666664</v>
      </c>
      <c r="H1083">
        <v>8</v>
      </c>
      <c r="I1083">
        <v>45</v>
      </c>
      <c r="J1083">
        <v>9</v>
      </c>
      <c r="K1083">
        <v>15</v>
      </c>
      <c r="L1083">
        <v>2023</v>
      </c>
      <c r="N1083" t="s">
        <v>47</v>
      </c>
      <c r="O1083" t="s">
        <v>47</v>
      </c>
      <c r="P1083" t="s">
        <v>7415</v>
      </c>
    </row>
    <row r="1084" spans="1:16" x14ac:dyDescent="0.3">
      <c r="A1084" t="s">
        <v>7416</v>
      </c>
      <c r="C1084">
        <v>30</v>
      </c>
      <c r="D1084" t="s">
        <v>10</v>
      </c>
      <c r="F1084" s="43">
        <v>44983.770833333336</v>
      </c>
      <c r="G1084" s="43">
        <v>44983.791666666664</v>
      </c>
      <c r="H1084">
        <v>18</v>
      </c>
      <c r="I1084">
        <v>30</v>
      </c>
      <c r="J1084">
        <v>19</v>
      </c>
      <c r="K1084">
        <v>0</v>
      </c>
      <c r="L1084">
        <v>2023</v>
      </c>
      <c r="N1084" t="s">
        <v>47</v>
      </c>
      <c r="O1084" t="s">
        <v>47</v>
      </c>
      <c r="P1084" t="s">
        <v>7417</v>
      </c>
    </row>
    <row r="1085" spans="1:16" x14ac:dyDescent="0.3">
      <c r="A1085" t="s">
        <v>7413</v>
      </c>
      <c r="C1085">
        <v>35</v>
      </c>
      <c r="D1085" t="s">
        <v>10</v>
      </c>
      <c r="F1085" s="43">
        <v>44983.677083333336</v>
      </c>
      <c r="G1085" s="43">
        <v>44983.701388888891</v>
      </c>
      <c r="H1085">
        <v>16</v>
      </c>
      <c r="I1085">
        <v>15</v>
      </c>
      <c r="J1085">
        <v>16</v>
      </c>
      <c r="K1085">
        <v>50</v>
      </c>
      <c r="L1085">
        <v>2023</v>
      </c>
      <c r="N1085" t="s">
        <v>47</v>
      </c>
      <c r="O1085" t="s">
        <v>47</v>
      </c>
      <c r="P1085" t="s">
        <v>7414</v>
      </c>
    </row>
    <row r="1086" spans="1:16" x14ac:dyDescent="0.3">
      <c r="A1086" t="s">
        <v>7410</v>
      </c>
      <c r="B1086" t="s">
        <v>109</v>
      </c>
      <c r="C1086">
        <v>45</v>
      </c>
      <c r="D1086" t="s">
        <v>10</v>
      </c>
      <c r="E1086" t="s">
        <v>7411</v>
      </c>
      <c r="F1086" s="43">
        <v>44983.604166666664</v>
      </c>
      <c r="G1086" s="43">
        <v>44983.635416666664</v>
      </c>
      <c r="H1086">
        <v>14</v>
      </c>
      <c r="I1086">
        <v>30</v>
      </c>
      <c r="J1086">
        <v>15</v>
      </c>
      <c r="K1086">
        <v>15</v>
      </c>
      <c r="L1086">
        <v>2023</v>
      </c>
      <c r="N1086" t="s">
        <v>47</v>
      </c>
      <c r="O1086" t="s">
        <v>47</v>
      </c>
      <c r="P1086" t="s">
        <v>7412</v>
      </c>
    </row>
    <row r="1087" spans="1:16" x14ac:dyDescent="0.3">
      <c r="A1087" t="s">
        <v>8</v>
      </c>
      <c r="C1087">
        <v>60</v>
      </c>
      <c r="D1087" t="s">
        <v>10</v>
      </c>
      <c r="F1087" s="43">
        <v>44983.541666666664</v>
      </c>
      <c r="G1087" s="43">
        <v>44983.583333333336</v>
      </c>
      <c r="H1087">
        <v>13</v>
      </c>
      <c r="I1087">
        <v>0</v>
      </c>
      <c r="J1087">
        <v>14</v>
      </c>
      <c r="K1087">
        <v>0</v>
      </c>
      <c r="L1087">
        <v>2023</v>
      </c>
      <c r="N1087" t="s">
        <v>47</v>
      </c>
      <c r="O1087" t="s">
        <v>47</v>
      </c>
      <c r="P1087" t="s">
        <v>7409</v>
      </c>
    </row>
    <row r="1088" spans="1:16" x14ac:dyDescent="0.3">
      <c r="A1088" t="s">
        <v>7366</v>
      </c>
      <c r="C1088">
        <v>30</v>
      </c>
      <c r="D1088" t="s">
        <v>10</v>
      </c>
      <c r="F1088" s="43">
        <v>44982.833333333336</v>
      </c>
      <c r="G1088" s="43">
        <v>44982.854166666664</v>
      </c>
      <c r="H1088">
        <v>20</v>
      </c>
      <c r="I1088">
        <v>0</v>
      </c>
      <c r="J1088">
        <v>20</v>
      </c>
      <c r="K1088">
        <v>30</v>
      </c>
      <c r="L1088">
        <v>2023</v>
      </c>
      <c r="N1088" t="s">
        <v>47</v>
      </c>
      <c r="O1088" t="s">
        <v>47</v>
      </c>
      <c r="P1088" t="s">
        <v>7367</v>
      </c>
    </row>
    <row r="1089" spans="1:16" x14ac:dyDescent="0.3">
      <c r="A1089" t="s">
        <v>7407</v>
      </c>
      <c r="C1089">
        <v>300</v>
      </c>
      <c r="D1089" t="s">
        <v>10</v>
      </c>
      <c r="F1089" s="43">
        <v>44982.25</v>
      </c>
      <c r="G1089" s="43">
        <v>44982.458333333336</v>
      </c>
      <c r="H1089">
        <v>6</v>
      </c>
      <c r="I1089">
        <v>0</v>
      </c>
      <c r="J1089">
        <v>11</v>
      </c>
      <c r="K1089">
        <v>0</v>
      </c>
      <c r="L1089">
        <v>2023</v>
      </c>
      <c r="N1089" t="s">
        <v>47</v>
      </c>
      <c r="O1089" t="s">
        <v>47</v>
      </c>
      <c r="P1089" t="s">
        <v>7408</v>
      </c>
    </row>
    <row r="1090" spans="1:16" x14ac:dyDescent="0.3">
      <c r="A1090" t="s">
        <v>6983</v>
      </c>
      <c r="C1090">
        <v>11520</v>
      </c>
      <c r="D1090" t="s">
        <v>10</v>
      </c>
      <c r="E1090" t="s">
        <v>5</v>
      </c>
      <c r="F1090" s="43">
        <v>44982</v>
      </c>
      <c r="G1090" s="43">
        <v>44990</v>
      </c>
      <c r="H1090">
        <v>0</v>
      </c>
      <c r="I1090">
        <v>0</v>
      </c>
      <c r="J1090">
        <v>0</v>
      </c>
      <c r="K1090">
        <v>0</v>
      </c>
      <c r="L1090">
        <v>2023</v>
      </c>
      <c r="N1090" t="s">
        <v>4493</v>
      </c>
      <c r="O1090" t="s">
        <v>50</v>
      </c>
      <c r="P1090" t="s">
        <v>6984</v>
      </c>
    </row>
    <row r="1091" spans="1:16" x14ac:dyDescent="0.3">
      <c r="A1091" t="s">
        <v>7405</v>
      </c>
      <c r="C1091">
        <v>60</v>
      </c>
      <c r="D1091" t="s">
        <v>10</v>
      </c>
      <c r="F1091" s="43">
        <v>44981.666666666664</v>
      </c>
      <c r="G1091" s="43">
        <v>44981.708333333336</v>
      </c>
      <c r="H1091">
        <v>16</v>
      </c>
      <c r="I1091">
        <v>0</v>
      </c>
      <c r="J1091">
        <v>17</v>
      </c>
      <c r="K1091">
        <v>0</v>
      </c>
      <c r="L1091">
        <v>2023</v>
      </c>
      <c r="N1091" t="s">
        <v>47</v>
      </c>
      <c r="O1091" t="s">
        <v>47</v>
      </c>
      <c r="P1091" t="s">
        <v>7406</v>
      </c>
    </row>
    <row r="1092" spans="1:16" x14ac:dyDescent="0.3">
      <c r="A1092" t="s">
        <v>7377</v>
      </c>
      <c r="C1092">
        <v>60</v>
      </c>
      <c r="D1092" t="s">
        <v>10</v>
      </c>
      <c r="E1092" t="s">
        <v>7378</v>
      </c>
      <c r="F1092" s="43">
        <v>44981.604166666664</v>
      </c>
      <c r="G1092" s="43">
        <v>44981.645833333336</v>
      </c>
      <c r="H1092">
        <v>14</v>
      </c>
      <c r="I1092">
        <v>30</v>
      </c>
      <c r="J1092">
        <v>15</v>
      </c>
      <c r="K1092">
        <v>30</v>
      </c>
      <c r="L1092">
        <v>2023</v>
      </c>
      <c r="N1092" t="s">
        <v>7379</v>
      </c>
      <c r="O1092" t="s">
        <v>7380</v>
      </c>
      <c r="P1092" t="s">
        <v>7381</v>
      </c>
    </row>
    <row r="1093" spans="1:16" x14ac:dyDescent="0.3">
      <c r="A1093" t="s">
        <v>7399</v>
      </c>
      <c r="C1093">
        <v>30</v>
      </c>
      <c r="D1093" t="s">
        <v>10</v>
      </c>
      <c r="E1093" t="s">
        <v>7400</v>
      </c>
      <c r="F1093" s="43">
        <v>44981.5</v>
      </c>
      <c r="G1093" s="43">
        <v>44981.520833333336</v>
      </c>
      <c r="H1093">
        <v>12</v>
      </c>
      <c r="I1093">
        <v>0</v>
      </c>
      <c r="J1093">
        <v>12</v>
      </c>
      <c r="K1093">
        <v>30</v>
      </c>
      <c r="L1093">
        <v>2023</v>
      </c>
      <c r="N1093" t="s">
        <v>523</v>
      </c>
      <c r="O1093" t="s">
        <v>48</v>
      </c>
      <c r="P1093" t="s">
        <v>7401</v>
      </c>
    </row>
    <row r="1094" spans="1:16" x14ac:dyDescent="0.3">
      <c r="A1094" t="s">
        <v>7402</v>
      </c>
      <c r="C1094">
        <v>300</v>
      </c>
      <c r="D1094" t="s">
        <v>10</v>
      </c>
      <c r="E1094" t="s">
        <v>7403</v>
      </c>
      <c r="F1094" s="43">
        <v>44981.395833333336</v>
      </c>
      <c r="G1094" s="43">
        <v>44981.604166666664</v>
      </c>
      <c r="H1094">
        <v>9</v>
      </c>
      <c r="I1094">
        <v>30</v>
      </c>
      <c r="J1094">
        <v>14</v>
      </c>
      <c r="K1094">
        <v>30</v>
      </c>
      <c r="L1094">
        <v>2023</v>
      </c>
      <c r="N1094" t="s">
        <v>47</v>
      </c>
      <c r="O1094" t="s">
        <v>47</v>
      </c>
      <c r="P1094" t="s">
        <v>7404</v>
      </c>
    </row>
    <row r="1095" spans="1:16" x14ac:dyDescent="0.3">
      <c r="A1095" t="s">
        <v>6</v>
      </c>
      <c r="C1095">
        <v>120</v>
      </c>
      <c r="D1095" t="s">
        <v>10</v>
      </c>
      <c r="F1095" s="43">
        <v>44980.479166666664</v>
      </c>
      <c r="G1095" s="43">
        <v>44980.5625</v>
      </c>
      <c r="H1095">
        <v>11</v>
      </c>
      <c r="I1095">
        <v>30</v>
      </c>
      <c r="J1095">
        <v>13</v>
      </c>
      <c r="K1095">
        <v>30</v>
      </c>
      <c r="L1095">
        <v>2023</v>
      </c>
      <c r="N1095" t="s">
        <v>47</v>
      </c>
      <c r="O1095" t="s">
        <v>47</v>
      </c>
      <c r="P1095" t="s">
        <v>7384</v>
      </c>
    </row>
    <row r="1096" spans="1:16" x14ac:dyDescent="0.3">
      <c r="A1096" t="s">
        <v>5933</v>
      </c>
      <c r="C1096">
        <v>30</v>
      </c>
      <c r="D1096" t="s">
        <v>10</v>
      </c>
      <c r="F1096" s="43">
        <v>44980.458333333336</v>
      </c>
      <c r="G1096" s="43">
        <v>44980.479166666664</v>
      </c>
      <c r="H1096">
        <v>11</v>
      </c>
      <c r="I1096">
        <v>0</v>
      </c>
      <c r="J1096">
        <v>11</v>
      </c>
      <c r="K1096">
        <v>30</v>
      </c>
      <c r="L1096">
        <v>2023</v>
      </c>
      <c r="N1096" t="s">
        <v>47</v>
      </c>
      <c r="O1096" t="s">
        <v>47</v>
      </c>
      <c r="P1096" t="s">
        <v>7383</v>
      </c>
    </row>
    <row r="1097" spans="1:16" x14ac:dyDescent="0.3">
      <c r="A1097" t="s">
        <v>7</v>
      </c>
      <c r="C1097">
        <v>30</v>
      </c>
      <c r="D1097" t="s">
        <v>10</v>
      </c>
      <c r="F1097" s="43">
        <v>44980.416666666664</v>
      </c>
      <c r="G1097" s="43">
        <v>44980.4375</v>
      </c>
      <c r="H1097">
        <v>10</v>
      </c>
      <c r="I1097">
        <v>0</v>
      </c>
      <c r="J1097">
        <v>10</v>
      </c>
      <c r="K1097">
        <v>30</v>
      </c>
      <c r="L1097">
        <v>2023</v>
      </c>
      <c r="N1097" t="s">
        <v>47</v>
      </c>
      <c r="O1097" t="s">
        <v>47</v>
      </c>
      <c r="P1097" t="s">
        <v>7382</v>
      </c>
    </row>
    <row r="1098" spans="1:16" x14ac:dyDescent="0.3">
      <c r="A1098" t="s">
        <v>803</v>
      </c>
      <c r="B1098" t="s">
        <v>20</v>
      </c>
      <c r="C1098">
        <v>30</v>
      </c>
      <c r="D1098" t="s">
        <v>10</v>
      </c>
      <c r="F1098" s="43">
        <v>44980.395833333336</v>
      </c>
      <c r="G1098" s="43">
        <v>44980.416666666664</v>
      </c>
      <c r="H1098">
        <v>9</v>
      </c>
      <c r="I1098">
        <v>30</v>
      </c>
      <c r="J1098">
        <v>10</v>
      </c>
      <c r="K1098">
        <v>0</v>
      </c>
      <c r="L1098">
        <v>2023</v>
      </c>
      <c r="N1098" t="s">
        <v>7356</v>
      </c>
      <c r="O1098" t="s">
        <v>7357</v>
      </c>
      <c r="P1098" t="s">
        <v>7358</v>
      </c>
    </row>
    <row r="1099" spans="1:16" x14ac:dyDescent="0.3">
      <c r="A1099" t="s">
        <v>7257</v>
      </c>
      <c r="B1099" t="s">
        <v>20</v>
      </c>
      <c r="C1099">
        <v>30</v>
      </c>
      <c r="D1099" t="s">
        <v>10</v>
      </c>
      <c r="F1099" s="43">
        <v>44980.375</v>
      </c>
      <c r="G1099" s="43">
        <v>44980.395833333336</v>
      </c>
      <c r="H1099">
        <v>9</v>
      </c>
      <c r="I1099">
        <v>0</v>
      </c>
      <c r="J1099">
        <v>9</v>
      </c>
      <c r="K1099">
        <v>30</v>
      </c>
      <c r="L1099">
        <v>2023</v>
      </c>
      <c r="N1099" t="s">
        <v>7258</v>
      </c>
      <c r="O1099" t="s">
        <v>1129</v>
      </c>
      <c r="P1099" t="s">
        <v>7259</v>
      </c>
    </row>
    <row r="1100" spans="1:16" x14ac:dyDescent="0.3">
      <c r="A1100" t="s">
        <v>7212</v>
      </c>
      <c r="B1100" t="s">
        <v>20</v>
      </c>
      <c r="C1100">
        <v>30</v>
      </c>
      <c r="E1100" t="s">
        <v>5</v>
      </c>
      <c r="F1100" s="43">
        <v>44980</v>
      </c>
      <c r="G1100" s="43">
        <v>45345</v>
      </c>
      <c r="H1100">
        <v>9</v>
      </c>
      <c r="I1100">
        <v>30</v>
      </c>
      <c r="J1100">
        <v>10</v>
      </c>
      <c r="K1100">
        <v>0</v>
      </c>
      <c r="L1100">
        <v>2023</v>
      </c>
      <c r="M1100" t="s">
        <v>33</v>
      </c>
      <c r="N1100" t="s">
        <v>7213</v>
      </c>
      <c r="O1100" t="s">
        <v>50</v>
      </c>
      <c r="P1100" t="s">
        <v>7214</v>
      </c>
    </row>
    <row r="1101" spans="1:16" x14ac:dyDescent="0.3">
      <c r="A1101" t="s">
        <v>8</v>
      </c>
      <c r="C1101">
        <v>60</v>
      </c>
      <c r="D1101" t="s">
        <v>10</v>
      </c>
      <c r="F1101" s="43">
        <v>44979.354166666664</v>
      </c>
      <c r="G1101" s="43">
        <v>44979.395833333336</v>
      </c>
      <c r="H1101">
        <v>8</v>
      </c>
      <c r="I1101">
        <v>30</v>
      </c>
      <c r="J1101">
        <v>9</v>
      </c>
      <c r="K1101">
        <v>30</v>
      </c>
      <c r="L1101">
        <v>2023</v>
      </c>
      <c r="N1101" t="s">
        <v>47</v>
      </c>
      <c r="O1101" t="s">
        <v>47</v>
      </c>
      <c r="P1101" t="s">
        <v>7368</v>
      </c>
    </row>
    <row r="1102" spans="1:16" x14ac:dyDescent="0.3">
      <c r="A1102" t="s">
        <v>8</v>
      </c>
      <c r="C1102">
        <v>90</v>
      </c>
      <c r="D1102" t="s">
        <v>10</v>
      </c>
      <c r="F1102" s="43">
        <v>44978.354166666664</v>
      </c>
      <c r="G1102" s="43">
        <v>44978.416666666664</v>
      </c>
      <c r="H1102">
        <v>8</v>
      </c>
      <c r="I1102">
        <v>30</v>
      </c>
      <c r="J1102">
        <v>10</v>
      </c>
      <c r="K1102">
        <v>0</v>
      </c>
      <c r="L1102">
        <v>2023</v>
      </c>
      <c r="N1102" t="s">
        <v>47</v>
      </c>
      <c r="O1102" t="s">
        <v>47</v>
      </c>
      <c r="P1102" t="s">
        <v>7365</v>
      </c>
    </row>
    <row r="1103" spans="1:16" x14ac:dyDescent="0.3">
      <c r="A1103" t="s">
        <v>7351</v>
      </c>
      <c r="C1103">
        <v>30</v>
      </c>
      <c r="D1103" t="s">
        <v>10</v>
      </c>
      <c r="E1103" t="s">
        <v>501</v>
      </c>
      <c r="F1103" s="43">
        <v>44977.416666666664</v>
      </c>
      <c r="G1103" s="43">
        <v>44977.4375</v>
      </c>
      <c r="H1103">
        <v>10</v>
      </c>
      <c r="I1103">
        <v>0</v>
      </c>
      <c r="J1103">
        <v>10</v>
      </c>
      <c r="K1103">
        <v>30</v>
      </c>
      <c r="L1103">
        <v>2023</v>
      </c>
      <c r="N1103" t="s">
        <v>6342</v>
      </c>
      <c r="O1103" t="s">
        <v>47</v>
      </c>
      <c r="P1103" t="s">
        <v>7352</v>
      </c>
    </row>
    <row r="1104" spans="1:16" x14ac:dyDescent="0.3">
      <c r="A1104" t="s">
        <v>827</v>
      </c>
      <c r="C1104">
        <v>30</v>
      </c>
      <c r="D1104" t="s">
        <v>10</v>
      </c>
      <c r="F1104" s="43">
        <v>44977.395833333336</v>
      </c>
      <c r="G1104" s="43">
        <v>44977.416666666664</v>
      </c>
      <c r="H1104">
        <v>9</v>
      </c>
      <c r="I1104">
        <v>30</v>
      </c>
      <c r="J1104">
        <v>10</v>
      </c>
      <c r="K1104">
        <v>0</v>
      </c>
      <c r="L1104">
        <v>2023</v>
      </c>
      <c r="N1104" t="s">
        <v>47</v>
      </c>
      <c r="O1104" t="s">
        <v>47</v>
      </c>
      <c r="P1104" t="s">
        <v>7353</v>
      </c>
    </row>
    <row r="1105" spans="1:16" x14ac:dyDescent="0.3">
      <c r="A1105" t="s">
        <v>7354</v>
      </c>
      <c r="C1105">
        <v>30</v>
      </c>
      <c r="D1105" t="s">
        <v>10</v>
      </c>
      <c r="F1105" s="43">
        <v>44977.375</v>
      </c>
      <c r="G1105" s="43">
        <v>44977.395833333336</v>
      </c>
      <c r="H1105">
        <v>9</v>
      </c>
      <c r="I1105">
        <v>0</v>
      </c>
      <c r="J1105">
        <v>9</v>
      </c>
      <c r="K1105">
        <v>30</v>
      </c>
      <c r="L1105">
        <v>2023</v>
      </c>
      <c r="N1105" t="s">
        <v>47</v>
      </c>
      <c r="O1105" t="s">
        <v>47</v>
      </c>
      <c r="P1105" t="s">
        <v>7355</v>
      </c>
    </row>
    <row r="1106" spans="1:16" x14ac:dyDescent="0.3">
      <c r="A1106" t="s">
        <v>7094</v>
      </c>
      <c r="C1106">
        <v>30</v>
      </c>
      <c r="D1106" t="s">
        <v>10</v>
      </c>
      <c r="F1106" s="43">
        <v>44974.479166666664</v>
      </c>
      <c r="G1106" s="43">
        <v>44974.5</v>
      </c>
      <c r="H1106">
        <v>11</v>
      </c>
      <c r="I1106">
        <v>30</v>
      </c>
      <c r="J1106">
        <v>12</v>
      </c>
      <c r="K1106">
        <v>0</v>
      </c>
      <c r="L1106">
        <v>2023</v>
      </c>
      <c r="N1106" t="s">
        <v>7095</v>
      </c>
      <c r="O1106" t="s">
        <v>1129</v>
      </c>
      <c r="P1106" t="s">
        <v>7096</v>
      </c>
    </row>
    <row r="1107" spans="1:16" x14ac:dyDescent="0.3">
      <c r="A1107" t="s">
        <v>6969</v>
      </c>
      <c r="B1107" t="s">
        <v>31</v>
      </c>
      <c r="C1107">
        <v>10080</v>
      </c>
      <c r="D1107" t="s">
        <v>10</v>
      </c>
      <c r="F1107" s="43">
        <v>44974</v>
      </c>
      <c r="G1107" s="43">
        <v>44981</v>
      </c>
      <c r="H1107">
        <v>0</v>
      </c>
      <c r="I1107">
        <v>0</v>
      </c>
      <c r="J1107">
        <v>0</v>
      </c>
      <c r="K1107">
        <v>0</v>
      </c>
      <c r="L1107">
        <v>2023</v>
      </c>
      <c r="N1107" t="s">
        <v>6970</v>
      </c>
      <c r="O1107" t="s">
        <v>47</v>
      </c>
      <c r="P1107" t="s">
        <v>6971</v>
      </c>
    </row>
    <row r="1108" spans="1:16" x14ac:dyDescent="0.3">
      <c r="A1108" t="s">
        <v>7349</v>
      </c>
      <c r="C1108">
        <v>30</v>
      </c>
      <c r="D1108" t="s">
        <v>10</v>
      </c>
      <c r="F1108" s="43">
        <v>44973.729166666664</v>
      </c>
      <c r="G1108" s="43">
        <v>44973.75</v>
      </c>
      <c r="H1108">
        <v>17</v>
      </c>
      <c r="I1108">
        <v>30</v>
      </c>
      <c r="J1108">
        <v>18</v>
      </c>
      <c r="K1108">
        <v>0</v>
      </c>
      <c r="L1108">
        <v>2023</v>
      </c>
      <c r="N1108" t="s">
        <v>47</v>
      </c>
      <c r="O1108" t="s">
        <v>47</v>
      </c>
      <c r="P1108" t="s">
        <v>7350</v>
      </c>
    </row>
    <row r="1109" spans="1:16" x14ac:dyDescent="0.3">
      <c r="A1109" t="s">
        <v>7</v>
      </c>
      <c r="C1109">
        <v>30</v>
      </c>
      <c r="D1109" t="s">
        <v>10</v>
      </c>
      <c r="F1109" s="43">
        <v>44973.6875</v>
      </c>
      <c r="G1109" s="43">
        <v>44973.708333333336</v>
      </c>
      <c r="H1109">
        <v>16</v>
      </c>
      <c r="I1109">
        <v>30</v>
      </c>
      <c r="J1109">
        <v>17</v>
      </c>
      <c r="K1109">
        <v>0</v>
      </c>
      <c r="L1109">
        <v>2023</v>
      </c>
      <c r="N1109" t="s">
        <v>47</v>
      </c>
      <c r="O1109" t="s">
        <v>47</v>
      </c>
      <c r="P1109" t="s">
        <v>7348</v>
      </c>
    </row>
    <row r="1110" spans="1:16" x14ac:dyDescent="0.3">
      <c r="A1110" t="s">
        <v>7346</v>
      </c>
      <c r="C1110">
        <v>20</v>
      </c>
      <c r="D1110" t="s">
        <v>10</v>
      </c>
      <c r="F1110" s="43">
        <v>44973.673611111109</v>
      </c>
      <c r="G1110" s="43">
        <v>44973.6875</v>
      </c>
      <c r="H1110">
        <v>16</v>
      </c>
      <c r="I1110">
        <v>10</v>
      </c>
      <c r="J1110">
        <v>16</v>
      </c>
      <c r="K1110">
        <v>30</v>
      </c>
      <c r="L1110">
        <v>2023</v>
      </c>
      <c r="N1110" t="s">
        <v>47</v>
      </c>
      <c r="O1110" t="s">
        <v>47</v>
      </c>
      <c r="P1110" t="s">
        <v>7347</v>
      </c>
    </row>
    <row r="1111" spans="1:16" x14ac:dyDescent="0.3">
      <c r="A1111" t="s">
        <v>8</v>
      </c>
      <c r="C1111">
        <v>50</v>
      </c>
      <c r="D1111" t="s">
        <v>10</v>
      </c>
      <c r="F1111" s="43">
        <v>44973.625</v>
      </c>
      <c r="G1111" s="43">
        <v>44973.659722222219</v>
      </c>
      <c r="H1111">
        <v>15</v>
      </c>
      <c r="I1111">
        <v>0</v>
      </c>
      <c r="J1111">
        <v>15</v>
      </c>
      <c r="K1111">
        <v>50</v>
      </c>
      <c r="L1111">
        <v>2023</v>
      </c>
      <c r="N1111" t="s">
        <v>47</v>
      </c>
      <c r="O1111" t="s">
        <v>47</v>
      </c>
      <c r="P1111" t="s">
        <v>7345</v>
      </c>
    </row>
    <row r="1112" spans="1:16" x14ac:dyDescent="0.3">
      <c r="A1112" t="s">
        <v>7088</v>
      </c>
      <c r="C1112">
        <v>30</v>
      </c>
      <c r="D1112" t="s">
        <v>10</v>
      </c>
      <c r="F1112" s="43">
        <v>44973.604166666664</v>
      </c>
      <c r="G1112" s="43">
        <v>44973.625</v>
      </c>
      <c r="H1112">
        <v>14</v>
      </c>
      <c r="I1112">
        <v>30</v>
      </c>
      <c r="J1112">
        <v>15</v>
      </c>
      <c r="K1112">
        <v>0</v>
      </c>
      <c r="L1112">
        <v>2023</v>
      </c>
      <c r="N1112" t="s">
        <v>47</v>
      </c>
      <c r="O1112" t="s">
        <v>47</v>
      </c>
      <c r="P1112" t="s">
        <v>7344</v>
      </c>
    </row>
    <row r="1113" spans="1:16" x14ac:dyDescent="0.3">
      <c r="A1113" t="s">
        <v>7320</v>
      </c>
      <c r="C1113">
        <v>30</v>
      </c>
      <c r="D1113" t="s">
        <v>10</v>
      </c>
      <c r="E1113" t="s">
        <v>7321</v>
      </c>
      <c r="F1113" s="43">
        <v>44973.5625</v>
      </c>
      <c r="G1113" s="43">
        <v>44973.583333333336</v>
      </c>
      <c r="H1113">
        <v>13</v>
      </c>
      <c r="I1113">
        <v>30</v>
      </c>
      <c r="J1113">
        <v>14</v>
      </c>
      <c r="K1113">
        <v>0</v>
      </c>
      <c r="L1113">
        <v>2023</v>
      </c>
      <c r="N1113" t="s">
        <v>1635</v>
      </c>
      <c r="O1113" t="s">
        <v>48</v>
      </c>
      <c r="P1113" t="s">
        <v>7322</v>
      </c>
    </row>
    <row r="1114" spans="1:16" x14ac:dyDescent="0.3">
      <c r="A1114" t="s">
        <v>7341</v>
      </c>
      <c r="C1114">
        <v>30</v>
      </c>
      <c r="D1114" t="s">
        <v>10</v>
      </c>
      <c r="F1114" s="43">
        <v>44973.541666666664</v>
      </c>
      <c r="G1114" s="43">
        <v>44973.5625</v>
      </c>
      <c r="H1114">
        <v>13</v>
      </c>
      <c r="I1114">
        <v>0</v>
      </c>
      <c r="J1114">
        <v>13</v>
      </c>
      <c r="K1114">
        <v>30</v>
      </c>
      <c r="L1114">
        <v>2023</v>
      </c>
      <c r="N1114" t="s">
        <v>4365</v>
      </c>
      <c r="O1114" t="s">
        <v>783</v>
      </c>
      <c r="P1114" t="s">
        <v>7342</v>
      </c>
    </row>
    <row r="1115" spans="1:16" x14ac:dyDescent="0.3">
      <c r="A1115" t="s">
        <v>7331</v>
      </c>
      <c r="C1115">
        <v>30</v>
      </c>
      <c r="D1115" t="s">
        <v>10</v>
      </c>
      <c r="E1115" t="s">
        <v>501</v>
      </c>
      <c r="F1115" s="43">
        <v>44973.5</v>
      </c>
      <c r="G1115" s="43">
        <v>44973.520833333336</v>
      </c>
      <c r="H1115">
        <v>12</v>
      </c>
      <c r="I1115">
        <v>0</v>
      </c>
      <c r="J1115">
        <v>12</v>
      </c>
      <c r="K1115">
        <v>30</v>
      </c>
      <c r="L1115">
        <v>2023</v>
      </c>
      <c r="N1115" t="s">
        <v>1849</v>
      </c>
      <c r="O1115" t="s">
        <v>47</v>
      </c>
      <c r="P1115" t="s">
        <v>7332</v>
      </c>
    </row>
    <row r="1116" spans="1:16" x14ac:dyDescent="0.3">
      <c r="A1116" t="s">
        <v>40</v>
      </c>
      <c r="C1116">
        <v>60</v>
      </c>
      <c r="D1116" t="s">
        <v>10</v>
      </c>
      <c r="F1116" s="43">
        <v>44973.208333333336</v>
      </c>
      <c r="G1116" s="43">
        <v>44973.25</v>
      </c>
      <c r="H1116">
        <v>5</v>
      </c>
      <c r="I1116">
        <v>0</v>
      </c>
      <c r="J1116">
        <v>6</v>
      </c>
      <c r="K1116">
        <v>0</v>
      </c>
      <c r="L1116">
        <v>2023</v>
      </c>
      <c r="N1116" t="s">
        <v>47</v>
      </c>
      <c r="O1116" t="s">
        <v>47</v>
      </c>
      <c r="P1116" t="s">
        <v>7343</v>
      </c>
    </row>
    <row r="1117" spans="1:16" x14ac:dyDescent="0.3">
      <c r="A1117" t="s">
        <v>7339</v>
      </c>
      <c r="C1117">
        <v>30</v>
      </c>
      <c r="D1117" t="s">
        <v>10</v>
      </c>
      <c r="F1117" s="43">
        <v>44972.770833333336</v>
      </c>
      <c r="G1117" s="43">
        <v>44972.791666666664</v>
      </c>
      <c r="H1117">
        <v>18</v>
      </c>
      <c r="I1117">
        <v>30</v>
      </c>
      <c r="J1117">
        <v>19</v>
      </c>
      <c r="K1117">
        <v>0</v>
      </c>
      <c r="L1117">
        <v>2023</v>
      </c>
      <c r="N1117" t="s">
        <v>47</v>
      </c>
      <c r="O1117" t="s">
        <v>47</v>
      </c>
      <c r="P1117" t="s">
        <v>7340</v>
      </c>
    </row>
    <row r="1118" spans="1:16" x14ac:dyDescent="0.3">
      <c r="A1118" t="s">
        <v>166</v>
      </c>
      <c r="C1118">
        <v>60</v>
      </c>
      <c r="D1118" t="s">
        <v>10</v>
      </c>
      <c r="F1118" s="43">
        <v>44972.708333333336</v>
      </c>
      <c r="G1118" s="43">
        <v>44972.75</v>
      </c>
      <c r="H1118">
        <v>17</v>
      </c>
      <c r="I1118">
        <v>0</v>
      </c>
      <c r="J1118">
        <v>18</v>
      </c>
      <c r="K1118">
        <v>0</v>
      </c>
      <c r="L1118">
        <v>2023</v>
      </c>
      <c r="N1118" t="s">
        <v>47</v>
      </c>
      <c r="O1118" t="s">
        <v>47</v>
      </c>
      <c r="P1118" t="s">
        <v>7338</v>
      </c>
    </row>
    <row r="1119" spans="1:16" x14ac:dyDescent="0.3">
      <c r="A1119" t="s">
        <v>7334</v>
      </c>
      <c r="C1119">
        <v>60</v>
      </c>
      <c r="D1119" t="s">
        <v>10</v>
      </c>
      <c r="F1119" s="43">
        <v>44972.645833333336</v>
      </c>
      <c r="G1119" s="43">
        <v>44972.6875</v>
      </c>
      <c r="H1119">
        <v>15</v>
      </c>
      <c r="I1119">
        <v>30</v>
      </c>
      <c r="J1119">
        <v>16</v>
      </c>
      <c r="K1119">
        <v>30</v>
      </c>
      <c r="L1119">
        <v>2023</v>
      </c>
      <c r="N1119" t="s">
        <v>47</v>
      </c>
      <c r="O1119" t="s">
        <v>47</v>
      </c>
      <c r="P1119" t="s">
        <v>7335</v>
      </c>
    </row>
    <row r="1120" spans="1:16" x14ac:dyDescent="0.3">
      <c r="A1120" t="s">
        <v>7336</v>
      </c>
      <c r="C1120">
        <v>60</v>
      </c>
      <c r="D1120" t="s">
        <v>10</v>
      </c>
      <c r="E1120" s="44"/>
      <c r="F1120" s="43">
        <v>44972.604166666664</v>
      </c>
      <c r="G1120" s="43">
        <v>44972.645833333336</v>
      </c>
      <c r="H1120">
        <v>14</v>
      </c>
      <c r="I1120">
        <v>30</v>
      </c>
      <c r="J1120">
        <v>15</v>
      </c>
      <c r="K1120">
        <v>30</v>
      </c>
      <c r="L1120">
        <v>2023</v>
      </c>
      <c r="N1120" t="s">
        <v>47</v>
      </c>
      <c r="O1120" t="s">
        <v>47</v>
      </c>
      <c r="P1120" t="s">
        <v>7337</v>
      </c>
    </row>
    <row r="1121" spans="1:16" x14ac:dyDescent="0.3">
      <c r="A1121" t="s">
        <v>6959</v>
      </c>
      <c r="C1121">
        <v>30</v>
      </c>
      <c r="D1121" t="s">
        <v>10</v>
      </c>
      <c r="F1121" s="43">
        <v>44972.583333333336</v>
      </c>
      <c r="G1121" s="43">
        <v>44972.604166666664</v>
      </c>
      <c r="H1121">
        <v>14</v>
      </c>
      <c r="I1121">
        <v>0</v>
      </c>
      <c r="J1121">
        <v>14</v>
      </c>
      <c r="K1121">
        <v>30</v>
      </c>
      <c r="L1121">
        <v>2023</v>
      </c>
      <c r="N1121" t="s">
        <v>47</v>
      </c>
      <c r="O1121" t="s">
        <v>47</v>
      </c>
      <c r="P1121" t="s">
        <v>7333</v>
      </c>
    </row>
    <row r="1122" spans="1:16" x14ac:dyDescent="0.3">
      <c r="A1122" t="s">
        <v>8</v>
      </c>
      <c r="C1122">
        <v>30</v>
      </c>
      <c r="D1122" t="s">
        <v>10</v>
      </c>
      <c r="F1122" s="43">
        <v>44972.5625</v>
      </c>
      <c r="G1122" s="43">
        <v>44972.583333333336</v>
      </c>
      <c r="H1122">
        <v>13</v>
      </c>
      <c r="I1122">
        <v>30</v>
      </c>
      <c r="J1122">
        <v>14</v>
      </c>
      <c r="K1122">
        <v>0</v>
      </c>
      <c r="L1122">
        <v>2023</v>
      </c>
      <c r="N1122" t="s">
        <v>47</v>
      </c>
      <c r="O1122" t="s">
        <v>47</v>
      </c>
      <c r="P1122" t="s">
        <v>7326</v>
      </c>
    </row>
    <row r="1123" spans="1:16" x14ac:dyDescent="0.3">
      <c r="A1123" t="s">
        <v>6974</v>
      </c>
      <c r="B1123" t="s">
        <v>31</v>
      </c>
      <c r="C1123">
        <v>30</v>
      </c>
      <c r="D1123" t="s">
        <v>10</v>
      </c>
      <c r="F1123" s="43">
        <v>44972.541666666664</v>
      </c>
      <c r="G1123" s="43">
        <v>44972.5625</v>
      </c>
      <c r="H1123">
        <v>13</v>
      </c>
      <c r="I1123">
        <v>0</v>
      </c>
      <c r="J1123">
        <v>13</v>
      </c>
      <c r="K1123">
        <v>30</v>
      </c>
      <c r="L1123">
        <v>2023</v>
      </c>
      <c r="N1123" t="s">
        <v>47</v>
      </c>
      <c r="O1123" t="s">
        <v>47</v>
      </c>
      <c r="P1123" t="s">
        <v>6975</v>
      </c>
    </row>
    <row r="1124" spans="1:16" x14ac:dyDescent="0.3">
      <c r="A1124" t="s">
        <v>7329</v>
      </c>
      <c r="C1124">
        <v>30</v>
      </c>
      <c r="D1124" t="s">
        <v>10</v>
      </c>
      <c r="F1124" s="43">
        <v>44972.520833333336</v>
      </c>
      <c r="G1124" s="43">
        <v>44972.541666666664</v>
      </c>
      <c r="H1124">
        <v>12</v>
      </c>
      <c r="I1124">
        <v>30</v>
      </c>
      <c r="J1124">
        <v>13</v>
      </c>
      <c r="K1124">
        <v>0</v>
      </c>
      <c r="L1124">
        <v>2023</v>
      </c>
      <c r="N1124" t="s">
        <v>47</v>
      </c>
      <c r="O1124" t="s">
        <v>47</v>
      </c>
      <c r="P1124" t="s">
        <v>7330</v>
      </c>
    </row>
    <row r="1125" spans="1:16" x14ac:dyDescent="0.3">
      <c r="A1125" t="s">
        <v>7327</v>
      </c>
      <c r="C1125">
        <v>30</v>
      </c>
      <c r="D1125" t="s">
        <v>10</v>
      </c>
      <c r="F1125" s="43">
        <v>44972.5</v>
      </c>
      <c r="G1125" s="43">
        <v>44972.520833333336</v>
      </c>
      <c r="H1125">
        <v>12</v>
      </c>
      <c r="I1125">
        <v>0</v>
      </c>
      <c r="J1125">
        <v>12</v>
      </c>
      <c r="K1125">
        <v>30</v>
      </c>
      <c r="L1125">
        <v>2023</v>
      </c>
      <c r="N1125" t="s">
        <v>47</v>
      </c>
      <c r="O1125" t="s">
        <v>47</v>
      </c>
      <c r="P1125" t="s">
        <v>7328</v>
      </c>
    </row>
    <row r="1126" spans="1:16" x14ac:dyDescent="0.3">
      <c r="A1126" t="s">
        <v>7302</v>
      </c>
      <c r="C1126">
        <v>60</v>
      </c>
      <c r="D1126" t="s">
        <v>10</v>
      </c>
      <c r="F1126" s="43">
        <v>44972.416666666664</v>
      </c>
      <c r="G1126" s="43">
        <v>44972.458333333336</v>
      </c>
      <c r="H1126">
        <v>10</v>
      </c>
      <c r="I1126">
        <v>0</v>
      </c>
      <c r="J1126">
        <v>11</v>
      </c>
      <c r="K1126">
        <v>0</v>
      </c>
      <c r="L1126">
        <v>2023</v>
      </c>
      <c r="N1126" t="s">
        <v>47</v>
      </c>
      <c r="O1126" t="s">
        <v>47</v>
      </c>
      <c r="P1126" t="s">
        <v>7303</v>
      </c>
    </row>
    <row r="1127" spans="1:16" x14ac:dyDescent="0.3">
      <c r="A1127" t="s">
        <v>7304</v>
      </c>
      <c r="C1127">
        <v>30</v>
      </c>
      <c r="D1127" t="s">
        <v>10</v>
      </c>
      <c r="F1127" s="43">
        <v>44972.3125</v>
      </c>
      <c r="G1127" s="43">
        <v>44972.333333333336</v>
      </c>
      <c r="H1127">
        <v>7</v>
      </c>
      <c r="I1127">
        <v>30</v>
      </c>
      <c r="J1127">
        <v>8</v>
      </c>
      <c r="K1127">
        <v>0</v>
      </c>
      <c r="L1127">
        <v>2023</v>
      </c>
      <c r="N1127" t="s">
        <v>47</v>
      </c>
      <c r="O1127" t="s">
        <v>47</v>
      </c>
      <c r="P1127" t="s">
        <v>7305</v>
      </c>
    </row>
    <row r="1128" spans="1:16" x14ac:dyDescent="0.3">
      <c r="A1128" t="s">
        <v>9</v>
      </c>
      <c r="C1128">
        <v>30</v>
      </c>
      <c r="D1128" t="s">
        <v>10</v>
      </c>
      <c r="F1128" s="43">
        <v>44971.75</v>
      </c>
      <c r="G1128" s="43">
        <v>44971.770833333336</v>
      </c>
      <c r="H1128">
        <v>18</v>
      </c>
      <c r="I1128">
        <v>0</v>
      </c>
      <c r="J1128">
        <v>18</v>
      </c>
      <c r="K1128">
        <v>30</v>
      </c>
      <c r="L1128">
        <v>2023</v>
      </c>
      <c r="N1128" t="s">
        <v>47</v>
      </c>
      <c r="O1128" t="s">
        <v>47</v>
      </c>
      <c r="P1128" t="s">
        <v>7296</v>
      </c>
    </row>
    <row r="1129" spans="1:16" x14ac:dyDescent="0.3">
      <c r="A1129" t="s">
        <v>7313</v>
      </c>
      <c r="B1129" t="s">
        <v>160</v>
      </c>
      <c r="C1129">
        <v>30</v>
      </c>
      <c r="D1129" t="s">
        <v>10</v>
      </c>
      <c r="E1129" t="s">
        <v>7314</v>
      </c>
      <c r="F1129" s="43">
        <v>44971.75</v>
      </c>
      <c r="G1129" s="43">
        <v>44971.770833333336</v>
      </c>
      <c r="H1129">
        <v>18</v>
      </c>
      <c r="I1129">
        <v>0</v>
      </c>
      <c r="J1129">
        <v>18</v>
      </c>
      <c r="K1129">
        <v>30</v>
      </c>
      <c r="L1129">
        <v>2023</v>
      </c>
      <c r="N1129" t="s">
        <v>47</v>
      </c>
      <c r="O1129" t="s">
        <v>47</v>
      </c>
      <c r="P1129" t="s">
        <v>7315</v>
      </c>
    </row>
    <row r="1130" spans="1:16" x14ac:dyDescent="0.3">
      <c r="A1130" t="s">
        <v>7316</v>
      </c>
      <c r="B1130" t="s">
        <v>223</v>
      </c>
      <c r="C1130">
        <v>35</v>
      </c>
      <c r="D1130" t="s">
        <v>10</v>
      </c>
      <c r="E1130" t="s">
        <v>7317</v>
      </c>
      <c r="F1130" s="43">
        <v>44971.697916666664</v>
      </c>
      <c r="G1130" s="43">
        <v>44971.722222222219</v>
      </c>
      <c r="H1130">
        <v>16</v>
      </c>
      <c r="I1130">
        <v>45</v>
      </c>
      <c r="J1130">
        <v>17</v>
      </c>
      <c r="K1130">
        <v>20</v>
      </c>
      <c r="L1130">
        <v>2023</v>
      </c>
      <c r="N1130" t="s">
        <v>47</v>
      </c>
      <c r="O1130" t="s">
        <v>47</v>
      </c>
      <c r="P1130" t="s">
        <v>7318</v>
      </c>
    </row>
    <row r="1131" spans="1:16" x14ac:dyDescent="0.3">
      <c r="A1131" t="s">
        <v>4452</v>
      </c>
      <c r="C1131">
        <v>30</v>
      </c>
      <c r="D1131" t="s">
        <v>10</v>
      </c>
      <c r="F1131" s="43">
        <v>44971.666666666664</v>
      </c>
      <c r="G1131" s="43">
        <v>44971.6875</v>
      </c>
      <c r="H1131">
        <v>16</v>
      </c>
      <c r="I1131">
        <v>0</v>
      </c>
      <c r="J1131">
        <v>16</v>
      </c>
      <c r="K1131">
        <v>30</v>
      </c>
      <c r="L1131">
        <v>2023</v>
      </c>
      <c r="N1131" t="s">
        <v>47</v>
      </c>
      <c r="O1131" t="s">
        <v>47</v>
      </c>
      <c r="P1131" t="s">
        <v>7319</v>
      </c>
    </row>
    <row r="1132" spans="1:16" x14ac:dyDescent="0.3">
      <c r="A1132" t="s">
        <v>7067</v>
      </c>
      <c r="B1132" t="s">
        <v>20</v>
      </c>
      <c r="C1132">
        <v>30</v>
      </c>
      <c r="D1132" t="s">
        <v>10</v>
      </c>
      <c r="E1132" t="s">
        <v>7068</v>
      </c>
      <c r="F1132" s="43">
        <v>44971.645833333336</v>
      </c>
      <c r="G1132" s="43">
        <v>44971.666666666664</v>
      </c>
      <c r="H1132">
        <v>15</v>
      </c>
      <c r="I1132">
        <v>30</v>
      </c>
      <c r="J1132">
        <v>16</v>
      </c>
      <c r="K1132">
        <v>0</v>
      </c>
      <c r="L1132">
        <v>2023</v>
      </c>
      <c r="N1132" t="s">
        <v>7069</v>
      </c>
      <c r="O1132" t="s">
        <v>7070</v>
      </c>
      <c r="P1132" t="s">
        <v>7071</v>
      </c>
    </row>
    <row r="1133" spans="1:16" x14ac:dyDescent="0.3">
      <c r="A1133" t="s">
        <v>7298</v>
      </c>
      <c r="B1133" t="s">
        <v>20</v>
      </c>
      <c r="C1133">
        <v>65</v>
      </c>
      <c r="D1133" t="s">
        <v>10</v>
      </c>
      <c r="E1133" t="s">
        <v>7299</v>
      </c>
      <c r="F1133" s="43">
        <v>44971.5625</v>
      </c>
      <c r="G1133" s="43">
        <v>44971.607638888891</v>
      </c>
      <c r="H1133">
        <v>13</v>
      </c>
      <c r="I1133">
        <v>30</v>
      </c>
      <c r="J1133">
        <v>14</v>
      </c>
      <c r="K1133">
        <v>35</v>
      </c>
      <c r="L1133">
        <v>2023</v>
      </c>
      <c r="N1133" t="s">
        <v>47</v>
      </c>
      <c r="O1133" t="s">
        <v>47</v>
      </c>
      <c r="P1133" t="s">
        <v>7301</v>
      </c>
    </row>
    <row r="1134" spans="1:16" x14ac:dyDescent="0.3">
      <c r="A1134" t="s">
        <v>7298</v>
      </c>
      <c r="B1134" t="s">
        <v>20</v>
      </c>
      <c r="C1134">
        <v>45</v>
      </c>
      <c r="D1134" t="s">
        <v>10</v>
      </c>
      <c r="E1134" t="s">
        <v>7299</v>
      </c>
      <c r="F1134" s="43">
        <v>44971.510416666664</v>
      </c>
      <c r="G1134" s="43">
        <v>44971.541666666664</v>
      </c>
      <c r="H1134">
        <v>12</v>
      </c>
      <c r="I1134">
        <v>15</v>
      </c>
      <c r="J1134">
        <v>13</v>
      </c>
      <c r="K1134">
        <v>0</v>
      </c>
      <c r="L1134">
        <v>2023</v>
      </c>
      <c r="N1134" t="s">
        <v>47</v>
      </c>
      <c r="O1134" t="s">
        <v>47</v>
      </c>
      <c r="P1134" t="s">
        <v>7300</v>
      </c>
    </row>
    <row r="1135" spans="1:16" x14ac:dyDescent="0.3">
      <c r="A1135" t="s">
        <v>4265</v>
      </c>
      <c r="C1135">
        <v>30</v>
      </c>
      <c r="D1135" t="s">
        <v>10</v>
      </c>
      <c r="F1135" s="43">
        <v>44971.479166666664</v>
      </c>
      <c r="G1135" s="43">
        <v>44971.5</v>
      </c>
      <c r="H1135">
        <v>11</v>
      </c>
      <c r="I1135">
        <v>30</v>
      </c>
      <c r="J1135">
        <v>12</v>
      </c>
      <c r="K1135">
        <v>0</v>
      </c>
      <c r="L1135">
        <v>2023</v>
      </c>
      <c r="N1135" t="s">
        <v>47</v>
      </c>
      <c r="O1135" t="s">
        <v>47</v>
      </c>
      <c r="P1135" t="s">
        <v>7285</v>
      </c>
    </row>
    <row r="1136" spans="1:16" x14ac:dyDescent="0.3">
      <c r="A1136" t="s">
        <v>7290</v>
      </c>
      <c r="B1136" t="s">
        <v>31</v>
      </c>
      <c r="C1136">
        <v>75</v>
      </c>
      <c r="D1136" t="s">
        <v>10</v>
      </c>
      <c r="F1136" s="43">
        <v>44971.40625</v>
      </c>
      <c r="G1136" s="43">
        <v>44971.458333333336</v>
      </c>
      <c r="H1136">
        <v>9</v>
      </c>
      <c r="I1136">
        <v>45</v>
      </c>
      <c r="J1136">
        <v>11</v>
      </c>
      <c r="K1136">
        <v>0</v>
      </c>
      <c r="L1136">
        <v>2023</v>
      </c>
      <c r="N1136" t="s">
        <v>47</v>
      </c>
      <c r="O1136" t="s">
        <v>47</v>
      </c>
      <c r="P1136" t="s">
        <v>7291</v>
      </c>
    </row>
    <row r="1137" spans="1:16" x14ac:dyDescent="0.3">
      <c r="A1137" t="s">
        <v>7287</v>
      </c>
      <c r="C1137">
        <v>30</v>
      </c>
      <c r="D1137" t="s">
        <v>10</v>
      </c>
      <c r="E1137" t="s">
        <v>7288</v>
      </c>
      <c r="F1137" s="43">
        <v>44971.375</v>
      </c>
      <c r="G1137" s="43">
        <v>44971.395833333336</v>
      </c>
      <c r="H1137">
        <v>9</v>
      </c>
      <c r="I1137">
        <v>0</v>
      </c>
      <c r="J1137">
        <v>9</v>
      </c>
      <c r="K1137">
        <v>30</v>
      </c>
      <c r="L1137">
        <v>2023</v>
      </c>
      <c r="N1137" t="s">
        <v>1153</v>
      </c>
      <c r="O1137" t="s">
        <v>48</v>
      </c>
      <c r="P1137" t="s">
        <v>7289</v>
      </c>
    </row>
    <row r="1138" spans="1:16" x14ac:dyDescent="0.3">
      <c r="A1138" t="s">
        <v>7208</v>
      </c>
      <c r="B1138" t="s">
        <v>20</v>
      </c>
      <c r="C1138">
        <v>15</v>
      </c>
      <c r="D1138" t="s">
        <v>10</v>
      </c>
      <c r="E1138" t="s">
        <v>6041</v>
      </c>
      <c r="F1138" s="43">
        <v>44971.364583333336</v>
      </c>
      <c r="G1138" s="43">
        <v>44971.375</v>
      </c>
      <c r="H1138">
        <v>8</v>
      </c>
      <c r="I1138">
        <v>45</v>
      </c>
      <c r="J1138">
        <v>9</v>
      </c>
      <c r="K1138">
        <v>0</v>
      </c>
      <c r="L1138">
        <v>2023</v>
      </c>
      <c r="N1138" t="s">
        <v>7209</v>
      </c>
      <c r="O1138" t="s">
        <v>7210</v>
      </c>
      <c r="P1138" t="s">
        <v>7211</v>
      </c>
    </row>
    <row r="1139" spans="1:16" x14ac:dyDescent="0.3">
      <c r="A1139" t="s">
        <v>152</v>
      </c>
      <c r="C1139">
        <v>30</v>
      </c>
      <c r="D1139" t="s">
        <v>10</v>
      </c>
      <c r="F1139" s="43">
        <v>44971.333333333336</v>
      </c>
      <c r="G1139" s="43">
        <v>44971.354166666664</v>
      </c>
      <c r="H1139">
        <v>8</v>
      </c>
      <c r="I1139">
        <v>0</v>
      </c>
      <c r="J1139">
        <v>8</v>
      </c>
      <c r="K1139">
        <v>30</v>
      </c>
      <c r="L1139">
        <v>2023</v>
      </c>
      <c r="N1139" t="s">
        <v>47</v>
      </c>
      <c r="O1139" t="s">
        <v>47</v>
      </c>
      <c r="P1139" t="s">
        <v>7286</v>
      </c>
    </row>
    <row r="1140" spans="1:16" x14ac:dyDescent="0.3">
      <c r="A1140" t="s">
        <v>7293</v>
      </c>
      <c r="C1140">
        <v>30</v>
      </c>
      <c r="D1140" t="s">
        <v>10</v>
      </c>
      <c r="E1140" t="s">
        <v>501</v>
      </c>
      <c r="F1140" s="43">
        <v>44971.3125</v>
      </c>
      <c r="G1140" s="43">
        <v>44971.333333333336</v>
      </c>
      <c r="H1140">
        <v>7</v>
      </c>
      <c r="I1140">
        <v>30</v>
      </c>
      <c r="J1140">
        <v>8</v>
      </c>
      <c r="K1140">
        <v>0</v>
      </c>
      <c r="L1140">
        <v>2023</v>
      </c>
      <c r="N1140" t="s">
        <v>4629</v>
      </c>
      <c r="O1140" t="s">
        <v>47</v>
      </c>
      <c r="P1140" t="s">
        <v>7294</v>
      </c>
    </row>
    <row r="1141" spans="1:16" x14ac:dyDescent="0.3">
      <c r="A1141" t="s">
        <v>731</v>
      </c>
      <c r="C1141">
        <v>70</v>
      </c>
      <c r="D1141" t="s">
        <v>10</v>
      </c>
      <c r="F1141" s="43">
        <v>44970.75</v>
      </c>
      <c r="G1141" s="43">
        <v>44970.798611111109</v>
      </c>
      <c r="H1141">
        <v>18</v>
      </c>
      <c r="I1141">
        <v>0</v>
      </c>
      <c r="J1141">
        <v>19</v>
      </c>
      <c r="K1141">
        <v>10</v>
      </c>
      <c r="L1141">
        <v>2023</v>
      </c>
      <c r="N1141" t="s">
        <v>47</v>
      </c>
      <c r="O1141" t="s">
        <v>47</v>
      </c>
      <c r="P1141" t="s">
        <v>7292</v>
      </c>
    </row>
    <row r="1142" spans="1:16" x14ac:dyDescent="0.3">
      <c r="A1142" t="s">
        <v>731</v>
      </c>
      <c r="C1142">
        <v>30</v>
      </c>
      <c r="D1142" t="s">
        <v>10</v>
      </c>
      <c r="F1142" s="43">
        <v>44970.708333333336</v>
      </c>
      <c r="G1142" s="43">
        <v>44970.729166666664</v>
      </c>
      <c r="H1142">
        <v>17</v>
      </c>
      <c r="I1142">
        <v>0</v>
      </c>
      <c r="J1142">
        <v>17</v>
      </c>
      <c r="K1142">
        <v>30</v>
      </c>
      <c r="L1142">
        <v>2023</v>
      </c>
      <c r="N1142" t="s">
        <v>47</v>
      </c>
      <c r="O1142" t="s">
        <v>47</v>
      </c>
      <c r="P1142" t="s">
        <v>7295</v>
      </c>
    </row>
    <row r="1143" spans="1:16" x14ac:dyDescent="0.3">
      <c r="A1143" t="s">
        <v>7281</v>
      </c>
      <c r="C1143">
        <v>30</v>
      </c>
      <c r="D1143" t="s">
        <v>10</v>
      </c>
      <c r="F1143" s="43">
        <v>44970.666666666664</v>
      </c>
      <c r="G1143" s="43">
        <v>44970.6875</v>
      </c>
      <c r="H1143">
        <v>16</v>
      </c>
      <c r="I1143">
        <v>0</v>
      </c>
      <c r="J1143">
        <v>16</v>
      </c>
      <c r="K1143">
        <v>30</v>
      </c>
      <c r="L1143">
        <v>2023</v>
      </c>
      <c r="N1143" t="s">
        <v>75</v>
      </c>
      <c r="O1143" t="s">
        <v>49</v>
      </c>
      <c r="P1143" t="s">
        <v>7282</v>
      </c>
    </row>
    <row r="1144" spans="1:16" x14ac:dyDescent="0.3">
      <c r="A1144" t="s">
        <v>8</v>
      </c>
      <c r="C1144">
        <v>30</v>
      </c>
      <c r="D1144" t="s">
        <v>10</v>
      </c>
      <c r="F1144" s="43">
        <v>44970.645833333336</v>
      </c>
      <c r="G1144" s="43">
        <v>44970.666666666664</v>
      </c>
      <c r="H1144">
        <v>15</v>
      </c>
      <c r="I1144">
        <v>30</v>
      </c>
      <c r="J1144">
        <v>16</v>
      </c>
      <c r="K1144">
        <v>0</v>
      </c>
      <c r="L1144">
        <v>2023</v>
      </c>
      <c r="N1144" t="s">
        <v>47</v>
      </c>
      <c r="O1144" t="s">
        <v>47</v>
      </c>
      <c r="P1144" t="s">
        <v>7297</v>
      </c>
    </row>
    <row r="1145" spans="1:16" x14ac:dyDescent="0.3">
      <c r="A1145" t="s">
        <v>7283</v>
      </c>
      <c r="C1145">
        <v>30</v>
      </c>
      <c r="D1145" t="s">
        <v>10</v>
      </c>
      <c r="F1145" s="43">
        <v>44970.5625</v>
      </c>
      <c r="G1145" s="43">
        <v>44970.583333333336</v>
      </c>
      <c r="H1145">
        <v>13</v>
      </c>
      <c r="I1145">
        <v>30</v>
      </c>
      <c r="J1145">
        <v>14</v>
      </c>
      <c r="K1145">
        <v>0</v>
      </c>
      <c r="L1145">
        <v>2023</v>
      </c>
      <c r="N1145" t="s">
        <v>47</v>
      </c>
      <c r="O1145" t="s">
        <v>47</v>
      </c>
      <c r="P1145" t="s">
        <v>7284</v>
      </c>
    </row>
    <row r="1146" spans="1:16" x14ac:dyDescent="0.3">
      <c r="A1146" t="s">
        <v>731</v>
      </c>
      <c r="B1146" t="s">
        <v>6</v>
      </c>
      <c r="C1146">
        <v>30</v>
      </c>
      <c r="D1146" t="s">
        <v>10</v>
      </c>
      <c r="E1146" t="s">
        <v>7255</v>
      </c>
      <c r="F1146" s="43">
        <v>44970.541666666664</v>
      </c>
      <c r="G1146" s="43">
        <v>44970.5625</v>
      </c>
      <c r="H1146">
        <v>13</v>
      </c>
      <c r="I1146">
        <v>0</v>
      </c>
      <c r="J1146">
        <v>13</v>
      </c>
      <c r="K1146">
        <v>30</v>
      </c>
      <c r="L1146">
        <v>2023</v>
      </c>
      <c r="N1146" t="s">
        <v>47</v>
      </c>
      <c r="O1146" t="s">
        <v>47</v>
      </c>
      <c r="P1146" t="s">
        <v>7276</v>
      </c>
    </row>
    <row r="1147" spans="1:16" x14ac:dyDescent="0.3">
      <c r="A1147" t="s">
        <v>731</v>
      </c>
      <c r="B1147" t="s">
        <v>6</v>
      </c>
      <c r="C1147">
        <v>40</v>
      </c>
      <c r="D1147" t="s">
        <v>10</v>
      </c>
      <c r="E1147" t="s">
        <v>7255</v>
      </c>
      <c r="F1147" s="43">
        <v>44970.5</v>
      </c>
      <c r="G1147" s="43">
        <v>44970.527777777781</v>
      </c>
      <c r="H1147">
        <v>12</v>
      </c>
      <c r="I1147">
        <v>0</v>
      </c>
      <c r="J1147">
        <v>12</v>
      </c>
      <c r="K1147">
        <v>40</v>
      </c>
      <c r="L1147">
        <v>2023</v>
      </c>
      <c r="N1147" t="s">
        <v>47</v>
      </c>
      <c r="O1147" t="s">
        <v>47</v>
      </c>
      <c r="P1147" t="s">
        <v>7256</v>
      </c>
    </row>
    <row r="1148" spans="1:16" x14ac:dyDescent="0.3">
      <c r="A1148" t="s">
        <v>17</v>
      </c>
      <c r="C1148">
        <v>30</v>
      </c>
      <c r="D1148" t="s">
        <v>10</v>
      </c>
      <c r="F1148" s="43">
        <v>44970.479166666664</v>
      </c>
      <c r="G1148" s="43">
        <v>44970.5</v>
      </c>
      <c r="H1148">
        <v>11</v>
      </c>
      <c r="I1148">
        <v>30</v>
      </c>
      <c r="J1148">
        <v>12</v>
      </c>
      <c r="K1148">
        <v>0</v>
      </c>
      <c r="L1148">
        <v>2023</v>
      </c>
      <c r="N1148" t="s">
        <v>47</v>
      </c>
      <c r="O1148" t="s">
        <v>47</v>
      </c>
      <c r="P1148" t="s">
        <v>7260</v>
      </c>
    </row>
    <row r="1149" spans="1:16" x14ac:dyDescent="0.3">
      <c r="A1149" t="s">
        <v>7107</v>
      </c>
      <c r="B1149" t="s">
        <v>20</v>
      </c>
      <c r="C1149">
        <v>30</v>
      </c>
      <c r="D1149" t="s">
        <v>10</v>
      </c>
      <c r="F1149" s="43">
        <v>44970.458333333336</v>
      </c>
      <c r="G1149" s="43">
        <v>44970.479166666664</v>
      </c>
      <c r="H1149">
        <v>11</v>
      </c>
      <c r="I1149">
        <v>0</v>
      </c>
      <c r="J1149">
        <v>11</v>
      </c>
      <c r="K1149">
        <v>30</v>
      </c>
      <c r="L1149">
        <v>2023</v>
      </c>
      <c r="N1149" t="s">
        <v>7108</v>
      </c>
      <c r="O1149" t="s">
        <v>1129</v>
      </c>
      <c r="P1149" t="s">
        <v>7109</v>
      </c>
    </row>
    <row r="1150" spans="1:16" x14ac:dyDescent="0.3">
      <c r="A1150" t="s">
        <v>7110</v>
      </c>
      <c r="B1150" t="s">
        <v>20</v>
      </c>
      <c r="C1150">
        <v>45</v>
      </c>
      <c r="D1150" t="s">
        <v>10</v>
      </c>
      <c r="E1150" t="s">
        <v>7111</v>
      </c>
      <c r="F1150" s="43">
        <v>44970.385416666664</v>
      </c>
      <c r="G1150" s="43">
        <v>44970.416666666664</v>
      </c>
      <c r="H1150">
        <v>9</v>
      </c>
      <c r="I1150">
        <v>15</v>
      </c>
      <c r="J1150">
        <v>10</v>
      </c>
      <c r="K1150">
        <v>0</v>
      </c>
      <c r="L1150">
        <v>2023</v>
      </c>
      <c r="N1150" t="s">
        <v>7112</v>
      </c>
      <c r="O1150" t="s">
        <v>48</v>
      </c>
      <c r="P1150" t="s">
        <v>7113</v>
      </c>
    </row>
    <row r="1151" spans="1:16" x14ac:dyDescent="0.3">
      <c r="A1151" t="s">
        <v>7277</v>
      </c>
      <c r="B1151" t="s">
        <v>20</v>
      </c>
      <c r="C1151">
        <v>60</v>
      </c>
      <c r="D1151" t="s">
        <v>10</v>
      </c>
      <c r="E1151" t="s">
        <v>7278</v>
      </c>
      <c r="F1151" s="43">
        <v>44970.333333333336</v>
      </c>
      <c r="G1151" s="43">
        <v>44970.375</v>
      </c>
      <c r="H1151">
        <v>8</v>
      </c>
      <c r="I1151">
        <v>0</v>
      </c>
      <c r="J1151">
        <v>9</v>
      </c>
      <c r="K1151">
        <v>0</v>
      </c>
      <c r="L1151">
        <v>2023</v>
      </c>
      <c r="N1151" t="s">
        <v>7279</v>
      </c>
      <c r="O1151" t="s">
        <v>73</v>
      </c>
      <c r="P1151" t="s">
        <v>7280</v>
      </c>
    </row>
    <row r="1152" spans="1:16" x14ac:dyDescent="0.3">
      <c r="A1152" t="s">
        <v>7262</v>
      </c>
      <c r="C1152">
        <v>20</v>
      </c>
      <c r="D1152" t="s">
        <v>10</v>
      </c>
      <c r="E1152" t="s">
        <v>501</v>
      </c>
      <c r="F1152" s="43">
        <v>44970.319444444445</v>
      </c>
      <c r="G1152" s="43">
        <v>44970.333333333336</v>
      </c>
      <c r="H1152">
        <v>7</v>
      </c>
      <c r="I1152">
        <v>40</v>
      </c>
      <c r="J1152">
        <v>8</v>
      </c>
      <c r="K1152">
        <v>0</v>
      </c>
      <c r="L1152">
        <v>2023</v>
      </c>
      <c r="N1152" t="s">
        <v>4629</v>
      </c>
      <c r="O1152" t="s">
        <v>47</v>
      </c>
      <c r="P1152" t="s">
        <v>7263</v>
      </c>
    </row>
    <row r="1153" spans="1:16" x14ac:dyDescent="0.3">
      <c r="A1153" t="s">
        <v>8</v>
      </c>
      <c r="C1153">
        <v>30</v>
      </c>
      <c r="D1153" t="s">
        <v>10</v>
      </c>
      <c r="F1153" s="43">
        <v>44970.25</v>
      </c>
      <c r="G1153" s="43">
        <v>44970.270833333336</v>
      </c>
      <c r="H1153">
        <v>6</v>
      </c>
      <c r="I1153">
        <v>0</v>
      </c>
      <c r="J1153">
        <v>6</v>
      </c>
      <c r="K1153">
        <v>30</v>
      </c>
      <c r="L1153">
        <v>2023</v>
      </c>
      <c r="N1153" t="s">
        <v>47</v>
      </c>
      <c r="O1153" t="s">
        <v>47</v>
      </c>
      <c r="P1153" t="s">
        <v>7261</v>
      </c>
    </row>
    <row r="1154" spans="1:16" x14ac:dyDescent="0.3">
      <c r="A1154" t="s">
        <v>731</v>
      </c>
      <c r="B1154" t="s">
        <v>6</v>
      </c>
      <c r="C1154">
        <v>40</v>
      </c>
      <c r="D1154" t="s">
        <v>10</v>
      </c>
      <c r="E1154" t="s">
        <v>7249</v>
      </c>
      <c r="F1154" s="43">
        <v>44969.763888888891</v>
      </c>
      <c r="G1154" s="43">
        <v>44969.791666666664</v>
      </c>
      <c r="H1154">
        <v>18</v>
      </c>
      <c r="I1154">
        <v>20</v>
      </c>
      <c r="J1154">
        <v>19</v>
      </c>
      <c r="K1154">
        <v>0</v>
      </c>
      <c r="L1154">
        <v>2023</v>
      </c>
      <c r="N1154" t="s">
        <v>47</v>
      </c>
      <c r="O1154" t="s">
        <v>47</v>
      </c>
      <c r="P1154" t="s">
        <v>7272</v>
      </c>
    </row>
    <row r="1155" spans="1:16" x14ac:dyDescent="0.3">
      <c r="A1155" t="s">
        <v>731</v>
      </c>
      <c r="B1155" t="s">
        <v>6</v>
      </c>
      <c r="C1155">
        <v>30</v>
      </c>
      <c r="D1155" t="s">
        <v>10</v>
      </c>
      <c r="E1155" t="s">
        <v>7249</v>
      </c>
      <c r="F1155" s="43">
        <v>44969.666666666664</v>
      </c>
      <c r="G1155" s="43">
        <v>44969.6875</v>
      </c>
      <c r="H1155">
        <v>16</v>
      </c>
      <c r="I1155">
        <v>0</v>
      </c>
      <c r="J1155">
        <v>16</v>
      </c>
      <c r="K1155">
        <v>30</v>
      </c>
      <c r="L1155">
        <v>2023</v>
      </c>
      <c r="N1155" t="s">
        <v>47</v>
      </c>
      <c r="O1155" t="s">
        <v>47</v>
      </c>
      <c r="P1155" t="s">
        <v>7273</v>
      </c>
    </row>
    <row r="1156" spans="1:16" ht="28.8" x14ac:dyDescent="0.3">
      <c r="A1156" t="s">
        <v>731</v>
      </c>
      <c r="B1156" t="s">
        <v>6</v>
      </c>
      <c r="C1156">
        <v>15</v>
      </c>
      <c r="D1156" t="s">
        <v>10</v>
      </c>
      <c r="E1156" s="44" t="s">
        <v>7255</v>
      </c>
      <c r="F1156" s="43">
        <v>44969.635416666664</v>
      </c>
      <c r="G1156" s="43">
        <v>44969.645833333336</v>
      </c>
      <c r="H1156">
        <v>15</v>
      </c>
      <c r="I1156">
        <v>15</v>
      </c>
      <c r="J1156">
        <v>15</v>
      </c>
      <c r="K1156">
        <v>30</v>
      </c>
      <c r="L1156">
        <v>2023</v>
      </c>
      <c r="N1156" t="s">
        <v>47</v>
      </c>
      <c r="O1156" t="s">
        <v>47</v>
      </c>
      <c r="P1156" t="s">
        <v>7274</v>
      </c>
    </row>
    <row r="1157" spans="1:16" x14ac:dyDescent="0.3">
      <c r="A1157" t="s">
        <v>731</v>
      </c>
      <c r="B1157" t="s">
        <v>6</v>
      </c>
      <c r="C1157">
        <v>60</v>
      </c>
      <c r="D1157" t="s">
        <v>10</v>
      </c>
      <c r="E1157" t="s">
        <v>7255</v>
      </c>
      <c r="F1157" s="43">
        <v>44969.541666666664</v>
      </c>
      <c r="G1157" s="43">
        <v>44969.583333333336</v>
      </c>
      <c r="H1157">
        <v>13</v>
      </c>
      <c r="I1157">
        <v>0</v>
      </c>
      <c r="J1157">
        <v>14</v>
      </c>
      <c r="K1157">
        <v>0</v>
      </c>
      <c r="L1157">
        <v>2023</v>
      </c>
      <c r="N1157" t="s">
        <v>47</v>
      </c>
      <c r="O1157" t="s">
        <v>47</v>
      </c>
      <c r="P1157" t="s">
        <v>7275</v>
      </c>
    </row>
    <row r="1158" spans="1:16" x14ac:dyDescent="0.3">
      <c r="A1158" t="s">
        <v>731</v>
      </c>
      <c r="B1158" t="s">
        <v>6</v>
      </c>
      <c r="C1158">
        <v>60</v>
      </c>
      <c r="D1158" t="s">
        <v>10</v>
      </c>
      <c r="E1158" t="s">
        <v>7249</v>
      </c>
      <c r="F1158" s="43">
        <v>44969.395833333336</v>
      </c>
      <c r="G1158" s="43">
        <v>44969.4375</v>
      </c>
      <c r="H1158">
        <v>9</v>
      </c>
      <c r="I1158">
        <v>30</v>
      </c>
      <c r="J1158">
        <v>10</v>
      </c>
      <c r="K1158">
        <v>30</v>
      </c>
      <c r="L1158">
        <v>2023</v>
      </c>
      <c r="N1158" t="s">
        <v>47</v>
      </c>
      <c r="O1158" t="s">
        <v>47</v>
      </c>
      <c r="P1158" t="s">
        <v>7254</v>
      </c>
    </row>
    <row r="1159" spans="1:16" x14ac:dyDescent="0.3">
      <c r="A1159" t="s">
        <v>4265</v>
      </c>
      <c r="B1159" t="s">
        <v>6</v>
      </c>
      <c r="C1159">
        <v>45</v>
      </c>
      <c r="D1159" t="s">
        <v>10</v>
      </c>
      <c r="E1159" t="s">
        <v>7249</v>
      </c>
      <c r="F1159" s="43">
        <v>44969.25</v>
      </c>
      <c r="G1159" s="43">
        <v>44969.28125</v>
      </c>
      <c r="H1159">
        <v>6</v>
      </c>
      <c r="I1159">
        <v>0</v>
      </c>
      <c r="J1159">
        <v>6</v>
      </c>
      <c r="K1159">
        <v>45</v>
      </c>
      <c r="L1159">
        <v>2023</v>
      </c>
      <c r="N1159" t="s">
        <v>47</v>
      </c>
      <c r="O1159" t="s">
        <v>47</v>
      </c>
      <c r="P1159" t="s">
        <v>7250</v>
      </c>
    </row>
    <row r="1160" spans="1:16" x14ac:dyDescent="0.3">
      <c r="A1160" t="s">
        <v>4265</v>
      </c>
      <c r="C1160">
        <v>20</v>
      </c>
      <c r="D1160" t="s">
        <v>10</v>
      </c>
      <c r="F1160" s="43">
        <v>44968.854166666664</v>
      </c>
      <c r="G1160" s="43">
        <v>44968.868055555555</v>
      </c>
      <c r="H1160">
        <v>20</v>
      </c>
      <c r="I1160">
        <v>30</v>
      </c>
      <c r="J1160">
        <v>20</v>
      </c>
      <c r="K1160">
        <v>50</v>
      </c>
      <c r="L1160">
        <v>2023</v>
      </c>
      <c r="N1160" t="s">
        <v>47</v>
      </c>
      <c r="O1160" t="s">
        <v>47</v>
      </c>
      <c r="P1160" t="s">
        <v>7251</v>
      </c>
    </row>
    <row r="1161" spans="1:16" x14ac:dyDescent="0.3">
      <c r="A1161" t="s">
        <v>4265</v>
      </c>
      <c r="C1161">
        <v>30</v>
      </c>
      <c r="D1161" t="s">
        <v>10</v>
      </c>
      <c r="F1161" s="43">
        <v>44968.75</v>
      </c>
      <c r="G1161" s="43">
        <v>44968.770833333336</v>
      </c>
      <c r="H1161">
        <v>18</v>
      </c>
      <c r="I1161">
        <v>0</v>
      </c>
      <c r="J1161">
        <v>18</v>
      </c>
      <c r="K1161">
        <v>30</v>
      </c>
      <c r="L1161">
        <v>2023</v>
      </c>
      <c r="N1161" t="s">
        <v>47</v>
      </c>
      <c r="O1161" t="s">
        <v>47</v>
      </c>
      <c r="P1161" t="s">
        <v>7252</v>
      </c>
    </row>
    <row r="1162" spans="1:16" x14ac:dyDescent="0.3">
      <c r="A1162" t="s">
        <v>4265</v>
      </c>
      <c r="C1162">
        <v>90</v>
      </c>
      <c r="D1162" t="s">
        <v>10</v>
      </c>
      <c r="F1162" s="43">
        <v>44968.645833333336</v>
      </c>
      <c r="G1162" s="43">
        <v>44968.708333333336</v>
      </c>
      <c r="H1162">
        <v>15</v>
      </c>
      <c r="I1162">
        <v>30</v>
      </c>
      <c r="J1162">
        <v>17</v>
      </c>
      <c r="K1162">
        <v>0</v>
      </c>
      <c r="L1162">
        <v>2023</v>
      </c>
      <c r="N1162" t="s">
        <v>47</v>
      </c>
      <c r="O1162" t="s">
        <v>47</v>
      </c>
      <c r="P1162" t="s">
        <v>7253</v>
      </c>
    </row>
    <row r="1163" spans="1:16" x14ac:dyDescent="0.3">
      <c r="A1163" t="s">
        <v>4265</v>
      </c>
      <c r="C1163">
        <v>90</v>
      </c>
      <c r="D1163" t="s">
        <v>10</v>
      </c>
      <c r="F1163" s="43">
        <v>44968.541666666664</v>
      </c>
      <c r="G1163" s="43">
        <v>44968.604166666664</v>
      </c>
      <c r="H1163">
        <v>13</v>
      </c>
      <c r="I1163">
        <v>0</v>
      </c>
      <c r="J1163">
        <v>14</v>
      </c>
      <c r="K1163">
        <v>30</v>
      </c>
      <c r="L1163">
        <v>2023</v>
      </c>
      <c r="N1163" t="s">
        <v>47</v>
      </c>
      <c r="O1163" t="s">
        <v>47</v>
      </c>
      <c r="P1163" t="s">
        <v>7248</v>
      </c>
    </row>
    <row r="1164" spans="1:16" x14ac:dyDescent="0.3">
      <c r="A1164" t="s">
        <v>4265</v>
      </c>
      <c r="C1164">
        <v>90</v>
      </c>
      <c r="D1164" t="s">
        <v>10</v>
      </c>
      <c r="F1164" s="43">
        <v>44968.416666666664</v>
      </c>
      <c r="G1164" s="43">
        <v>44968.479166666664</v>
      </c>
      <c r="H1164">
        <v>10</v>
      </c>
      <c r="I1164">
        <v>0</v>
      </c>
      <c r="J1164">
        <v>11</v>
      </c>
      <c r="K1164">
        <v>30</v>
      </c>
      <c r="L1164">
        <v>2023</v>
      </c>
      <c r="N1164" t="s">
        <v>47</v>
      </c>
      <c r="O1164" t="s">
        <v>47</v>
      </c>
      <c r="P1164" t="s">
        <v>7247</v>
      </c>
    </row>
    <row r="1165" spans="1:16" x14ac:dyDescent="0.3">
      <c r="A1165" t="s">
        <v>4265</v>
      </c>
      <c r="C1165">
        <v>60</v>
      </c>
      <c r="D1165" t="s">
        <v>10</v>
      </c>
      <c r="F1165" s="43">
        <v>44968.267361111109</v>
      </c>
      <c r="G1165" s="43">
        <v>44968.309027777781</v>
      </c>
      <c r="H1165">
        <v>6</v>
      </c>
      <c r="I1165">
        <v>25</v>
      </c>
      <c r="J1165">
        <v>7</v>
      </c>
      <c r="K1165">
        <v>25</v>
      </c>
      <c r="L1165">
        <v>2023</v>
      </c>
      <c r="N1165" t="s">
        <v>47</v>
      </c>
      <c r="O1165" t="s">
        <v>47</v>
      </c>
      <c r="P1165" t="s">
        <v>7244</v>
      </c>
    </row>
    <row r="1166" spans="1:16" x14ac:dyDescent="0.3">
      <c r="A1166" t="s">
        <v>7245</v>
      </c>
      <c r="C1166">
        <v>80</v>
      </c>
      <c r="D1166" t="s">
        <v>10</v>
      </c>
      <c r="F1166" s="43">
        <v>44967.75</v>
      </c>
      <c r="G1166" s="43">
        <v>44967.805555555555</v>
      </c>
      <c r="H1166">
        <v>18</v>
      </c>
      <c r="I1166">
        <v>0</v>
      </c>
      <c r="J1166">
        <v>19</v>
      </c>
      <c r="K1166">
        <v>20</v>
      </c>
      <c r="L1166">
        <v>2023</v>
      </c>
      <c r="N1166" t="s">
        <v>47</v>
      </c>
      <c r="O1166" t="s">
        <v>47</v>
      </c>
      <c r="P1166" t="s">
        <v>7246</v>
      </c>
    </row>
    <row r="1167" spans="1:16" x14ac:dyDescent="0.3">
      <c r="A1167" t="s">
        <v>8</v>
      </c>
      <c r="C1167">
        <v>50</v>
      </c>
      <c r="D1167" t="s">
        <v>10</v>
      </c>
      <c r="F1167" s="43">
        <v>44967.659722222219</v>
      </c>
      <c r="G1167" s="43">
        <v>44967.694444444445</v>
      </c>
      <c r="H1167">
        <v>15</v>
      </c>
      <c r="I1167">
        <v>50</v>
      </c>
      <c r="J1167">
        <v>16</v>
      </c>
      <c r="K1167">
        <v>40</v>
      </c>
      <c r="L1167">
        <v>2023</v>
      </c>
      <c r="N1167" t="s">
        <v>47</v>
      </c>
      <c r="O1167" t="s">
        <v>47</v>
      </c>
      <c r="P1167" t="s">
        <v>7243</v>
      </c>
    </row>
    <row r="1168" spans="1:16" x14ac:dyDescent="0.3">
      <c r="A1168" t="s">
        <v>9</v>
      </c>
      <c r="C1168">
        <v>30</v>
      </c>
      <c r="D1168" t="s">
        <v>10</v>
      </c>
      <c r="F1168" s="43">
        <v>44967.604166666664</v>
      </c>
      <c r="G1168" s="43">
        <v>44967.625</v>
      </c>
      <c r="H1168">
        <v>14</v>
      </c>
      <c r="I1168">
        <v>30</v>
      </c>
      <c r="J1168">
        <v>15</v>
      </c>
      <c r="K1168">
        <v>0</v>
      </c>
      <c r="L1168">
        <v>2023</v>
      </c>
      <c r="N1168" t="s">
        <v>47</v>
      </c>
      <c r="O1168" t="s">
        <v>47</v>
      </c>
      <c r="P1168" t="s">
        <v>7242</v>
      </c>
    </row>
    <row r="1169" spans="1:16" x14ac:dyDescent="0.3">
      <c r="A1169" t="s">
        <v>7230</v>
      </c>
      <c r="C1169">
        <v>30</v>
      </c>
      <c r="D1169" t="s">
        <v>10</v>
      </c>
      <c r="F1169" s="43">
        <v>44967.583333333336</v>
      </c>
      <c r="G1169" s="43">
        <v>44967.604166666664</v>
      </c>
      <c r="H1169">
        <v>14</v>
      </c>
      <c r="I1169">
        <v>0</v>
      </c>
      <c r="J1169">
        <v>14</v>
      </c>
      <c r="K1169">
        <v>30</v>
      </c>
      <c r="L1169">
        <v>2023</v>
      </c>
      <c r="N1169" t="s">
        <v>7231</v>
      </c>
      <c r="O1169" t="s">
        <v>885</v>
      </c>
      <c r="P1169" t="s">
        <v>7232</v>
      </c>
    </row>
    <row r="1170" spans="1:16" x14ac:dyDescent="0.3">
      <c r="A1170" t="s">
        <v>7240</v>
      </c>
      <c r="C1170">
        <v>30</v>
      </c>
      <c r="D1170" t="s">
        <v>10</v>
      </c>
      <c r="F1170" s="43">
        <v>44967.5625</v>
      </c>
      <c r="G1170" s="43">
        <v>44967.583333333336</v>
      </c>
      <c r="H1170">
        <v>13</v>
      </c>
      <c r="I1170">
        <v>30</v>
      </c>
      <c r="J1170">
        <v>14</v>
      </c>
      <c r="K1170">
        <v>0</v>
      </c>
      <c r="L1170">
        <v>2023</v>
      </c>
      <c r="N1170" t="s">
        <v>47</v>
      </c>
      <c r="O1170" t="s">
        <v>47</v>
      </c>
      <c r="P1170" t="s">
        <v>7241</v>
      </c>
    </row>
    <row r="1171" spans="1:16" x14ac:dyDescent="0.3">
      <c r="A1171" t="s">
        <v>1205</v>
      </c>
      <c r="C1171">
        <v>30</v>
      </c>
      <c r="D1171" t="s">
        <v>10</v>
      </c>
      <c r="F1171" s="43">
        <v>44967.520833333336</v>
      </c>
      <c r="G1171" s="43">
        <v>44967.541666666664</v>
      </c>
      <c r="H1171">
        <v>12</v>
      </c>
      <c r="I1171">
        <v>30</v>
      </c>
      <c r="J1171">
        <v>13</v>
      </c>
      <c r="K1171">
        <v>0</v>
      </c>
      <c r="L1171">
        <v>2023</v>
      </c>
      <c r="N1171" t="s">
        <v>47</v>
      </c>
      <c r="O1171" t="s">
        <v>47</v>
      </c>
      <c r="P1171" t="s">
        <v>7207</v>
      </c>
    </row>
    <row r="1172" spans="1:16" x14ac:dyDescent="0.3">
      <c r="A1172" t="s">
        <v>7127</v>
      </c>
      <c r="B1172" t="s">
        <v>20</v>
      </c>
      <c r="C1172">
        <v>30</v>
      </c>
      <c r="D1172" t="s">
        <v>10</v>
      </c>
      <c r="E1172" t="s">
        <v>7128</v>
      </c>
      <c r="F1172" s="43">
        <v>44967.5</v>
      </c>
      <c r="G1172" s="43">
        <v>44967.520833333336</v>
      </c>
      <c r="H1172">
        <v>12</v>
      </c>
      <c r="I1172">
        <v>0</v>
      </c>
      <c r="J1172">
        <v>12</v>
      </c>
      <c r="K1172">
        <v>30</v>
      </c>
      <c r="L1172">
        <v>2023</v>
      </c>
      <c r="N1172" t="s">
        <v>7129</v>
      </c>
      <c r="O1172" t="s">
        <v>48</v>
      </c>
      <c r="P1172" t="s">
        <v>7130</v>
      </c>
    </row>
    <row r="1173" spans="1:16" x14ac:dyDescent="0.3">
      <c r="A1173" t="s">
        <v>8</v>
      </c>
      <c r="C1173">
        <v>30</v>
      </c>
      <c r="D1173" t="s">
        <v>10</v>
      </c>
      <c r="F1173" s="43">
        <v>44967.458333333336</v>
      </c>
      <c r="G1173" s="43">
        <v>44967.479166666664</v>
      </c>
      <c r="H1173">
        <v>11</v>
      </c>
      <c r="I1173">
        <v>0</v>
      </c>
      <c r="J1173">
        <v>11</v>
      </c>
      <c r="K1173">
        <v>30</v>
      </c>
      <c r="L1173">
        <v>2023</v>
      </c>
      <c r="N1173" t="s">
        <v>47</v>
      </c>
      <c r="O1173" t="s">
        <v>47</v>
      </c>
      <c r="P1173" t="s">
        <v>7206</v>
      </c>
    </row>
    <row r="1174" spans="1:16" x14ac:dyDescent="0.3">
      <c r="A1174" t="s">
        <v>7201</v>
      </c>
      <c r="C1174">
        <v>30</v>
      </c>
      <c r="D1174" t="s">
        <v>10</v>
      </c>
      <c r="E1174" t="s">
        <v>5</v>
      </c>
      <c r="F1174" s="43">
        <v>44967.4375</v>
      </c>
      <c r="G1174" s="43">
        <v>44967.458333333336</v>
      </c>
      <c r="H1174">
        <v>10</v>
      </c>
      <c r="I1174">
        <v>30</v>
      </c>
      <c r="J1174">
        <v>11</v>
      </c>
      <c r="K1174">
        <v>0</v>
      </c>
      <c r="L1174">
        <v>2023</v>
      </c>
      <c r="N1174" t="s">
        <v>7202</v>
      </c>
      <c r="O1174" t="s">
        <v>1781</v>
      </c>
      <c r="P1174" t="s">
        <v>7203</v>
      </c>
    </row>
    <row r="1175" spans="1:16" x14ac:dyDescent="0.3">
      <c r="A1175" t="s">
        <v>8</v>
      </c>
      <c r="C1175">
        <v>30</v>
      </c>
      <c r="D1175" t="s">
        <v>10</v>
      </c>
      <c r="F1175" s="43">
        <v>44967.416666666664</v>
      </c>
      <c r="G1175" s="43">
        <v>44967.4375</v>
      </c>
      <c r="H1175">
        <v>10</v>
      </c>
      <c r="I1175">
        <v>0</v>
      </c>
      <c r="J1175">
        <v>10</v>
      </c>
      <c r="K1175">
        <v>30</v>
      </c>
      <c r="L1175">
        <v>2023</v>
      </c>
      <c r="N1175" t="s">
        <v>47</v>
      </c>
      <c r="O1175" t="s">
        <v>47</v>
      </c>
      <c r="P1175" t="s">
        <v>7205</v>
      </c>
    </row>
    <row r="1176" spans="1:16" x14ac:dyDescent="0.3">
      <c r="A1176" t="s">
        <v>7074</v>
      </c>
      <c r="B1176" t="s">
        <v>20</v>
      </c>
      <c r="C1176">
        <v>30</v>
      </c>
      <c r="D1176" t="s">
        <v>10</v>
      </c>
      <c r="E1176" t="s">
        <v>5780</v>
      </c>
      <c r="F1176" s="43">
        <v>44967.395833333336</v>
      </c>
      <c r="G1176" s="43">
        <v>44967.416666666664</v>
      </c>
      <c r="H1176">
        <v>9</v>
      </c>
      <c r="I1176">
        <v>30</v>
      </c>
      <c r="J1176">
        <v>10</v>
      </c>
      <c r="K1176">
        <v>0</v>
      </c>
      <c r="L1176">
        <v>2023</v>
      </c>
      <c r="N1176" t="s">
        <v>7075</v>
      </c>
      <c r="O1176" t="s">
        <v>7076</v>
      </c>
      <c r="P1176" t="s">
        <v>7077</v>
      </c>
    </row>
    <row r="1177" spans="1:16" x14ac:dyDescent="0.3">
      <c r="A1177" t="s">
        <v>3947</v>
      </c>
      <c r="C1177">
        <v>15</v>
      </c>
      <c r="D1177" t="s">
        <v>10</v>
      </c>
      <c r="F1177" s="43">
        <v>44967.322916666664</v>
      </c>
      <c r="G1177" s="43">
        <v>44967.333333333336</v>
      </c>
      <c r="H1177">
        <v>7</v>
      </c>
      <c r="I1177">
        <v>45</v>
      </c>
      <c r="J1177">
        <v>8</v>
      </c>
      <c r="K1177">
        <v>0</v>
      </c>
      <c r="L1177">
        <v>2023</v>
      </c>
      <c r="N1177" t="s">
        <v>47</v>
      </c>
      <c r="O1177" t="s">
        <v>47</v>
      </c>
      <c r="P1177" t="s">
        <v>7215</v>
      </c>
    </row>
    <row r="1178" spans="1:16" x14ac:dyDescent="0.3">
      <c r="A1178" t="s">
        <v>8</v>
      </c>
      <c r="C1178">
        <v>30</v>
      </c>
      <c r="D1178" t="s">
        <v>10</v>
      </c>
      <c r="F1178" s="43">
        <v>44967.229166666664</v>
      </c>
      <c r="G1178" s="43">
        <v>44967.25</v>
      </c>
      <c r="H1178">
        <v>5</v>
      </c>
      <c r="I1178">
        <v>30</v>
      </c>
      <c r="J1178">
        <v>6</v>
      </c>
      <c r="K1178">
        <v>0</v>
      </c>
      <c r="L1178">
        <v>2023</v>
      </c>
      <c r="N1178" t="s">
        <v>47</v>
      </c>
      <c r="O1178" t="s">
        <v>47</v>
      </c>
      <c r="P1178" t="s">
        <v>7216</v>
      </c>
    </row>
    <row r="1179" spans="1:16" x14ac:dyDescent="0.3">
      <c r="A1179" t="s">
        <v>7217</v>
      </c>
      <c r="C1179">
        <v>65</v>
      </c>
      <c r="D1179" t="s">
        <v>10</v>
      </c>
      <c r="F1179" s="1">
        <v>44966.760416666664</v>
      </c>
      <c r="G1179" s="1">
        <v>44966.805555555555</v>
      </c>
      <c r="H1179">
        <v>18</v>
      </c>
      <c r="I1179">
        <v>15</v>
      </c>
      <c r="J1179">
        <v>19</v>
      </c>
      <c r="K1179">
        <v>20</v>
      </c>
      <c r="L1179">
        <v>2023</v>
      </c>
      <c r="N1179" t="s">
        <v>47</v>
      </c>
      <c r="O1179" t="s">
        <v>47</v>
      </c>
      <c r="P1179" t="s">
        <v>7218</v>
      </c>
    </row>
    <row r="1180" spans="1:16" x14ac:dyDescent="0.3">
      <c r="A1180" t="s">
        <v>7219</v>
      </c>
      <c r="C1180">
        <v>50</v>
      </c>
      <c r="D1180" t="s">
        <v>10</v>
      </c>
      <c r="F1180" s="43">
        <v>44966.694444444445</v>
      </c>
      <c r="G1180" s="43">
        <v>44966.729166666664</v>
      </c>
      <c r="H1180">
        <v>16</v>
      </c>
      <c r="I1180">
        <v>40</v>
      </c>
      <c r="J1180">
        <v>17</v>
      </c>
      <c r="K1180">
        <v>30</v>
      </c>
      <c r="L1180">
        <v>2023</v>
      </c>
      <c r="N1180" t="s">
        <v>47</v>
      </c>
      <c r="O1180" t="s">
        <v>47</v>
      </c>
      <c r="P1180" t="s">
        <v>7220</v>
      </c>
    </row>
    <row r="1181" spans="1:16" x14ac:dyDescent="0.3">
      <c r="A1181" t="s">
        <v>7</v>
      </c>
      <c r="C1181">
        <v>45</v>
      </c>
      <c r="D1181" t="s">
        <v>10</v>
      </c>
      <c r="F1181" s="43">
        <v>44966.645833333336</v>
      </c>
      <c r="G1181" s="43">
        <v>44966.677083333336</v>
      </c>
      <c r="H1181">
        <v>15</v>
      </c>
      <c r="I1181">
        <v>30</v>
      </c>
      <c r="J1181">
        <v>16</v>
      </c>
      <c r="K1181">
        <v>15</v>
      </c>
      <c r="L1181">
        <v>2023</v>
      </c>
      <c r="N1181" t="s">
        <v>47</v>
      </c>
      <c r="O1181" t="s">
        <v>47</v>
      </c>
      <c r="P1181" t="s">
        <v>7221</v>
      </c>
    </row>
    <row r="1182" spans="1:16" x14ac:dyDescent="0.3">
      <c r="A1182" t="s">
        <v>4212</v>
      </c>
      <c r="C1182">
        <v>15</v>
      </c>
      <c r="D1182" t="s">
        <v>10</v>
      </c>
      <c r="F1182" s="43">
        <v>44966.604166666664</v>
      </c>
      <c r="G1182" s="43">
        <v>44966.614583333336</v>
      </c>
      <c r="H1182">
        <v>14</v>
      </c>
      <c r="I1182">
        <v>30</v>
      </c>
      <c r="J1182">
        <v>14</v>
      </c>
      <c r="K1182">
        <v>45</v>
      </c>
      <c r="L1182">
        <v>2023</v>
      </c>
      <c r="N1182" t="s">
        <v>47</v>
      </c>
      <c r="O1182" t="s">
        <v>47</v>
      </c>
      <c r="P1182" t="s">
        <v>7224</v>
      </c>
    </row>
    <row r="1183" spans="1:16" x14ac:dyDescent="0.3">
      <c r="A1183" t="s">
        <v>7222</v>
      </c>
      <c r="C1183">
        <v>30</v>
      </c>
      <c r="D1183" t="s">
        <v>10</v>
      </c>
      <c r="F1183" s="43">
        <v>44966.583333333336</v>
      </c>
      <c r="G1183" s="43">
        <v>44966.604166666664</v>
      </c>
      <c r="H1183">
        <v>14</v>
      </c>
      <c r="I1183">
        <v>0</v>
      </c>
      <c r="J1183">
        <v>14</v>
      </c>
      <c r="K1183">
        <v>30</v>
      </c>
      <c r="L1183">
        <v>2023</v>
      </c>
      <c r="N1183" t="s">
        <v>47</v>
      </c>
      <c r="O1183" t="s">
        <v>47</v>
      </c>
      <c r="P1183" t="s">
        <v>7223</v>
      </c>
    </row>
    <row r="1184" spans="1:16" x14ac:dyDescent="0.3">
      <c r="A1184" t="s">
        <v>7225</v>
      </c>
      <c r="C1184">
        <v>60</v>
      </c>
      <c r="D1184" t="s">
        <v>10</v>
      </c>
      <c r="F1184" s="43">
        <v>44966.520833333336</v>
      </c>
      <c r="G1184" s="43">
        <v>44966.5625</v>
      </c>
      <c r="H1184">
        <v>12</v>
      </c>
      <c r="I1184">
        <v>30</v>
      </c>
      <c r="J1184">
        <v>13</v>
      </c>
      <c r="K1184">
        <v>30</v>
      </c>
      <c r="L1184">
        <v>2023</v>
      </c>
      <c r="N1184" t="s">
        <v>47</v>
      </c>
      <c r="O1184" t="s">
        <v>47</v>
      </c>
      <c r="P1184" t="s">
        <v>7226</v>
      </c>
    </row>
    <row r="1185" spans="1:16" x14ac:dyDescent="0.3">
      <c r="A1185" t="s">
        <v>7225</v>
      </c>
      <c r="C1185">
        <v>30</v>
      </c>
      <c r="D1185" t="s">
        <v>10</v>
      </c>
      <c r="F1185" s="43">
        <v>44966.479166666664</v>
      </c>
      <c r="G1185" s="43">
        <v>44966.5</v>
      </c>
      <c r="H1185">
        <v>11</v>
      </c>
      <c r="I1185">
        <v>30</v>
      </c>
      <c r="J1185">
        <v>12</v>
      </c>
      <c r="K1185">
        <v>0</v>
      </c>
      <c r="L1185">
        <v>2023</v>
      </c>
      <c r="N1185" t="s">
        <v>47</v>
      </c>
      <c r="O1185" t="s">
        <v>47</v>
      </c>
      <c r="P1185" t="s">
        <v>7227</v>
      </c>
    </row>
    <row r="1186" spans="1:16" x14ac:dyDescent="0.3">
      <c r="A1186" t="s">
        <v>7228</v>
      </c>
      <c r="C1186">
        <v>60</v>
      </c>
      <c r="D1186" t="s">
        <v>10</v>
      </c>
      <c r="F1186" s="43">
        <v>44966.416666666664</v>
      </c>
      <c r="G1186" s="43">
        <v>44966.458333333336</v>
      </c>
      <c r="H1186">
        <v>10</v>
      </c>
      <c r="I1186">
        <v>0</v>
      </c>
      <c r="J1186">
        <v>11</v>
      </c>
      <c r="K1186">
        <v>0</v>
      </c>
      <c r="L1186">
        <v>2023</v>
      </c>
      <c r="N1186" t="s">
        <v>47</v>
      </c>
      <c r="O1186" t="s">
        <v>47</v>
      </c>
      <c r="P1186" t="s">
        <v>7229</v>
      </c>
    </row>
    <row r="1187" spans="1:16" x14ac:dyDescent="0.3">
      <c r="A1187" t="s">
        <v>7163</v>
      </c>
      <c r="C1187">
        <v>30</v>
      </c>
      <c r="D1187" t="s">
        <v>10</v>
      </c>
      <c r="F1187" s="43">
        <v>44966.375</v>
      </c>
      <c r="G1187" s="43">
        <v>44966.395833333336</v>
      </c>
      <c r="H1187">
        <v>9</v>
      </c>
      <c r="I1187">
        <v>0</v>
      </c>
      <c r="J1187">
        <v>9</v>
      </c>
      <c r="K1187">
        <v>30</v>
      </c>
      <c r="L1187">
        <v>2023</v>
      </c>
      <c r="N1187" t="s">
        <v>7164</v>
      </c>
      <c r="O1187" t="s">
        <v>7026</v>
      </c>
      <c r="P1187" t="s">
        <v>7165</v>
      </c>
    </row>
    <row r="1188" spans="1:16" x14ac:dyDescent="0.3">
      <c r="A1188" t="s">
        <v>26</v>
      </c>
      <c r="C1188">
        <v>30</v>
      </c>
      <c r="D1188" t="s">
        <v>10</v>
      </c>
      <c r="E1188" t="s">
        <v>5</v>
      </c>
      <c r="F1188" s="43">
        <v>44966.333333333336</v>
      </c>
      <c r="G1188" s="43">
        <v>44966.354166666664</v>
      </c>
      <c r="H1188">
        <v>8</v>
      </c>
      <c r="I1188">
        <v>0</v>
      </c>
      <c r="J1188">
        <v>8</v>
      </c>
      <c r="K1188">
        <v>30</v>
      </c>
      <c r="L1188">
        <v>2023</v>
      </c>
      <c r="N1188" t="s">
        <v>7233</v>
      </c>
      <c r="O1188" t="s">
        <v>47</v>
      </c>
      <c r="P1188" t="s">
        <v>7234</v>
      </c>
    </row>
    <row r="1189" spans="1:16" x14ac:dyDescent="0.3">
      <c r="A1189" t="s">
        <v>7235</v>
      </c>
      <c r="C1189">
        <v>90</v>
      </c>
      <c r="D1189" t="s">
        <v>10</v>
      </c>
      <c r="F1189" s="1">
        <v>44966.208333333336</v>
      </c>
      <c r="G1189" s="1">
        <v>44966.270833333336</v>
      </c>
      <c r="H1189">
        <v>5</v>
      </c>
      <c r="I1189">
        <v>0</v>
      </c>
      <c r="J1189">
        <v>6</v>
      </c>
      <c r="K1189">
        <v>30</v>
      </c>
      <c r="L1189">
        <v>2023</v>
      </c>
      <c r="N1189" t="s">
        <v>47</v>
      </c>
      <c r="O1189" t="s">
        <v>47</v>
      </c>
      <c r="P1189" t="s">
        <v>7236</v>
      </c>
    </row>
    <row r="1190" spans="1:16" x14ac:dyDescent="0.3">
      <c r="A1190" t="s">
        <v>6710</v>
      </c>
      <c r="C1190">
        <v>60</v>
      </c>
      <c r="D1190" t="s">
        <v>10</v>
      </c>
      <c r="F1190" s="43">
        <v>44965.770833333336</v>
      </c>
      <c r="G1190" s="43">
        <v>44965.8125</v>
      </c>
      <c r="H1190">
        <v>18</v>
      </c>
      <c r="I1190">
        <v>30</v>
      </c>
      <c r="J1190">
        <v>19</v>
      </c>
      <c r="K1190">
        <v>30</v>
      </c>
      <c r="L1190">
        <v>2023</v>
      </c>
      <c r="N1190" t="s">
        <v>47</v>
      </c>
      <c r="O1190" t="s">
        <v>47</v>
      </c>
      <c r="P1190" t="s">
        <v>7237</v>
      </c>
    </row>
    <row r="1191" spans="1:16" x14ac:dyDescent="0.3">
      <c r="A1191" t="s">
        <v>7238</v>
      </c>
      <c r="C1191">
        <v>40</v>
      </c>
      <c r="D1191" t="s">
        <v>10</v>
      </c>
      <c r="F1191" s="43">
        <v>44965.708333333336</v>
      </c>
      <c r="G1191" s="43">
        <v>44965.736111111109</v>
      </c>
      <c r="H1191">
        <v>17</v>
      </c>
      <c r="I1191">
        <v>0</v>
      </c>
      <c r="J1191">
        <v>17</v>
      </c>
      <c r="K1191">
        <v>40</v>
      </c>
      <c r="L1191">
        <v>2023</v>
      </c>
      <c r="N1191" t="s">
        <v>47</v>
      </c>
      <c r="O1191" t="s">
        <v>47</v>
      </c>
      <c r="P1191" t="s">
        <v>7239</v>
      </c>
    </row>
    <row r="1192" spans="1:16" x14ac:dyDescent="0.3">
      <c r="A1192" t="s">
        <v>8</v>
      </c>
      <c r="C1192">
        <v>30</v>
      </c>
      <c r="D1192" t="s">
        <v>10</v>
      </c>
      <c r="F1192" s="1">
        <v>44965.666666666664</v>
      </c>
      <c r="G1192" s="1">
        <v>44965.6875</v>
      </c>
      <c r="H1192">
        <v>16</v>
      </c>
      <c r="I1192">
        <v>0</v>
      </c>
      <c r="J1192">
        <v>16</v>
      </c>
      <c r="K1192">
        <v>30</v>
      </c>
      <c r="L1192">
        <v>2023</v>
      </c>
      <c r="N1192" t="s">
        <v>47</v>
      </c>
      <c r="O1192" t="s">
        <v>47</v>
      </c>
      <c r="P1192" t="s">
        <v>7204</v>
      </c>
    </row>
    <row r="1193" spans="1:16" x14ac:dyDescent="0.3">
      <c r="A1193" t="s">
        <v>7182</v>
      </c>
      <c r="C1193">
        <v>30</v>
      </c>
      <c r="D1193" t="s">
        <v>10</v>
      </c>
      <c r="F1193" s="43">
        <v>44965.645833333336</v>
      </c>
      <c r="G1193" s="43">
        <v>44965.666666666664</v>
      </c>
      <c r="H1193">
        <v>15</v>
      </c>
      <c r="I1193">
        <v>30</v>
      </c>
      <c r="J1193">
        <v>16</v>
      </c>
      <c r="K1193">
        <v>0</v>
      </c>
      <c r="L1193">
        <v>2023</v>
      </c>
      <c r="N1193" t="s">
        <v>47</v>
      </c>
      <c r="O1193" t="s">
        <v>47</v>
      </c>
      <c r="P1193" t="s">
        <v>7200</v>
      </c>
    </row>
    <row r="1194" spans="1:16" x14ac:dyDescent="0.3">
      <c r="A1194" t="s">
        <v>7198</v>
      </c>
      <c r="C1194">
        <v>30</v>
      </c>
      <c r="D1194" t="s">
        <v>10</v>
      </c>
      <c r="F1194" s="43">
        <v>44965.625</v>
      </c>
      <c r="G1194" s="43">
        <v>44965.645833333336</v>
      </c>
      <c r="H1194">
        <v>15</v>
      </c>
      <c r="I1194">
        <v>0</v>
      </c>
      <c r="J1194">
        <v>15</v>
      </c>
      <c r="K1194">
        <v>30</v>
      </c>
      <c r="L1194">
        <v>2023</v>
      </c>
      <c r="N1194" t="s">
        <v>47</v>
      </c>
      <c r="O1194" t="s">
        <v>47</v>
      </c>
      <c r="P1194" t="s">
        <v>7199</v>
      </c>
    </row>
    <row r="1195" spans="1:16" x14ac:dyDescent="0.3">
      <c r="A1195" t="s">
        <v>7195</v>
      </c>
      <c r="C1195">
        <v>35</v>
      </c>
      <c r="D1195" t="s">
        <v>10</v>
      </c>
      <c r="F1195" s="43">
        <v>44965.59375</v>
      </c>
      <c r="G1195" s="43">
        <v>44965.618055555555</v>
      </c>
      <c r="H1195">
        <v>14</v>
      </c>
      <c r="I1195">
        <v>15</v>
      </c>
      <c r="J1195">
        <v>14</v>
      </c>
      <c r="K1195">
        <v>50</v>
      </c>
      <c r="L1195">
        <v>2023</v>
      </c>
      <c r="N1195" t="s">
        <v>47</v>
      </c>
      <c r="O1195" t="s">
        <v>47</v>
      </c>
      <c r="P1195" t="s">
        <v>7196</v>
      </c>
    </row>
    <row r="1196" spans="1:16" x14ac:dyDescent="0.3">
      <c r="A1196" t="s">
        <v>9</v>
      </c>
      <c r="C1196">
        <v>30</v>
      </c>
      <c r="D1196" t="s">
        <v>10</v>
      </c>
      <c r="F1196" s="43">
        <v>44965.572916666664</v>
      </c>
      <c r="G1196" s="43">
        <v>44965.59375</v>
      </c>
      <c r="H1196">
        <v>13</v>
      </c>
      <c r="I1196">
        <v>45</v>
      </c>
      <c r="J1196">
        <v>14</v>
      </c>
      <c r="K1196">
        <v>15</v>
      </c>
      <c r="L1196">
        <v>2023</v>
      </c>
      <c r="N1196" t="s">
        <v>47</v>
      </c>
      <c r="O1196" t="s">
        <v>47</v>
      </c>
      <c r="P1196" t="s">
        <v>7197</v>
      </c>
    </row>
    <row r="1197" spans="1:16" x14ac:dyDescent="0.3">
      <c r="A1197" t="s">
        <v>7154</v>
      </c>
      <c r="C1197">
        <v>25</v>
      </c>
      <c r="D1197" t="s">
        <v>10</v>
      </c>
      <c r="F1197" s="43">
        <v>44965.555555555555</v>
      </c>
      <c r="G1197" s="43">
        <v>44965.572916666664</v>
      </c>
      <c r="H1197">
        <v>13</v>
      </c>
      <c r="I1197">
        <v>20</v>
      </c>
      <c r="J1197">
        <v>13</v>
      </c>
      <c r="K1197">
        <v>45</v>
      </c>
      <c r="L1197">
        <v>2023</v>
      </c>
      <c r="N1197" t="s">
        <v>47</v>
      </c>
      <c r="O1197" t="s">
        <v>47</v>
      </c>
      <c r="P1197" t="s">
        <v>7192</v>
      </c>
    </row>
    <row r="1198" spans="1:16" x14ac:dyDescent="0.3">
      <c r="A1198" t="s">
        <v>7190</v>
      </c>
      <c r="C1198">
        <v>40</v>
      </c>
      <c r="D1198" t="s">
        <v>10</v>
      </c>
      <c r="F1198" s="43">
        <v>44965.527777777781</v>
      </c>
      <c r="G1198" s="43">
        <v>44965.555555555555</v>
      </c>
      <c r="H1198">
        <v>12</v>
      </c>
      <c r="I1198">
        <v>40</v>
      </c>
      <c r="J1198">
        <v>13</v>
      </c>
      <c r="K1198">
        <v>20</v>
      </c>
      <c r="L1198">
        <v>2023</v>
      </c>
      <c r="N1198" t="s">
        <v>47</v>
      </c>
      <c r="O1198" t="s">
        <v>47</v>
      </c>
      <c r="P1198" t="s">
        <v>7191</v>
      </c>
    </row>
    <row r="1199" spans="1:16" x14ac:dyDescent="0.3">
      <c r="A1199" t="s">
        <v>1222</v>
      </c>
      <c r="C1199">
        <v>40</v>
      </c>
      <c r="D1199" t="s">
        <v>10</v>
      </c>
      <c r="F1199" s="43">
        <v>44965.479166666664</v>
      </c>
      <c r="G1199" s="43">
        <v>44965.506944444445</v>
      </c>
      <c r="H1199">
        <v>11</v>
      </c>
      <c r="I1199">
        <v>30</v>
      </c>
      <c r="J1199">
        <v>12</v>
      </c>
      <c r="K1199">
        <v>10</v>
      </c>
      <c r="L1199">
        <v>2023</v>
      </c>
      <c r="N1199" t="s">
        <v>47</v>
      </c>
      <c r="O1199" t="s">
        <v>47</v>
      </c>
      <c r="P1199" t="s">
        <v>7159</v>
      </c>
    </row>
    <row r="1200" spans="1:16" x14ac:dyDescent="0.3">
      <c r="A1200" t="s">
        <v>23</v>
      </c>
      <c r="C1200">
        <v>30</v>
      </c>
      <c r="D1200" t="s">
        <v>10</v>
      </c>
      <c r="F1200" s="43">
        <v>44965.4375</v>
      </c>
      <c r="G1200" s="43">
        <v>44965.458333333336</v>
      </c>
      <c r="H1200">
        <v>10</v>
      </c>
      <c r="I1200">
        <v>30</v>
      </c>
      <c r="J1200">
        <v>11</v>
      </c>
      <c r="K1200">
        <v>0</v>
      </c>
      <c r="L1200">
        <v>2023</v>
      </c>
      <c r="N1200" t="s">
        <v>47</v>
      </c>
      <c r="O1200" t="s">
        <v>47</v>
      </c>
      <c r="P1200" t="s">
        <v>7160</v>
      </c>
    </row>
    <row r="1201" spans="1:16" x14ac:dyDescent="0.3">
      <c r="A1201" t="s">
        <v>852</v>
      </c>
      <c r="C1201">
        <v>30</v>
      </c>
      <c r="D1201" t="s">
        <v>10</v>
      </c>
      <c r="F1201" s="43">
        <v>44965.416666666664</v>
      </c>
      <c r="G1201" s="43">
        <v>44965.4375</v>
      </c>
      <c r="H1201">
        <v>10</v>
      </c>
      <c r="I1201">
        <v>0</v>
      </c>
      <c r="J1201">
        <v>10</v>
      </c>
      <c r="K1201">
        <v>30</v>
      </c>
      <c r="L1201">
        <v>2023</v>
      </c>
      <c r="N1201" t="s">
        <v>47</v>
      </c>
      <c r="O1201" t="s">
        <v>47</v>
      </c>
      <c r="P1201" t="s">
        <v>7161</v>
      </c>
    </row>
    <row r="1202" spans="1:16" x14ac:dyDescent="0.3">
      <c r="A1202" t="s">
        <v>7175</v>
      </c>
      <c r="C1202">
        <v>30</v>
      </c>
      <c r="D1202" t="s">
        <v>10</v>
      </c>
      <c r="F1202" s="43">
        <v>44965.395833333336</v>
      </c>
      <c r="G1202" s="43">
        <v>44965.416666666664</v>
      </c>
      <c r="H1202">
        <v>9</v>
      </c>
      <c r="I1202">
        <v>30</v>
      </c>
      <c r="J1202">
        <v>10</v>
      </c>
      <c r="K1202">
        <v>0</v>
      </c>
      <c r="L1202">
        <v>2023</v>
      </c>
      <c r="N1202" t="s">
        <v>7176</v>
      </c>
      <c r="O1202" t="s">
        <v>7177</v>
      </c>
      <c r="P1202" t="s">
        <v>7178</v>
      </c>
    </row>
    <row r="1203" spans="1:16" x14ac:dyDescent="0.3">
      <c r="A1203" t="s">
        <v>852</v>
      </c>
      <c r="C1203">
        <v>40</v>
      </c>
      <c r="D1203" t="s">
        <v>10</v>
      </c>
      <c r="F1203" s="43">
        <v>44965.354166666664</v>
      </c>
      <c r="G1203" s="43">
        <v>44965.381944444445</v>
      </c>
      <c r="H1203">
        <v>8</v>
      </c>
      <c r="I1203">
        <v>30</v>
      </c>
      <c r="J1203">
        <v>9</v>
      </c>
      <c r="K1203">
        <v>10</v>
      </c>
      <c r="L1203">
        <v>2023</v>
      </c>
      <c r="N1203" t="s">
        <v>47</v>
      </c>
      <c r="O1203" t="s">
        <v>47</v>
      </c>
      <c r="P1203" t="s">
        <v>7162</v>
      </c>
    </row>
    <row r="1204" spans="1:16" x14ac:dyDescent="0.3">
      <c r="A1204" t="s">
        <v>7193</v>
      </c>
      <c r="C1204">
        <v>60</v>
      </c>
      <c r="D1204" t="s">
        <v>10</v>
      </c>
      <c r="F1204" s="43">
        <v>44965.291666666664</v>
      </c>
      <c r="G1204" s="43">
        <v>44965.333333333336</v>
      </c>
      <c r="H1204">
        <v>7</v>
      </c>
      <c r="I1204">
        <v>0</v>
      </c>
      <c r="J1204">
        <v>8</v>
      </c>
      <c r="K1204">
        <v>0</v>
      </c>
      <c r="L1204">
        <v>2023</v>
      </c>
      <c r="N1204" t="s">
        <v>47</v>
      </c>
      <c r="O1204" t="s">
        <v>47</v>
      </c>
      <c r="P1204" t="s">
        <v>7194</v>
      </c>
    </row>
    <row r="1205" spans="1:16" x14ac:dyDescent="0.3">
      <c r="A1205" t="s">
        <v>6712</v>
      </c>
      <c r="C1205">
        <v>60</v>
      </c>
      <c r="D1205" t="s">
        <v>10</v>
      </c>
      <c r="F1205" s="43">
        <v>44964.75</v>
      </c>
      <c r="G1205" s="43">
        <v>44964.791666666664</v>
      </c>
      <c r="H1205">
        <v>18</v>
      </c>
      <c r="I1205">
        <v>0</v>
      </c>
      <c r="J1205">
        <v>19</v>
      </c>
      <c r="K1205">
        <v>0</v>
      </c>
      <c r="L1205">
        <v>2023</v>
      </c>
      <c r="N1205" t="s">
        <v>47</v>
      </c>
      <c r="O1205" t="s">
        <v>47</v>
      </c>
      <c r="P1205" t="s">
        <v>7166</v>
      </c>
    </row>
    <row r="1206" spans="1:16" x14ac:dyDescent="0.3">
      <c r="A1206" t="s">
        <v>7167</v>
      </c>
      <c r="C1206">
        <v>40</v>
      </c>
      <c r="D1206" t="s">
        <v>10</v>
      </c>
      <c r="F1206" s="43">
        <v>44964.708333333336</v>
      </c>
      <c r="G1206" s="43">
        <v>44964.736111111109</v>
      </c>
      <c r="H1206">
        <v>17</v>
      </c>
      <c r="I1206">
        <v>0</v>
      </c>
      <c r="J1206">
        <v>17</v>
      </c>
      <c r="K1206">
        <v>40</v>
      </c>
      <c r="L1206">
        <v>2023</v>
      </c>
      <c r="N1206" t="s">
        <v>47</v>
      </c>
      <c r="O1206" t="s">
        <v>47</v>
      </c>
      <c r="P1206" t="s">
        <v>7168</v>
      </c>
    </row>
    <row r="1207" spans="1:16" x14ac:dyDescent="0.3">
      <c r="A1207" t="s">
        <v>7169</v>
      </c>
      <c r="C1207">
        <v>20</v>
      </c>
      <c r="D1207" t="s">
        <v>10</v>
      </c>
      <c r="F1207" s="43">
        <v>44964.6875</v>
      </c>
      <c r="G1207" s="43">
        <v>44964.701388888891</v>
      </c>
      <c r="H1207">
        <v>16</v>
      </c>
      <c r="I1207">
        <v>30</v>
      </c>
      <c r="J1207">
        <v>16</v>
      </c>
      <c r="K1207">
        <v>50</v>
      </c>
      <c r="L1207">
        <v>2023</v>
      </c>
      <c r="N1207" t="s">
        <v>47</v>
      </c>
      <c r="O1207" t="s">
        <v>47</v>
      </c>
      <c r="P1207" t="s">
        <v>7170</v>
      </c>
    </row>
    <row r="1208" spans="1:16" x14ac:dyDescent="0.3">
      <c r="A1208" t="s">
        <v>9</v>
      </c>
      <c r="C1208">
        <v>40</v>
      </c>
      <c r="D1208" t="s">
        <v>10</v>
      </c>
      <c r="F1208" s="43">
        <v>44964.659722222219</v>
      </c>
      <c r="G1208" s="43">
        <v>44964.6875</v>
      </c>
      <c r="H1208">
        <v>15</v>
      </c>
      <c r="I1208">
        <v>50</v>
      </c>
      <c r="J1208">
        <v>16</v>
      </c>
      <c r="K1208">
        <v>30</v>
      </c>
      <c r="L1208">
        <v>2023</v>
      </c>
      <c r="N1208" t="s">
        <v>47</v>
      </c>
      <c r="O1208" t="s">
        <v>47</v>
      </c>
      <c r="P1208" t="s">
        <v>7171</v>
      </c>
    </row>
    <row r="1209" spans="1:16" x14ac:dyDescent="0.3">
      <c r="A1209" t="s">
        <v>7184</v>
      </c>
      <c r="B1209" t="s">
        <v>20</v>
      </c>
      <c r="C1209">
        <v>30</v>
      </c>
      <c r="D1209" t="s">
        <v>10</v>
      </c>
      <c r="E1209" t="s">
        <v>4833</v>
      </c>
      <c r="F1209" s="43">
        <v>44964.604166666664</v>
      </c>
      <c r="G1209" s="43">
        <v>44964.625</v>
      </c>
      <c r="H1209">
        <v>14</v>
      </c>
      <c r="I1209">
        <v>30</v>
      </c>
      <c r="J1209">
        <v>15</v>
      </c>
      <c r="K1209">
        <v>0</v>
      </c>
      <c r="L1209">
        <v>2023</v>
      </c>
      <c r="N1209" t="s">
        <v>7185</v>
      </c>
      <c r="O1209" t="s">
        <v>4835</v>
      </c>
      <c r="P1209" t="s">
        <v>7186</v>
      </c>
    </row>
    <row r="1210" spans="1:16" x14ac:dyDescent="0.3">
      <c r="A1210" t="s">
        <v>8</v>
      </c>
      <c r="C1210">
        <v>30</v>
      </c>
      <c r="D1210" t="s">
        <v>10</v>
      </c>
      <c r="F1210" s="43">
        <v>44964.572916666664</v>
      </c>
      <c r="G1210" s="43">
        <v>44964.59375</v>
      </c>
      <c r="H1210">
        <v>13</v>
      </c>
      <c r="I1210">
        <v>45</v>
      </c>
      <c r="J1210">
        <v>14</v>
      </c>
      <c r="K1210">
        <v>15</v>
      </c>
      <c r="L1210">
        <v>2023</v>
      </c>
      <c r="N1210" t="s">
        <v>47</v>
      </c>
      <c r="O1210" t="s">
        <v>47</v>
      </c>
      <c r="P1210" t="s">
        <v>7172</v>
      </c>
    </row>
    <row r="1211" spans="1:16" x14ac:dyDescent="0.3">
      <c r="A1211" t="s">
        <v>6887</v>
      </c>
      <c r="B1211" t="s">
        <v>20</v>
      </c>
      <c r="C1211">
        <v>45</v>
      </c>
      <c r="D1211" t="s">
        <v>10</v>
      </c>
      <c r="E1211" t="s">
        <v>6888</v>
      </c>
      <c r="F1211" s="43">
        <v>44964.541666666664</v>
      </c>
      <c r="G1211" s="43">
        <v>44964.572916666664</v>
      </c>
      <c r="H1211">
        <v>13</v>
      </c>
      <c r="I1211">
        <v>0</v>
      </c>
      <c r="J1211">
        <v>13</v>
      </c>
      <c r="K1211">
        <v>45</v>
      </c>
      <c r="L1211">
        <v>2023</v>
      </c>
      <c r="N1211" t="s">
        <v>6889</v>
      </c>
      <c r="O1211" t="s">
        <v>6890</v>
      </c>
      <c r="P1211" t="s">
        <v>6891</v>
      </c>
    </row>
    <row r="1212" spans="1:16" x14ac:dyDescent="0.3">
      <c r="A1212" t="s">
        <v>7173</v>
      </c>
      <c r="C1212">
        <v>60</v>
      </c>
      <c r="D1212" t="s">
        <v>10</v>
      </c>
      <c r="F1212" s="43">
        <v>44964.479166666664</v>
      </c>
      <c r="G1212" s="43">
        <v>44964.520833333336</v>
      </c>
      <c r="H1212">
        <v>11</v>
      </c>
      <c r="I1212">
        <v>30</v>
      </c>
      <c r="J1212">
        <v>12</v>
      </c>
      <c r="K1212">
        <v>30</v>
      </c>
      <c r="L1212">
        <v>2023</v>
      </c>
      <c r="N1212" t="s">
        <v>47</v>
      </c>
      <c r="O1212" t="s">
        <v>47</v>
      </c>
      <c r="P1212" t="s">
        <v>7174</v>
      </c>
    </row>
    <row r="1213" spans="1:16" x14ac:dyDescent="0.3">
      <c r="A1213" t="s">
        <v>8</v>
      </c>
      <c r="C1213">
        <v>30</v>
      </c>
      <c r="D1213" t="s">
        <v>10</v>
      </c>
      <c r="F1213" s="43">
        <v>44964.375</v>
      </c>
      <c r="G1213" s="43">
        <v>44964.395833333336</v>
      </c>
      <c r="H1213">
        <v>9</v>
      </c>
      <c r="I1213">
        <v>0</v>
      </c>
      <c r="J1213">
        <v>9</v>
      </c>
      <c r="K1213">
        <v>30</v>
      </c>
      <c r="L1213">
        <v>2023</v>
      </c>
      <c r="N1213" t="s">
        <v>47</v>
      </c>
      <c r="O1213" t="s">
        <v>47</v>
      </c>
      <c r="P1213" t="s">
        <v>7179</v>
      </c>
    </row>
    <row r="1214" spans="1:16" x14ac:dyDescent="0.3">
      <c r="A1214" t="s">
        <v>7180</v>
      </c>
      <c r="C1214">
        <v>60</v>
      </c>
      <c r="D1214" t="s">
        <v>10</v>
      </c>
      <c r="F1214" s="43">
        <v>44964.333333333336</v>
      </c>
      <c r="G1214" s="43">
        <v>44964.375</v>
      </c>
      <c r="H1214">
        <v>8</v>
      </c>
      <c r="I1214">
        <v>0</v>
      </c>
      <c r="J1214">
        <v>9</v>
      </c>
      <c r="K1214">
        <v>0</v>
      </c>
      <c r="L1214">
        <v>2023</v>
      </c>
      <c r="N1214" t="s">
        <v>47</v>
      </c>
      <c r="O1214" t="s">
        <v>47</v>
      </c>
      <c r="P1214" t="s">
        <v>7181</v>
      </c>
    </row>
    <row r="1215" spans="1:16" x14ac:dyDescent="0.3">
      <c r="A1215" t="s">
        <v>7182</v>
      </c>
      <c r="C1215">
        <v>60</v>
      </c>
      <c r="D1215" t="s">
        <v>10</v>
      </c>
      <c r="F1215" s="43">
        <v>44963.75</v>
      </c>
      <c r="G1215" s="43">
        <v>44963.791666666664</v>
      </c>
      <c r="H1215">
        <v>18</v>
      </c>
      <c r="I1215">
        <v>0</v>
      </c>
      <c r="J1215">
        <v>19</v>
      </c>
      <c r="K1215">
        <v>0</v>
      </c>
      <c r="L1215">
        <v>2023</v>
      </c>
      <c r="N1215" t="s">
        <v>47</v>
      </c>
      <c r="O1215" t="s">
        <v>47</v>
      </c>
      <c r="P1215" t="s">
        <v>7183</v>
      </c>
    </row>
    <row r="1216" spans="1:16" x14ac:dyDescent="0.3">
      <c r="A1216" t="s">
        <v>852</v>
      </c>
      <c r="C1216">
        <v>68</v>
      </c>
      <c r="D1216" t="s">
        <v>10</v>
      </c>
      <c r="F1216" s="43">
        <v>44963.65625</v>
      </c>
      <c r="G1216" s="43">
        <v>44963.703472222223</v>
      </c>
      <c r="H1216">
        <v>15</v>
      </c>
      <c r="I1216">
        <v>45</v>
      </c>
      <c r="J1216">
        <v>16</v>
      </c>
      <c r="K1216">
        <v>53</v>
      </c>
      <c r="L1216">
        <v>2023</v>
      </c>
      <c r="N1216" t="s">
        <v>47</v>
      </c>
      <c r="O1216" t="s">
        <v>47</v>
      </c>
      <c r="P1216" t="s">
        <v>7157</v>
      </c>
    </row>
    <row r="1217" spans="1:16" x14ac:dyDescent="0.3">
      <c r="A1217" t="s">
        <v>9</v>
      </c>
      <c r="C1217">
        <v>45</v>
      </c>
      <c r="D1217" t="s">
        <v>10</v>
      </c>
      <c r="F1217" s="43">
        <v>44963.625</v>
      </c>
      <c r="G1217" s="43">
        <v>44963.65625</v>
      </c>
      <c r="H1217">
        <v>15</v>
      </c>
      <c r="I1217">
        <v>0</v>
      </c>
      <c r="J1217">
        <v>15</v>
      </c>
      <c r="K1217">
        <v>45</v>
      </c>
      <c r="L1217">
        <v>2023</v>
      </c>
      <c r="N1217" t="s">
        <v>47</v>
      </c>
      <c r="O1217" t="s">
        <v>47</v>
      </c>
      <c r="P1217" t="s">
        <v>7158</v>
      </c>
    </row>
    <row r="1218" spans="1:16" x14ac:dyDescent="0.3">
      <c r="A1218" t="s">
        <v>4926</v>
      </c>
      <c r="C1218">
        <v>45</v>
      </c>
      <c r="D1218" t="s">
        <v>10</v>
      </c>
      <c r="F1218" s="43">
        <v>44963.572916666664</v>
      </c>
      <c r="G1218" s="43">
        <v>44963.604166666664</v>
      </c>
      <c r="H1218">
        <v>13</v>
      </c>
      <c r="I1218">
        <v>45</v>
      </c>
      <c r="J1218">
        <v>14</v>
      </c>
      <c r="K1218">
        <v>30</v>
      </c>
      <c r="L1218">
        <v>2023</v>
      </c>
      <c r="N1218" t="s">
        <v>47</v>
      </c>
      <c r="O1218" t="s">
        <v>47</v>
      </c>
      <c r="P1218" t="s">
        <v>7156</v>
      </c>
    </row>
    <row r="1219" spans="1:16" x14ac:dyDescent="0.3">
      <c r="A1219" t="s">
        <v>7078</v>
      </c>
      <c r="B1219" t="s">
        <v>20</v>
      </c>
      <c r="C1219">
        <v>45</v>
      </c>
      <c r="D1219" t="s">
        <v>10</v>
      </c>
      <c r="E1219" t="s">
        <v>7079</v>
      </c>
      <c r="F1219" s="43">
        <v>44963.541666666664</v>
      </c>
      <c r="G1219" s="43">
        <v>44963.572916666664</v>
      </c>
      <c r="H1219">
        <v>13</v>
      </c>
      <c r="I1219">
        <v>0</v>
      </c>
      <c r="J1219">
        <v>13</v>
      </c>
      <c r="K1219">
        <v>45</v>
      </c>
      <c r="L1219">
        <v>2023</v>
      </c>
      <c r="N1219" t="s">
        <v>7080</v>
      </c>
      <c r="O1219" t="s">
        <v>47</v>
      </c>
      <c r="P1219" t="s">
        <v>7081</v>
      </c>
    </row>
    <row r="1220" spans="1:16" x14ac:dyDescent="0.3">
      <c r="A1220" t="s">
        <v>6991</v>
      </c>
      <c r="B1220" t="s">
        <v>20</v>
      </c>
      <c r="C1220">
        <v>60</v>
      </c>
      <c r="D1220" t="s">
        <v>10</v>
      </c>
      <c r="E1220" t="s">
        <v>501</v>
      </c>
      <c r="F1220" s="43">
        <v>44963.479166666664</v>
      </c>
      <c r="G1220" s="43">
        <v>44963.520833333336</v>
      </c>
      <c r="H1220">
        <v>11</v>
      </c>
      <c r="I1220">
        <v>30</v>
      </c>
      <c r="J1220">
        <v>12</v>
      </c>
      <c r="K1220">
        <v>30</v>
      </c>
      <c r="L1220">
        <v>2023</v>
      </c>
      <c r="N1220" t="s">
        <v>6992</v>
      </c>
      <c r="O1220" t="s">
        <v>47</v>
      </c>
      <c r="P1220" t="s">
        <v>6993</v>
      </c>
    </row>
    <row r="1221" spans="1:16" x14ac:dyDescent="0.3">
      <c r="A1221" t="s">
        <v>8</v>
      </c>
      <c r="C1221">
        <v>30</v>
      </c>
      <c r="D1221" t="s">
        <v>10</v>
      </c>
      <c r="F1221" s="43">
        <v>44963.4375</v>
      </c>
      <c r="G1221" s="43">
        <v>44963.458333333336</v>
      </c>
      <c r="H1221">
        <v>10</v>
      </c>
      <c r="I1221">
        <v>30</v>
      </c>
      <c r="J1221">
        <v>11</v>
      </c>
      <c r="K1221">
        <v>0</v>
      </c>
      <c r="L1221">
        <v>2023</v>
      </c>
      <c r="N1221" t="s">
        <v>47</v>
      </c>
      <c r="O1221" t="s">
        <v>47</v>
      </c>
      <c r="P1221" t="s">
        <v>7149</v>
      </c>
    </row>
    <row r="1222" spans="1:16" x14ac:dyDescent="0.3">
      <c r="A1222" t="s">
        <v>7123</v>
      </c>
      <c r="C1222">
        <v>30</v>
      </c>
      <c r="D1222" t="s">
        <v>10</v>
      </c>
      <c r="E1222" t="s">
        <v>7124</v>
      </c>
      <c r="F1222" s="43">
        <v>44963.395833333336</v>
      </c>
      <c r="G1222" s="43">
        <v>44963.416666666664</v>
      </c>
      <c r="H1222">
        <v>9</v>
      </c>
      <c r="I1222">
        <v>30</v>
      </c>
      <c r="J1222">
        <v>10</v>
      </c>
      <c r="K1222">
        <v>0</v>
      </c>
      <c r="L1222">
        <v>2023</v>
      </c>
      <c r="N1222" t="s">
        <v>7125</v>
      </c>
      <c r="O1222" t="s">
        <v>48</v>
      </c>
      <c r="P1222" t="s">
        <v>7126</v>
      </c>
    </row>
    <row r="1223" spans="1:16" x14ac:dyDescent="0.3">
      <c r="A1223" t="s">
        <v>7560</v>
      </c>
      <c r="C1223">
        <v>60</v>
      </c>
      <c r="D1223" t="s">
        <v>3777</v>
      </c>
      <c r="E1223" t="s">
        <v>21</v>
      </c>
      <c r="F1223" s="43">
        <v>44963</v>
      </c>
      <c r="G1223" s="43">
        <v>45016</v>
      </c>
      <c r="H1223">
        <v>7</v>
      </c>
      <c r="I1223">
        <v>30</v>
      </c>
      <c r="J1223">
        <v>8</v>
      </c>
      <c r="K1223">
        <v>30</v>
      </c>
      <c r="L1223">
        <v>2023</v>
      </c>
      <c r="N1223" t="s">
        <v>4493</v>
      </c>
      <c r="O1223" t="s">
        <v>50</v>
      </c>
      <c r="P1223" t="s">
        <v>7561</v>
      </c>
    </row>
    <row r="1224" spans="1:16" x14ac:dyDescent="0.3">
      <c r="A1224" t="s">
        <v>7138</v>
      </c>
      <c r="C1224">
        <v>60</v>
      </c>
      <c r="D1224" t="s">
        <v>10</v>
      </c>
      <c r="F1224" s="43">
        <v>44962.75</v>
      </c>
      <c r="G1224" s="43">
        <v>44962.791666666664</v>
      </c>
      <c r="H1224">
        <v>18</v>
      </c>
      <c r="I1224">
        <v>0</v>
      </c>
      <c r="J1224">
        <v>19</v>
      </c>
      <c r="K1224">
        <v>0</v>
      </c>
      <c r="L1224">
        <v>2023</v>
      </c>
      <c r="N1224" t="s">
        <v>47</v>
      </c>
      <c r="O1224" t="s">
        <v>47</v>
      </c>
      <c r="P1224" t="s">
        <v>7153</v>
      </c>
    </row>
    <row r="1225" spans="1:16" x14ac:dyDescent="0.3">
      <c r="A1225" t="s">
        <v>7154</v>
      </c>
      <c r="C1225">
        <v>40</v>
      </c>
      <c r="D1225" t="s">
        <v>10</v>
      </c>
      <c r="F1225" s="43">
        <v>44962.666666666664</v>
      </c>
      <c r="G1225" s="43">
        <v>44962.694444444445</v>
      </c>
      <c r="H1225">
        <v>16</v>
      </c>
      <c r="I1225">
        <v>0</v>
      </c>
      <c r="J1225">
        <v>16</v>
      </c>
      <c r="K1225">
        <v>40</v>
      </c>
      <c r="L1225">
        <v>2023</v>
      </c>
      <c r="N1225" t="s">
        <v>47</v>
      </c>
      <c r="O1225" t="s">
        <v>47</v>
      </c>
      <c r="P1225" t="s">
        <v>7155</v>
      </c>
    </row>
    <row r="1226" spans="1:16" x14ac:dyDescent="0.3">
      <c r="A1226" t="s">
        <v>7138</v>
      </c>
      <c r="C1226">
        <v>50</v>
      </c>
      <c r="D1226" t="s">
        <v>10</v>
      </c>
      <c r="F1226" s="43">
        <v>44962.611111111109</v>
      </c>
      <c r="G1226" s="43">
        <v>44962.645833333336</v>
      </c>
      <c r="H1226">
        <v>14</v>
      </c>
      <c r="I1226">
        <v>40</v>
      </c>
      <c r="J1226">
        <v>15</v>
      </c>
      <c r="K1226">
        <v>30</v>
      </c>
      <c r="L1226">
        <v>2023</v>
      </c>
      <c r="N1226" t="s">
        <v>47</v>
      </c>
      <c r="O1226" t="s">
        <v>47</v>
      </c>
      <c r="P1226" t="s">
        <v>7148</v>
      </c>
    </row>
    <row r="1227" spans="1:16" x14ac:dyDescent="0.3">
      <c r="A1227" t="s">
        <v>7146</v>
      </c>
      <c r="C1227">
        <v>30</v>
      </c>
      <c r="D1227" t="s">
        <v>10</v>
      </c>
      <c r="F1227" s="43">
        <v>44962.541666666664</v>
      </c>
      <c r="G1227" s="43">
        <v>44962.5625</v>
      </c>
      <c r="H1227">
        <v>13</v>
      </c>
      <c r="I1227">
        <v>0</v>
      </c>
      <c r="J1227">
        <v>13</v>
      </c>
      <c r="K1227">
        <v>30</v>
      </c>
      <c r="L1227">
        <v>2023</v>
      </c>
      <c r="N1227" t="s">
        <v>47</v>
      </c>
      <c r="O1227" t="s">
        <v>47</v>
      </c>
      <c r="P1227" t="s">
        <v>7147</v>
      </c>
    </row>
    <row r="1228" spans="1:16" x14ac:dyDescent="0.3">
      <c r="A1228" t="s">
        <v>7138</v>
      </c>
      <c r="C1228">
        <v>30</v>
      </c>
      <c r="D1228" t="s">
        <v>10</v>
      </c>
      <c r="F1228" s="43">
        <v>44962.5</v>
      </c>
      <c r="G1228" s="43">
        <v>44962.520833333336</v>
      </c>
      <c r="H1228">
        <v>12</v>
      </c>
      <c r="I1228">
        <v>0</v>
      </c>
      <c r="J1228">
        <v>12</v>
      </c>
      <c r="K1228">
        <v>30</v>
      </c>
      <c r="L1228">
        <v>2023</v>
      </c>
      <c r="N1228" t="s">
        <v>47</v>
      </c>
      <c r="O1228" t="s">
        <v>47</v>
      </c>
      <c r="P1228" t="s">
        <v>7145</v>
      </c>
    </row>
    <row r="1229" spans="1:16" x14ac:dyDescent="0.3">
      <c r="A1229" t="s">
        <v>7138</v>
      </c>
      <c r="C1229">
        <v>60</v>
      </c>
      <c r="D1229" t="s">
        <v>10</v>
      </c>
      <c r="F1229" s="43">
        <v>44962.375</v>
      </c>
      <c r="G1229" s="43">
        <v>44962.416666666664</v>
      </c>
      <c r="H1229">
        <v>9</v>
      </c>
      <c r="I1229">
        <v>0</v>
      </c>
      <c r="J1229">
        <v>10</v>
      </c>
      <c r="K1229">
        <v>0</v>
      </c>
      <c r="L1229">
        <v>2023</v>
      </c>
      <c r="N1229" t="s">
        <v>47</v>
      </c>
      <c r="O1229" t="s">
        <v>47</v>
      </c>
      <c r="P1229" t="s">
        <v>7139</v>
      </c>
    </row>
    <row r="1230" spans="1:16" x14ac:dyDescent="0.3">
      <c r="A1230" t="s">
        <v>7138</v>
      </c>
      <c r="C1230">
        <v>60</v>
      </c>
      <c r="D1230" t="s">
        <v>10</v>
      </c>
      <c r="F1230" s="43">
        <v>44962.25</v>
      </c>
      <c r="G1230" s="43">
        <v>44962.291666666664</v>
      </c>
      <c r="H1230">
        <v>6</v>
      </c>
      <c r="I1230">
        <v>0</v>
      </c>
      <c r="J1230">
        <v>7</v>
      </c>
      <c r="K1230">
        <v>0</v>
      </c>
      <c r="L1230">
        <v>2023</v>
      </c>
      <c r="N1230" t="s">
        <v>47</v>
      </c>
      <c r="O1230" t="s">
        <v>47</v>
      </c>
      <c r="P1230" t="s">
        <v>7140</v>
      </c>
    </row>
    <row r="1231" spans="1:16" x14ac:dyDescent="0.3">
      <c r="A1231" t="s">
        <v>6710</v>
      </c>
      <c r="C1231">
        <v>20</v>
      </c>
      <c r="D1231" t="s">
        <v>10</v>
      </c>
      <c r="F1231" s="43">
        <v>44961.777777777781</v>
      </c>
      <c r="G1231" s="43">
        <v>44961.791666666664</v>
      </c>
      <c r="H1231">
        <v>18</v>
      </c>
      <c r="I1231">
        <v>40</v>
      </c>
      <c r="J1231">
        <v>19</v>
      </c>
      <c r="K1231">
        <v>0</v>
      </c>
      <c r="L1231">
        <v>2023</v>
      </c>
      <c r="N1231" t="s">
        <v>47</v>
      </c>
      <c r="O1231" t="s">
        <v>47</v>
      </c>
      <c r="P1231" t="s">
        <v>7141</v>
      </c>
    </row>
    <row r="1232" spans="1:16" x14ac:dyDescent="0.3">
      <c r="A1232" t="s">
        <v>6710</v>
      </c>
      <c r="C1232">
        <v>40</v>
      </c>
      <c r="D1232" t="s">
        <v>10</v>
      </c>
      <c r="F1232" s="43">
        <v>44961.729166666664</v>
      </c>
      <c r="G1232" s="43">
        <v>44961.756944444445</v>
      </c>
      <c r="H1232">
        <v>17</v>
      </c>
      <c r="I1232">
        <v>30</v>
      </c>
      <c r="J1232">
        <v>18</v>
      </c>
      <c r="K1232">
        <v>10</v>
      </c>
      <c r="L1232">
        <v>2023</v>
      </c>
      <c r="N1232" t="s">
        <v>47</v>
      </c>
      <c r="O1232" t="s">
        <v>47</v>
      </c>
      <c r="P1232" t="s">
        <v>7142</v>
      </c>
    </row>
    <row r="1233" spans="1:16" x14ac:dyDescent="0.3">
      <c r="A1233" t="s">
        <v>6710</v>
      </c>
      <c r="C1233">
        <v>40</v>
      </c>
      <c r="D1233" t="s">
        <v>10</v>
      </c>
      <c r="F1233" s="43">
        <v>44961.680555555555</v>
      </c>
      <c r="G1233" s="43">
        <v>44961.708333333336</v>
      </c>
      <c r="H1233">
        <v>16</v>
      </c>
      <c r="I1233">
        <v>20</v>
      </c>
      <c r="J1233">
        <v>17</v>
      </c>
      <c r="K1233">
        <v>0</v>
      </c>
      <c r="L1233">
        <v>2023</v>
      </c>
      <c r="N1233" t="s">
        <v>47</v>
      </c>
      <c r="O1233" t="s">
        <v>47</v>
      </c>
      <c r="P1233" t="s">
        <v>7143</v>
      </c>
    </row>
    <row r="1234" spans="1:16" x14ac:dyDescent="0.3">
      <c r="A1234" t="s">
        <v>6710</v>
      </c>
      <c r="C1234">
        <v>60</v>
      </c>
      <c r="D1234" t="s">
        <v>10</v>
      </c>
      <c r="F1234" s="43">
        <v>44961.5625</v>
      </c>
      <c r="G1234" s="43">
        <v>44961.604166666664</v>
      </c>
      <c r="H1234">
        <v>13</v>
      </c>
      <c r="I1234">
        <v>30</v>
      </c>
      <c r="J1234">
        <v>14</v>
      </c>
      <c r="K1234">
        <v>30</v>
      </c>
      <c r="L1234">
        <v>2023</v>
      </c>
      <c r="N1234" t="s">
        <v>47</v>
      </c>
      <c r="O1234" t="s">
        <v>47</v>
      </c>
      <c r="P1234" t="s">
        <v>7144</v>
      </c>
    </row>
    <row r="1235" spans="1:16" x14ac:dyDescent="0.3">
      <c r="A1235" t="s">
        <v>7150</v>
      </c>
      <c r="C1235">
        <v>300</v>
      </c>
      <c r="D1235" t="s">
        <v>10</v>
      </c>
      <c r="F1235" s="43">
        <v>44961.333333333336</v>
      </c>
      <c r="G1235" s="43">
        <v>44961.541666666664</v>
      </c>
      <c r="H1235">
        <v>8</v>
      </c>
      <c r="I1235">
        <v>0</v>
      </c>
      <c r="J1235">
        <v>13</v>
      </c>
      <c r="K1235">
        <v>0</v>
      </c>
      <c r="L1235">
        <v>2023</v>
      </c>
      <c r="N1235" t="s">
        <v>47</v>
      </c>
      <c r="O1235" t="s">
        <v>47</v>
      </c>
      <c r="P1235" t="s">
        <v>7151</v>
      </c>
    </row>
    <row r="1236" spans="1:16" x14ac:dyDescent="0.3">
      <c r="A1236" t="s">
        <v>7150</v>
      </c>
      <c r="C1236">
        <v>180</v>
      </c>
      <c r="D1236" t="s">
        <v>10</v>
      </c>
      <c r="F1236" s="43">
        <v>44960.666666666664</v>
      </c>
      <c r="G1236" s="43">
        <v>44960.791666666664</v>
      </c>
      <c r="H1236">
        <v>16</v>
      </c>
      <c r="I1236">
        <v>0</v>
      </c>
      <c r="J1236">
        <v>19</v>
      </c>
      <c r="K1236">
        <v>0</v>
      </c>
      <c r="L1236">
        <v>2023</v>
      </c>
      <c r="N1236" t="s">
        <v>47</v>
      </c>
      <c r="O1236" t="s">
        <v>47</v>
      </c>
      <c r="P1236" t="s">
        <v>7152</v>
      </c>
    </row>
    <row r="1237" spans="1:16" x14ac:dyDescent="0.3">
      <c r="A1237" t="s">
        <v>9</v>
      </c>
      <c r="C1237">
        <v>30</v>
      </c>
      <c r="D1237" t="s">
        <v>10</v>
      </c>
      <c r="F1237" s="43">
        <v>44960.625</v>
      </c>
      <c r="G1237" s="43">
        <v>44960.645833333336</v>
      </c>
      <c r="H1237">
        <v>15</v>
      </c>
      <c r="I1237">
        <v>0</v>
      </c>
      <c r="J1237">
        <v>15</v>
      </c>
      <c r="K1237">
        <v>30</v>
      </c>
      <c r="L1237">
        <v>2023</v>
      </c>
      <c r="N1237" t="s">
        <v>47</v>
      </c>
      <c r="O1237" t="s">
        <v>47</v>
      </c>
      <c r="P1237" t="s">
        <v>7136</v>
      </c>
    </row>
    <row r="1238" spans="1:16" x14ac:dyDescent="0.3">
      <c r="A1238" t="s">
        <v>1760</v>
      </c>
      <c r="C1238">
        <v>30</v>
      </c>
      <c r="D1238" t="s">
        <v>10</v>
      </c>
      <c r="F1238" s="43">
        <v>44960.604166666664</v>
      </c>
      <c r="G1238" s="43">
        <v>44960.625</v>
      </c>
      <c r="H1238">
        <v>14</v>
      </c>
      <c r="I1238">
        <v>30</v>
      </c>
      <c r="J1238">
        <v>15</v>
      </c>
      <c r="K1238">
        <v>0</v>
      </c>
      <c r="L1238">
        <v>2023</v>
      </c>
      <c r="N1238" t="s">
        <v>47</v>
      </c>
      <c r="O1238" t="s">
        <v>47</v>
      </c>
      <c r="P1238" t="s">
        <v>7137</v>
      </c>
    </row>
    <row r="1239" spans="1:16" x14ac:dyDescent="0.3">
      <c r="A1239" t="s">
        <v>7</v>
      </c>
      <c r="C1239">
        <v>15</v>
      </c>
      <c r="D1239" t="s">
        <v>10</v>
      </c>
      <c r="F1239" s="43">
        <v>44960.5625</v>
      </c>
      <c r="G1239" s="43">
        <v>44960.572916666664</v>
      </c>
      <c r="H1239">
        <v>13</v>
      </c>
      <c r="I1239">
        <v>30</v>
      </c>
      <c r="J1239">
        <v>13</v>
      </c>
      <c r="K1239">
        <v>45</v>
      </c>
      <c r="L1239">
        <v>2023</v>
      </c>
      <c r="N1239" t="s">
        <v>47</v>
      </c>
      <c r="O1239" t="s">
        <v>47</v>
      </c>
      <c r="P1239" t="s">
        <v>7114</v>
      </c>
    </row>
    <row r="1240" spans="1:16" x14ac:dyDescent="0.3">
      <c r="A1240" t="s">
        <v>7104</v>
      </c>
      <c r="C1240">
        <v>30</v>
      </c>
      <c r="D1240" t="s">
        <v>10</v>
      </c>
      <c r="E1240" t="s">
        <v>501</v>
      </c>
      <c r="F1240" s="43">
        <v>44960.541666666664</v>
      </c>
      <c r="G1240" s="43">
        <v>44960.5625</v>
      </c>
      <c r="H1240">
        <v>13</v>
      </c>
      <c r="I1240">
        <v>0</v>
      </c>
      <c r="J1240">
        <v>13</v>
      </c>
      <c r="K1240">
        <v>30</v>
      </c>
      <c r="L1240">
        <v>2023</v>
      </c>
      <c r="N1240" t="s">
        <v>7105</v>
      </c>
      <c r="O1240" t="s">
        <v>47</v>
      </c>
      <c r="P1240" t="s">
        <v>7106</v>
      </c>
    </row>
    <row r="1241" spans="1:16" x14ac:dyDescent="0.3">
      <c r="A1241" t="s">
        <v>5933</v>
      </c>
      <c r="C1241">
        <v>30</v>
      </c>
      <c r="D1241" t="s">
        <v>10</v>
      </c>
      <c r="F1241" s="43">
        <v>44960.5</v>
      </c>
      <c r="G1241" s="43">
        <v>44960.520833333336</v>
      </c>
      <c r="H1241">
        <v>12</v>
      </c>
      <c r="I1241">
        <v>0</v>
      </c>
      <c r="J1241">
        <v>12</v>
      </c>
      <c r="K1241">
        <v>30</v>
      </c>
      <c r="L1241">
        <v>2023</v>
      </c>
      <c r="N1241" t="s">
        <v>47</v>
      </c>
      <c r="O1241" t="s">
        <v>47</v>
      </c>
      <c r="P1241" t="s">
        <v>7115</v>
      </c>
    </row>
    <row r="1242" spans="1:16" x14ac:dyDescent="0.3">
      <c r="A1242" t="s">
        <v>4351</v>
      </c>
      <c r="C1242">
        <v>30</v>
      </c>
      <c r="D1242" t="s">
        <v>10</v>
      </c>
      <c r="F1242" s="43">
        <v>44960.479166666664</v>
      </c>
      <c r="G1242" s="43">
        <v>44960.5</v>
      </c>
      <c r="H1242">
        <v>11</v>
      </c>
      <c r="I1242">
        <v>30</v>
      </c>
      <c r="J1242">
        <v>12</v>
      </c>
      <c r="K1242">
        <v>0</v>
      </c>
      <c r="L1242">
        <v>2023</v>
      </c>
      <c r="N1242" t="s">
        <v>47</v>
      </c>
      <c r="O1242" t="s">
        <v>47</v>
      </c>
      <c r="P1242" t="s">
        <v>7116</v>
      </c>
    </row>
    <row r="1243" spans="1:16" x14ac:dyDescent="0.3">
      <c r="A1243" t="s">
        <v>6978</v>
      </c>
      <c r="C1243">
        <v>30</v>
      </c>
      <c r="D1243" t="s">
        <v>10</v>
      </c>
      <c r="E1243" t="s">
        <v>501</v>
      </c>
      <c r="F1243" s="43">
        <v>44960.458333333336</v>
      </c>
      <c r="G1243" s="43">
        <v>44960.479166666664</v>
      </c>
      <c r="H1243">
        <v>11</v>
      </c>
      <c r="I1243">
        <v>0</v>
      </c>
      <c r="J1243">
        <v>11</v>
      </c>
      <c r="K1243">
        <v>30</v>
      </c>
      <c r="L1243">
        <v>2023</v>
      </c>
      <c r="N1243" t="s">
        <v>6979</v>
      </c>
      <c r="O1243" t="s">
        <v>47</v>
      </c>
      <c r="P1243" t="s">
        <v>6980</v>
      </c>
    </row>
    <row r="1244" spans="1:16" x14ac:dyDescent="0.3">
      <c r="A1244" t="s">
        <v>7117</v>
      </c>
      <c r="C1244">
        <v>30</v>
      </c>
      <c r="D1244" t="s">
        <v>10</v>
      </c>
      <c r="F1244" s="43">
        <v>44960.4375</v>
      </c>
      <c r="G1244" s="43">
        <v>44960.458333333336</v>
      </c>
      <c r="H1244">
        <v>10</v>
      </c>
      <c r="I1244">
        <v>30</v>
      </c>
      <c r="J1244">
        <v>11</v>
      </c>
      <c r="K1244">
        <v>0</v>
      </c>
      <c r="L1244">
        <v>2023</v>
      </c>
      <c r="N1244" t="s">
        <v>47</v>
      </c>
      <c r="O1244" t="s">
        <v>47</v>
      </c>
      <c r="P1244" t="s">
        <v>7118</v>
      </c>
    </row>
    <row r="1245" spans="1:16" x14ac:dyDescent="0.3">
      <c r="A1245" t="s">
        <v>8</v>
      </c>
      <c r="C1245">
        <v>30</v>
      </c>
      <c r="D1245" t="s">
        <v>10</v>
      </c>
      <c r="F1245" s="43">
        <v>44959.770833333336</v>
      </c>
      <c r="G1245" s="43">
        <v>44959.791666666664</v>
      </c>
      <c r="H1245">
        <v>18</v>
      </c>
      <c r="I1245">
        <v>30</v>
      </c>
      <c r="J1245">
        <v>19</v>
      </c>
      <c r="K1245">
        <v>0</v>
      </c>
      <c r="L1245">
        <v>2023</v>
      </c>
      <c r="N1245" t="s">
        <v>47</v>
      </c>
      <c r="O1245" t="s">
        <v>47</v>
      </c>
      <c r="P1245" t="s">
        <v>7119</v>
      </c>
    </row>
    <row r="1246" spans="1:16" x14ac:dyDescent="0.3">
      <c r="A1246" t="s">
        <v>7120</v>
      </c>
      <c r="C1246">
        <v>30</v>
      </c>
      <c r="D1246" t="s">
        <v>10</v>
      </c>
      <c r="F1246" s="43">
        <v>44959.75</v>
      </c>
      <c r="G1246" s="43">
        <v>44959.770833333336</v>
      </c>
      <c r="H1246">
        <v>18</v>
      </c>
      <c r="I1246">
        <v>0</v>
      </c>
      <c r="J1246">
        <v>18</v>
      </c>
      <c r="K1246">
        <v>30</v>
      </c>
      <c r="L1246">
        <v>2023</v>
      </c>
      <c r="N1246" t="s">
        <v>47</v>
      </c>
      <c r="O1246" t="s">
        <v>47</v>
      </c>
      <c r="P1246" t="s">
        <v>7121</v>
      </c>
    </row>
    <row r="1247" spans="1:16" x14ac:dyDescent="0.3">
      <c r="A1247" t="s">
        <v>9</v>
      </c>
      <c r="C1247">
        <v>30</v>
      </c>
      <c r="D1247" t="s">
        <v>10</v>
      </c>
      <c r="F1247" s="43">
        <v>44959.6875</v>
      </c>
      <c r="G1247" s="43">
        <v>44959.708333333336</v>
      </c>
      <c r="H1247">
        <v>16</v>
      </c>
      <c r="I1247">
        <v>30</v>
      </c>
      <c r="J1247">
        <v>17</v>
      </c>
      <c r="K1247">
        <v>0</v>
      </c>
      <c r="L1247">
        <v>2023</v>
      </c>
      <c r="N1247" t="s">
        <v>47</v>
      </c>
      <c r="O1247" t="s">
        <v>47</v>
      </c>
      <c r="P1247" t="s">
        <v>7122</v>
      </c>
    </row>
    <row r="1248" spans="1:16" x14ac:dyDescent="0.3">
      <c r="A1248" t="s">
        <v>7101</v>
      </c>
      <c r="C1248">
        <v>30</v>
      </c>
      <c r="D1248" t="s">
        <v>10</v>
      </c>
      <c r="E1248" t="s">
        <v>501</v>
      </c>
      <c r="F1248" s="43">
        <v>44959.666666666664</v>
      </c>
      <c r="G1248" s="43">
        <v>44959.6875</v>
      </c>
      <c r="H1248">
        <v>16</v>
      </c>
      <c r="I1248">
        <v>0</v>
      </c>
      <c r="J1248">
        <v>16</v>
      </c>
      <c r="K1248">
        <v>30</v>
      </c>
      <c r="L1248">
        <v>2023</v>
      </c>
      <c r="N1248" t="s">
        <v>7102</v>
      </c>
      <c r="O1248" t="s">
        <v>47</v>
      </c>
      <c r="P1248" t="s">
        <v>7103</v>
      </c>
    </row>
    <row r="1249" spans="1:16" x14ac:dyDescent="0.3">
      <c r="A1249" t="s">
        <v>7062</v>
      </c>
      <c r="C1249">
        <v>60</v>
      </c>
      <c r="D1249" t="s">
        <v>10</v>
      </c>
      <c r="E1249" t="s">
        <v>501</v>
      </c>
      <c r="F1249" s="43">
        <v>44959.604166666664</v>
      </c>
      <c r="G1249" s="43">
        <v>44959.645833333336</v>
      </c>
      <c r="H1249">
        <v>14</v>
      </c>
      <c r="I1249">
        <v>30</v>
      </c>
      <c r="J1249">
        <v>15</v>
      </c>
      <c r="K1249">
        <v>30</v>
      </c>
      <c r="L1249">
        <v>2023</v>
      </c>
      <c r="N1249" t="s">
        <v>7063</v>
      </c>
      <c r="O1249" t="s">
        <v>47</v>
      </c>
      <c r="P1249" t="s">
        <v>7064</v>
      </c>
    </row>
    <row r="1250" spans="1:16" x14ac:dyDescent="0.3">
      <c r="A1250" t="s">
        <v>7134</v>
      </c>
      <c r="C1250">
        <v>60</v>
      </c>
      <c r="D1250" t="s">
        <v>10</v>
      </c>
      <c r="F1250" s="43">
        <v>44959.5625</v>
      </c>
      <c r="G1250" s="43">
        <v>44959.604166666664</v>
      </c>
      <c r="H1250">
        <v>13</v>
      </c>
      <c r="I1250">
        <v>30</v>
      </c>
      <c r="J1250">
        <v>14</v>
      </c>
      <c r="K1250">
        <v>30</v>
      </c>
      <c r="L1250">
        <v>2023</v>
      </c>
      <c r="N1250" t="s">
        <v>47</v>
      </c>
      <c r="O1250" t="s">
        <v>47</v>
      </c>
      <c r="P1250" t="s">
        <v>7135</v>
      </c>
    </row>
    <row r="1251" spans="1:16" x14ac:dyDescent="0.3">
      <c r="A1251" t="s">
        <v>7131</v>
      </c>
      <c r="C1251">
        <v>30</v>
      </c>
      <c r="D1251" t="s">
        <v>10</v>
      </c>
      <c r="F1251" s="43">
        <v>44959.541666666664</v>
      </c>
      <c r="G1251" s="43">
        <v>44959.5625</v>
      </c>
      <c r="H1251">
        <v>13</v>
      </c>
      <c r="I1251">
        <v>0</v>
      </c>
      <c r="J1251">
        <v>13</v>
      </c>
      <c r="K1251">
        <v>30</v>
      </c>
      <c r="L1251">
        <v>2023</v>
      </c>
      <c r="N1251" t="s">
        <v>47</v>
      </c>
      <c r="O1251" t="s">
        <v>47</v>
      </c>
      <c r="P1251" t="s">
        <v>7132</v>
      </c>
    </row>
    <row r="1252" spans="1:16" x14ac:dyDescent="0.3">
      <c r="A1252" t="s">
        <v>446</v>
      </c>
      <c r="C1252">
        <v>30</v>
      </c>
      <c r="D1252" t="s">
        <v>10</v>
      </c>
      <c r="F1252" s="43">
        <v>44959.520833333336</v>
      </c>
      <c r="G1252" s="43">
        <v>44959.541666666664</v>
      </c>
      <c r="H1252">
        <v>12</v>
      </c>
      <c r="I1252">
        <v>30</v>
      </c>
      <c r="J1252">
        <v>13</v>
      </c>
      <c r="K1252">
        <v>0</v>
      </c>
      <c r="L1252">
        <v>2023</v>
      </c>
      <c r="N1252" t="s">
        <v>47</v>
      </c>
      <c r="O1252" t="s">
        <v>47</v>
      </c>
      <c r="P1252" t="s">
        <v>7133</v>
      </c>
    </row>
    <row r="1253" spans="1:16" x14ac:dyDescent="0.3">
      <c r="A1253" t="s">
        <v>7086</v>
      </c>
      <c r="C1253">
        <v>30</v>
      </c>
      <c r="D1253" t="s">
        <v>10</v>
      </c>
      <c r="F1253" s="43">
        <v>44959.4375</v>
      </c>
      <c r="G1253" s="43">
        <v>44959.458333333336</v>
      </c>
      <c r="H1253">
        <v>10</v>
      </c>
      <c r="I1253">
        <v>30</v>
      </c>
      <c r="J1253">
        <v>11</v>
      </c>
      <c r="K1253">
        <v>0</v>
      </c>
      <c r="L1253">
        <v>2023</v>
      </c>
      <c r="N1253" t="s">
        <v>47</v>
      </c>
      <c r="O1253" t="s">
        <v>47</v>
      </c>
      <c r="P1253" t="s">
        <v>7087</v>
      </c>
    </row>
    <row r="1254" spans="1:16" x14ac:dyDescent="0.3">
      <c r="A1254" t="s">
        <v>7088</v>
      </c>
      <c r="C1254">
        <v>30</v>
      </c>
      <c r="D1254" t="s">
        <v>10</v>
      </c>
      <c r="F1254" s="43">
        <v>44959.416666666664</v>
      </c>
      <c r="G1254" s="43">
        <v>44959.4375</v>
      </c>
      <c r="H1254">
        <v>10</v>
      </c>
      <c r="I1254">
        <v>0</v>
      </c>
      <c r="J1254">
        <v>10</v>
      </c>
      <c r="K1254">
        <v>30</v>
      </c>
      <c r="L1254">
        <v>2023</v>
      </c>
      <c r="N1254" t="s">
        <v>47</v>
      </c>
      <c r="O1254" t="s">
        <v>47</v>
      </c>
      <c r="P1254" t="s">
        <v>7089</v>
      </c>
    </row>
    <row r="1255" spans="1:16" x14ac:dyDescent="0.3">
      <c r="A1255" t="s">
        <v>3899</v>
      </c>
      <c r="C1255">
        <v>30</v>
      </c>
      <c r="D1255" t="s">
        <v>10</v>
      </c>
      <c r="E1255" t="s">
        <v>7092</v>
      </c>
      <c r="F1255" s="43">
        <v>44959.395833333336</v>
      </c>
      <c r="G1255" s="43">
        <v>44959.416666666664</v>
      </c>
      <c r="H1255">
        <v>9</v>
      </c>
      <c r="I1255">
        <v>30</v>
      </c>
      <c r="J1255">
        <v>10</v>
      </c>
      <c r="K1255">
        <v>0</v>
      </c>
      <c r="L1255">
        <v>2023</v>
      </c>
      <c r="N1255" t="s">
        <v>1849</v>
      </c>
      <c r="O1255" t="s">
        <v>47</v>
      </c>
      <c r="P1255" t="s">
        <v>7093</v>
      </c>
    </row>
    <row r="1256" spans="1:16" x14ac:dyDescent="0.3">
      <c r="A1256" t="s">
        <v>2046</v>
      </c>
      <c r="C1256">
        <v>30</v>
      </c>
      <c r="D1256" t="s">
        <v>10</v>
      </c>
      <c r="F1256" s="43">
        <v>44959.375</v>
      </c>
      <c r="G1256" s="43">
        <v>44959.395833333336</v>
      </c>
      <c r="H1256">
        <v>9</v>
      </c>
      <c r="I1256">
        <v>0</v>
      </c>
      <c r="J1256">
        <v>9</v>
      </c>
      <c r="K1256">
        <v>30</v>
      </c>
      <c r="L1256">
        <v>2023</v>
      </c>
      <c r="N1256" t="s">
        <v>47</v>
      </c>
      <c r="O1256" t="s">
        <v>47</v>
      </c>
      <c r="P1256" t="s">
        <v>7090</v>
      </c>
    </row>
    <row r="1257" spans="1:16" x14ac:dyDescent="0.3">
      <c r="A1257" t="s">
        <v>8</v>
      </c>
      <c r="C1257">
        <v>30</v>
      </c>
      <c r="D1257" t="s">
        <v>10</v>
      </c>
      <c r="F1257" s="43">
        <v>44959.354166666664</v>
      </c>
      <c r="G1257" s="43">
        <v>44959.375</v>
      </c>
      <c r="H1257">
        <v>8</v>
      </c>
      <c r="I1257">
        <v>30</v>
      </c>
      <c r="J1257">
        <v>9</v>
      </c>
      <c r="K1257">
        <v>0</v>
      </c>
      <c r="L1257">
        <v>2023</v>
      </c>
      <c r="N1257" t="s">
        <v>47</v>
      </c>
      <c r="O1257" t="s">
        <v>47</v>
      </c>
      <c r="P1257" t="s">
        <v>7091</v>
      </c>
    </row>
    <row r="1258" spans="1:16" x14ac:dyDescent="0.3">
      <c r="A1258" t="s">
        <v>7097</v>
      </c>
      <c r="C1258">
        <v>30</v>
      </c>
      <c r="D1258" t="s">
        <v>10</v>
      </c>
      <c r="F1258" s="43">
        <v>44958.791666666664</v>
      </c>
      <c r="G1258" s="43">
        <v>44958.8125</v>
      </c>
      <c r="H1258">
        <v>19</v>
      </c>
      <c r="I1258">
        <v>0</v>
      </c>
      <c r="J1258">
        <v>19</v>
      </c>
      <c r="K1258">
        <v>30</v>
      </c>
      <c r="L1258">
        <v>2023</v>
      </c>
      <c r="N1258" t="s">
        <v>47</v>
      </c>
      <c r="O1258" t="s">
        <v>47</v>
      </c>
      <c r="P1258" t="s">
        <v>7098</v>
      </c>
    </row>
    <row r="1259" spans="1:16" x14ac:dyDescent="0.3">
      <c r="A1259" t="s">
        <v>8</v>
      </c>
      <c r="C1259">
        <v>30</v>
      </c>
      <c r="D1259" t="s">
        <v>10</v>
      </c>
      <c r="F1259" s="43">
        <v>44958.770833333336</v>
      </c>
      <c r="G1259" s="43">
        <v>44958.791666666664</v>
      </c>
      <c r="H1259">
        <v>18</v>
      </c>
      <c r="I1259">
        <v>30</v>
      </c>
      <c r="J1259">
        <v>19</v>
      </c>
      <c r="K1259">
        <v>0</v>
      </c>
      <c r="L1259">
        <v>2023</v>
      </c>
      <c r="N1259" t="s">
        <v>47</v>
      </c>
      <c r="O1259" t="s">
        <v>47</v>
      </c>
      <c r="P1259" t="s">
        <v>7099</v>
      </c>
    </row>
    <row r="1260" spans="1:16" x14ac:dyDescent="0.3">
      <c r="A1260" t="s">
        <v>9</v>
      </c>
      <c r="C1260">
        <v>30</v>
      </c>
      <c r="D1260" t="s">
        <v>10</v>
      </c>
      <c r="F1260" s="43">
        <v>44958.75</v>
      </c>
      <c r="G1260" s="43">
        <v>44958.770833333336</v>
      </c>
      <c r="H1260">
        <v>18</v>
      </c>
      <c r="I1260">
        <v>0</v>
      </c>
      <c r="J1260">
        <v>18</v>
      </c>
      <c r="K1260">
        <v>30</v>
      </c>
      <c r="L1260">
        <v>2023</v>
      </c>
      <c r="N1260" t="s">
        <v>47</v>
      </c>
      <c r="O1260" t="s">
        <v>47</v>
      </c>
      <c r="P1260" t="s">
        <v>7100</v>
      </c>
    </row>
    <row r="1261" spans="1:16" x14ac:dyDescent="0.3">
      <c r="A1261" t="s">
        <v>7052</v>
      </c>
      <c r="C1261">
        <v>60</v>
      </c>
      <c r="D1261" t="s">
        <v>10</v>
      </c>
      <c r="F1261" s="43">
        <v>44958.708333333336</v>
      </c>
      <c r="G1261" s="43">
        <v>44958.75</v>
      </c>
      <c r="H1261">
        <v>17</v>
      </c>
      <c r="I1261">
        <v>0</v>
      </c>
      <c r="J1261">
        <v>18</v>
      </c>
      <c r="K1261">
        <v>0</v>
      </c>
      <c r="L1261">
        <v>2023</v>
      </c>
      <c r="N1261" t="s">
        <v>4365</v>
      </c>
      <c r="O1261" t="s">
        <v>783</v>
      </c>
      <c r="P1261" t="s">
        <v>7053</v>
      </c>
    </row>
    <row r="1262" spans="1:16" x14ac:dyDescent="0.3">
      <c r="A1262" t="s">
        <v>7084</v>
      </c>
      <c r="C1262">
        <v>30</v>
      </c>
      <c r="D1262" t="s">
        <v>10</v>
      </c>
      <c r="F1262" s="43">
        <v>44958.645833333336</v>
      </c>
      <c r="G1262" s="43">
        <v>44958.666666666664</v>
      </c>
      <c r="H1262">
        <v>15</v>
      </c>
      <c r="I1262">
        <v>30</v>
      </c>
      <c r="J1262">
        <v>16</v>
      </c>
      <c r="K1262">
        <v>0</v>
      </c>
      <c r="L1262">
        <v>2023</v>
      </c>
      <c r="N1262" t="s">
        <v>47</v>
      </c>
      <c r="O1262" t="s">
        <v>47</v>
      </c>
      <c r="P1262" t="s">
        <v>7085</v>
      </c>
    </row>
    <row r="1263" spans="1:16" x14ac:dyDescent="0.3">
      <c r="A1263" t="s">
        <v>17</v>
      </c>
      <c r="C1263">
        <v>20</v>
      </c>
      <c r="D1263" t="s">
        <v>10</v>
      </c>
      <c r="F1263" s="43">
        <v>44958.604166666664</v>
      </c>
      <c r="G1263" s="43">
        <v>44958.618055555555</v>
      </c>
      <c r="H1263">
        <v>14</v>
      </c>
      <c r="I1263">
        <v>30</v>
      </c>
      <c r="J1263">
        <v>14</v>
      </c>
      <c r="K1263">
        <v>50</v>
      </c>
      <c r="L1263">
        <v>2023</v>
      </c>
      <c r="N1263" t="s">
        <v>47</v>
      </c>
      <c r="O1263" t="s">
        <v>47</v>
      </c>
      <c r="P1263" t="s">
        <v>7083</v>
      </c>
    </row>
    <row r="1264" spans="1:16" x14ac:dyDescent="0.3">
      <c r="A1264" t="s">
        <v>7018</v>
      </c>
      <c r="C1264">
        <v>60</v>
      </c>
      <c r="D1264" t="s">
        <v>10</v>
      </c>
      <c r="E1264" t="s">
        <v>5</v>
      </c>
      <c r="F1264" s="43">
        <v>44958.5625</v>
      </c>
      <c r="G1264" s="43">
        <v>44958.604166666664</v>
      </c>
      <c r="H1264">
        <v>13</v>
      </c>
      <c r="I1264">
        <v>30</v>
      </c>
      <c r="J1264">
        <v>14</v>
      </c>
      <c r="K1264">
        <v>30</v>
      </c>
      <c r="L1264">
        <v>2023</v>
      </c>
      <c r="N1264" t="s">
        <v>7019</v>
      </c>
      <c r="O1264" t="s">
        <v>1781</v>
      </c>
      <c r="P1264" t="s">
        <v>7020</v>
      </c>
    </row>
    <row r="1265" spans="1:16" x14ac:dyDescent="0.3">
      <c r="A1265" t="s">
        <v>8</v>
      </c>
      <c r="C1265">
        <v>30</v>
      </c>
      <c r="D1265" t="s">
        <v>10</v>
      </c>
      <c r="F1265" s="43">
        <v>44958.520833333336</v>
      </c>
      <c r="G1265" s="43">
        <v>44958.541666666664</v>
      </c>
      <c r="H1265">
        <v>12</v>
      </c>
      <c r="I1265">
        <v>30</v>
      </c>
      <c r="J1265">
        <v>13</v>
      </c>
      <c r="K1265">
        <v>0</v>
      </c>
      <c r="L1265">
        <v>2023</v>
      </c>
      <c r="N1265" t="s">
        <v>47</v>
      </c>
      <c r="O1265" t="s">
        <v>47</v>
      </c>
      <c r="P1265" t="s">
        <v>7082</v>
      </c>
    </row>
    <row r="1266" spans="1:16" x14ac:dyDescent="0.3">
      <c r="A1266" t="s">
        <v>1760</v>
      </c>
      <c r="C1266">
        <v>30</v>
      </c>
      <c r="D1266" t="s">
        <v>10</v>
      </c>
      <c r="F1266" s="43">
        <v>44958.458333333336</v>
      </c>
      <c r="G1266" s="43">
        <v>44958.479166666664</v>
      </c>
      <c r="H1266">
        <v>11</v>
      </c>
      <c r="I1266">
        <v>0</v>
      </c>
      <c r="J1266">
        <v>11</v>
      </c>
      <c r="K1266">
        <v>30</v>
      </c>
      <c r="L1266">
        <v>2023</v>
      </c>
      <c r="N1266" t="s">
        <v>47</v>
      </c>
      <c r="O1266" t="s">
        <v>47</v>
      </c>
      <c r="P1266" t="s">
        <v>7051</v>
      </c>
    </row>
    <row r="1267" spans="1:16" x14ac:dyDescent="0.3">
      <c r="A1267" t="s">
        <v>7024</v>
      </c>
      <c r="C1267">
        <v>30</v>
      </c>
      <c r="D1267" t="s">
        <v>10</v>
      </c>
      <c r="F1267" s="43">
        <v>44958.375</v>
      </c>
      <c r="G1267" s="43">
        <v>44958.395833333336</v>
      </c>
      <c r="H1267">
        <v>9</v>
      </c>
      <c r="I1267">
        <v>0</v>
      </c>
      <c r="J1267">
        <v>9</v>
      </c>
      <c r="K1267">
        <v>30</v>
      </c>
      <c r="L1267">
        <v>2023</v>
      </c>
      <c r="N1267" t="s">
        <v>7025</v>
      </c>
      <c r="O1267" t="s">
        <v>7026</v>
      </c>
      <c r="P1267" t="s">
        <v>7027</v>
      </c>
    </row>
    <row r="1268" spans="1:16" x14ac:dyDescent="0.3">
      <c r="A1268" t="s">
        <v>7039</v>
      </c>
      <c r="C1268">
        <v>45</v>
      </c>
      <c r="D1268" t="s">
        <v>10</v>
      </c>
      <c r="F1268" s="43">
        <v>44958.333333333336</v>
      </c>
      <c r="G1268" s="43">
        <v>44958.364583333336</v>
      </c>
      <c r="H1268">
        <v>8</v>
      </c>
      <c r="I1268">
        <v>0</v>
      </c>
      <c r="J1268">
        <v>8</v>
      </c>
      <c r="K1268">
        <v>45</v>
      </c>
      <c r="L1268">
        <v>2023</v>
      </c>
      <c r="N1268" t="s">
        <v>7040</v>
      </c>
      <c r="O1268" t="s">
        <v>7041</v>
      </c>
      <c r="P1268" t="s">
        <v>7042</v>
      </c>
    </row>
    <row r="1269" spans="1:16" x14ac:dyDescent="0.3">
      <c r="A1269" t="s">
        <v>7054</v>
      </c>
      <c r="C1269">
        <v>30</v>
      </c>
      <c r="D1269" t="s">
        <v>10</v>
      </c>
      <c r="F1269" s="43">
        <v>44958.291666666664</v>
      </c>
      <c r="G1269" s="43">
        <v>44958.3125</v>
      </c>
      <c r="H1269">
        <v>7</v>
      </c>
      <c r="I1269">
        <v>0</v>
      </c>
      <c r="J1269">
        <v>7</v>
      </c>
      <c r="K1269">
        <v>30</v>
      </c>
      <c r="L1269">
        <v>2023</v>
      </c>
      <c r="N1269" t="s">
        <v>47</v>
      </c>
      <c r="O1269" t="s">
        <v>47</v>
      </c>
      <c r="P1269" t="s">
        <v>7055</v>
      </c>
    </row>
    <row r="1270" spans="1:16" x14ac:dyDescent="0.3">
      <c r="A1270" t="s">
        <v>7056</v>
      </c>
      <c r="C1270">
        <v>60</v>
      </c>
      <c r="D1270" t="s">
        <v>10</v>
      </c>
      <c r="F1270" s="1">
        <v>44957.770833333336</v>
      </c>
      <c r="G1270" s="1">
        <v>44957.8125</v>
      </c>
      <c r="H1270">
        <v>18</v>
      </c>
      <c r="I1270">
        <v>30</v>
      </c>
      <c r="J1270">
        <v>19</v>
      </c>
      <c r="K1270">
        <v>30</v>
      </c>
      <c r="L1270">
        <v>2023</v>
      </c>
      <c r="N1270" t="s">
        <v>47</v>
      </c>
      <c r="O1270" t="s">
        <v>47</v>
      </c>
      <c r="P1270" t="s">
        <v>7057</v>
      </c>
    </row>
    <row r="1271" spans="1:16" x14ac:dyDescent="0.3">
      <c r="A1271" t="s">
        <v>7058</v>
      </c>
      <c r="C1271">
        <v>60</v>
      </c>
      <c r="D1271" t="s">
        <v>10</v>
      </c>
      <c r="F1271" s="43">
        <v>44957.708333333336</v>
      </c>
      <c r="G1271" s="43">
        <v>44957.75</v>
      </c>
      <c r="H1271">
        <v>17</v>
      </c>
      <c r="I1271">
        <v>0</v>
      </c>
      <c r="J1271">
        <v>18</v>
      </c>
      <c r="K1271">
        <v>0</v>
      </c>
      <c r="L1271">
        <v>2023</v>
      </c>
      <c r="N1271" t="s">
        <v>47</v>
      </c>
      <c r="O1271" t="s">
        <v>47</v>
      </c>
      <c r="P1271" t="s">
        <v>7059</v>
      </c>
    </row>
    <row r="1272" spans="1:16" x14ac:dyDescent="0.3">
      <c r="A1272" t="s">
        <v>7060</v>
      </c>
      <c r="C1272">
        <v>30</v>
      </c>
      <c r="D1272" t="s">
        <v>10</v>
      </c>
      <c r="F1272" s="43">
        <v>44957.666666666664</v>
      </c>
      <c r="G1272" s="43">
        <v>44957.6875</v>
      </c>
      <c r="H1272">
        <v>16</v>
      </c>
      <c r="I1272">
        <v>0</v>
      </c>
      <c r="J1272">
        <v>16</v>
      </c>
      <c r="K1272">
        <v>30</v>
      </c>
      <c r="L1272">
        <v>2023</v>
      </c>
      <c r="N1272" t="s">
        <v>47</v>
      </c>
      <c r="O1272" t="s">
        <v>47</v>
      </c>
      <c r="P1272" t="s">
        <v>7061</v>
      </c>
    </row>
    <row r="1273" spans="1:16" x14ac:dyDescent="0.3">
      <c r="A1273" t="s">
        <v>9</v>
      </c>
      <c r="C1273">
        <v>70</v>
      </c>
      <c r="D1273" t="s">
        <v>10</v>
      </c>
      <c r="F1273" s="43">
        <v>44957.604166666664</v>
      </c>
      <c r="G1273" s="43">
        <v>44957.652777777781</v>
      </c>
      <c r="H1273">
        <v>14</v>
      </c>
      <c r="I1273">
        <v>30</v>
      </c>
      <c r="J1273">
        <v>15</v>
      </c>
      <c r="K1273">
        <v>40</v>
      </c>
      <c r="L1273">
        <v>2023</v>
      </c>
      <c r="N1273" t="s">
        <v>47</v>
      </c>
      <c r="O1273" t="s">
        <v>47</v>
      </c>
      <c r="P1273" t="s">
        <v>7066</v>
      </c>
    </row>
    <row r="1274" spans="1:16" x14ac:dyDescent="0.3">
      <c r="A1274" t="s">
        <v>8</v>
      </c>
      <c r="C1274">
        <v>15</v>
      </c>
      <c r="D1274" t="s">
        <v>10</v>
      </c>
      <c r="F1274" s="43">
        <v>44957.59375</v>
      </c>
      <c r="G1274" s="43">
        <v>44957.604166666664</v>
      </c>
      <c r="H1274">
        <v>14</v>
      </c>
      <c r="I1274">
        <v>15</v>
      </c>
      <c r="J1274">
        <v>14</v>
      </c>
      <c r="K1274">
        <v>30</v>
      </c>
      <c r="L1274">
        <v>2023</v>
      </c>
      <c r="N1274" t="s">
        <v>47</v>
      </c>
      <c r="O1274" t="s">
        <v>47</v>
      </c>
      <c r="P1274" t="s">
        <v>7065</v>
      </c>
    </row>
    <row r="1275" spans="1:16" x14ac:dyDescent="0.3">
      <c r="A1275" t="s">
        <v>7072</v>
      </c>
      <c r="C1275">
        <v>20</v>
      </c>
      <c r="D1275" t="s">
        <v>10</v>
      </c>
      <c r="F1275" s="43">
        <v>44957.5625</v>
      </c>
      <c r="G1275" s="43">
        <v>44957.576388888891</v>
      </c>
      <c r="H1275">
        <v>13</v>
      </c>
      <c r="I1275">
        <v>30</v>
      </c>
      <c r="J1275">
        <v>13</v>
      </c>
      <c r="K1275">
        <v>50</v>
      </c>
      <c r="L1275">
        <v>2023</v>
      </c>
      <c r="N1275" t="s">
        <v>47</v>
      </c>
      <c r="O1275" t="s">
        <v>47</v>
      </c>
      <c r="P1275" t="s">
        <v>7073</v>
      </c>
    </row>
    <row r="1276" spans="1:16" x14ac:dyDescent="0.3">
      <c r="A1276" t="s">
        <v>7028</v>
      </c>
      <c r="C1276">
        <v>30</v>
      </c>
      <c r="D1276" t="s">
        <v>10</v>
      </c>
      <c r="E1276" t="s">
        <v>7029</v>
      </c>
      <c r="F1276" s="43">
        <v>44957.541666666664</v>
      </c>
      <c r="G1276" s="43">
        <v>44957.5625</v>
      </c>
      <c r="H1276">
        <v>13</v>
      </c>
      <c r="I1276">
        <v>0</v>
      </c>
      <c r="J1276">
        <v>13</v>
      </c>
      <c r="K1276">
        <v>30</v>
      </c>
      <c r="L1276">
        <v>2023</v>
      </c>
      <c r="N1276" t="s">
        <v>7030</v>
      </c>
      <c r="O1276" t="s">
        <v>48</v>
      </c>
      <c r="P1276" t="s">
        <v>7031</v>
      </c>
    </row>
    <row r="1277" spans="1:16" x14ac:dyDescent="0.3">
      <c r="A1277" t="s">
        <v>4598</v>
      </c>
      <c r="C1277">
        <v>30</v>
      </c>
      <c r="D1277" t="s">
        <v>10</v>
      </c>
      <c r="F1277" s="1">
        <v>44957.479166666664</v>
      </c>
      <c r="G1277" s="1">
        <v>44957.5</v>
      </c>
      <c r="H1277">
        <v>11</v>
      </c>
      <c r="I1277">
        <v>30</v>
      </c>
      <c r="J1277">
        <v>12</v>
      </c>
      <c r="K1277">
        <v>0</v>
      </c>
      <c r="L1277">
        <v>2023</v>
      </c>
      <c r="N1277" t="s">
        <v>47</v>
      </c>
      <c r="O1277" t="s">
        <v>47</v>
      </c>
      <c r="P1277" t="s">
        <v>7034</v>
      </c>
    </row>
    <row r="1278" spans="1:16" x14ac:dyDescent="0.3">
      <c r="A1278" t="s">
        <v>7049</v>
      </c>
      <c r="C1278">
        <v>30</v>
      </c>
      <c r="D1278" t="s">
        <v>10</v>
      </c>
      <c r="F1278" s="43">
        <v>44957.458333333336</v>
      </c>
      <c r="G1278" s="43">
        <v>44957.479166666664</v>
      </c>
      <c r="H1278">
        <v>11</v>
      </c>
      <c r="I1278">
        <v>0</v>
      </c>
      <c r="J1278">
        <v>11</v>
      </c>
      <c r="K1278">
        <v>30</v>
      </c>
      <c r="L1278">
        <v>2023</v>
      </c>
      <c r="N1278" t="s">
        <v>47</v>
      </c>
      <c r="O1278" t="s">
        <v>47</v>
      </c>
      <c r="P1278" t="s">
        <v>7050</v>
      </c>
    </row>
    <row r="1279" spans="1:16" x14ac:dyDescent="0.3">
      <c r="A1279" t="s">
        <v>17</v>
      </c>
      <c r="C1279">
        <v>30</v>
      </c>
      <c r="D1279" t="s">
        <v>10</v>
      </c>
      <c r="F1279" s="43">
        <v>44957.4375</v>
      </c>
      <c r="G1279" s="43">
        <v>44957.458333333336</v>
      </c>
      <c r="H1279">
        <v>10</v>
      </c>
      <c r="I1279">
        <v>30</v>
      </c>
      <c r="J1279">
        <v>11</v>
      </c>
      <c r="K1279">
        <v>0</v>
      </c>
      <c r="L1279">
        <v>2023</v>
      </c>
      <c r="N1279" t="s">
        <v>47</v>
      </c>
      <c r="O1279" t="s">
        <v>47</v>
      </c>
      <c r="P1279" t="s">
        <v>7035</v>
      </c>
    </row>
    <row r="1280" spans="1:16" x14ac:dyDescent="0.3">
      <c r="A1280" t="s">
        <v>7036</v>
      </c>
      <c r="C1280">
        <v>30</v>
      </c>
      <c r="D1280" t="s">
        <v>10</v>
      </c>
      <c r="F1280" s="43">
        <v>44957.395833333336</v>
      </c>
      <c r="G1280" s="43">
        <v>44957.416666666664</v>
      </c>
      <c r="H1280">
        <v>9</v>
      </c>
      <c r="I1280">
        <v>30</v>
      </c>
      <c r="J1280">
        <v>10</v>
      </c>
      <c r="K1280">
        <v>0</v>
      </c>
      <c r="L1280">
        <v>2023</v>
      </c>
      <c r="N1280" t="s">
        <v>47</v>
      </c>
      <c r="O1280" t="s">
        <v>47</v>
      </c>
      <c r="P1280" t="s">
        <v>7038</v>
      </c>
    </row>
    <row r="1281" spans="1:16" x14ac:dyDescent="0.3">
      <c r="A1281" t="s">
        <v>6995</v>
      </c>
      <c r="B1281" t="s">
        <v>20</v>
      </c>
      <c r="C1281">
        <v>30</v>
      </c>
      <c r="D1281" t="s">
        <v>10</v>
      </c>
      <c r="E1281" t="s">
        <v>501</v>
      </c>
      <c r="F1281" s="43">
        <v>44957.375</v>
      </c>
      <c r="G1281" s="43">
        <v>44957.395833333336</v>
      </c>
      <c r="H1281">
        <v>9</v>
      </c>
      <c r="I1281">
        <v>0</v>
      </c>
      <c r="J1281">
        <v>9</v>
      </c>
      <c r="K1281">
        <v>30</v>
      </c>
      <c r="L1281">
        <v>2023</v>
      </c>
      <c r="N1281" t="s">
        <v>6996</v>
      </c>
      <c r="O1281" t="s">
        <v>47</v>
      </c>
      <c r="P1281" t="s">
        <v>6997</v>
      </c>
    </row>
    <row r="1282" spans="1:16" x14ac:dyDescent="0.3">
      <c r="A1282" t="s">
        <v>7036</v>
      </c>
      <c r="C1282">
        <v>30</v>
      </c>
      <c r="D1282" t="s">
        <v>10</v>
      </c>
      <c r="F1282" s="43">
        <v>44957.354166666664</v>
      </c>
      <c r="G1282" s="43">
        <v>44957.375</v>
      </c>
      <c r="H1282">
        <v>8</v>
      </c>
      <c r="I1282">
        <v>30</v>
      </c>
      <c r="J1282">
        <v>9</v>
      </c>
      <c r="K1282">
        <v>0</v>
      </c>
      <c r="L1282">
        <v>2023</v>
      </c>
      <c r="N1282" t="s">
        <v>47</v>
      </c>
      <c r="O1282" t="s">
        <v>47</v>
      </c>
      <c r="P1282" t="s">
        <v>7037</v>
      </c>
    </row>
    <row r="1283" spans="1:16" x14ac:dyDescent="0.3">
      <c r="A1283" t="s">
        <v>7043</v>
      </c>
      <c r="C1283">
        <v>45</v>
      </c>
      <c r="D1283" t="s">
        <v>10</v>
      </c>
      <c r="F1283" s="43">
        <v>44957.3125</v>
      </c>
      <c r="G1283" s="43">
        <v>44957.34375</v>
      </c>
      <c r="H1283">
        <v>7</v>
      </c>
      <c r="I1283">
        <v>30</v>
      </c>
      <c r="J1283">
        <v>8</v>
      </c>
      <c r="K1283">
        <v>15</v>
      </c>
      <c r="L1283">
        <v>2023</v>
      </c>
      <c r="N1283" t="s">
        <v>47</v>
      </c>
      <c r="O1283" t="s">
        <v>47</v>
      </c>
      <c r="P1283" t="s">
        <v>7044</v>
      </c>
    </row>
    <row r="1284" spans="1:16" x14ac:dyDescent="0.3">
      <c r="A1284" t="s">
        <v>2528</v>
      </c>
      <c r="C1284">
        <v>30</v>
      </c>
      <c r="D1284" t="s">
        <v>10</v>
      </c>
      <c r="F1284" s="43">
        <v>44957.208333333336</v>
      </c>
      <c r="G1284" s="43">
        <v>44957.229166666664</v>
      </c>
      <c r="H1284">
        <v>5</v>
      </c>
      <c r="I1284">
        <v>0</v>
      </c>
      <c r="J1284">
        <v>5</v>
      </c>
      <c r="K1284">
        <v>30</v>
      </c>
      <c r="L1284">
        <v>2023</v>
      </c>
      <c r="N1284" t="s">
        <v>47</v>
      </c>
      <c r="O1284" t="s">
        <v>47</v>
      </c>
      <c r="P1284" t="s">
        <v>7045</v>
      </c>
    </row>
    <row r="1285" spans="1:16" x14ac:dyDescent="0.3">
      <c r="A1285" t="s">
        <v>8</v>
      </c>
      <c r="C1285">
        <v>15</v>
      </c>
      <c r="D1285" t="s">
        <v>10</v>
      </c>
      <c r="F1285" s="43">
        <v>44956.791666666664</v>
      </c>
      <c r="G1285" s="43">
        <v>44956.802083333336</v>
      </c>
      <c r="H1285">
        <v>19</v>
      </c>
      <c r="I1285">
        <v>0</v>
      </c>
      <c r="J1285">
        <v>19</v>
      </c>
      <c r="K1285">
        <v>15</v>
      </c>
      <c r="L1285">
        <v>2023</v>
      </c>
      <c r="N1285" t="s">
        <v>47</v>
      </c>
      <c r="O1285" t="s">
        <v>47</v>
      </c>
      <c r="P1285" t="s">
        <v>7046</v>
      </c>
    </row>
    <row r="1286" spans="1:16" x14ac:dyDescent="0.3">
      <c r="A1286" t="s">
        <v>6981</v>
      </c>
      <c r="C1286">
        <v>30</v>
      </c>
      <c r="D1286" t="s">
        <v>10</v>
      </c>
      <c r="F1286" s="43">
        <v>44956.729166666664</v>
      </c>
      <c r="G1286" s="43">
        <v>44956.75</v>
      </c>
      <c r="H1286">
        <v>17</v>
      </c>
      <c r="I1286">
        <v>30</v>
      </c>
      <c r="J1286">
        <v>18</v>
      </c>
      <c r="K1286">
        <v>0</v>
      </c>
      <c r="L1286">
        <v>2023</v>
      </c>
      <c r="N1286" t="s">
        <v>4430</v>
      </c>
      <c r="O1286" t="s">
        <v>47</v>
      </c>
      <c r="P1286" t="s">
        <v>6982</v>
      </c>
    </row>
    <row r="1287" spans="1:16" x14ac:dyDescent="0.3">
      <c r="A1287" t="s">
        <v>6986</v>
      </c>
      <c r="C1287">
        <v>60</v>
      </c>
      <c r="D1287" t="s">
        <v>10</v>
      </c>
      <c r="E1287" t="s">
        <v>6987</v>
      </c>
      <c r="F1287" s="43">
        <v>44956.666666666664</v>
      </c>
      <c r="G1287" s="43">
        <v>44956.708333333336</v>
      </c>
      <c r="H1287">
        <v>16</v>
      </c>
      <c r="I1287">
        <v>0</v>
      </c>
      <c r="J1287">
        <v>17</v>
      </c>
      <c r="K1287">
        <v>0</v>
      </c>
      <c r="L1287">
        <v>2023</v>
      </c>
      <c r="N1287" s="46" t="s">
        <v>6988</v>
      </c>
      <c r="O1287" t="s">
        <v>47</v>
      </c>
      <c r="P1287" t="s">
        <v>6989</v>
      </c>
    </row>
    <row r="1288" spans="1:16" x14ac:dyDescent="0.3">
      <c r="A1288" t="s">
        <v>7047</v>
      </c>
      <c r="C1288">
        <v>30</v>
      </c>
      <c r="D1288" t="s">
        <v>10</v>
      </c>
      <c r="F1288" s="43">
        <v>44956.645833333336</v>
      </c>
      <c r="G1288" s="43">
        <v>44956.666666666664</v>
      </c>
      <c r="H1288">
        <v>15</v>
      </c>
      <c r="I1288">
        <v>30</v>
      </c>
      <c r="J1288">
        <v>16</v>
      </c>
      <c r="K1288">
        <v>0</v>
      </c>
      <c r="L1288">
        <v>2023</v>
      </c>
      <c r="N1288" t="s">
        <v>47</v>
      </c>
      <c r="O1288" t="s">
        <v>47</v>
      </c>
      <c r="P1288" t="s">
        <v>7048</v>
      </c>
    </row>
    <row r="1289" spans="1:16" x14ac:dyDescent="0.3">
      <c r="A1289" t="s">
        <v>7</v>
      </c>
      <c r="C1289">
        <v>45</v>
      </c>
      <c r="D1289" t="s">
        <v>10</v>
      </c>
      <c r="F1289" s="43">
        <v>44956.583333333336</v>
      </c>
      <c r="G1289" s="43">
        <v>44956.614583333336</v>
      </c>
      <c r="H1289">
        <v>14</v>
      </c>
      <c r="I1289">
        <v>0</v>
      </c>
      <c r="J1289">
        <v>14</v>
      </c>
      <c r="K1289">
        <v>45</v>
      </c>
      <c r="L1289">
        <v>2023</v>
      </c>
      <c r="N1289" t="s">
        <v>47</v>
      </c>
      <c r="O1289" t="s">
        <v>47</v>
      </c>
      <c r="P1289" t="s">
        <v>7033</v>
      </c>
    </row>
    <row r="1290" spans="1:16" x14ac:dyDescent="0.3">
      <c r="A1290" t="s">
        <v>6959</v>
      </c>
      <c r="C1290">
        <v>30</v>
      </c>
      <c r="D1290" t="s">
        <v>10</v>
      </c>
      <c r="F1290" s="43">
        <v>44956.5625</v>
      </c>
      <c r="G1290" s="43">
        <v>44956.583333333336</v>
      </c>
      <c r="H1290">
        <v>13</v>
      </c>
      <c r="I1290">
        <v>30</v>
      </c>
      <c r="J1290">
        <v>14</v>
      </c>
      <c r="K1290">
        <v>0</v>
      </c>
      <c r="L1290">
        <v>2023</v>
      </c>
      <c r="O1290" t="s">
        <v>47</v>
      </c>
      <c r="P1290" t="s">
        <v>7032</v>
      </c>
    </row>
    <row r="1291" spans="1:16" x14ac:dyDescent="0.3">
      <c r="A1291" t="s">
        <v>827</v>
      </c>
      <c r="C1291">
        <v>15</v>
      </c>
      <c r="D1291" t="s">
        <v>10</v>
      </c>
      <c r="F1291" s="43">
        <v>44956.520833333336</v>
      </c>
      <c r="G1291" s="43">
        <v>44956.53125</v>
      </c>
      <c r="H1291">
        <v>12</v>
      </c>
      <c r="I1291">
        <v>30</v>
      </c>
      <c r="J1291">
        <v>12</v>
      </c>
      <c r="K1291">
        <v>45</v>
      </c>
      <c r="L1291">
        <v>2023</v>
      </c>
      <c r="N1291" t="s">
        <v>47</v>
      </c>
      <c r="O1291" t="s">
        <v>47</v>
      </c>
      <c r="P1291" t="s">
        <v>6976</v>
      </c>
    </row>
    <row r="1292" spans="1:16" x14ac:dyDescent="0.3">
      <c r="A1292" t="s">
        <v>2046</v>
      </c>
      <c r="C1292">
        <v>15</v>
      </c>
      <c r="D1292" t="s">
        <v>10</v>
      </c>
      <c r="F1292" s="43">
        <v>44956.510416666664</v>
      </c>
      <c r="G1292" s="43">
        <v>44956.520833333336</v>
      </c>
      <c r="H1292">
        <v>12</v>
      </c>
      <c r="I1292">
        <v>15</v>
      </c>
      <c r="J1292">
        <v>12</v>
      </c>
      <c r="K1292">
        <v>30</v>
      </c>
      <c r="L1292">
        <v>2023</v>
      </c>
      <c r="N1292" t="s">
        <v>47</v>
      </c>
      <c r="O1292" t="s">
        <v>47</v>
      </c>
      <c r="P1292" t="s">
        <v>6977</v>
      </c>
    </row>
    <row r="1293" spans="1:16" x14ac:dyDescent="0.3">
      <c r="A1293" t="s">
        <v>6933</v>
      </c>
      <c r="B1293" t="s">
        <v>20</v>
      </c>
      <c r="C1293">
        <v>45</v>
      </c>
      <c r="D1293" t="s">
        <v>10</v>
      </c>
      <c r="F1293" s="43">
        <v>44956.479166666664</v>
      </c>
      <c r="G1293" s="43">
        <v>44956.510416666664</v>
      </c>
      <c r="H1293">
        <v>11</v>
      </c>
      <c r="I1293">
        <v>30</v>
      </c>
      <c r="J1293">
        <v>12</v>
      </c>
      <c r="K1293">
        <v>15</v>
      </c>
      <c r="L1293">
        <v>2023</v>
      </c>
      <c r="N1293" t="s">
        <v>6934</v>
      </c>
      <c r="O1293" t="s">
        <v>6935</v>
      </c>
      <c r="P1293" t="s">
        <v>6936</v>
      </c>
    </row>
    <row r="1294" spans="1:16" x14ac:dyDescent="0.3">
      <c r="A1294" t="s">
        <v>7008</v>
      </c>
      <c r="C1294">
        <v>30</v>
      </c>
      <c r="D1294" t="s">
        <v>10</v>
      </c>
      <c r="E1294" t="s">
        <v>7009</v>
      </c>
      <c r="F1294" s="43">
        <v>44956.479166666664</v>
      </c>
      <c r="G1294" s="43">
        <v>44956.5</v>
      </c>
      <c r="H1294">
        <v>11</v>
      </c>
      <c r="I1294">
        <v>30</v>
      </c>
      <c r="J1294">
        <v>12</v>
      </c>
      <c r="K1294">
        <v>0</v>
      </c>
      <c r="L1294">
        <v>2023</v>
      </c>
      <c r="N1294" t="s">
        <v>7010</v>
      </c>
      <c r="O1294" t="s">
        <v>47</v>
      </c>
      <c r="P1294" t="s">
        <v>7011</v>
      </c>
    </row>
    <row r="1295" spans="1:16" x14ac:dyDescent="0.3">
      <c r="A1295" t="s">
        <v>7015</v>
      </c>
      <c r="B1295" t="s">
        <v>20</v>
      </c>
      <c r="C1295">
        <v>60</v>
      </c>
      <c r="D1295" t="s">
        <v>10</v>
      </c>
      <c r="F1295" s="43">
        <v>44956.427083333336</v>
      </c>
      <c r="G1295" s="43">
        <v>44956.46875</v>
      </c>
      <c r="H1295">
        <v>10</v>
      </c>
      <c r="I1295">
        <v>15</v>
      </c>
      <c r="J1295">
        <v>11</v>
      </c>
      <c r="K1295">
        <v>15</v>
      </c>
      <c r="L1295">
        <v>2023</v>
      </c>
      <c r="N1295" t="s">
        <v>7016</v>
      </c>
      <c r="O1295" t="s">
        <v>6296</v>
      </c>
      <c r="P1295" t="s">
        <v>7017</v>
      </c>
    </row>
    <row r="1296" spans="1:16" x14ac:dyDescent="0.3">
      <c r="A1296" t="s">
        <v>6910</v>
      </c>
      <c r="B1296" t="s">
        <v>20</v>
      </c>
      <c r="C1296">
        <v>30</v>
      </c>
      <c r="D1296" t="s">
        <v>10</v>
      </c>
      <c r="E1296" t="s">
        <v>6911</v>
      </c>
      <c r="F1296" s="43">
        <v>44956.395833333336</v>
      </c>
      <c r="G1296" s="43">
        <v>44956.416666666664</v>
      </c>
      <c r="H1296">
        <v>9</v>
      </c>
      <c r="I1296">
        <v>30</v>
      </c>
      <c r="J1296">
        <v>10</v>
      </c>
      <c r="K1296">
        <v>0</v>
      </c>
      <c r="L1296">
        <v>2023</v>
      </c>
      <c r="N1296" t="s">
        <v>6912</v>
      </c>
      <c r="O1296" t="s">
        <v>48</v>
      </c>
      <c r="P1296" t="s">
        <v>6913</v>
      </c>
    </row>
    <row r="1297" spans="1:18" x14ac:dyDescent="0.3">
      <c r="A1297" t="s">
        <v>7012</v>
      </c>
      <c r="C1297">
        <v>30</v>
      </c>
      <c r="D1297" t="s">
        <v>10</v>
      </c>
      <c r="E1297" t="s">
        <v>501</v>
      </c>
      <c r="F1297" s="43">
        <v>44956.354166666664</v>
      </c>
      <c r="G1297" s="43">
        <v>44956.375</v>
      </c>
      <c r="H1297">
        <v>8</v>
      </c>
      <c r="I1297">
        <v>30</v>
      </c>
      <c r="J1297">
        <v>9</v>
      </c>
      <c r="K1297">
        <v>0</v>
      </c>
      <c r="L1297">
        <v>2023</v>
      </c>
      <c r="N1297" t="s">
        <v>7013</v>
      </c>
      <c r="O1297" t="s">
        <v>47</v>
      </c>
      <c r="P1297" t="s">
        <v>7014</v>
      </c>
    </row>
    <row r="1298" spans="1:18" x14ac:dyDescent="0.3">
      <c r="A1298" t="s">
        <v>8</v>
      </c>
      <c r="C1298">
        <v>15</v>
      </c>
      <c r="D1298" t="s">
        <v>10</v>
      </c>
      <c r="F1298" s="43">
        <v>44956.333333333336</v>
      </c>
      <c r="G1298" s="43">
        <v>44956.34375</v>
      </c>
      <c r="H1298">
        <v>8</v>
      </c>
      <c r="I1298">
        <v>0</v>
      </c>
      <c r="J1298">
        <v>8</v>
      </c>
      <c r="K1298">
        <v>15</v>
      </c>
      <c r="L1298">
        <v>2023</v>
      </c>
      <c r="N1298" s="46" t="s">
        <v>47</v>
      </c>
      <c r="O1298" t="s">
        <v>47</v>
      </c>
      <c r="P1298" t="s">
        <v>6985</v>
      </c>
    </row>
    <row r="1299" spans="1:18" x14ac:dyDescent="0.3">
      <c r="A1299" t="s">
        <v>8</v>
      </c>
      <c r="C1299">
        <v>30</v>
      </c>
      <c r="D1299" t="s">
        <v>10</v>
      </c>
      <c r="F1299" s="43">
        <v>44956.229166666664</v>
      </c>
      <c r="G1299" s="43">
        <v>44956.25</v>
      </c>
      <c r="H1299">
        <v>5</v>
      </c>
      <c r="I1299">
        <v>30</v>
      </c>
      <c r="J1299">
        <v>6</v>
      </c>
      <c r="K1299">
        <v>0</v>
      </c>
      <c r="L1299">
        <v>2023</v>
      </c>
      <c r="N1299" t="s">
        <v>47</v>
      </c>
      <c r="O1299" t="s">
        <v>47</v>
      </c>
      <c r="P1299" t="s">
        <v>6990</v>
      </c>
    </row>
    <row r="1300" spans="1:18" x14ac:dyDescent="0.3">
      <c r="A1300" t="s">
        <v>119</v>
      </c>
      <c r="C1300">
        <v>45</v>
      </c>
      <c r="D1300" t="s">
        <v>10</v>
      </c>
      <c r="F1300" s="43">
        <v>44955.770833333336</v>
      </c>
      <c r="G1300" s="43">
        <v>44955.802083333336</v>
      </c>
      <c r="H1300">
        <v>18</v>
      </c>
      <c r="I1300">
        <v>30</v>
      </c>
      <c r="J1300">
        <v>19</v>
      </c>
      <c r="K1300">
        <v>15</v>
      </c>
      <c r="L1300">
        <v>2023</v>
      </c>
      <c r="N1300" t="s">
        <v>47</v>
      </c>
      <c r="O1300" t="s">
        <v>47</v>
      </c>
      <c r="P1300" t="s">
        <v>6994</v>
      </c>
    </row>
    <row r="1301" spans="1:18" x14ac:dyDescent="0.3">
      <c r="A1301" t="s">
        <v>777</v>
      </c>
      <c r="C1301">
        <v>30</v>
      </c>
      <c r="D1301" t="s">
        <v>10</v>
      </c>
      <c r="F1301" s="43">
        <v>44955.708333333336</v>
      </c>
      <c r="G1301" s="43">
        <v>44955.729166666664</v>
      </c>
      <c r="H1301">
        <v>17</v>
      </c>
      <c r="I1301">
        <v>0</v>
      </c>
      <c r="J1301">
        <v>17</v>
      </c>
      <c r="K1301">
        <v>30</v>
      </c>
      <c r="L1301">
        <v>2023</v>
      </c>
      <c r="N1301" t="s">
        <v>47</v>
      </c>
      <c r="O1301" t="s">
        <v>47</v>
      </c>
      <c r="P1301" t="s">
        <v>7002</v>
      </c>
      <c r="Q1301" t="s">
        <v>6</v>
      </c>
      <c r="R1301" s="41" t="s">
        <v>9112</v>
      </c>
    </row>
    <row r="1302" spans="1:18" x14ac:dyDescent="0.3">
      <c r="A1302" t="s">
        <v>7003</v>
      </c>
      <c r="B1302" t="s">
        <v>109</v>
      </c>
      <c r="C1302">
        <v>70</v>
      </c>
      <c r="D1302" t="s">
        <v>10</v>
      </c>
      <c r="E1302" t="s">
        <v>6813</v>
      </c>
      <c r="F1302" s="43">
        <v>44955.611111111109</v>
      </c>
      <c r="G1302" s="43">
        <v>44955.659722222219</v>
      </c>
      <c r="H1302">
        <v>14</v>
      </c>
      <c r="I1302">
        <v>40</v>
      </c>
      <c r="J1302">
        <v>15</v>
      </c>
      <c r="K1302">
        <v>50</v>
      </c>
      <c r="L1302">
        <v>2023</v>
      </c>
      <c r="N1302" t="s">
        <v>47</v>
      </c>
      <c r="O1302" t="s">
        <v>47</v>
      </c>
      <c r="P1302" t="s">
        <v>7004</v>
      </c>
    </row>
    <row r="1303" spans="1:18" x14ac:dyDescent="0.3">
      <c r="A1303" t="s">
        <v>6710</v>
      </c>
      <c r="B1303" t="s">
        <v>109</v>
      </c>
      <c r="C1303">
        <v>53</v>
      </c>
      <c r="D1303" t="s">
        <v>10</v>
      </c>
      <c r="E1303" t="s">
        <v>6813</v>
      </c>
      <c r="F1303" s="43">
        <v>44955.520833333336</v>
      </c>
      <c r="G1303" s="43">
        <v>44955.557638888888</v>
      </c>
      <c r="H1303">
        <v>12</v>
      </c>
      <c r="I1303">
        <v>30</v>
      </c>
      <c r="J1303">
        <v>13</v>
      </c>
      <c r="K1303">
        <v>23</v>
      </c>
      <c r="L1303">
        <v>2023</v>
      </c>
      <c r="N1303" t="s">
        <v>47</v>
      </c>
      <c r="O1303" t="s">
        <v>47</v>
      </c>
      <c r="P1303" t="s">
        <v>7005</v>
      </c>
    </row>
    <row r="1304" spans="1:18" x14ac:dyDescent="0.3">
      <c r="A1304" t="s">
        <v>7006</v>
      </c>
      <c r="B1304" t="s">
        <v>109</v>
      </c>
      <c r="C1304">
        <v>80</v>
      </c>
      <c r="D1304" t="s">
        <v>10</v>
      </c>
      <c r="E1304" t="s">
        <v>6813</v>
      </c>
      <c r="F1304" s="43">
        <v>44955.4375</v>
      </c>
      <c r="G1304" s="43">
        <v>44955.493055555555</v>
      </c>
      <c r="H1304">
        <v>10</v>
      </c>
      <c r="I1304">
        <v>30</v>
      </c>
      <c r="J1304">
        <v>11</v>
      </c>
      <c r="K1304">
        <v>50</v>
      </c>
      <c r="L1304">
        <v>2023</v>
      </c>
      <c r="N1304" t="s">
        <v>47</v>
      </c>
      <c r="O1304" t="s">
        <v>47</v>
      </c>
      <c r="P1304" t="s">
        <v>7007</v>
      </c>
    </row>
    <row r="1305" spans="1:18" x14ac:dyDescent="0.3">
      <c r="A1305" t="s">
        <v>6957</v>
      </c>
      <c r="B1305" t="s">
        <v>109</v>
      </c>
      <c r="C1305">
        <v>60</v>
      </c>
      <c r="D1305" t="s">
        <v>10</v>
      </c>
      <c r="E1305" t="s">
        <v>6813</v>
      </c>
      <c r="F1305" s="43">
        <v>44955.270833333336</v>
      </c>
      <c r="G1305" s="43">
        <v>44955.3125</v>
      </c>
      <c r="H1305">
        <v>6</v>
      </c>
      <c r="I1305">
        <v>30</v>
      </c>
      <c r="J1305">
        <v>7</v>
      </c>
      <c r="K1305">
        <v>30</v>
      </c>
      <c r="L1305">
        <v>2023</v>
      </c>
      <c r="N1305" t="s">
        <v>47</v>
      </c>
      <c r="O1305" t="s">
        <v>47</v>
      </c>
      <c r="P1305" t="s">
        <v>6958</v>
      </c>
    </row>
    <row r="1306" spans="1:18" x14ac:dyDescent="0.3">
      <c r="A1306" t="s">
        <v>6959</v>
      </c>
      <c r="B1306" t="s">
        <v>109</v>
      </c>
      <c r="C1306">
        <v>45</v>
      </c>
      <c r="D1306" t="s">
        <v>10</v>
      </c>
      <c r="E1306" t="s">
        <v>6960</v>
      </c>
      <c r="F1306" s="43">
        <v>44954.760416666664</v>
      </c>
      <c r="G1306" s="43">
        <v>44954.791666666664</v>
      </c>
      <c r="H1306">
        <v>18</v>
      </c>
      <c r="I1306">
        <v>15</v>
      </c>
      <c r="J1306">
        <v>19</v>
      </c>
      <c r="K1306">
        <v>0</v>
      </c>
      <c r="L1306">
        <v>2023</v>
      </c>
      <c r="N1306" t="s">
        <v>47</v>
      </c>
      <c r="O1306" t="s">
        <v>47</v>
      </c>
      <c r="P1306" t="s">
        <v>6961</v>
      </c>
    </row>
    <row r="1307" spans="1:18" x14ac:dyDescent="0.3">
      <c r="A1307" t="s">
        <v>6959</v>
      </c>
      <c r="B1307" t="s">
        <v>109</v>
      </c>
      <c r="C1307">
        <v>30</v>
      </c>
      <c r="D1307" t="s">
        <v>10</v>
      </c>
      <c r="E1307" t="s">
        <v>6960</v>
      </c>
      <c r="F1307" s="43">
        <v>44954.708333333336</v>
      </c>
      <c r="G1307" s="43">
        <v>44954.729166666664</v>
      </c>
      <c r="H1307">
        <v>17</v>
      </c>
      <c r="I1307">
        <v>0</v>
      </c>
      <c r="J1307">
        <v>17</v>
      </c>
      <c r="K1307">
        <v>30</v>
      </c>
      <c r="L1307">
        <v>2023</v>
      </c>
      <c r="N1307" t="s">
        <v>47</v>
      </c>
      <c r="O1307" t="s">
        <v>47</v>
      </c>
      <c r="P1307" t="s">
        <v>6962</v>
      </c>
    </row>
    <row r="1308" spans="1:18" x14ac:dyDescent="0.3">
      <c r="A1308" t="s">
        <v>6959</v>
      </c>
      <c r="B1308" t="s">
        <v>109</v>
      </c>
      <c r="C1308">
        <v>30</v>
      </c>
      <c r="D1308" t="s">
        <v>10</v>
      </c>
      <c r="E1308" t="s">
        <v>6960</v>
      </c>
      <c r="F1308" s="43">
        <v>44954.666666666664</v>
      </c>
      <c r="G1308" s="43">
        <v>44954.6875</v>
      </c>
      <c r="H1308">
        <v>16</v>
      </c>
      <c r="I1308">
        <v>0</v>
      </c>
      <c r="J1308">
        <v>16</v>
      </c>
      <c r="K1308">
        <v>30</v>
      </c>
      <c r="L1308">
        <v>2023</v>
      </c>
      <c r="N1308" t="s">
        <v>47</v>
      </c>
      <c r="O1308" t="s">
        <v>47</v>
      </c>
      <c r="P1308" t="s">
        <v>6963</v>
      </c>
    </row>
    <row r="1309" spans="1:18" x14ac:dyDescent="0.3">
      <c r="A1309" t="s">
        <v>6964</v>
      </c>
      <c r="C1309">
        <v>30</v>
      </c>
      <c r="D1309" t="s">
        <v>10</v>
      </c>
      <c r="F1309" s="43">
        <v>44954.604166666664</v>
      </c>
      <c r="G1309" s="43">
        <v>44954.625</v>
      </c>
      <c r="H1309">
        <v>14</v>
      </c>
      <c r="I1309">
        <v>30</v>
      </c>
      <c r="J1309">
        <v>15</v>
      </c>
      <c r="K1309">
        <v>0</v>
      </c>
      <c r="L1309">
        <v>2023</v>
      </c>
      <c r="N1309" t="s">
        <v>47</v>
      </c>
      <c r="O1309" t="s">
        <v>47</v>
      </c>
      <c r="P1309" t="s">
        <v>6965</v>
      </c>
    </row>
    <row r="1310" spans="1:18" x14ac:dyDescent="0.3">
      <c r="A1310" t="s">
        <v>119</v>
      </c>
      <c r="B1310" t="s">
        <v>109</v>
      </c>
      <c r="C1310">
        <v>30</v>
      </c>
      <c r="D1310" t="s">
        <v>10</v>
      </c>
      <c r="E1310" t="s">
        <v>6960</v>
      </c>
      <c r="F1310" s="43">
        <v>44954.583333333336</v>
      </c>
      <c r="G1310" s="43">
        <v>44954.604166666664</v>
      </c>
      <c r="H1310">
        <v>14</v>
      </c>
      <c r="I1310">
        <v>0</v>
      </c>
      <c r="J1310">
        <v>14</v>
      </c>
      <c r="K1310">
        <v>30</v>
      </c>
      <c r="L1310">
        <v>2023</v>
      </c>
      <c r="N1310" t="s">
        <v>47</v>
      </c>
      <c r="O1310" t="s">
        <v>47</v>
      </c>
      <c r="P1310" t="s">
        <v>6966</v>
      </c>
    </row>
    <row r="1311" spans="1:18" x14ac:dyDescent="0.3">
      <c r="A1311" t="s">
        <v>6967</v>
      </c>
      <c r="C1311">
        <v>30</v>
      </c>
      <c r="D1311" t="s">
        <v>10</v>
      </c>
      <c r="F1311" s="43">
        <v>44954.458333333336</v>
      </c>
      <c r="G1311" s="43">
        <v>44954.479166666664</v>
      </c>
      <c r="H1311">
        <v>11</v>
      </c>
      <c r="I1311">
        <v>0</v>
      </c>
      <c r="J1311">
        <v>11</v>
      </c>
      <c r="K1311">
        <v>30</v>
      </c>
      <c r="L1311">
        <v>2023</v>
      </c>
      <c r="N1311" t="s">
        <v>47</v>
      </c>
      <c r="O1311" t="s">
        <v>47</v>
      </c>
      <c r="P1311" t="s">
        <v>6968</v>
      </c>
    </row>
    <row r="1312" spans="1:18" x14ac:dyDescent="0.3">
      <c r="A1312" t="s">
        <v>8</v>
      </c>
      <c r="C1312">
        <v>30</v>
      </c>
      <c r="D1312" t="s">
        <v>10</v>
      </c>
      <c r="F1312" s="43">
        <v>44954.291666666664</v>
      </c>
      <c r="G1312" s="43">
        <v>44954.3125</v>
      </c>
      <c r="H1312">
        <v>7</v>
      </c>
      <c r="I1312">
        <v>0</v>
      </c>
      <c r="J1312">
        <v>7</v>
      </c>
      <c r="K1312">
        <v>30</v>
      </c>
      <c r="L1312">
        <v>2023</v>
      </c>
      <c r="N1312" t="s">
        <v>47</v>
      </c>
      <c r="O1312" t="s">
        <v>47</v>
      </c>
      <c r="P1312" t="s">
        <v>6952</v>
      </c>
    </row>
    <row r="1313" spans="1:16" x14ac:dyDescent="0.3">
      <c r="A1313" t="s">
        <v>8</v>
      </c>
      <c r="C1313">
        <v>60</v>
      </c>
      <c r="D1313" t="s">
        <v>10</v>
      </c>
      <c r="F1313" s="43">
        <v>44953.8125</v>
      </c>
      <c r="G1313" s="43">
        <v>44953.854166666664</v>
      </c>
      <c r="H1313">
        <v>19</v>
      </c>
      <c r="I1313">
        <v>30</v>
      </c>
      <c r="J1313">
        <v>20</v>
      </c>
      <c r="K1313">
        <v>30</v>
      </c>
      <c r="L1313">
        <v>2023</v>
      </c>
      <c r="N1313" t="s">
        <v>47</v>
      </c>
      <c r="O1313" t="s">
        <v>47</v>
      </c>
      <c r="P1313" t="s">
        <v>6955</v>
      </c>
    </row>
    <row r="1314" spans="1:16" x14ac:dyDescent="0.3">
      <c r="A1314" t="s">
        <v>6953</v>
      </c>
      <c r="B1314" t="s">
        <v>31</v>
      </c>
      <c r="C1314">
        <v>150</v>
      </c>
      <c r="D1314" t="s">
        <v>10</v>
      </c>
      <c r="F1314" s="43">
        <v>44953.708333333336</v>
      </c>
      <c r="G1314" s="43">
        <v>44953.8125</v>
      </c>
      <c r="H1314">
        <v>17</v>
      </c>
      <c r="I1314">
        <v>0</v>
      </c>
      <c r="J1314">
        <v>19</v>
      </c>
      <c r="K1314">
        <v>30</v>
      </c>
      <c r="L1314">
        <v>2023</v>
      </c>
      <c r="N1314" t="s">
        <v>47</v>
      </c>
      <c r="O1314" t="s">
        <v>47</v>
      </c>
      <c r="P1314" t="s">
        <v>6954</v>
      </c>
    </row>
    <row r="1315" spans="1:16" x14ac:dyDescent="0.3">
      <c r="A1315" t="s">
        <v>8</v>
      </c>
      <c r="C1315">
        <v>60</v>
      </c>
      <c r="D1315" t="s">
        <v>10</v>
      </c>
      <c r="F1315" s="43">
        <v>44953.645833333336</v>
      </c>
      <c r="G1315" s="43">
        <v>44953.6875</v>
      </c>
      <c r="H1315">
        <v>15</v>
      </c>
      <c r="I1315">
        <v>30</v>
      </c>
      <c r="J1315">
        <v>16</v>
      </c>
      <c r="K1315">
        <v>30</v>
      </c>
      <c r="L1315">
        <v>2023</v>
      </c>
      <c r="N1315" t="s">
        <v>47</v>
      </c>
      <c r="O1315" t="s">
        <v>47</v>
      </c>
      <c r="P1315" t="s">
        <v>6956</v>
      </c>
    </row>
    <row r="1316" spans="1:16" x14ac:dyDescent="0.3">
      <c r="A1316" t="s">
        <v>6914</v>
      </c>
      <c r="C1316">
        <v>30</v>
      </c>
      <c r="D1316" t="s">
        <v>10</v>
      </c>
      <c r="F1316" s="43">
        <v>44953.625</v>
      </c>
      <c r="G1316" s="43">
        <v>44953.645833333336</v>
      </c>
      <c r="H1316">
        <v>15</v>
      </c>
      <c r="I1316">
        <v>0</v>
      </c>
      <c r="J1316">
        <v>15</v>
      </c>
      <c r="K1316">
        <v>30</v>
      </c>
      <c r="L1316">
        <v>2023</v>
      </c>
      <c r="N1316" t="s">
        <v>47</v>
      </c>
      <c r="O1316" t="s">
        <v>47</v>
      </c>
      <c r="P1316" t="s">
        <v>6915</v>
      </c>
    </row>
    <row r="1317" spans="1:16" x14ac:dyDescent="0.3">
      <c r="A1317" t="s">
        <v>6947</v>
      </c>
      <c r="C1317">
        <v>60</v>
      </c>
      <c r="D1317" t="s">
        <v>10</v>
      </c>
      <c r="E1317" t="s">
        <v>6948</v>
      </c>
      <c r="F1317" s="43">
        <v>44953.583333333336</v>
      </c>
      <c r="G1317" s="43">
        <v>44953.625</v>
      </c>
      <c r="H1317">
        <v>14</v>
      </c>
      <c r="I1317">
        <v>0</v>
      </c>
      <c r="J1317">
        <v>15</v>
      </c>
      <c r="K1317">
        <v>0</v>
      </c>
      <c r="L1317">
        <v>2023</v>
      </c>
      <c r="N1317" t="s">
        <v>6949</v>
      </c>
      <c r="O1317" t="s">
        <v>6950</v>
      </c>
      <c r="P1317" t="s">
        <v>6951</v>
      </c>
    </row>
    <row r="1318" spans="1:16" x14ac:dyDescent="0.3">
      <c r="A1318" t="s">
        <v>8</v>
      </c>
      <c r="C1318">
        <v>20</v>
      </c>
      <c r="D1318" t="s">
        <v>10</v>
      </c>
      <c r="F1318" s="43">
        <v>44953.569444444445</v>
      </c>
      <c r="G1318" s="43">
        <v>44953.583333333336</v>
      </c>
      <c r="H1318">
        <v>13</v>
      </c>
      <c r="I1318">
        <v>40</v>
      </c>
      <c r="J1318">
        <v>14</v>
      </c>
      <c r="K1318">
        <v>0</v>
      </c>
      <c r="L1318">
        <v>2023</v>
      </c>
      <c r="N1318" t="s">
        <v>47</v>
      </c>
      <c r="O1318" t="s">
        <v>47</v>
      </c>
      <c r="P1318" t="s">
        <v>6916</v>
      </c>
    </row>
    <row r="1319" spans="1:16" x14ac:dyDescent="0.3">
      <c r="A1319" t="s">
        <v>17</v>
      </c>
      <c r="C1319">
        <v>15</v>
      </c>
      <c r="D1319" t="s">
        <v>10</v>
      </c>
      <c r="E1319" s="47"/>
      <c r="F1319" s="43">
        <v>44953.53125</v>
      </c>
      <c r="G1319" s="43">
        <v>44953.541666666664</v>
      </c>
      <c r="H1319">
        <v>12</v>
      </c>
      <c r="I1319">
        <v>45</v>
      </c>
      <c r="J1319">
        <v>13</v>
      </c>
      <c r="K1319">
        <v>0</v>
      </c>
      <c r="L1319">
        <v>2023</v>
      </c>
      <c r="N1319" t="s">
        <v>47</v>
      </c>
      <c r="O1319" t="s">
        <v>47</v>
      </c>
      <c r="P1319" t="s">
        <v>6917</v>
      </c>
    </row>
    <row r="1320" spans="1:16" x14ac:dyDescent="0.3">
      <c r="A1320" t="s">
        <v>1151</v>
      </c>
      <c r="C1320">
        <v>30</v>
      </c>
      <c r="D1320" t="s">
        <v>10</v>
      </c>
      <c r="F1320" s="43">
        <v>44953.5</v>
      </c>
      <c r="G1320" s="43">
        <v>44953.520833333336</v>
      </c>
      <c r="H1320">
        <v>12</v>
      </c>
      <c r="I1320">
        <v>0</v>
      </c>
      <c r="J1320">
        <v>12</v>
      </c>
      <c r="K1320">
        <v>30</v>
      </c>
      <c r="L1320">
        <v>2023</v>
      </c>
      <c r="N1320" t="s">
        <v>75</v>
      </c>
      <c r="O1320" t="s">
        <v>49</v>
      </c>
      <c r="P1320" t="s">
        <v>6907</v>
      </c>
    </row>
    <row r="1321" spans="1:16" x14ac:dyDescent="0.3">
      <c r="A1321" t="s">
        <v>6918</v>
      </c>
      <c r="C1321">
        <v>30</v>
      </c>
      <c r="D1321" t="s">
        <v>10</v>
      </c>
      <c r="F1321" s="43">
        <v>44953.479166666664</v>
      </c>
      <c r="G1321" s="43">
        <v>44953.5</v>
      </c>
      <c r="H1321">
        <v>11</v>
      </c>
      <c r="I1321">
        <v>30</v>
      </c>
      <c r="J1321">
        <v>12</v>
      </c>
      <c r="K1321">
        <v>0</v>
      </c>
      <c r="L1321">
        <v>2023</v>
      </c>
      <c r="N1321" t="s">
        <v>47</v>
      </c>
      <c r="O1321" t="s">
        <v>47</v>
      </c>
      <c r="P1321" t="s">
        <v>6919</v>
      </c>
    </row>
    <row r="1322" spans="1:16" x14ac:dyDescent="0.3">
      <c r="A1322" t="s">
        <v>6928</v>
      </c>
      <c r="C1322">
        <v>30</v>
      </c>
      <c r="D1322" t="s">
        <v>10</v>
      </c>
      <c r="E1322" t="s">
        <v>501</v>
      </c>
      <c r="F1322" s="43">
        <v>44953.458333333336</v>
      </c>
      <c r="G1322" s="43">
        <v>44953.479166666664</v>
      </c>
      <c r="H1322">
        <v>11</v>
      </c>
      <c r="I1322">
        <v>0</v>
      </c>
      <c r="J1322">
        <v>11</v>
      </c>
      <c r="K1322">
        <v>30</v>
      </c>
      <c r="L1322">
        <v>2023</v>
      </c>
      <c r="N1322" t="s">
        <v>6929</v>
      </c>
      <c r="O1322" t="s">
        <v>47</v>
      </c>
      <c r="P1322" t="s">
        <v>6930</v>
      </c>
    </row>
    <row r="1323" spans="1:16" x14ac:dyDescent="0.3">
      <c r="A1323" t="s">
        <v>4438</v>
      </c>
      <c r="C1323">
        <v>30</v>
      </c>
      <c r="D1323" t="s">
        <v>10</v>
      </c>
      <c r="F1323" s="43">
        <v>44953.4375</v>
      </c>
      <c r="G1323" s="43">
        <v>44953.458333333336</v>
      </c>
      <c r="H1323">
        <v>10</v>
      </c>
      <c r="I1323">
        <v>30</v>
      </c>
      <c r="J1323">
        <v>11</v>
      </c>
      <c r="K1323">
        <v>0</v>
      </c>
      <c r="L1323">
        <v>2023</v>
      </c>
      <c r="N1323" t="s">
        <v>47</v>
      </c>
      <c r="O1323" t="s">
        <v>47</v>
      </c>
      <c r="P1323" t="s">
        <v>6923</v>
      </c>
    </row>
    <row r="1324" spans="1:16" x14ac:dyDescent="0.3">
      <c r="A1324" t="s">
        <v>6921</v>
      </c>
      <c r="C1324">
        <v>30</v>
      </c>
      <c r="D1324" t="s">
        <v>10</v>
      </c>
      <c r="F1324" s="43">
        <v>44953.416666666664</v>
      </c>
      <c r="G1324" s="43">
        <v>44953.4375</v>
      </c>
      <c r="H1324">
        <v>10</v>
      </c>
      <c r="I1324">
        <v>0</v>
      </c>
      <c r="J1324">
        <v>10</v>
      </c>
      <c r="K1324">
        <v>30</v>
      </c>
      <c r="L1324">
        <v>2023</v>
      </c>
      <c r="N1324" t="s">
        <v>47</v>
      </c>
      <c r="O1324" t="s">
        <v>47</v>
      </c>
      <c r="P1324" t="s">
        <v>6922</v>
      </c>
    </row>
    <row r="1325" spans="1:16" x14ac:dyDescent="0.3">
      <c r="A1325" t="s">
        <v>8</v>
      </c>
      <c r="C1325">
        <v>30</v>
      </c>
      <c r="D1325" t="s">
        <v>10</v>
      </c>
      <c r="F1325" s="43">
        <v>44953.333333333336</v>
      </c>
      <c r="G1325" s="43">
        <v>44953.354166666664</v>
      </c>
      <c r="H1325">
        <v>8</v>
      </c>
      <c r="I1325">
        <v>0</v>
      </c>
      <c r="J1325">
        <v>8</v>
      </c>
      <c r="K1325">
        <v>30</v>
      </c>
      <c r="L1325">
        <v>2023</v>
      </c>
      <c r="N1325" t="s">
        <v>47</v>
      </c>
      <c r="O1325" t="s">
        <v>47</v>
      </c>
      <c r="P1325" t="s">
        <v>6920</v>
      </c>
    </row>
    <row r="1326" spans="1:16" x14ac:dyDescent="0.3">
      <c r="A1326" t="s">
        <v>803</v>
      </c>
      <c r="B1326" t="s">
        <v>20</v>
      </c>
      <c r="C1326">
        <v>30</v>
      </c>
      <c r="D1326" t="s">
        <v>10</v>
      </c>
      <c r="E1326" t="s">
        <v>5</v>
      </c>
      <c r="F1326" s="43">
        <v>44953.3125</v>
      </c>
      <c r="G1326" s="43">
        <v>44953.333333333336</v>
      </c>
      <c r="H1326">
        <v>7</v>
      </c>
      <c r="I1326">
        <v>30</v>
      </c>
      <c r="J1326">
        <v>8</v>
      </c>
      <c r="K1326">
        <v>0</v>
      </c>
      <c r="L1326">
        <v>2023</v>
      </c>
      <c r="N1326" t="s">
        <v>1399</v>
      </c>
      <c r="O1326" t="s">
        <v>1241</v>
      </c>
      <c r="P1326" t="s">
        <v>6945</v>
      </c>
    </row>
    <row r="1327" spans="1:16" x14ac:dyDescent="0.3">
      <c r="A1327" t="s">
        <v>8</v>
      </c>
      <c r="C1327">
        <v>60</v>
      </c>
      <c r="D1327" t="s">
        <v>10</v>
      </c>
      <c r="F1327" s="43">
        <v>44953.270833333336</v>
      </c>
      <c r="G1327" s="43">
        <v>44953.3125</v>
      </c>
      <c r="H1327">
        <v>6</v>
      </c>
      <c r="I1327">
        <v>30</v>
      </c>
      <c r="J1327">
        <v>7</v>
      </c>
      <c r="K1327">
        <v>30</v>
      </c>
      <c r="L1327">
        <v>2023</v>
      </c>
      <c r="N1327" t="s">
        <v>47</v>
      </c>
      <c r="O1327" t="s">
        <v>47</v>
      </c>
      <c r="P1327" t="s">
        <v>6924</v>
      </c>
    </row>
    <row r="1328" spans="1:16" x14ac:dyDescent="0.3">
      <c r="A1328" t="s">
        <v>6716</v>
      </c>
      <c r="C1328">
        <v>45</v>
      </c>
      <c r="D1328" t="s">
        <v>10</v>
      </c>
      <c r="E1328" t="s">
        <v>6717</v>
      </c>
      <c r="F1328" s="43">
        <v>44952.708333333336</v>
      </c>
      <c r="G1328" s="43">
        <v>44952.739583333336</v>
      </c>
      <c r="H1328">
        <v>17</v>
      </c>
      <c r="I1328">
        <v>0</v>
      </c>
      <c r="J1328">
        <v>17</v>
      </c>
      <c r="K1328">
        <v>45</v>
      </c>
      <c r="L1328">
        <v>2023</v>
      </c>
      <c r="N1328" t="s">
        <v>6718</v>
      </c>
      <c r="O1328" t="s">
        <v>6572</v>
      </c>
      <c r="P1328" t="s">
        <v>6719</v>
      </c>
    </row>
    <row r="1329" spans="1:16" x14ac:dyDescent="0.3">
      <c r="A1329" t="s">
        <v>6925</v>
      </c>
      <c r="B1329" t="s">
        <v>109</v>
      </c>
      <c r="C1329">
        <v>30</v>
      </c>
      <c r="D1329" t="s">
        <v>10</v>
      </c>
      <c r="E1329" s="47" t="s">
        <v>6813</v>
      </c>
      <c r="F1329" s="43">
        <v>44952.666666666664</v>
      </c>
      <c r="G1329" s="43">
        <v>44952.6875</v>
      </c>
      <c r="H1329">
        <v>16</v>
      </c>
      <c r="I1329">
        <v>0</v>
      </c>
      <c r="J1329">
        <v>16</v>
      </c>
      <c r="K1329">
        <v>30</v>
      </c>
      <c r="L1329">
        <v>2023</v>
      </c>
      <c r="N1329" t="s">
        <v>47</v>
      </c>
      <c r="O1329" t="s">
        <v>47</v>
      </c>
      <c r="P1329" t="s">
        <v>6926</v>
      </c>
    </row>
    <row r="1330" spans="1:16" x14ac:dyDescent="0.3">
      <c r="A1330" t="s">
        <v>9</v>
      </c>
      <c r="C1330">
        <v>30</v>
      </c>
      <c r="D1330" t="s">
        <v>10</v>
      </c>
      <c r="F1330" s="43">
        <v>44952.645833333336</v>
      </c>
      <c r="G1330" s="43">
        <v>44952.666666666664</v>
      </c>
      <c r="H1330">
        <v>15</v>
      </c>
      <c r="I1330">
        <v>30</v>
      </c>
      <c r="J1330">
        <v>16</v>
      </c>
      <c r="K1330">
        <v>0</v>
      </c>
      <c r="L1330">
        <v>2023</v>
      </c>
      <c r="N1330" t="s">
        <v>47</v>
      </c>
      <c r="O1330" t="s">
        <v>47</v>
      </c>
      <c r="P1330" t="s">
        <v>6927</v>
      </c>
    </row>
    <row r="1331" spans="1:16" x14ac:dyDescent="0.3">
      <c r="A1331" t="s">
        <v>6931</v>
      </c>
      <c r="B1331" t="s">
        <v>109</v>
      </c>
      <c r="C1331">
        <v>50</v>
      </c>
      <c r="D1331" t="s">
        <v>10</v>
      </c>
      <c r="E1331" t="s">
        <v>6813</v>
      </c>
      <c r="F1331" s="43">
        <v>44952.583333333336</v>
      </c>
      <c r="G1331" s="43">
        <v>44952.618055555555</v>
      </c>
      <c r="H1331">
        <v>14</v>
      </c>
      <c r="I1331">
        <v>0</v>
      </c>
      <c r="J1331">
        <v>14</v>
      </c>
      <c r="K1331">
        <v>50</v>
      </c>
      <c r="L1331">
        <v>2023</v>
      </c>
      <c r="N1331" t="s">
        <v>47</v>
      </c>
      <c r="O1331" t="s">
        <v>47</v>
      </c>
      <c r="P1331" t="s">
        <v>6932</v>
      </c>
    </row>
    <row r="1332" spans="1:16" x14ac:dyDescent="0.3">
      <c r="A1332" t="s">
        <v>59</v>
      </c>
      <c r="C1332">
        <v>30</v>
      </c>
      <c r="D1332" t="s">
        <v>10</v>
      </c>
      <c r="F1332" s="43">
        <v>44952.552083333336</v>
      </c>
      <c r="G1332" s="43">
        <v>44952.572916666664</v>
      </c>
      <c r="H1332">
        <v>13</v>
      </c>
      <c r="I1332">
        <v>15</v>
      </c>
      <c r="J1332">
        <v>13</v>
      </c>
      <c r="K1332">
        <v>45</v>
      </c>
      <c r="L1332">
        <v>2023</v>
      </c>
      <c r="N1332" t="s">
        <v>47</v>
      </c>
      <c r="O1332" t="s">
        <v>47</v>
      </c>
      <c r="P1332" t="s">
        <v>6940</v>
      </c>
    </row>
    <row r="1333" spans="1:16" x14ac:dyDescent="0.3">
      <c r="A1333" t="s">
        <v>4452</v>
      </c>
      <c r="C1333">
        <v>30</v>
      </c>
      <c r="D1333" t="s">
        <v>10</v>
      </c>
      <c r="F1333" s="43">
        <v>44952.53125</v>
      </c>
      <c r="G1333" s="43">
        <v>44952.552083333336</v>
      </c>
      <c r="H1333">
        <v>12</v>
      </c>
      <c r="I1333">
        <v>45</v>
      </c>
      <c r="J1333">
        <v>13</v>
      </c>
      <c r="K1333">
        <v>15</v>
      </c>
      <c r="L1333">
        <v>2023</v>
      </c>
      <c r="N1333" t="s">
        <v>47</v>
      </c>
      <c r="O1333" t="s">
        <v>47</v>
      </c>
      <c r="P1333" t="s">
        <v>6941</v>
      </c>
    </row>
    <row r="1334" spans="1:16" x14ac:dyDescent="0.3">
      <c r="A1334" t="s">
        <v>6942</v>
      </c>
      <c r="B1334" t="s">
        <v>109</v>
      </c>
      <c r="C1334">
        <v>30</v>
      </c>
      <c r="D1334" t="s">
        <v>10</v>
      </c>
      <c r="E1334" t="s">
        <v>6813</v>
      </c>
      <c r="F1334" s="43">
        <v>44952.510416666664</v>
      </c>
      <c r="G1334" s="43">
        <v>44952.53125</v>
      </c>
      <c r="H1334">
        <v>12</v>
      </c>
      <c r="I1334">
        <v>15</v>
      </c>
      <c r="J1334">
        <v>12</v>
      </c>
      <c r="K1334">
        <v>45</v>
      </c>
      <c r="L1334">
        <v>2023</v>
      </c>
      <c r="N1334" t="s">
        <v>47</v>
      </c>
      <c r="O1334" t="s">
        <v>47</v>
      </c>
      <c r="P1334" t="s">
        <v>6943</v>
      </c>
    </row>
    <row r="1335" spans="1:16" x14ac:dyDescent="0.3">
      <c r="A1335" t="s">
        <v>17</v>
      </c>
      <c r="C1335">
        <v>15</v>
      </c>
      <c r="D1335" t="s">
        <v>10</v>
      </c>
      <c r="F1335" s="43">
        <v>44952.479166666664</v>
      </c>
      <c r="G1335" s="43">
        <v>44952.489583333336</v>
      </c>
      <c r="H1335">
        <v>11</v>
      </c>
      <c r="I1335">
        <v>30</v>
      </c>
      <c r="J1335">
        <v>11</v>
      </c>
      <c r="K1335">
        <v>45</v>
      </c>
      <c r="L1335">
        <v>2023</v>
      </c>
      <c r="N1335" t="s">
        <v>47</v>
      </c>
      <c r="O1335" t="s">
        <v>47</v>
      </c>
      <c r="P1335" t="s">
        <v>6944</v>
      </c>
    </row>
    <row r="1336" spans="1:16" x14ac:dyDescent="0.3">
      <c r="A1336" t="s">
        <v>23</v>
      </c>
      <c r="C1336">
        <v>30</v>
      </c>
      <c r="D1336" t="s">
        <v>10</v>
      </c>
      <c r="F1336" s="43">
        <v>44952.458333333336</v>
      </c>
      <c r="G1336" s="43">
        <v>44952.479166666664</v>
      </c>
      <c r="H1336">
        <v>11</v>
      </c>
      <c r="I1336">
        <v>0</v>
      </c>
      <c r="J1336">
        <v>11</v>
      </c>
      <c r="K1336">
        <v>30</v>
      </c>
      <c r="L1336">
        <v>2023</v>
      </c>
      <c r="N1336" t="s">
        <v>47</v>
      </c>
      <c r="O1336" t="s">
        <v>47</v>
      </c>
      <c r="P1336" t="s">
        <v>6946</v>
      </c>
    </row>
    <row r="1337" spans="1:16" x14ac:dyDescent="0.3">
      <c r="A1337" t="s">
        <v>8</v>
      </c>
      <c r="C1337">
        <v>60</v>
      </c>
      <c r="D1337" t="s">
        <v>10</v>
      </c>
      <c r="F1337" s="43">
        <v>44952.375</v>
      </c>
      <c r="G1337" s="43">
        <v>44952.416666666664</v>
      </c>
      <c r="H1337">
        <v>9</v>
      </c>
      <c r="I1337">
        <v>0</v>
      </c>
      <c r="J1337">
        <v>10</v>
      </c>
      <c r="K1337">
        <v>0</v>
      </c>
      <c r="L1337">
        <v>2023</v>
      </c>
      <c r="N1337" t="s">
        <v>47</v>
      </c>
      <c r="O1337" t="s">
        <v>47</v>
      </c>
      <c r="P1337" t="s">
        <v>6937</v>
      </c>
    </row>
    <row r="1338" spans="1:16" x14ac:dyDescent="0.3">
      <c r="A1338" t="s">
        <v>8</v>
      </c>
      <c r="C1338">
        <v>60</v>
      </c>
      <c r="D1338" t="s">
        <v>10</v>
      </c>
      <c r="F1338" s="43">
        <v>44952.270833333336</v>
      </c>
      <c r="G1338" s="43">
        <v>44952.3125</v>
      </c>
      <c r="H1338">
        <v>6</v>
      </c>
      <c r="I1338">
        <v>30</v>
      </c>
      <c r="J1338">
        <v>7</v>
      </c>
      <c r="K1338">
        <v>30</v>
      </c>
      <c r="L1338">
        <v>2023</v>
      </c>
      <c r="N1338" t="s">
        <v>47</v>
      </c>
      <c r="O1338" t="s">
        <v>47</v>
      </c>
      <c r="P1338" t="s">
        <v>6938</v>
      </c>
    </row>
    <row r="1339" spans="1:16" x14ac:dyDescent="0.3">
      <c r="A1339" t="s">
        <v>6770</v>
      </c>
      <c r="B1339" t="s">
        <v>31</v>
      </c>
      <c r="C1339">
        <v>240</v>
      </c>
      <c r="D1339" t="s">
        <v>10</v>
      </c>
      <c r="E1339" t="s">
        <v>6771</v>
      </c>
      <c r="F1339" s="43">
        <v>44952.25</v>
      </c>
      <c r="G1339" s="43">
        <v>44952.416666666664</v>
      </c>
      <c r="H1339">
        <v>6</v>
      </c>
      <c r="I1339">
        <v>0</v>
      </c>
      <c r="J1339">
        <v>10</v>
      </c>
      <c r="K1339">
        <v>0</v>
      </c>
      <c r="L1339">
        <v>2023</v>
      </c>
      <c r="N1339" t="s">
        <v>6772</v>
      </c>
      <c r="O1339" t="s">
        <v>47</v>
      </c>
      <c r="P1339" t="s">
        <v>6773</v>
      </c>
    </row>
    <row r="1340" spans="1:16" x14ac:dyDescent="0.3">
      <c r="A1340" t="s">
        <v>4469</v>
      </c>
      <c r="C1340">
        <v>45</v>
      </c>
      <c r="D1340" t="s">
        <v>10</v>
      </c>
      <c r="F1340" s="43">
        <v>44952.239583333336</v>
      </c>
      <c r="G1340" s="43">
        <v>44952.270833333336</v>
      </c>
      <c r="H1340">
        <v>5</v>
      </c>
      <c r="I1340">
        <v>45</v>
      </c>
      <c r="J1340">
        <v>6</v>
      </c>
      <c r="K1340">
        <v>30</v>
      </c>
      <c r="L1340">
        <v>2023</v>
      </c>
      <c r="N1340" t="s">
        <v>47</v>
      </c>
      <c r="O1340" t="s">
        <v>47</v>
      </c>
      <c r="P1340" t="s">
        <v>6909</v>
      </c>
    </row>
    <row r="1341" spans="1:16" x14ac:dyDescent="0.3">
      <c r="A1341" t="s">
        <v>4926</v>
      </c>
      <c r="C1341">
        <v>45</v>
      </c>
      <c r="D1341" t="s">
        <v>10</v>
      </c>
      <c r="F1341" s="43">
        <v>44952.208333333336</v>
      </c>
      <c r="G1341" s="43">
        <v>44952.239583333336</v>
      </c>
      <c r="H1341">
        <v>5</v>
      </c>
      <c r="I1341">
        <v>0</v>
      </c>
      <c r="J1341">
        <v>5</v>
      </c>
      <c r="K1341">
        <v>45</v>
      </c>
      <c r="L1341">
        <v>2023</v>
      </c>
      <c r="N1341" t="s">
        <v>47</v>
      </c>
      <c r="O1341" t="s">
        <v>47</v>
      </c>
      <c r="P1341" t="s">
        <v>6908</v>
      </c>
    </row>
    <row r="1342" spans="1:16" x14ac:dyDescent="0.3">
      <c r="A1342" t="s">
        <v>4519</v>
      </c>
      <c r="C1342">
        <v>60</v>
      </c>
      <c r="D1342" t="s">
        <v>10</v>
      </c>
      <c r="F1342" s="43">
        <v>44952.208333333336</v>
      </c>
      <c r="G1342" s="43">
        <v>44952.25</v>
      </c>
      <c r="H1342">
        <v>5</v>
      </c>
      <c r="I1342">
        <v>0</v>
      </c>
      <c r="J1342">
        <v>6</v>
      </c>
      <c r="K1342">
        <v>0</v>
      </c>
      <c r="L1342">
        <v>2023</v>
      </c>
      <c r="N1342" t="s">
        <v>47</v>
      </c>
      <c r="O1342" t="s">
        <v>47</v>
      </c>
      <c r="P1342" t="s">
        <v>6939</v>
      </c>
    </row>
    <row r="1343" spans="1:16" x14ac:dyDescent="0.3">
      <c r="A1343" t="s">
        <v>6892</v>
      </c>
      <c r="C1343">
        <v>60</v>
      </c>
      <c r="D1343" t="s">
        <v>10</v>
      </c>
      <c r="F1343" s="43">
        <v>44951.770833333336</v>
      </c>
      <c r="G1343" s="43">
        <v>44951.8125</v>
      </c>
      <c r="H1343">
        <v>18</v>
      </c>
      <c r="I1343">
        <v>30</v>
      </c>
      <c r="J1343">
        <v>19</v>
      </c>
      <c r="K1343">
        <v>30</v>
      </c>
      <c r="L1343">
        <v>2023</v>
      </c>
      <c r="N1343" t="s">
        <v>47</v>
      </c>
      <c r="O1343" t="s">
        <v>47</v>
      </c>
      <c r="P1343" t="s">
        <v>6893</v>
      </c>
    </row>
    <row r="1344" spans="1:16" x14ac:dyDescent="0.3">
      <c r="A1344" t="s">
        <v>6894</v>
      </c>
      <c r="C1344">
        <v>60</v>
      </c>
      <c r="D1344" t="s">
        <v>10</v>
      </c>
      <c r="F1344" s="43">
        <v>44951.708333333336</v>
      </c>
      <c r="G1344" s="43">
        <v>44951.75</v>
      </c>
      <c r="H1344">
        <v>17</v>
      </c>
      <c r="I1344">
        <v>0</v>
      </c>
      <c r="J1344">
        <v>18</v>
      </c>
      <c r="K1344">
        <v>0</v>
      </c>
      <c r="L1344">
        <v>2023</v>
      </c>
      <c r="N1344" t="s">
        <v>47</v>
      </c>
      <c r="O1344" t="s">
        <v>47</v>
      </c>
      <c r="P1344" t="s">
        <v>6895</v>
      </c>
    </row>
    <row r="1345" spans="1:16" x14ac:dyDescent="0.3">
      <c r="A1345" t="s">
        <v>9</v>
      </c>
      <c r="C1345">
        <v>30</v>
      </c>
      <c r="D1345" t="s">
        <v>10</v>
      </c>
      <c r="F1345" s="43">
        <v>44951.666666666664</v>
      </c>
      <c r="G1345" s="43">
        <v>44951.6875</v>
      </c>
      <c r="H1345">
        <v>16</v>
      </c>
      <c r="I1345">
        <v>0</v>
      </c>
      <c r="J1345">
        <v>16</v>
      </c>
      <c r="K1345">
        <v>30</v>
      </c>
      <c r="L1345">
        <v>2023</v>
      </c>
      <c r="N1345" t="s">
        <v>47</v>
      </c>
      <c r="O1345" t="s">
        <v>47</v>
      </c>
      <c r="P1345" t="s">
        <v>6896</v>
      </c>
    </row>
    <row r="1346" spans="1:16" x14ac:dyDescent="0.3">
      <c r="A1346" t="s">
        <v>4452</v>
      </c>
      <c r="C1346">
        <v>20</v>
      </c>
      <c r="D1346" t="s">
        <v>10</v>
      </c>
      <c r="F1346" s="43">
        <v>44951.625</v>
      </c>
      <c r="G1346" s="43">
        <v>44951.638888888891</v>
      </c>
      <c r="H1346">
        <v>15</v>
      </c>
      <c r="I1346">
        <v>0</v>
      </c>
      <c r="J1346">
        <v>15</v>
      </c>
      <c r="K1346">
        <v>20</v>
      </c>
      <c r="L1346">
        <v>2023</v>
      </c>
      <c r="N1346" t="s">
        <v>47</v>
      </c>
      <c r="O1346" t="s">
        <v>47</v>
      </c>
      <c r="P1346" t="s">
        <v>6897</v>
      </c>
    </row>
    <row r="1347" spans="1:16" x14ac:dyDescent="0.3">
      <c r="A1347" t="s">
        <v>6899</v>
      </c>
      <c r="C1347">
        <v>60</v>
      </c>
      <c r="D1347" t="s">
        <v>10</v>
      </c>
      <c r="E1347" t="s">
        <v>6900</v>
      </c>
      <c r="F1347" s="43">
        <v>44951.583333333336</v>
      </c>
      <c r="G1347" s="43">
        <v>44951.625</v>
      </c>
      <c r="H1347">
        <v>14</v>
      </c>
      <c r="I1347">
        <v>0</v>
      </c>
      <c r="J1347">
        <v>15</v>
      </c>
      <c r="K1347">
        <v>0</v>
      </c>
      <c r="L1347">
        <v>2023</v>
      </c>
      <c r="N1347" t="s">
        <v>6901</v>
      </c>
      <c r="O1347" t="s">
        <v>6902</v>
      </c>
      <c r="P1347" t="s">
        <v>6903</v>
      </c>
    </row>
    <row r="1348" spans="1:16" x14ac:dyDescent="0.3">
      <c r="A1348" t="s">
        <v>6880</v>
      </c>
      <c r="C1348">
        <v>60</v>
      </c>
      <c r="D1348" t="s">
        <v>10</v>
      </c>
      <c r="F1348" s="43">
        <v>44951.53125</v>
      </c>
      <c r="G1348" s="43">
        <v>44951.572916666664</v>
      </c>
      <c r="H1348">
        <v>12</v>
      </c>
      <c r="I1348">
        <v>45</v>
      </c>
      <c r="J1348">
        <v>13</v>
      </c>
      <c r="K1348">
        <v>45</v>
      </c>
      <c r="L1348">
        <v>2023</v>
      </c>
      <c r="N1348" t="s">
        <v>47</v>
      </c>
      <c r="O1348" t="s">
        <v>47</v>
      </c>
      <c r="P1348" t="s">
        <v>6898</v>
      </c>
    </row>
    <row r="1349" spans="1:16" x14ac:dyDescent="0.3">
      <c r="A1349" t="s">
        <v>6905</v>
      </c>
      <c r="C1349">
        <v>30</v>
      </c>
      <c r="D1349" t="s">
        <v>10</v>
      </c>
      <c r="F1349" s="43">
        <v>44951.458333333336</v>
      </c>
      <c r="G1349" s="43">
        <v>44951.479166666664</v>
      </c>
      <c r="H1349">
        <v>11</v>
      </c>
      <c r="I1349">
        <v>0</v>
      </c>
      <c r="J1349">
        <v>11</v>
      </c>
      <c r="K1349">
        <v>30</v>
      </c>
      <c r="L1349">
        <v>2023</v>
      </c>
      <c r="N1349" t="s">
        <v>47</v>
      </c>
      <c r="O1349" t="s">
        <v>47</v>
      </c>
      <c r="P1349" t="s">
        <v>6906</v>
      </c>
    </row>
    <row r="1350" spans="1:16" x14ac:dyDescent="0.3">
      <c r="A1350" t="s">
        <v>6831</v>
      </c>
      <c r="B1350" t="s">
        <v>20</v>
      </c>
      <c r="C1350">
        <v>60</v>
      </c>
      <c r="D1350" t="s">
        <v>10</v>
      </c>
      <c r="E1350" t="s">
        <v>501</v>
      </c>
      <c r="F1350" s="43">
        <v>44951.354166666664</v>
      </c>
      <c r="G1350" s="43">
        <v>44951.395833333336</v>
      </c>
      <c r="H1350">
        <v>8</v>
      </c>
      <c r="I1350">
        <v>30</v>
      </c>
      <c r="J1350">
        <v>9</v>
      </c>
      <c r="K1350">
        <v>30</v>
      </c>
      <c r="L1350">
        <v>2023</v>
      </c>
      <c r="N1350" t="s">
        <v>6832</v>
      </c>
      <c r="O1350" t="s">
        <v>47</v>
      </c>
      <c r="P1350" t="s">
        <v>6833</v>
      </c>
    </row>
    <row r="1351" spans="1:16" x14ac:dyDescent="0.3">
      <c r="A1351" t="s">
        <v>6874</v>
      </c>
      <c r="C1351">
        <v>60</v>
      </c>
      <c r="D1351" t="s">
        <v>10</v>
      </c>
      <c r="F1351" s="43">
        <v>44951.291666666664</v>
      </c>
      <c r="G1351" s="43">
        <v>44951.333333333336</v>
      </c>
      <c r="H1351">
        <v>7</v>
      </c>
      <c r="I1351">
        <v>0</v>
      </c>
      <c r="J1351">
        <v>8</v>
      </c>
      <c r="K1351">
        <v>0</v>
      </c>
      <c r="L1351">
        <v>2023</v>
      </c>
      <c r="N1351" t="s">
        <v>47</v>
      </c>
      <c r="O1351" t="s">
        <v>47</v>
      </c>
      <c r="P1351" t="s">
        <v>6904</v>
      </c>
    </row>
    <row r="1352" spans="1:16" x14ac:dyDescent="0.3">
      <c r="A1352" t="s">
        <v>6874</v>
      </c>
      <c r="C1352">
        <v>60</v>
      </c>
      <c r="D1352" t="s">
        <v>10</v>
      </c>
      <c r="F1352" s="43">
        <v>44951.229166666664</v>
      </c>
      <c r="G1352" s="43">
        <v>44951.270833333336</v>
      </c>
      <c r="H1352">
        <v>5</v>
      </c>
      <c r="I1352">
        <v>30</v>
      </c>
      <c r="J1352">
        <v>6</v>
      </c>
      <c r="K1352">
        <v>30</v>
      </c>
      <c r="L1352">
        <v>2023</v>
      </c>
      <c r="N1352" t="s">
        <v>47</v>
      </c>
      <c r="O1352" t="s">
        <v>47</v>
      </c>
      <c r="P1352" t="s">
        <v>6875</v>
      </c>
    </row>
    <row r="1353" spans="1:16" x14ac:dyDescent="0.3">
      <c r="A1353" t="s">
        <v>6876</v>
      </c>
      <c r="C1353">
        <v>60</v>
      </c>
      <c r="D1353" t="s">
        <v>10</v>
      </c>
      <c r="F1353" s="43">
        <v>44950.770833333336</v>
      </c>
      <c r="G1353" s="43">
        <v>44950.8125</v>
      </c>
      <c r="H1353">
        <v>18</v>
      </c>
      <c r="I1353">
        <v>30</v>
      </c>
      <c r="J1353">
        <v>19</v>
      </c>
      <c r="K1353">
        <v>30</v>
      </c>
      <c r="L1353">
        <v>2023</v>
      </c>
      <c r="N1353" t="s">
        <v>47</v>
      </c>
      <c r="O1353" t="s">
        <v>47</v>
      </c>
      <c r="P1353" t="s">
        <v>6877</v>
      </c>
    </row>
    <row r="1354" spans="1:16" x14ac:dyDescent="0.3">
      <c r="A1354" t="s">
        <v>166</v>
      </c>
      <c r="C1354">
        <v>40</v>
      </c>
      <c r="D1354" t="s">
        <v>10</v>
      </c>
      <c r="F1354" s="43">
        <v>44950.722222222219</v>
      </c>
      <c r="G1354" s="43">
        <v>44950.75</v>
      </c>
      <c r="H1354">
        <v>17</v>
      </c>
      <c r="I1354">
        <v>20</v>
      </c>
      <c r="J1354">
        <v>18</v>
      </c>
      <c r="K1354">
        <v>0</v>
      </c>
      <c r="L1354">
        <v>2023</v>
      </c>
      <c r="N1354" t="s">
        <v>47</v>
      </c>
      <c r="O1354" t="s">
        <v>47</v>
      </c>
      <c r="P1354" t="s">
        <v>6878</v>
      </c>
    </row>
    <row r="1355" spans="1:16" x14ac:dyDescent="0.3">
      <c r="A1355" t="s">
        <v>9</v>
      </c>
      <c r="C1355">
        <v>45</v>
      </c>
      <c r="D1355" t="s">
        <v>10</v>
      </c>
      <c r="F1355" s="43">
        <v>44950.666666666664</v>
      </c>
      <c r="G1355" s="43">
        <v>44950.697916666664</v>
      </c>
      <c r="H1355">
        <v>16</v>
      </c>
      <c r="I1355">
        <v>0</v>
      </c>
      <c r="J1355">
        <v>16</v>
      </c>
      <c r="K1355">
        <v>45</v>
      </c>
      <c r="L1355">
        <v>2023</v>
      </c>
      <c r="N1355" t="s">
        <v>47</v>
      </c>
      <c r="O1355" t="s">
        <v>47</v>
      </c>
      <c r="P1355" t="s">
        <v>6879</v>
      </c>
    </row>
    <row r="1356" spans="1:16" x14ac:dyDescent="0.3">
      <c r="A1356" t="s">
        <v>6880</v>
      </c>
      <c r="C1356">
        <v>30</v>
      </c>
      <c r="D1356" t="s">
        <v>10</v>
      </c>
      <c r="F1356" s="43">
        <v>44950.645833333336</v>
      </c>
      <c r="G1356" s="43">
        <v>44950.666666666664</v>
      </c>
      <c r="H1356">
        <v>15</v>
      </c>
      <c r="I1356">
        <v>30</v>
      </c>
      <c r="J1356">
        <v>16</v>
      </c>
      <c r="K1356">
        <v>0</v>
      </c>
      <c r="L1356">
        <v>2023</v>
      </c>
      <c r="N1356" t="s">
        <v>47</v>
      </c>
      <c r="O1356" t="s">
        <v>47</v>
      </c>
      <c r="P1356" t="s">
        <v>6881</v>
      </c>
    </row>
    <row r="1357" spans="1:16" x14ac:dyDescent="0.3">
      <c r="A1357" t="s">
        <v>6882</v>
      </c>
      <c r="C1357">
        <v>20</v>
      </c>
      <c r="D1357" t="s">
        <v>10</v>
      </c>
      <c r="F1357" s="43">
        <v>44950.604166666664</v>
      </c>
      <c r="G1357" s="43">
        <v>44950.618055555555</v>
      </c>
      <c r="H1357">
        <v>14</v>
      </c>
      <c r="I1357">
        <v>30</v>
      </c>
      <c r="J1357">
        <v>14</v>
      </c>
      <c r="K1357">
        <v>50</v>
      </c>
      <c r="L1357">
        <v>2023</v>
      </c>
      <c r="N1357" t="s">
        <v>47</v>
      </c>
      <c r="O1357" t="s">
        <v>47</v>
      </c>
      <c r="P1357" t="s">
        <v>6883</v>
      </c>
    </row>
    <row r="1358" spans="1:16" x14ac:dyDescent="0.3">
      <c r="A1358" t="s">
        <v>6880</v>
      </c>
      <c r="C1358">
        <v>30</v>
      </c>
      <c r="D1358" t="s">
        <v>10</v>
      </c>
      <c r="F1358" s="43">
        <v>44950.583333333336</v>
      </c>
      <c r="G1358" s="43">
        <v>44950.604166666664</v>
      </c>
      <c r="H1358">
        <v>14</v>
      </c>
      <c r="I1358">
        <v>0</v>
      </c>
      <c r="J1358">
        <v>14</v>
      </c>
      <c r="K1358">
        <v>30</v>
      </c>
      <c r="L1358">
        <v>2023</v>
      </c>
      <c r="N1358" t="s">
        <v>47</v>
      </c>
      <c r="O1358" t="s">
        <v>47</v>
      </c>
      <c r="P1358" t="s">
        <v>6884</v>
      </c>
    </row>
    <row r="1359" spans="1:16" x14ac:dyDescent="0.3">
      <c r="A1359" t="s">
        <v>6885</v>
      </c>
      <c r="C1359">
        <v>60</v>
      </c>
      <c r="D1359" t="s">
        <v>10</v>
      </c>
      <c r="F1359" s="43">
        <v>44950.53125</v>
      </c>
      <c r="G1359" s="43">
        <v>44950.572916666664</v>
      </c>
      <c r="H1359">
        <v>12</v>
      </c>
      <c r="I1359">
        <v>45</v>
      </c>
      <c r="J1359">
        <v>13</v>
      </c>
      <c r="K1359">
        <v>45</v>
      </c>
      <c r="L1359">
        <v>2023</v>
      </c>
      <c r="N1359" t="s">
        <v>47</v>
      </c>
      <c r="O1359" t="s">
        <v>47</v>
      </c>
      <c r="P1359" t="s">
        <v>6886</v>
      </c>
    </row>
    <row r="1360" spans="1:16" x14ac:dyDescent="0.3">
      <c r="A1360" t="s">
        <v>6827</v>
      </c>
      <c r="C1360">
        <v>30</v>
      </c>
      <c r="D1360" t="s">
        <v>10</v>
      </c>
      <c r="F1360" s="43">
        <v>44950.479166666664</v>
      </c>
      <c r="G1360" s="43">
        <v>44950.5</v>
      </c>
      <c r="H1360">
        <v>11</v>
      </c>
      <c r="I1360">
        <v>30</v>
      </c>
      <c r="J1360">
        <v>12</v>
      </c>
      <c r="K1360">
        <v>0</v>
      </c>
      <c r="L1360">
        <v>2023</v>
      </c>
      <c r="N1360" t="s">
        <v>47</v>
      </c>
      <c r="O1360" t="s">
        <v>47</v>
      </c>
      <c r="P1360" t="s">
        <v>6828</v>
      </c>
    </row>
    <row r="1361" spans="1:16" x14ac:dyDescent="0.3">
      <c r="A1361" t="s">
        <v>6872</v>
      </c>
      <c r="C1361">
        <v>45</v>
      </c>
      <c r="D1361" t="s">
        <v>10</v>
      </c>
      <c r="E1361" t="s">
        <v>6041</v>
      </c>
      <c r="F1361" s="43">
        <v>44950.447916666664</v>
      </c>
      <c r="G1361" s="43">
        <v>44950.479166666664</v>
      </c>
      <c r="H1361">
        <v>10</v>
      </c>
      <c r="I1361">
        <v>45</v>
      </c>
      <c r="J1361">
        <v>11</v>
      </c>
      <c r="K1361">
        <v>30</v>
      </c>
      <c r="L1361">
        <v>2023</v>
      </c>
      <c r="N1361" t="s">
        <v>5979</v>
      </c>
      <c r="O1361" t="s">
        <v>1781</v>
      </c>
      <c r="P1361" t="s">
        <v>6873</v>
      </c>
    </row>
    <row r="1362" spans="1:16" x14ac:dyDescent="0.3">
      <c r="A1362" t="s">
        <v>6838</v>
      </c>
      <c r="C1362">
        <v>30</v>
      </c>
      <c r="D1362" t="s">
        <v>10</v>
      </c>
      <c r="F1362" s="43">
        <v>44950.4375</v>
      </c>
      <c r="G1362" s="43">
        <v>44950.458333333336</v>
      </c>
      <c r="H1362">
        <v>10</v>
      </c>
      <c r="I1362">
        <v>30</v>
      </c>
      <c r="J1362">
        <v>11</v>
      </c>
      <c r="K1362">
        <v>0</v>
      </c>
      <c r="L1362">
        <v>2023</v>
      </c>
      <c r="N1362" t="s">
        <v>6839</v>
      </c>
      <c r="O1362" t="s">
        <v>6840</v>
      </c>
      <c r="P1362" t="s">
        <v>6841</v>
      </c>
    </row>
    <row r="1363" spans="1:16" x14ac:dyDescent="0.3">
      <c r="A1363" t="s">
        <v>6825</v>
      </c>
      <c r="C1363">
        <v>30</v>
      </c>
      <c r="D1363" t="s">
        <v>10</v>
      </c>
      <c r="F1363" s="43">
        <v>44950.416666666664</v>
      </c>
      <c r="G1363" s="43">
        <v>44950.4375</v>
      </c>
      <c r="H1363">
        <v>10</v>
      </c>
      <c r="I1363">
        <v>0</v>
      </c>
      <c r="J1363">
        <v>10</v>
      </c>
      <c r="K1363">
        <v>30</v>
      </c>
      <c r="L1363">
        <v>2023</v>
      </c>
      <c r="N1363" t="s">
        <v>47</v>
      </c>
      <c r="O1363" t="s">
        <v>47</v>
      </c>
      <c r="P1363" t="s">
        <v>6826</v>
      </c>
    </row>
    <row r="1364" spans="1:16" x14ac:dyDescent="0.3">
      <c r="A1364" t="s">
        <v>6829</v>
      </c>
      <c r="C1364">
        <v>30</v>
      </c>
      <c r="D1364" t="s">
        <v>10</v>
      </c>
      <c r="F1364" s="43">
        <v>44950.354166666664</v>
      </c>
      <c r="G1364" s="43">
        <v>44950.375</v>
      </c>
      <c r="H1364">
        <v>8</v>
      </c>
      <c r="I1364">
        <v>30</v>
      </c>
      <c r="J1364">
        <v>9</v>
      </c>
      <c r="K1364">
        <v>0</v>
      </c>
      <c r="L1364">
        <v>2023</v>
      </c>
      <c r="N1364" t="s">
        <v>47</v>
      </c>
      <c r="O1364" t="s">
        <v>47</v>
      </c>
      <c r="P1364" t="s">
        <v>6830</v>
      </c>
    </row>
    <row r="1365" spans="1:16" x14ac:dyDescent="0.3">
      <c r="A1365" t="s">
        <v>6505</v>
      </c>
      <c r="C1365">
        <v>30</v>
      </c>
      <c r="D1365" t="s">
        <v>10</v>
      </c>
      <c r="F1365" s="43">
        <v>44950.3125</v>
      </c>
      <c r="G1365" s="43">
        <v>44950.333333333336</v>
      </c>
      <c r="H1365">
        <v>7</v>
      </c>
      <c r="I1365">
        <v>30</v>
      </c>
      <c r="J1365">
        <v>8</v>
      </c>
      <c r="K1365">
        <v>0</v>
      </c>
      <c r="L1365">
        <v>2023</v>
      </c>
      <c r="N1365" t="s">
        <v>47</v>
      </c>
      <c r="O1365" t="s">
        <v>47</v>
      </c>
      <c r="P1365" t="s">
        <v>6834</v>
      </c>
    </row>
    <row r="1366" spans="1:16" x14ac:dyDescent="0.3">
      <c r="A1366" t="s">
        <v>6505</v>
      </c>
      <c r="C1366">
        <v>60</v>
      </c>
      <c r="D1366" t="s">
        <v>10</v>
      </c>
      <c r="F1366" s="1">
        <v>44950.263888888891</v>
      </c>
      <c r="G1366" s="1">
        <v>44950.305555555555</v>
      </c>
      <c r="H1366">
        <v>6</v>
      </c>
      <c r="I1366">
        <v>20</v>
      </c>
      <c r="J1366">
        <v>7</v>
      </c>
      <c r="K1366">
        <v>20</v>
      </c>
      <c r="L1366">
        <v>2023</v>
      </c>
      <c r="N1366" t="s">
        <v>47</v>
      </c>
      <c r="O1366" t="s">
        <v>47</v>
      </c>
      <c r="P1366" t="s">
        <v>6835</v>
      </c>
    </row>
    <row r="1367" spans="1:16" x14ac:dyDescent="0.3">
      <c r="A1367" t="s">
        <v>6836</v>
      </c>
      <c r="C1367">
        <v>60</v>
      </c>
      <c r="D1367" t="s">
        <v>10</v>
      </c>
      <c r="F1367" s="43">
        <v>44950.21875</v>
      </c>
      <c r="G1367" s="43">
        <v>44950.260416666664</v>
      </c>
      <c r="H1367">
        <v>5</v>
      </c>
      <c r="I1367">
        <v>15</v>
      </c>
      <c r="J1367">
        <v>6</v>
      </c>
      <c r="K1367">
        <v>15</v>
      </c>
      <c r="L1367">
        <v>2023</v>
      </c>
      <c r="N1367" t="s">
        <v>47</v>
      </c>
      <c r="O1367" t="s">
        <v>47</v>
      </c>
      <c r="P1367" t="s">
        <v>6837</v>
      </c>
    </row>
    <row r="1368" spans="1:16" x14ac:dyDescent="0.3">
      <c r="A1368" t="s">
        <v>6842</v>
      </c>
      <c r="C1368">
        <v>30</v>
      </c>
      <c r="D1368" t="s">
        <v>10</v>
      </c>
      <c r="F1368" s="43">
        <v>44949.854166666664</v>
      </c>
      <c r="G1368" s="43">
        <v>44949.875</v>
      </c>
      <c r="H1368">
        <v>20</v>
      </c>
      <c r="I1368">
        <v>30</v>
      </c>
      <c r="J1368">
        <v>21</v>
      </c>
      <c r="K1368">
        <v>0</v>
      </c>
      <c r="L1368">
        <v>2023</v>
      </c>
      <c r="N1368" t="s">
        <v>47</v>
      </c>
      <c r="O1368" t="s">
        <v>47</v>
      </c>
      <c r="P1368" t="s">
        <v>6843</v>
      </c>
    </row>
    <row r="1369" spans="1:16" x14ac:dyDescent="0.3">
      <c r="A1369" t="s">
        <v>6507</v>
      </c>
      <c r="C1369">
        <v>30</v>
      </c>
      <c r="D1369" t="s">
        <v>10</v>
      </c>
      <c r="F1369" s="43">
        <v>44949.8125</v>
      </c>
      <c r="G1369" s="43">
        <v>44949.833333333336</v>
      </c>
      <c r="H1369">
        <v>19</v>
      </c>
      <c r="I1369">
        <v>30</v>
      </c>
      <c r="J1369">
        <v>20</v>
      </c>
      <c r="K1369">
        <v>0</v>
      </c>
      <c r="L1369">
        <v>2023</v>
      </c>
      <c r="N1369" t="s">
        <v>47</v>
      </c>
      <c r="O1369" t="s">
        <v>47</v>
      </c>
      <c r="P1369" t="s">
        <v>6844</v>
      </c>
    </row>
    <row r="1370" spans="1:16" x14ac:dyDescent="0.3">
      <c r="A1370" t="s">
        <v>6507</v>
      </c>
      <c r="C1370">
        <v>75</v>
      </c>
      <c r="D1370" t="s">
        <v>10</v>
      </c>
      <c r="F1370" s="43">
        <v>44949.739583333336</v>
      </c>
      <c r="G1370" s="43">
        <v>44949.791666666664</v>
      </c>
      <c r="H1370">
        <v>17</v>
      </c>
      <c r="I1370">
        <v>45</v>
      </c>
      <c r="J1370">
        <v>19</v>
      </c>
      <c r="K1370">
        <v>0</v>
      </c>
      <c r="L1370">
        <v>2023</v>
      </c>
      <c r="N1370" t="s">
        <v>47</v>
      </c>
      <c r="O1370" t="s">
        <v>47</v>
      </c>
      <c r="P1370" t="s">
        <v>6845</v>
      </c>
    </row>
    <row r="1371" spans="1:16" x14ac:dyDescent="0.3">
      <c r="A1371" t="s">
        <v>6855</v>
      </c>
      <c r="C1371">
        <v>30</v>
      </c>
      <c r="D1371" t="s">
        <v>10</v>
      </c>
      <c r="E1371" t="s">
        <v>501</v>
      </c>
      <c r="F1371" s="43">
        <v>44949.708333333336</v>
      </c>
      <c r="G1371" s="43">
        <v>44949.729166666664</v>
      </c>
      <c r="H1371">
        <v>17</v>
      </c>
      <c r="I1371">
        <v>0</v>
      </c>
      <c r="J1371">
        <v>17</v>
      </c>
      <c r="K1371">
        <v>30</v>
      </c>
      <c r="L1371">
        <v>2023</v>
      </c>
      <c r="N1371" t="s">
        <v>4384</v>
      </c>
      <c r="O1371" t="s">
        <v>47</v>
      </c>
      <c r="P1371" t="s">
        <v>6856</v>
      </c>
    </row>
    <row r="1372" spans="1:16" x14ac:dyDescent="0.3">
      <c r="A1372" t="s">
        <v>6846</v>
      </c>
      <c r="C1372">
        <v>40</v>
      </c>
      <c r="D1372" t="s">
        <v>10</v>
      </c>
      <c r="F1372" s="43">
        <v>44949.666666666664</v>
      </c>
      <c r="G1372" s="43">
        <v>44949.694444444445</v>
      </c>
      <c r="H1372">
        <v>16</v>
      </c>
      <c r="I1372">
        <v>0</v>
      </c>
      <c r="J1372">
        <v>16</v>
      </c>
      <c r="K1372">
        <v>40</v>
      </c>
      <c r="L1372">
        <v>2023</v>
      </c>
      <c r="N1372" t="s">
        <v>47</v>
      </c>
      <c r="O1372" t="s">
        <v>47</v>
      </c>
      <c r="P1372" t="s">
        <v>6847</v>
      </c>
    </row>
    <row r="1373" spans="1:16" x14ac:dyDescent="0.3">
      <c r="A1373" t="s">
        <v>6848</v>
      </c>
      <c r="C1373">
        <v>30</v>
      </c>
      <c r="D1373" t="s">
        <v>10</v>
      </c>
      <c r="F1373" s="43">
        <v>44949.645833333336</v>
      </c>
      <c r="G1373" s="43">
        <v>44949.666666666664</v>
      </c>
      <c r="H1373">
        <v>15</v>
      </c>
      <c r="I1373">
        <v>30</v>
      </c>
      <c r="J1373">
        <v>16</v>
      </c>
      <c r="K1373">
        <v>0</v>
      </c>
      <c r="L1373">
        <v>2023</v>
      </c>
      <c r="N1373" t="s">
        <v>47</v>
      </c>
      <c r="O1373" t="s">
        <v>47</v>
      </c>
      <c r="P1373" t="s">
        <v>6849</v>
      </c>
    </row>
    <row r="1374" spans="1:16" x14ac:dyDescent="0.3">
      <c r="A1374" t="s">
        <v>6850</v>
      </c>
      <c r="C1374">
        <v>15</v>
      </c>
      <c r="D1374" t="s">
        <v>10</v>
      </c>
      <c r="F1374" s="43">
        <v>44949.635416666664</v>
      </c>
      <c r="G1374" s="43">
        <v>44949.645833333336</v>
      </c>
      <c r="H1374">
        <v>15</v>
      </c>
      <c r="I1374">
        <v>15</v>
      </c>
      <c r="J1374">
        <v>15</v>
      </c>
      <c r="K1374">
        <v>30</v>
      </c>
      <c r="L1374">
        <v>2023</v>
      </c>
      <c r="N1374" t="s">
        <v>47</v>
      </c>
      <c r="O1374" t="s">
        <v>47</v>
      </c>
      <c r="P1374" t="s">
        <v>6851</v>
      </c>
    </row>
    <row r="1375" spans="1:16" x14ac:dyDescent="0.3">
      <c r="A1375" t="s">
        <v>6852</v>
      </c>
      <c r="C1375">
        <v>20</v>
      </c>
      <c r="D1375" t="s">
        <v>10</v>
      </c>
      <c r="F1375" s="43">
        <v>44949.618055555555</v>
      </c>
      <c r="G1375" s="43">
        <v>44949.631944444445</v>
      </c>
      <c r="H1375">
        <v>14</v>
      </c>
      <c r="I1375">
        <v>50</v>
      </c>
      <c r="J1375">
        <v>15</v>
      </c>
      <c r="K1375">
        <v>10</v>
      </c>
      <c r="L1375">
        <v>2023</v>
      </c>
      <c r="N1375" t="s">
        <v>47</v>
      </c>
      <c r="O1375" t="s">
        <v>47</v>
      </c>
      <c r="P1375" t="s">
        <v>6853</v>
      </c>
    </row>
    <row r="1376" spans="1:16" x14ac:dyDescent="0.3">
      <c r="A1376" t="s">
        <v>119</v>
      </c>
      <c r="C1376">
        <v>40</v>
      </c>
      <c r="D1376" t="s">
        <v>10</v>
      </c>
      <c r="F1376" s="43">
        <v>44949.5625</v>
      </c>
      <c r="G1376" s="43">
        <v>44949.590277777781</v>
      </c>
      <c r="H1376">
        <v>13</v>
      </c>
      <c r="I1376">
        <v>30</v>
      </c>
      <c r="J1376">
        <v>14</v>
      </c>
      <c r="K1376">
        <v>10</v>
      </c>
      <c r="L1376">
        <v>2023</v>
      </c>
      <c r="N1376" t="s">
        <v>47</v>
      </c>
      <c r="O1376" t="s">
        <v>47</v>
      </c>
      <c r="P1376" t="s">
        <v>6854</v>
      </c>
    </row>
    <row r="1377" spans="1:16" x14ac:dyDescent="0.3">
      <c r="A1377" t="s">
        <v>2528</v>
      </c>
      <c r="C1377">
        <v>30</v>
      </c>
      <c r="D1377" t="s">
        <v>10</v>
      </c>
      <c r="F1377" s="43">
        <v>44949.5</v>
      </c>
      <c r="G1377" s="43">
        <v>44949.520833333336</v>
      </c>
      <c r="H1377">
        <v>12</v>
      </c>
      <c r="I1377">
        <v>0</v>
      </c>
      <c r="J1377">
        <v>12</v>
      </c>
      <c r="K1377">
        <v>30</v>
      </c>
      <c r="L1377">
        <v>2023</v>
      </c>
      <c r="N1377" t="s">
        <v>47</v>
      </c>
      <c r="O1377" t="s">
        <v>47</v>
      </c>
      <c r="P1377" t="s">
        <v>6857</v>
      </c>
    </row>
    <row r="1378" spans="1:16" x14ac:dyDescent="0.3">
      <c r="A1378" t="s">
        <v>6731</v>
      </c>
      <c r="C1378">
        <v>60</v>
      </c>
      <c r="D1378" t="s">
        <v>10</v>
      </c>
      <c r="E1378" t="s">
        <v>501</v>
      </c>
      <c r="F1378" s="43">
        <v>44949.458333333336</v>
      </c>
      <c r="G1378" s="43">
        <v>44949.5</v>
      </c>
      <c r="H1378">
        <v>11</v>
      </c>
      <c r="I1378">
        <v>0</v>
      </c>
      <c r="J1378">
        <v>12</v>
      </c>
      <c r="K1378">
        <v>0</v>
      </c>
      <c r="L1378">
        <v>2023</v>
      </c>
      <c r="N1378" t="s">
        <v>6732</v>
      </c>
      <c r="O1378" t="s">
        <v>47</v>
      </c>
      <c r="P1378" t="s">
        <v>6733</v>
      </c>
    </row>
    <row r="1379" spans="1:16" x14ac:dyDescent="0.3">
      <c r="A1379" t="s">
        <v>6729</v>
      </c>
      <c r="C1379">
        <v>15</v>
      </c>
      <c r="D1379" t="s">
        <v>10</v>
      </c>
      <c r="E1379" t="s">
        <v>501</v>
      </c>
      <c r="F1379" s="43">
        <v>44949.447916666664</v>
      </c>
      <c r="G1379" s="43">
        <v>44949.458333333336</v>
      </c>
      <c r="H1379">
        <v>10</v>
      </c>
      <c r="I1379">
        <v>45</v>
      </c>
      <c r="J1379">
        <v>11</v>
      </c>
      <c r="K1379">
        <v>0</v>
      </c>
      <c r="L1379">
        <v>2023</v>
      </c>
      <c r="N1379" t="s">
        <v>3086</v>
      </c>
      <c r="O1379" t="s">
        <v>47</v>
      </c>
      <c r="P1379" t="s">
        <v>6730</v>
      </c>
    </row>
    <row r="1380" spans="1:16" x14ac:dyDescent="0.3">
      <c r="A1380" t="s">
        <v>6858</v>
      </c>
      <c r="C1380">
        <v>30</v>
      </c>
      <c r="D1380" t="s">
        <v>10</v>
      </c>
      <c r="F1380" s="43">
        <v>44949.375</v>
      </c>
      <c r="G1380" s="43">
        <v>44949.395833333336</v>
      </c>
      <c r="H1380">
        <v>9</v>
      </c>
      <c r="I1380">
        <v>0</v>
      </c>
      <c r="J1380">
        <v>9</v>
      </c>
      <c r="K1380">
        <v>30</v>
      </c>
      <c r="L1380">
        <v>2023</v>
      </c>
      <c r="N1380" t="s">
        <v>47</v>
      </c>
      <c r="O1380" t="s">
        <v>47</v>
      </c>
      <c r="P1380" t="s">
        <v>6859</v>
      </c>
    </row>
    <row r="1381" spans="1:16" x14ac:dyDescent="0.3">
      <c r="A1381" t="s">
        <v>6860</v>
      </c>
      <c r="B1381" t="s">
        <v>109</v>
      </c>
      <c r="C1381">
        <v>15</v>
      </c>
      <c r="D1381" t="s">
        <v>10</v>
      </c>
      <c r="E1381" t="s">
        <v>6690</v>
      </c>
      <c r="F1381" s="43">
        <v>44949.333333333336</v>
      </c>
      <c r="G1381" s="43">
        <v>44949.34375</v>
      </c>
      <c r="H1381">
        <v>8</v>
      </c>
      <c r="I1381">
        <v>0</v>
      </c>
      <c r="J1381">
        <v>8</v>
      </c>
      <c r="K1381">
        <v>15</v>
      </c>
      <c r="L1381">
        <v>2023</v>
      </c>
      <c r="N1381" t="s">
        <v>47</v>
      </c>
      <c r="O1381" t="s">
        <v>47</v>
      </c>
      <c r="P1381" t="s">
        <v>6861</v>
      </c>
    </row>
    <row r="1382" spans="1:16" x14ac:dyDescent="0.3">
      <c r="A1382" t="s">
        <v>6862</v>
      </c>
      <c r="C1382">
        <v>30</v>
      </c>
      <c r="D1382" t="s">
        <v>10</v>
      </c>
      <c r="F1382" s="43">
        <v>44949.291666666664</v>
      </c>
      <c r="G1382" s="43">
        <v>44949.3125</v>
      </c>
      <c r="H1382">
        <v>7</v>
      </c>
      <c r="I1382">
        <v>0</v>
      </c>
      <c r="J1382">
        <v>7</v>
      </c>
      <c r="K1382">
        <v>30</v>
      </c>
      <c r="L1382">
        <v>2023</v>
      </c>
      <c r="N1382" t="s">
        <v>47</v>
      </c>
      <c r="O1382" t="s">
        <v>47</v>
      </c>
      <c r="P1382" t="s">
        <v>6863</v>
      </c>
    </row>
    <row r="1383" spans="1:16" x14ac:dyDescent="0.3">
      <c r="A1383" t="s">
        <v>6825</v>
      </c>
      <c r="C1383">
        <v>30</v>
      </c>
      <c r="D1383" t="s">
        <v>10</v>
      </c>
      <c r="F1383" s="43">
        <v>44948.791666666664</v>
      </c>
      <c r="G1383" s="43">
        <v>44948.8125</v>
      </c>
      <c r="H1383">
        <v>19</v>
      </c>
      <c r="I1383">
        <v>0</v>
      </c>
      <c r="J1383">
        <v>19</v>
      </c>
      <c r="K1383">
        <v>30</v>
      </c>
      <c r="L1383">
        <v>2023</v>
      </c>
      <c r="N1383" t="s">
        <v>47</v>
      </c>
      <c r="O1383" t="s">
        <v>47</v>
      </c>
      <c r="P1383" t="s">
        <v>6864</v>
      </c>
    </row>
    <row r="1384" spans="1:16" x14ac:dyDescent="0.3">
      <c r="A1384" t="s">
        <v>6865</v>
      </c>
      <c r="B1384" t="s">
        <v>109</v>
      </c>
      <c r="C1384">
        <v>30</v>
      </c>
      <c r="D1384" t="s">
        <v>10</v>
      </c>
      <c r="E1384" t="s">
        <v>6813</v>
      </c>
      <c r="F1384" s="43">
        <v>44948.770833333336</v>
      </c>
      <c r="G1384" s="43">
        <v>44948.791666666664</v>
      </c>
      <c r="H1384">
        <v>18</v>
      </c>
      <c r="I1384">
        <v>30</v>
      </c>
      <c r="J1384">
        <v>19</v>
      </c>
      <c r="K1384">
        <v>0</v>
      </c>
      <c r="L1384">
        <v>2023</v>
      </c>
      <c r="N1384" t="s">
        <v>47</v>
      </c>
      <c r="O1384" t="s">
        <v>47</v>
      </c>
      <c r="P1384" t="s">
        <v>6866</v>
      </c>
    </row>
    <row r="1385" spans="1:16" x14ac:dyDescent="0.3">
      <c r="A1385" t="s">
        <v>6710</v>
      </c>
      <c r="B1385" t="s">
        <v>109</v>
      </c>
      <c r="C1385">
        <v>15</v>
      </c>
      <c r="D1385" t="s">
        <v>10</v>
      </c>
      <c r="E1385" t="s">
        <v>6813</v>
      </c>
      <c r="F1385" s="43">
        <v>44948.71875</v>
      </c>
      <c r="G1385" s="43">
        <v>44948.729166666664</v>
      </c>
      <c r="H1385">
        <v>17</v>
      </c>
      <c r="I1385">
        <v>15</v>
      </c>
      <c r="J1385">
        <v>17</v>
      </c>
      <c r="K1385">
        <v>30</v>
      </c>
      <c r="L1385">
        <v>2023</v>
      </c>
      <c r="N1385" t="s">
        <v>47</v>
      </c>
      <c r="O1385" t="s">
        <v>47</v>
      </c>
      <c r="P1385" t="s">
        <v>6867</v>
      </c>
    </row>
    <row r="1386" spans="1:16" x14ac:dyDescent="0.3">
      <c r="A1386" t="s">
        <v>6868</v>
      </c>
      <c r="C1386">
        <v>30</v>
      </c>
      <c r="D1386" t="s">
        <v>10</v>
      </c>
      <c r="F1386" s="43">
        <v>44948.666666666664</v>
      </c>
      <c r="G1386" s="43">
        <v>44948.6875</v>
      </c>
      <c r="H1386">
        <v>16</v>
      </c>
      <c r="I1386">
        <v>0</v>
      </c>
      <c r="J1386">
        <v>16</v>
      </c>
      <c r="K1386">
        <v>30</v>
      </c>
      <c r="L1386">
        <v>2023</v>
      </c>
      <c r="N1386" t="s">
        <v>47</v>
      </c>
      <c r="O1386" t="s">
        <v>47</v>
      </c>
      <c r="P1386" t="s">
        <v>6869</v>
      </c>
    </row>
    <row r="1387" spans="1:16" x14ac:dyDescent="0.3">
      <c r="A1387" t="s">
        <v>6710</v>
      </c>
      <c r="B1387" t="s">
        <v>109</v>
      </c>
      <c r="C1387">
        <v>30</v>
      </c>
      <c r="D1387" t="s">
        <v>10</v>
      </c>
      <c r="E1387" t="s">
        <v>6813</v>
      </c>
      <c r="F1387" s="43">
        <v>44948.5625</v>
      </c>
      <c r="G1387" s="43">
        <v>44948.583333333336</v>
      </c>
      <c r="H1387">
        <v>13</v>
      </c>
      <c r="I1387">
        <v>30</v>
      </c>
      <c r="J1387">
        <v>14</v>
      </c>
      <c r="K1387">
        <v>0</v>
      </c>
      <c r="L1387">
        <v>2023</v>
      </c>
      <c r="N1387" t="s">
        <v>47</v>
      </c>
      <c r="O1387" t="s">
        <v>47</v>
      </c>
      <c r="P1387" t="s">
        <v>6870</v>
      </c>
    </row>
    <row r="1388" spans="1:16" x14ac:dyDescent="0.3">
      <c r="A1388" t="s">
        <v>17</v>
      </c>
      <c r="C1388">
        <v>30</v>
      </c>
      <c r="D1388" t="s">
        <v>10</v>
      </c>
      <c r="F1388" s="43">
        <v>44948.541666666664</v>
      </c>
      <c r="G1388" s="43">
        <v>44948.5625</v>
      </c>
      <c r="H1388">
        <v>13</v>
      </c>
      <c r="I1388">
        <v>0</v>
      </c>
      <c r="J1388">
        <v>13</v>
      </c>
      <c r="K1388">
        <v>30</v>
      </c>
      <c r="L1388">
        <v>2023</v>
      </c>
      <c r="N1388" t="s">
        <v>47</v>
      </c>
      <c r="O1388" t="s">
        <v>47</v>
      </c>
      <c r="P1388" t="s">
        <v>6871</v>
      </c>
    </row>
    <row r="1389" spans="1:16" x14ac:dyDescent="0.3">
      <c r="A1389" t="s">
        <v>6822</v>
      </c>
      <c r="C1389">
        <v>40</v>
      </c>
      <c r="D1389" t="s">
        <v>10</v>
      </c>
      <c r="F1389" s="43">
        <v>44948.479166666664</v>
      </c>
      <c r="G1389" s="43">
        <v>44948.506944444445</v>
      </c>
      <c r="H1389">
        <v>11</v>
      </c>
      <c r="I1389">
        <v>30</v>
      </c>
      <c r="J1389">
        <v>12</v>
      </c>
      <c r="K1389">
        <v>10</v>
      </c>
      <c r="L1389">
        <v>2023</v>
      </c>
      <c r="N1389" t="s">
        <v>47</v>
      </c>
      <c r="O1389" t="s">
        <v>47</v>
      </c>
      <c r="P1389" t="s">
        <v>6824</v>
      </c>
    </row>
    <row r="1390" spans="1:16" x14ac:dyDescent="0.3">
      <c r="A1390" t="s">
        <v>6822</v>
      </c>
      <c r="C1390">
        <v>30</v>
      </c>
      <c r="D1390" t="s">
        <v>10</v>
      </c>
      <c r="F1390" s="43">
        <v>44948.427083333336</v>
      </c>
      <c r="G1390" s="43">
        <v>44948.447916666664</v>
      </c>
      <c r="H1390">
        <v>10</v>
      </c>
      <c r="I1390">
        <v>15</v>
      </c>
      <c r="J1390">
        <v>10</v>
      </c>
      <c r="K1390">
        <v>45</v>
      </c>
      <c r="L1390">
        <v>2023</v>
      </c>
      <c r="N1390" t="s">
        <v>47</v>
      </c>
      <c r="O1390" t="s">
        <v>47</v>
      </c>
      <c r="P1390" t="s">
        <v>6823</v>
      </c>
    </row>
    <row r="1391" spans="1:16" x14ac:dyDescent="0.3">
      <c r="A1391" t="s">
        <v>6820</v>
      </c>
      <c r="C1391">
        <v>30</v>
      </c>
      <c r="D1391" t="s">
        <v>10</v>
      </c>
      <c r="F1391" s="43">
        <v>44948.395833333336</v>
      </c>
      <c r="G1391" s="43">
        <v>44948.416666666664</v>
      </c>
      <c r="H1391">
        <v>9</v>
      </c>
      <c r="I1391">
        <v>30</v>
      </c>
      <c r="J1391">
        <v>10</v>
      </c>
      <c r="K1391">
        <v>0</v>
      </c>
      <c r="L1391">
        <v>2023</v>
      </c>
      <c r="N1391" t="s">
        <v>47</v>
      </c>
      <c r="O1391" t="s">
        <v>47</v>
      </c>
      <c r="P1391" t="s">
        <v>6821</v>
      </c>
    </row>
    <row r="1392" spans="1:16" x14ac:dyDescent="0.3">
      <c r="A1392" t="s">
        <v>6812</v>
      </c>
      <c r="B1392" t="s">
        <v>109</v>
      </c>
      <c r="C1392">
        <v>95</v>
      </c>
      <c r="D1392" t="s">
        <v>10</v>
      </c>
      <c r="E1392" t="s">
        <v>6813</v>
      </c>
      <c r="F1392" s="43">
        <v>44948.21875</v>
      </c>
      <c r="G1392" s="43">
        <v>44948.284722222219</v>
      </c>
      <c r="H1392">
        <v>5</v>
      </c>
      <c r="I1392">
        <v>15</v>
      </c>
      <c r="J1392">
        <v>6</v>
      </c>
      <c r="K1392">
        <v>50</v>
      </c>
      <c r="L1392">
        <v>2023</v>
      </c>
      <c r="N1392" t="s">
        <v>47</v>
      </c>
      <c r="O1392" t="s">
        <v>47</v>
      </c>
      <c r="P1392" t="s">
        <v>6814</v>
      </c>
    </row>
    <row r="1393" spans="1:16" x14ac:dyDescent="0.3">
      <c r="A1393" t="s">
        <v>6744</v>
      </c>
      <c r="C1393">
        <v>60</v>
      </c>
      <c r="D1393" t="s">
        <v>10</v>
      </c>
      <c r="F1393" s="43">
        <v>44947.770833333336</v>
      </c>
      <c r="G1393" s="43">
        <v>44947.8125</v>
      </c>
      <c r="H1393">
        <v>18</v>
      </c>
      <c r="I1393">
        <v>30</v>
      </c>
      <c r="J1393">
        <v>19</v>
      </c>
      <c r="K1393">
        <v>30</v>
      </c>
      <c r="L1393">
        <v>2023</v>
      </c>
      <c r="N1393" t="s">
        <v>47</v>
      </c>
      <c r="O1393" t="s">
        <v>47</v>
      </c>
      <c r="P1393" t="s">
        <v>6815</v>
      </c>
    </row>
    <row r="1394" spans="1:16" x14ac:dyDescent="0.3">
      <c r="A1394" t="s">
        <v>6744</v>
      </c>
      <c r="C1394">
        <v>75</v>
      </c>
      <c r="D1394" t="s">
        <v>10</v>
      </c>
      <c r="F1394" s="43">
        <v>44947.677083333336</v>
      </c>
      <c r="G1394" s="43">
        <v>44947.729166666664</v>
      </c>
      <c r="H1394">
        <v>16</v>
      </c>
      <c r="I1394">
        <v>15</v>
      </c>
      <c r="J1394">
        <v>17</v>
      </c>
      <c r="K1394">
        <v>30</v>
      </c>
      <c r="L1394">
        <v>2023</v>
      </c>
      <c r="N1394" t="s">
        <v>47</v>
      </c>
      <c r="O1394" t="s">
        <v>47</v>
      </c>
      <c r="P1394" t="s">
        <v>6816</v>
      </c>
    </row>
    <row r="1395" spans="1:16" x14ac:dyDescent="0.3">
      <c r="A1395" t="s">
        <v>6744</v>
      </c>
      <c r="C1395">
        <v>60</v>
      </c>
      <c r="D1395" t="s">
        <v>10</v>
      </c>
      <c r="F1395" s="43">
        <v>44947.614583333336</v>
      </c>
      <c r="G1395" s="43">
        <v>44947.65625</v>
      </c>
      <c r="H1395">
        <v>14</v>
      </c>
      <c r="I1395">
        <v>45</v>
      </c>
      <c r="J1395">
        <v>15</v>
      </c>
      <c r="K1395">
        <v>45</v>
      </c>
      <c r="L1395">
        <v>2023</v>
      </c>
      <c r="N1395" t="s">
        <v>47</v>
      </c>
      <c r="O1395" t="s">
        <v>47</v>
      </c>
      <c r="P1395" t="s">
        <v>6817</v>
      </c>
    </row>
    <row r="1396" spans="1:16" x14ac:dyDescent="0.3">
      <c r="A1396" t="s">
        <v>6818</v>
      </c>
      <c r="C1396">
        <v>120</v>
      </c>
      <c r="D1396" t="s">
        <v>10</v>
      </c>
      <c r="F1396" s="43">
        <v>44947.416666666664</v>
      </c>
      <c r="G1396" s="43">
        <v>44947.5</v>
      </c>
      <c r="H1396">
        <v>10</v>
      </c>
      <c r="I1396">
        <v>0</v>
      </c>
      <c r="J1396">
        <v>12</v>
      </c>
      <c r="K1396">
        <v>0</v>
      </c>
      <c r="L1396">
        <v>2023</v>
      </c>
      <c r="N1396" t="s">
        <v>47</v>
      </c>
      <c r="O1396" t="s">
        <v>47</v>
      </c>
      <c r="P1396" t="s">
        <v>6819</v>
      </c>
    </row>
    <row r="1397" spans="1:16" x14ac:dyDescent="0.3">
      <c r="A1397" t="s">
        <v>6710</v>
      </c>
      <c r="C1397">
        <v>60</v>
      </c>
      <c r="D1397" t="s">
        <v>10</v>
      </c>
      <c r="F1397" s="43">
        <v>44947.229166666664</v>
      </c>
      <c r="G1397" s="43">
        <v>44947.270833333336</v>
      </c>
      <c r="H1397">
        <v>5</v>
      </c>
      <c r="I1397">
        <v>30</v>
      </c>
      <c r="J1397">
        <v>6</v>
      </c>
      <c r="K1397">
        <v>30</v>
      </c>
      <c r="L1397">
        <v>2023</v>
      </c>
      <c r="N1397" t="s">
        <v>47</v>
      </c>
      <c r="O1397" t="s">
        <v>47</v>
      </c>
      <c r="P1397" t="s">
        <v>6711</v>
      </c>
    </row>
    <row r="1398" spans="1:16" x14ac:dyDescent="0.3">
      <c r="A1398" t="s">
        <v>6712</v>
      </c>
      <c r="C1398">
        <v>30</v>
      </c>
      <c r="D1398" t="s">
        <v>10</v>
      </c>
      <c r="F1398" s="43">
        <v>44946.770833333336</v>
      </c>
      <c r="G1398" s="43">
        <v>44946.791666666664</v>
      </c>
      <c r="H1398">
        <v>18</v>
      </c>
      <c r="I1398">
        <v>30</v>
      </c>
      <c r="J1398">
        <v>19</v>
      </c>
      <c r="K1398">
        <v>0</v>
      </c>
      <c r="L1398">
        <v>2023</v>
      </c>
      <c r="N1398" t="s">
        <v>47</v>
      </c>
      <c r="O1398" t="s">
        <v>47</v>
      </c>
      <c r="P1398" t="s">
        <v>6713</v>
      </c>
    </row>
    <row r="1399" spans="1:16" x14ac:dyDescent="0.3">
      <c r="A1399" t="s">
        <v>6712</v>
      </c>
      <c r="C1399">
        <v>15</v>
      </c>
      <c r="D1399" t="s">
        <v>10</v>
      </c>
      <c r="F1399" s="43">
        <v>44946.729166666664</v>
      </c>
      <c r="G1399" s="43">
        <v>44946.739583333336</v>
      </c>
      <c r="H1399">
        <v>17</v>
      </c>
      <c r="I1399">
        <v>30</v>
      </c>
      <c r="J1399">
        <v>17</v>
      </c>
      <c r="K1399">
        <v>45</v>
      </c>
      <c r="L1399">
        <v>2023</v>
      </c>
      <c r="N1399" t="s">
        <v>47</v>
      </c>
      <c r="O1399" t="s">
        <v>47</v>
      </c>
      <c r="P1399" t="s">
        <v>6714</v>
      </c>
    </row>
    <row r="1400" spans="1:16" x14ac:dyDescent="0.3">
      <c r="A1400" t="s">
        <v>446</v>
      </c>
      <c r="C1400">
        <v>45</v>
      </c>
      <c r="D1400" t="s">
        <v>10</v>
      </c>
      <c r="E1400" s="47"/>
      <c r="F1400" s="43">
        <v>44946.666666666664</v>
      </c>
      <c r="G1400" s="43">
        <v>44946.697916666664</v>
      </c>
      <c r="H1400">
        <v>16</v>
      </c>
      <c r="I1400">
        <v>0</v>
      </c>
      <c r="J1400">
        <v>16</v>
      </c>
      <c r="K1400">
        <v>45</v>
      </c>
      <c r="L1400">
        <v>2023</v>
      </c>
      <c r="N1400" t="s">
        <v>47</v>
      </c>
      <c r="O1400" t="s">
        <v>47</v>
      </c>
      <c r="P1400" t="s">
        <v>6715</v>
      </c>
    </row>
    <row r="1401" spans="1:16" x14ac:dyDescent="0.3">
      <c r="A1401" t="s">
        <v>7</v>
      </c>
      <c r="C1401">
        <v>30</v>
      </c>
      <c r="D1401" t="s">
        <v>10</v>
      </c>
      <c r="F1401" s="43">
        <v>44946.645833333336</v>
      </c>
      <c r="G1401" s="43">
        <v>44946.666666666664</v>
      </c>
      <c r="H1401">
        <v>15</v>
      </c>
      <c r="I1401">
        <v>30</v>
      </c>
      <c r="J1401">
        <v>16</v>
      </c>
      <c r="K1401">
        <v>0</v>
      </c>
      <c r="L1401">
        <v>2023</v>
      </c>
      <c r="N1401" t="s">
        <v>47</v>
      </c>
      <c r="O1401" t="s">
        <v>47</v>
      </c>
      <c r="P1401" t="s">
        <v>6722</v>
      </c>
    </row>
    <row r="1402" spans="1:16" x14ac:dyDescent="0.3">
      <c r="A1402" t="s">
        <v>6720</v>
      </c>
      <c r="C1402">
        <v>60</v>
      </c>
      <c r="D1402" t="s">
        <v>10</v>
      </c>
      <c r="F1402" s="43">
        <v>44946.572916666664</v>
      </c>
      <c r="G1402" s="43">
        <v>44946.614583333336</v>
      </c>
      <c r="H1402">
        <v>13</v>
      </c>
      <c r="I1402">
        <v>45</v>
      </c>
      <c r="J1402">
        <v>14</v>
      </c>
      <c r="K1402">
        <v>45</v>
      </c>
      <c r="L1402">
        <v>2023</v>
      </c>
      <c r="N1402" t="s">
        <v>47</v>
      </c>
      <c r="O1402" t="s">
        <v>47</v>
      </c>
      <c r="P1402" t="s">
        <v>6721</v>
      </c>
    </row>
    <row r="1403" spans="1:16" x14ac:dyDescent="0.3">
      <c r="A1403" t="s">
        <v>6710</v>
      </c>
      <c r="C1403">
        <v>45</v>
      </c>
      <c r="D1403" t="s">
        <v>10</v>
      </c>
      <c r="F1403" s="43">
        <v>44946.5</v>
      </c>
      <c r="G1403" s="43">
        <v>44946.53125</v>
      </c>
      <c r="H1403">
        <v>12</v>
      </c>
      <c r="I1403">
        <v>0</v>
      </c>
      <c r="J1403">
        <v>12</v>
      </c>
      <c r="K1403">
        <v>45</v>
      </c>
      <c r="L1403">
        <v>2023</v>
      </c>
      <c r="N1403" t="s">
        <v>47</v>
      </c>
      <c r="O1403" t="s">
        <v>47</v>
      </c>
      <c r="P1403" t="s">
        <v>6723</v>
      </c>
    </row>
    <row r="1404" spans="1:16" x14ac:dyDescent="0.3">
      <c r="A1404" t="s">
        <v>6724</v>
      </c>
      <c r="C1404">
        <v>30</v>
      </c>
      <c r="D1404" t="s">
        <v>10</v>
      </c>
      <c r="E1404" t="s">
        <v>5342</v>
      </c>
      <c r="F1404" s="1">
        <v>44946.479166666664</v>
      </c>
      <c r="G1404" s="1">
        <v>44946.5</v>
      </c>
      <c r="H1404">
        <v>11</v>
      </c>
      <c r="I1404">
        <v>30</v>
      </c>
      <c r="J1404">
        <v>12</v>
      </c>
      <c r="K1404">
        <v>0</v>
      </c>
      <c r="L1404">
        <v>2023</v>
      </c>
      <c r="N1404" t="s">
        <v>1764</v>
      </c>
      <c r="O1404" t="s">
        <v>47</v>
      </c>
      <c r="P1404" t="s">
        <v>6725</v>
      </c>
    </row>
    <row r="1405" spans="1:16" x14ac:dyDescent="0.3">
      <c r="A1405" t="s">
        <v>8</v>
      </c>
      <c r="C1405">
        <v>30</v>
      </c>
      <c r="D1405" t="s">
        <v>10</v>
      </c>
      <c r="F1405" s="43">
        <v>44946.395833333336</v>
      </c>
      <c r="G1405" s="43">
        <v>44946.416666666664</v>
      </c>
      <c r="H1405">
        <v>9</v>
      </c>
      <c r="I1405">
        <v>30</v>
      </c>
      <c r="J1405">
        <v>10</v>
      </c>
      <c r="K1405">
        <v>0</v>
      </c>
      <c r="L1405">
        <v>2023</v>
      </c>
      <c r="N1405" t="s">
        <v>47</v>
      </c>
      <c r="O1405" t="s">
        <v>47</v>
      </c>
      <c r="P1405" t="s">
        <v>6726</v>
      </c>
    </row>
    <row r="1406" spans="1:16" x14ac:dyDescent="0.3">
      <c r="A1406" t="s">
        <v>6734</v>
      </c>
      <c r="C1406">
        <v>30</v>
      </c>
      <c r="D1406" t="s">
        <v>10</v>
      </c>
      <c r="E1406" t="s">
        <v>501</v>
      </c>
      <c r="F1406" s="43">
        <v>44946.375</v>
      </c>
      <c r="G1406" s="43">
        <v>44946.395833333336</v>
      </c>
      <c r="H1406">
        <v>9</v>
      </c>
      <c r="I1406">
        <v>0</v>
      </c>
      <c r="J1406">
        <v>9</v>
      </c>
      <c r="K1406">
        <v>30</v>
      </c>
      <c r="L1406">
        <v>2023</v>
      </c>
      <c r="N1406" t="s">
        <v>2348</v>
      </c>
      <c r="O1406" t="s">
        <v>47</v>
      </c>
      <c r="P1406" t="s">
        <v>6735</v>
      </c>
    </row>
    <row r="1407" spans="1:16" x14ac:dyDescent="0.3">
      <c r="A1407" t="s">
        <v>8</v>
      </c>
      <c r="C1407">
        <v>30</v>
      </c>
      <c r="D1407" t="s">
        <v>10</v>
      </c>
      <c r="F1407" s="43">
        <v>44946.354166666664</v>
      </c>
      <c r="G1407" s="43">
        <v>44946.375</v>
      </c>
      <c r="H1407">
        <v>8</v>
      </c>
      <c r="I1407">
        <v>30</v>
      </c>
      <c r="J1407">
        <v>9</v>
      </c>
      <c r="K1407">
        <v>0</v>
      </c>
      <c r="L1407">
        <v>2023</v>
      </c>
      <c r="N1407" t="s">
        <v>47</v>
      </c>
      <c r="O1407" t="s">
        <v>47</v>
      </c>
      <c r="P1407" t="s">
        <v>6727</v>
      </c>
    </row>
    <row r="1408" spans="1:16" x14ac:dyDescent="0.3">
      <c r="A1408" t="s">
        <v>8</v>
      </c>
      <c r="C1408">
        <v>60</v>
      </c>
      <c r="D1408" t="s">
        <v>10</v>
      </c>
      <c r="F1408" s="43">
        <v>44946.25</v>
      </c>
      <c r="G1408" s="43">
        <v>44946.291666666664</v>
      </c>
      <c r="H1408">
        <v>6</v>
      </c>
      <c r="I1408">
        <v>0</v>
      </c>
      <c r="J1408">
        <v>7</v>
      </c>
      <c r="K1408">
        <v>0</v>
      </c>
      <c r="L1408">
        <v>2023</v>
      </c>
      <c r="N1408" t="s">
        <v>47</v>
      </c>
      <c r="O1408" t="s">
        <v>47</v>
      </c>
      <c r="P1408" t="s">
        <v>6728</v>
      </c>
    </row>
    <row r="1409" spans="1:16" x14ac:dyDescent="0.3">
      <c r="A1409" t="s">
        <v>6736</v>
      </c>
      <c r="C1409">
        <v>40</v>
      </c>
      <c r="D1409" t="s">
        <v>10</v>
      </c>
      <c r="F1409" s="43">
        <v>44945.75</v>
      </c>
      <c r="G1409" s="43">
        <v>44945.777777777781</v>
      </c>
      <c r="H1409">
        <v>18</v>
      </c>
      <c r="I1409">
        <v>0</v>
      </c>
      <c r="J1409">
        <v>18</v>
      </c>
      <c r="K1409">
        <v>40</v>
      </c>
      <c r="L1409">
        <v>2023</v>
      </c>
      <c r="N1409" t="s">
        <v>47</v>
      </c>
      <c r="O1409" t="s">
        <v>47</v>
      </c>
      <c r="P1409" t="s">
        <v>6737</v>
      </c>
    </row>
    <row r="1410" spans="1:16" x14ac:dyDescent="0.3">
      <c r="A1410" t="s">
        <v>9</v>
      </c>
      <c r="C1410">
        <v>20</v>
      </c>
      <c r="D1410" t="s">
        <v>10</v>
      </c>
      <c r="F1410" s="43">
        <v>44945.739583333336</v>
      </c>
      <c r="G1410" s="43">
        <v>44945.753472222219</v>
      </c>
      <c r="H1410">
        <v>17</v>
      </c>
      <c r="I1410">
        <v>45</v>
      </c>
      <c r="J1410">
        <v>18</v>
      </c>
      <c r="K1410">
        <v>5</v>
      </c>
      <c r="L1410">
        <v>2023</v>
      </c>
      <c r="N1410" t="s">
        <v>47</v>
      </c>
      <c r="O1410" t="s">
        <v>47</v>
      </c>
      <c r="P1410" t="s">
        <v>6738</v>
      </c>
    </row>
    <row r="1411" spans="1:16" x14ac:dyDescent="0.3">
      <c r="A1411" t="s">
        <v>6712</v>
      </c>
      <c r="C1411">
        <v>15</v>
      </c>
      <c r="D1411" t="s">
        <v>10</v>
      </c>
      <c r="F1411" s="43">
        <v>44945.708333333336</v>
      </c>
      <c r="G1411" s="43">
        <v>44945.71875</v>
      </c>
      <c r="H1411">
        <v>17</v>
      </c>
      <c r="I1411">
        <v>0</v>
      </c>
      <c r="J1411">
        <v>17</v>
      </c>
      <c r="K1411">
        <v>15</v>
      </c>
      <c r="L1411">
        <v>2023</v>
      </c>
      <c r="N1411" t="s">
        <v>47</v>
      </c>
      <c r="O1411" t="s">
        <v>47</v>
      </c>
      <c r="P1411" t="s">
        <v>6739</v>
      </c>
    </row>
    <row r="1412" spans="1:16" x14ac:dyDescent="0.3">
      <c r="A1412" t="s">
        <v>4452</v>
      </c>
      <c r="C1412">
        <v>30</v>
      </c>
      <c r="D1412" t="s">
        <v>10</v>
      </c>
      <c r="F1412" s="43">
        <v>44945.666666666664</v>
      </c>
      <c r="G1412" s="43">
        <v>44945.6875</v>
      </c>
      <c r="H1412">
        <v>16</v>
      </c>
      <c r="I1412">
        <v>0</v>
      </c>
      <c r="J1412">
        <v>16</v>
      </c>
      <c r="K1412">
        <v>30</v>
      </c>
      <c r="L1412">
        <v>2023</v>
      </c>
      <c r="N1412" t="s">
        <v>47</v>
      </c>
      <c r="O1412" t="s">
        <v>47</v>
      </c>
      <c r="P1412" t="s">
        <v>6740</v>
      </c>
    </row>
    <row r="1413" spans="1:16" x14ac:dyDescent="0.3">
      <c r="A1413" t="s">
        <v>6712</v>
      </c>
      <c r="C1413">
        <v>30</v>
      </c>
      <c r="D1413" t="s">
        <v>10</v>
      </c>
      <c r="F1413" s="43">
        <v>44945.645833333336</v>
      </c>
      <c r="G1413" s="43">
        <v>44945.666666666664</v>
      </c>
      <c r="H1413">
        <v>15</v>
      </c>
      <c r="I1413">
        <v>30</v>
      </c>
      <c r="J1413">
        <v>16</v>
      </c>
      <c r="K1413">
        <v>0</v>
      </c>
      <c r="L1413">
        <v>2023</v>
      </c>
      <c r="N1413" t="s">
        <v>47</v>
      </c>
      <c r="O1413" t="s">
        <v>47</v>
      </c>
      <c r="P1413" t="s">
        <v>6741</v>
      </c>
    </row>
    <row r="1414" spans="1:16" x14ac:dyDescent="0.3">
      <c r="A1414" t="s">
        <v>6742</v>
      </c>
      <c r="C1414">
        <v>50</v>
      </c>
      <c r="D1414" t="s">
        <v>10</v>
      </c>
      <c r="F1414" s="43">
        <v>44945.583333333336</v>
      </c>
      <c r="G1414" s="43">
        <v>44945.618055555555</v>
      </c>
      <c r="H1414">
        <v>14</v>
      </c>
      <c r="I1414">
        <v>0</v>
      </c>
      <c r="J1414">
        <v>14</v>
      </c>
      <c r="K1414">
        <v>50</v>
      </c>
      <c r="L1414">
        <v>2023</v>
      </c>
      <c r="N1414" t="s">
        <v>47</v>
      </c>
      <c r="O1414" t="s">
        <v>47</v>
      </c>
      <c r="P1414" t="s">
        <v>6743</v>
      </c>
    </row>
    <row r="1415" spans="1:16" x14ac:dyDescent="0.3">
      <c r="A1415" t="s">
        <v>6744</v>
      </c>
      <c r="C1415">
        <v>75</v>
      </c>
      <c r="D1415" t="s">
        <v>10</v>
      </c>
      <c r="F1415" s="43">
        <v>44945.520833333336</v>
      </c>
      <c r="G1415" s="43">
        <v>44945.572916666664</v>
      </c>
      <c r="H1415">
        <v>12</v>
      </c>
      <c r="I1415">
        <v>30</v>
      </c>
      <c r="J1415">
        <v>13</v>
      </c>
      <c r="K1415">
        <v>45</v>
      </c>
      <c r="L1415">
        <v>2023</v>
      </c>
      <c r="N1415" t="s">
        <v>47</v>
      </c>
      <c r="O1415" t="s">
        <v>47</v>
      </c>
      <c r="P1415" t="s">
        <v>6745</v>
      </c>
    </row>
    <row r="1416" spans="1:16" x14ac:dyDescent="0.3">
      <c r="A1416" t="s">
        <v>6746</v>
      </c>
      <c r="C1416">
        <v>30</v>
      </c>
      <c r="D1416" t="s">
        <v>10</v>
      </c>
      <c r="F1416" s="43">
        <v>44945.416666666664</v>
      </c>
      <c r="G1416" s="43">
        <v>44945.4375</v>
      </c>
      <c r="H1416">
        <v>10</v>
      </c>
      <c r="I1416">
        <v>0</v>
      </c>
      <c r="J1416">
        <v>10</v>
      </c>
      <c r="K1416">
        <v>30</v>
      </c>
      <c r="L1416">
        <v>2023</v>
      </c>
      <c r="N1416" t="s">
        <v>47</v>
      </c>
      <c r="O1416" t="s">
        <v>47</v>
      </c>
      <c r="P1416" t="s">
        <v>6747</v>
      </c>
    </row>
    <row r="1417" spans="1:16" x14ac:dyDescent="0.3">
      <c r="A1417" t="s">
        <v>6807</v>
      </c>
      <c r="B1417" t="s">
        <v>20</v>
      </c>
      <c r="C1417">
        <v>30</v>
      </c>
      <c r="D1417" t="s">
        <v>10</v>
      </c>
      <c r="E1417" t="s">
        <v>501</v>
      </c>
      <c r="F1417" s="43">
        <v>44945.395833333336</v>
      </c>
      <c r="G1417" s="43">
        <v>44945.416666666664</v>
      </c>
      <c r="H1417">
        <v>9</v>
      </c>
      <c r="I1417">
        <v>30</v>
      </c>
      <c r="J1417">
        <v>10</v>
      </c>
      <c r="K1417">
        <v>0</v>
      </c>
      <c r="L1417">
        <v>2023</v>
      </c>
      <c r="N1417" t="s">
        <v>6808</v>
      </c>
      <c r="O1417" t="s">
        <v>47</v>
      </c>
      <c r="P1417" t="s">
        <v>6809</v>
      </c>
    </row>
    <row r="1418" spans="1:16" x14ac:dyDescent="0.3">
      <c r="A1418" t="s">
        <v>6762</v>
      </c>
      <c r="B1418" t="s">
        <v>20</v>
      </c>
      <c r="C1418">
        <v>60</v>
      </c>
      <c r="D1418" t="s">
        <v>10</v>
      </c>
      <c r="E1418" t="s">
        <v>6763</v>
      </c>
      <c r="F1418" s="43">
        <v>44945.291666666664</v>
      </c>
      <c r="G1418" s="43">
        <v>44945.333333333336</v>
      </c>
      <c r="H1418">
        <v>7</v>
      </c>
      <c r="I1418">
        <v>0</v>
      </c>
      <c r="J1418">
        <v>8</v>
      </c>
      <c r="K1418">
        <v>0</v>
      </c>
      <c r="L1418">
        <v>2023</v>
      </c>
      <c r="N1418" t="s">
        <v>6764</v>
      </c>
      <c r="O1418" t="s">
        <v>73</v>
      </c>
      <c r="P1418" t="s">
        <v>6765</v>
      </c>
    </row>
    <row r="1419" spans="1:16" x14ac:dyDescent="0.3">
      <c r="A1419" t="s">
        <v>6749</v>
      </c>
      <c r="B1419" t="s">
        <v>6750</v>
      </c>
      <c r="C1419">
        <v>30</v>
      </c>
      <c r="D1419" t="s">
        <v>10</v>
      </c>
      <c r="F1419" s="43">
        <v>44945.25</v>
      </c>
      <c r="G1419" s="43">
        <v>44945.270833333336</v>
      </c>
      <c r="H1419">
        <v>6</v>
      </c>
      <c r="I1419">
        <v>0</v>
      </c>
      <c r="J1419">
        <v>6</v>
      </c>
      <c r="K1419">
        <v>30</v>
      </c>
      <c r="L1419">
        <v>2023</v>
      </c>
      <c r="N1419" t="s">
        <v>47</v>
      </c>
      <c r="O1419" t="s">
        <v>47</v>
      </c>
      <c r="P1419" t="s">
        <v>6751</v>
      </c>
    </row>
    <row r="1420" spans="1:16" x14ac:dyDescent="0.3">
      <c r="A1420" t="s">
        <v>6627</v>
      </c>
      <c r="B1420" t="s">
        <v>160</v>
      </c>
      <c r="C1420">
        <v>60</v>
      </c>
      <c r="D1420" t="s">
        <v>10</v>
      </c>
      <c r="F1420" s="43">
        <v>44945.208333333336</v>
      </c>
      <c r="G1420" s="43">
        <v>44945.25</v>
      </c>
      <c r="H1420">
        <v>5</v>
      </c>
      <c r="I1420">
        <v>0</v>
      </c>
      <c r="J1420">
        <v>6</v>
      </c>
      <c r="K1420">
        <v>0</v>
      </c>
      <c r="L1420">
        <v>2023</v>
      </c>
      <c r="N1420" t="s">
        <v>47</v>
      </c>
      <c r="O1420" t="s">
        <v>47</v>
      </c>
      <c r="P1420" t="s">
        <v>6748</v>
      </c>
    </row>
    <row r="1421" spans="1:16" x14ac:dyDescent="0.3">
      <c r="A1421" t="s">
        <v>6752</v>
      </c>
      <c r="C1421">
        <v>45</v>
      </c>
      <c r="D1421" t="s">
        <v>10</v>
      </c>
      <c r="F1421" s="43">
        <v>44944.84375</v>
      </c>
      <c r="G1421" s="43">
        <v>44944.875</v>
      </c>
      <c r="H1421">
        <v>20</v>
      </c>
      <c r="I1421">
        <v>15</v>
      </c>
      <c r="J1421">
        <v>21</v>
      </c>
      <c r="K1421">
        <v>0</v>
      </c>
      <c r="L1421">
        <v>2023</v>
      </c>
      <c r="N1421" t="s">
        <v>47</v>
      </c>
      <c r="O1421" t="s">
        <v>47</v>
      </c>
      <c r="P1421" t="s">
        <v>6753</v>
      </c>
    </row>
    <row r="1422" spans="1:16" x14ac:dyDescent="0.3">
      <c r="A1422" t="s">
        <v>6754</v>
      </c>
      <c r="C1422">
        <v>40</v>
      </c>
      <c r="D1422" t="s">
        <v>10</v>
      </c>
      <c r="F1422" s="43">
        <v>44944.777777777781</v>
      </c>
      <c r="G1422" s="43">
        <v>44944.805555555555</v>
      </c>
      <c r="H1422">
        <v>18</v>
      </c>
      <c r="I1422">
        <v>40</v>
      </c>
      <c r="J1422">
        <v>19</v>
      </c>
      <c r="K1422">
        <v>20</v>
      </c>
      <c r="L1422">
        <v>2023</v>
      </c>
      <c r="N1422" t="s">
        <v>47</v>
      </c>
      <c r="O1422" t="s">
        <v>47</v>
      </c>
      <c r="P1422" t="s">
        <v>6755</v>
      </c>
    </row>
    <row r="1423" spans="1:16" x14ac:dyDescent="0.3">
      <c r="A1423" t="s">
        <v>6756</v>
      </c>
      <c r="C1423">
        <v>15</v>
      </c>
      <c r="D1423" t="s">
        <v>10</v>
      </c>
      <c r="F1423" s="43">
        <v>44944.739583333336</v>
      </c>
      <c r="G1423" s="43">
        <v>44944.75</v>
      </c>
      <c r="H1423">
        <v>17</v>
      </c>
      <c r="I1423">
        <v>45</v>
      </c>
      <c r="J1423">
        <v>18</v>
      </c>
      <c r="K1423">
        <v>0</v>
      </c>
      <c r="L1423">
        <v>2023</v>
      </c>
      <c r="N1423" t="s">
        <v>47</v>
      </c>
      <c r="O1423" t="s">
        <v>47</v>
      </c>
      <c r="P1423" t="s">
        <v>6757</v>
      </c>
    </row>
    <row r="1424" spans="1:16" x14ac:dyDescent="0.3">
      <c r="A1424" t="s">
        <v>9</v>
      </c>
      <c r="C1424">
        <v>20</v>
      </c>
      <c r="D1424" t="s">
        <v>10</v>
      </c>
      <c r="F1424" s="43">
        <v>44944.708333333336</v>
      </c>
      <c r="G1424" s="43">
        <v>44944.722222222219</v>
      </c>
      <c r="H1424">
        <v>17</v>
      </c>
      <c r="I1424">
        <v>0</v>
      </c>
      <c r="J1424">
        <v>17</v>
      </c>
      <c r="K1424">
        <v>20</v>
      </c>
      <c r="L1424">
        <v>2023</v>
      </c>
      <c r="N1424" t="s">
        <v>47</v>
      </c>
      <c r="O1424" t="s">
        <v>47</v>
      </c>
      <c r="P1424" t="s">
        <v>6758</v>
      </c>
    </row>
    <row r="1425" spans="1:16" x14ac:dyDescent="0.3">
      <c r="A1425" t="s">
        <v>6759</v>
      </c>
      <c r="C1425">
        <v>60</v>
      </c>
      <c r="D1425" t="s">
        <v>10</v>
      </c>
      <c r="F1425" s="43">
        <v>44944.666666666664</v>
      </c>
      <c r="G1425" s="43">
        <v>44944.708333333336</v>
      </c>
      <c r="H1425">
        <v>16</v>
      </c>
      <c r="I1425">
        <v>0</v>
      </c>
      <c r="J1425">
        <v>17</v>
      </c>
      <c r="K1425">
        <v>0</v>
      </c>
      <c r="L1425">
        <v>2023</v>
      </c>
      <c r="N1425" t="s">
        <v>47</v>
      </c>
      <c r="O1425" t="s">
        <v>47</v>
      </c>
      <c r="P1425" t="s">
        <v>6760</v>
      </c>
    </row>
    <row r="1426" spans="1:16" x14ac:dyDescent="0.3">
      <c r="A1426" t="s">
        <v>6712</v>
      </c>
      <c r="C1426">
        <v>120</v>
      </c>
      <c r="D1426" t="s">
        <v>10</v>
      </c>
      <c r="F1426" s="43">
        <v>44944.5625</v>
      </c>
      <c r="G1426" s="43">
        <v>44944.645833333336</v>
      </c>
      <c r="H1426">
        <v>13</v>
      </c>
      <c r="I1426">
        <v>30</v>
      </c>
      <c r="J1426">
        <v>15</v>
      </c>
      <c r="K1426">
        <v>30</v>
      </c>
      <c r="L1426">
        <v>2023</v>
      </c>
      <c r="N1426" t="s">
        <v>47</v>
      </c>
      <c r="O1426" t="s">
        <v>47</v>
      </c>
      <c r="P1426" t="s">
        <v>6761</v>
      </c>
    </row>
    <row r="1427" spans="1:16" x14ac:dyDescent="0.3">
      <c r="A1427" t="s">
        <v>17</v>
      </c>
      <c r="C1427">
        <v>30</v>
      </c>
      <c r="D1427" t="s">
        <v>10</v>
      </c>
      <c r="F1427" s="43">
        <v>44944.520833333336</v>
      </c>
      <c r="G1427" s="43">
        <v>44944.541666666664</v>
      </c>
      <c r="H1427">
        <v>12</v>
      </c>
      <c r="I1427">
        <v>30</v>
      </c>
      <c r="J1427">
        <v>13</v>
      </c>
      <c r="K1427">
        <v>0</v>
      </c>
      <c r="L1427">
        <v>2023</v>
      </c>
      <c r="N1427" t="s">
        <v>47</v>
      </c>
      <c r="O1427" t="s">
        <v>47</v>
      </c>
      <c r="P1427" t="s">
        <v>6766</v>
      </c>
    </row>
    <row r="1428" spans="1:16" x14ac:dyDescent="0.3">
      <c r="A1428" t="s">
        <v>6744</v>
      </c>
      <c r="C1428">
        <v>30</v>
      </c>
      <c r="D1428" t="s">
        <v>10</v>
      </c>
      <c r="F1428" s="43">
        <v>44944.479166666664</v>
      </c>
      <c r="G1428" s="43">
        <v>44944.5</v>
      </c>
      <c r="H1428">
        <v>11</v>
      </c>
      <c r="I1428">
        <v>30</v>
      </c>
      <c r="J1428">
        <v>12</v>
      </c>
      <c r="K1428">
        <v>0</v>
      </c>
      <c r="L1428">
        <v>2023</v>
      </c>
      <c r="N1428" t="s">
        <v>47</v>
      </c>
      <c r="O1428" t="s">
        <v>47</v>
      </c>
      <c r="P1428" t="s">
        <v>6769</v>
      </c>
    </row>
    <row r="1429" spans="1:16" x14ac:dyDescent="0.3">
      <c r="A1429" t="s">
        <v>6767</v>
      </c>
      <c r="C1429">
        <v>30</v>
      </c>
      <c r="D1429" t="s">
        <v>10</v>
      </c>
      <c r="F1429" s="43">
        <v>44944.458333333336</v>
      </c>
      <c r="G1429" s="43">
        <v>44944.479166666664</v>
      </c>
      <c r="H1429">
        <v>11</v>
      </c>
      <c r="I1429">
        <v>0</v>
      </c>
      <c r="J1429">
        <v>11</v>
      </c>
      <c r="K1429">
        <v>30</v>
      </c>
      <c r="L1429">
        <v>2023</v>
      </c>
      <c r="N1429" t="s">
        <v>47</v>
      </c>
      <c r="O1429" t="s">
        <v>47</v>
      </c>
      <c r="P1429" t="s">
        <v>6768</v>
      </c>
    </row>
    <row r="1430" spans="1:16" x14ac:dyDescent="0.3">
      <c r="A1430" t="s">
        <v>6804</v>
      </c>
      <c r="B1430" t="s">
        <v>20</v>
      </c>
      <c r="C1430">
        <v>60</v>
      </c>
      <c r="D1430" t="s">
        <v>10</v>
      </c>
      <c r="E1430" t="s">
        <v>501</v>
      </c>
      <c r="F1430" s="43">
        <v>44944.416666666664</v>
      </c>
      <c r="G1430" s="43">
        <v>44944.458333333336</v>
      </c>
      <c r="H1430">
        <v>10</v>
      </c>
      <c r="I1430">
        <v>0</v>
      </c>
      <c r="J1430">
        <v>11</v>
      </c>
      <c r="K1430">
        <v>0</v>
      </c>
      <c r="L1430">
        <v>2023</v>
      </c>
      <c r="N1430" t="s">
        <v>6805</v>
      </c>
      <c r="O1430" t="s">
        <v>47</v>
      </c>
      <c r="P1430" t="s">
        <v>6806</v>
      </c>
    </row>
    <row r="1431" spans="1:16" x14ac:dyDescent="0.3">
      <c r="A1431" t="s">
        <v>6774</v>
      </c>
      <c r="C1431">
        <v>40</v>
      </c>
      <c r="D1431" t="s">
        <v>10</v>
      </c>
      <c r="F1431" s="43">
        <v>44944.375</v>
      </c>
      <c r="G1431" s="43">
        <v>44944.402777777781</v>
      </c>
      <c r="H1431">
        <v>9</v>
      </c>
      <c r="I1431">
        <v>0</v>
      </c>
      <c r="J1431">
        <v>9</v>
      </c>
      <c r="K1431">
        <v>40</v>
      </c>
      <c r="L1431">
        <v>2023</v>
      </c>
      <c r="N1431" t="s">
        <v>47</v>
      </c>
      <c r="O1431" t="s">
        <v>47</v>
      </c>
      <c r="P1431" t="s">
        <v>6775</v>
      </c>
    </row>
    <row r="1432" spans="1:16" x14ac:dyDescent="0.3">
      <c r="A1432" t="s">
        <v>6776</v>
      </c>
      <c r="C1432">
        <v>30</v>
      </c>
      <c r="D1432" t="s">
        <v>10</v>
      </c>
      <c r="F1432" s="43">
        <v>44944.3125</v>
      </c>
      <c r="G1432" s="43">
        <v>44944.333333333336</v>
      </c>
      <c r="H1432">
        <v>7</v>
      </c>
      <c r="I1432">
        <v>30</v>
      </c>
      <c r="J1432">
        <v>8</v>
      </c>
      <c r="K1432">
        <v>0</v>
      </c>
      <c r="L1432">
        <v>2023</v>
      </c>
      <c r="N1432" t="s">
        <v>47</v>
      </c>
      <c r="O1432" t="s">
        <v>47</v>
      </c>
      <c r="P1432" t="s">
        <v>6777</v>
      </c>
    </row>
    <row r="1433" spans="1:16" x14ac:dyDescent="0.3">
      <c r="A1433" t="s">
        <v>6778</v>
      </c>
      <c r="C1433">
        <v>60</v>
      </c>
      <c r="D1433" t="s">
        <v>10</v>
      </c>
      <c r="F1433" s="43">
        <v>44944.229166666664</v>
      </c>
      <c r="G1433" s="43">
        <v>44944.270833333336</v>
      </c>
      <c r="H1433">
        <v>5</v>
      </c>
      <c r="I1433">
        <v>30</v>
      </c>
      <c r="J1433">
        <v>6</v>
      </c>
      <c r="K1433">
        <v>30</v>
      </c>
      <c r="L1433">
        <v>2023</v>
      </c>
      <c r="N1433" t="s">
        <v>47</v>
      </c>
      <c r="O1433" t="s">
        <v>47</v>
      </c>
      <c r="P1433" t="s">
        <v>6779</v>
      </c>
    </row>
    <row r="1434" spans="1:16" x14ac:dyDescent="0.3">
      <c r="A1434" t="s">
        <v>6780</v>
      </c>
      <c r="C1434">
        <v>60</v>
      </c>
      <c r="D1434" t="s">
        <v>10</v>
      </c>
      <c r="F1434" s="43">
        <v>44943.75</v>
      </c>
      <c r="G1434" s="43">
        <v>44943.791666666664</v>
      </c>
      <c r="H1434">
        <v>18</v>
      </c>
      <c r="I1434">
        <v>0</v>
      </c>
      <c r="J1434">
        <v>19</v>
      </c>
      <c r="K1434">
        <v>0</v>
      </c>
      <c r="L1434">
        <v>2023</v>
      </c>
      <c r="N1434" t="s">
        <v>47</v>
      </c>
      <c r="O1434" t="s">
        <v>47</v>
      </c>
      <c r="P1434" t="s">
        <v>6781</v>
      </c>
    </row>
    <row r="1435" spans="1:16" x14ac:dyDescent="0.3">
      <c r="A1435" t="s">
        <v>6744</v>
      </c>
      <c r="C1435">
        <v>15</v>
      </c>
      <c r="D1435" t="s">
        <v>10</v>
      </c>
      <c r="F1435" s="43">
        <v>44943.729166666664</v>
      </c>
      <c r="G1435" s="43">
        <v>44943.739583333336</v>
      </c>
      <c r="H1435">
        <v>17</v>
      </c>
      <c r="I1435">
        <v>30</v>
      </c>
      <c r="J1435">
        <v>17</v>
      </c>
      <c r="K1435">
        <v>45</v>
      </c>
      <c r="L1435">
        <v>2023</v>
      </c>
      <c r="N1435" t="s">
        <v>47</v>
      </c>
      <c r="O1435" t="s">
        <v>47</v>
      </c>
      <c r="P1435" t="s">
        <v>6782</v>
      </c>
    </row>
    <row r="1436" spans="1:16" x14ac:dyDescent="0.3">
      <c r="A1436" t="s">
        <v>9</v>
      </c>
      <c r="C1436">
        <v>30</v>
      </c>
      <c r="D1436" t="s">
        <v>10</v>
      </c>
      <c r="F1436" s="43">
        <v>44943.708333333336</v>
      </c>
      <c r="G1436" s="43">
        <v>44943.729166666664</v>
      </c>
      <c r="H1436">
        <v>17</v>
      </c>
      <c r="I1436">
        <v>0</v>
      </c>
      <c r="J1436">
        <v>17</v>
      </c>
      <c r="K1436">
        <v>30</v>
      </c>
      <c r="L1436">
        <v>2023</v>
      </c>
      <c r="N1436" t="s">
        <v>47</v>
      </c>
      <c r="O1436" t="s">
        <v>47</v>
      </c>
      <c r="P1436" t="s">
        <v>6783</v>
      </c>
    </row>
    <row r="1437" spans="1:16" x14ac:dyDescent="0.3">
      <c r="A1437" t="s">
        <v>6778</v>
      </c>
      <c r="C1437">
        <v>60</v>
      </c>
      <c r="D1437" t="s">
        <v>10</v>
      </c>
      <c r="F1437" s="43">
        <v>44943.645833333336</v>
      </c>
      <c r="G1437" s="43">
        <v>44943.6875</v>
      </c>
      <c r="H1437">
        <v>15</v>
      </c>
      <c r="I1437">
        <v>30</v>
      </c>
      <c r="J1437">
        <v>16</v>
      </c>
      <c r="K1437">
        <v>30</v>
      </c>
      <c r="L1437">
        <v>2023</v>
      </c>
      <c r="N1437" t="s">
        <v>47</v>
      </c>
      <c r="O1437" t="s">
        <v>47</v>
      </c>
      <c r="P1437" t="s">
        <v>6784</v>
      </c>
    </row>
    <row r="1438" spans="1:16" x14ac:dyDescent="0.3">
      <c r="A1438" t="s">
        <v>6785</v>
      </c>
      <c r="C1438">
        <v>30</v>
      </c>
      <c r="D1438" t="s">
        <v>10</v>
      </c>
      <c r="F1438" s="43">
        <v>44943.583333333336</v>
      </c>
      <c r="G1438" s="43">
        <v>44943.604166666664</v>
      </c>
      <c r="H1438">
        <v>14</v>
      </c>
      <c r="I1438">
        <v>0</v>
      </c>
      <c r="J1438">
        <v>14</v>
      </c>
      <c r="K1438">
        <v>30</v>
      </c>
      <c r="L1438">
        <v>2023</v>
      </c>
      <c r="N1438" t="s">
        <v>47</v>
      </c>
      <c r="O1438" t="s">
        <v>47</v>
      </c>
      <c r="P1438" t="s">
        <v>6786</v>
      </c>
    </row>
    <row r="1439" spans="1:16" x14ac:dyDescent="0.3">
      <c r="A1439" t="s">
        <v>6778</v>
      </c>
      <c r="C1439">
        <v>75</v>
      </c>
      <c r="D1439" t="s">
        <v>10</v>
      </c>
      <c r="F1439" s="43">
        <v>44943.53125</v>
      </c>
      <c r="G1439" s="43">
        <v>44943.583333333336</v>
      </c>
      <c r="H1439">
        <v>12</v>
      </c>
      <c r="I1439">
        <v>45</v>
      </c>
      <c r="J1439">
        <v>14</v>
      </c>
      <c r="K1439">
        <v>0</v>
      </c>
      <c r="L1439">
        <v>2023</v>
      </c>
      <c r="N1439" t="s">
        <v>47</v>
      </c>
      <c r="O1439" t="s">
        <v>47</v>
      </c>
      <c r="P1439" t="s">
        <v>6787</v>
      </c>
    </row>
    <row r="1440" spans="1:16" x14ac:dyDescent="0.3">
      <c r="A1440" t="s">
        <v>6792</v>
      </c>
      <c r="C1440">
        <v>30</v>
      </c>
      <c r="D1440" t="s">
        <v>10</v>
      </c>
      <c r="E1440" t="s">
        <v>5342</v>
      </c>
      <c r="F1440" s="43">
        <v>44943.458333333336</v>
      </c>
      <c r="G1440" s="43">
        <v>44943.479166666664</v>
      </c>
      <c r="H1440">
        <v>11</v>
      </c>
      <c r="I1440">
        <v>0</v>
      </c>
      <c r="J1440">
        <v>11</v>
      </c>
      <c r="K1440">
        <v>30</v>
      </c>
      <c r="L1440">
        <v>2023</v>
      </c>
      <c r="N1440" t="s">
        <v>4629</v>
      </c>
      <c r="O1440" t="s">
        <v>47</v>
      </c>
      <c r="P1440" t="s">
        <v>6793</v>
      </c>
    </row>
    <row r="1441" spans="1:16" x14ac:dyDescent="0.3">
      <c r="A1441" t="s">
        <v>6788</v>
      </c>
      <c r="C1441">
        <v>30</v>
      </c>
      <c r="D1441" t="s">
        <v>10</v>
      </c>
      <c r="F1441" s="43">
        <v>44943.4375</v>
      </c>
      <c r="G1441" s="43">
        <v>44943.458333333336</v>
      </c>
      <c r="H1441">
        <v>10</v>
      </c>
      <c r="I1441">
        <v>30</v>
      </c>
      <c r="J1441">
        <v>11</v>
      </c>
      <c r="K1441">
        <v>0</v>
      </c>
      <c r="L1441">
        <v>2023</v>
      </c>
      <c r="N1441" t="s">
        <v>47</v>
      </c>
      <c r="O1441" t="s">
        <v>47</v>
      </c>
      <c r="P1441" t="s">
        <v>6789</v>
      </c>
    </row>
    <row r="1442" spans="1:16" x14ac:dyDescent="0.3">
      <c r="A1442" t="s">
        <v>6790</v>
      </c>
      <c r="C1442">
        <v>20</v>
      </c>
      <c r="D1442" t="s">
        <v>10</v>
      </c>
      <c r="F1442" s="43">
        <v>44943.395833333336</v>
      </c>
      <c r="G1442" s="43">
        <v>44943.409722222219</v>
      </c>
      <c r="H1442">
        <v>9</v>
      </c>
      <c r="I1442">
        <v>30</v>
      </c>
      <c r="J1442">
        <v>9</v>
      </c>
      <c r="K1442">
        <v>50</v>
      </c>
      <c r="L1442">
        <v>2023</v>
      </c>
      <c r="N1442" t="s">
        <v>47</v>
      </c>
      <c r="O1442" t="s">
        <v>47</v>
      </c>
      <c r="P1442" t="s">
        <v>6791</v>
      </c>
    </row>
    <row r="1443" spans="1:16" x14ac:dyDescent="0.3">
      <c r="A1443" t="s">
        <v>6618</v>
      </c>
      <c r="C1443">
        <v>30</v>
      </c>
      <c r="D1443" t="s">
        <v>10</v>
      </c>
      <c r="E1443" t="s">
        <v>501</v>
      </c>
      <c r="F1443" s="43">
        <v>44943.375</v>
      </c>
      <c r="G1443" s="43">
        <v>44943.395833333336</v>
      </c>
      <c r="H1443">
        <v>9</v>
      </c>
      <c r="I1443">
        <v>0</v>
      </c>
      <c r="J1443">
        <v>9</v>
      </c>
      <c r="K1443">
        <v>30</v>
      </c>
      <c r="L1443">
        <v>2023</v>
      </c>
      <c r="N1443" t="s">
        <v>629</v>
      </c>
      <c r="O1443" t="s">
        <v>47</v>
      </c>
      <c r="P1443" t="s">
        <v>6619</v>
      </c>
    </row>
    <row r="1444" spans="1:16" x14ac:dyDescent="0.3">
      <c r="A1444" t="s">
        <v>6794</v>
      </c>
      <c r="C1444">
        <v>15</v>
      </c>
      <c r="D1444" t="s">
        <v>10</v>
      </c>
      <c r="F1444" s="43">
        <v>44943.364583333336</v>
      </c>
      <c r="G1444" s="43">
        <v>44943.375</v>
      </c>
      <c r="H1444">
        <v>8</v>
      </c>
      <c r="I1444">
        <v>45</v>
      </c>
      <c r="J1444">
        <v>9</v>
      </c>
      <c r="K1444">
        <v>0</v>
      </c>
      <c r="L1444">
        <v>2023</v>
      </c>
      <c r="N1444" t="s">
        <v>47</v>
      </c>
      <c r="O1444" t="s">
        <v>47</v>
      </c>
      <c r="P1444" t="s">
        <v>6795</v>
      </c>
    </row>
    <row r="1445" spans="1:16" x14ac:dyDescent="0.3">
      <c r="A1445" t="s">
        <v>6796</v>
      </c>
      <c r="C1445">
        <v>15</v>
      </c>
      <c r="D1445" t="s">
        <v>10</v>
      </c>
      <c r="F1445" s="43">
        <v>44943.354166666664</v>
      </c>
      <c r="G1445" s="43">
        <v>44943.364583333336</v>
      </c>
      <c r="H1445">
        <v>8</v>
      </c>
      <c r="I1445">
        <v>30</v>
      </c>
      <c r="J1445">
        <v>8</v>
      </c>
      <c r="K1445">
        <v>45</v>
      </c>
      <c r="L1445">
        <v>2023</v>
      </c>
      <c r="N1445" t="s">
        <v>47</v>
      </c>
      <c r="O1445" t="s">
        <v>47</v>
      </c>
      <c r="P1445" t="s">
        <v>6797</v>
      </c>
    </row>
    <row r="1446" spans="1:16" x14ac:dyDescent="0.3">
      <c r="A1446" t="s">
        <v>6796</v>
      </c>
      <c r="B1446" t="s">
        <v>6</v>
      </c>
      <c r="C1446">
        <v>20</v>
      </c>
      <c r="D1446" t="s">
        <v>10</v>
      </c>
      <c r="E1446" t="s">
        <v>6798</v>
      </c>
      <c r="F1446" s="43">
        <v>44943.284722222219</v>
      </c>
      <c r="G1446" s="43">
        <v>44943.298611111109</v>
      </c>
      <c r="H1446">
        <v>6</v>
      </c>
      <c r="I1446">
        <v>50</v>
      </c>
      <c r="J1446">
        <v>7</v>
      </c>
      <c r="K1446">
        <v>10</v>
      </c>
      <c r="L1446">
        <v>2023</v>
      </c>
      <c r="N1446" t="s">
        <v>47</v>
      </c>
      <c r="O1446" t="s">
        <v>47</v>
      </c>
      <c r="P1446" t="s">
        <v>6799</v>
      </c>
    </row>
    <row r="1447" spans="1:16" x14ac:dyDescent="0.3">
      <c r="A1447" t="s">
        <v>6800</v>
      </c>
      <c r="C1447">
        <v>60</v>
      </c>
      <c r="D1447" t="s">
        <v>10</v>
      </c>
      <c r="F1447" s="43">
        <v>44943.21875</v>
      </c>
      <c r="G1447" s="43">
        <v>44943.260416666664</v>
      </c>
      <c r="H1447">
        <v>5</v>
      </c>
      <c r="I1447">
        <v>15</v>
      </c>
      <c r="J1447">
        <v>6</v>
      </c>
      <c r="K1447">
        <v>15</v>
      </c>
      <c r="L1447">
        <v>2023</v>
      </c>
      <c r="N1447" t="s">
        <v>47</v>
      </c>
      <c r="O1447" t="s">
        <v>47</v>
      </c>
      <c r="P1447" t="s">
        <v>6801</v>
      </c>
    </row>
    <row r="1448" spans="1:16" x14ac:dyDescent="0.3">
      <c r="A1448" t="s">
        <v>4265</v>
      </c>
      <c r="C1448">
        <v>30</v>
      </c>
      <c r="D1448" t="s">
        <v>10</v>
      </c>
      <c r="F1448" s="43">
        <v>44942.791666666664</v>
      </c>
      <c r="G1448" s="43">
        <v>44942.8125</v>
      </c>
      <c r="H1448">
        <v>19</v>
      </c>
      <c r="I1448">
        <v>0</v>
      </c>
      <c r="J1448">
        <v>19</v>
      </c>
      <c r="K1448">
        <v>30</v>
      </c>
      <c r="L1448">
        <v>2023</v>
      </c>
      <c r="N1448" t="s">
        <v>47</v>
      </c>
      <c r="O1448" t="s">
        <v>47</v>
      </c>
      <c r="P1448" t="s">
        <v>6802</v>
      </c>
    </row>
    <row r="1449" spans="1:16" x14ac:dyDescent="0.3">
      <c r="A1449" t="s">
        <v>8</v>
      </c>
      <c r="C1449">
        <v>30</v>
      </c>
      <c r="D1449" t="s">
        <v>10</v>
      </c>
      <c r="F1449" s="43">
        <v>44942.75</v>
      </c>
      <c r="G1449" s="43">
        <v>44942.770833333336</v>
      </c>
      <c r="H1449">
        <v>18</v>
      </c>
      <c r="I1449">
        <v>0</v>
      </c>
      <c r="J1449">
        <v>18</v>
      </c>
      <c r="K1449">
        <v>30</v>
      </c>
      <c r="L1449">
        <v>2023</v>
      </c>
      <c r="N1449" t="s">
        <v>47</v>
      </c>
      <c r="O1449" t="s">
        <v>47</v>
      </c>
      <c r="P1449" t="s">
        <v>6803</v>
      </c>
    </row>
    <row r="1450" spans="1:16" x14ac:dyDescent="0.3">
      <c r="A1450" t="s">
        <v>6603</v>
      </c>
      <c r="B1450" t="s">
        <v>6</v>
      </c>
      <c r="C1450">
        <v>60</v>
      </c>
      <c r="D1450" t="s">
        <v>10</v>
      </c>
      <c r="E1450" t="s">
        <v>6604</v>
      </c>
      <c r="F1450" s="43">
        <v>44942.666666666664</v>
      </c>
      <c r="G1450" s="43">
        <v>44942.708333333336</v>
      </c>
      <c r="H1450">
        <v>16</v>
      </c>
      <c r="I1450">
        <v>0</v>
      </c>
      <c r="J1450">
        <v>17</v>
      </c>
      <c r="K1450">
        <v>0</v>
      </c>
      <c r="L1450">
        <v>2023</v>
      </c>
      <c r="N1450" t="s">
        <v>4384</v>
      </c>
      <c r="O1450" t="s">
        <v>47</v>
      </c>
      <c r="P1450" t="s">
        <v>6605</v>
      </c>
    </row>
    <row r="1451" spans="1:16" x14ac:dyDescent="0.3">
      <c r="A1451" t="s">
        <v>4193</v>
      </c>
      <c r="B1451" t="s">
        <v>6</v>
      </c>
      <c r="C1451">
        <v>30</v>
      </c>
      <c r="D1451" t="s">
        <v>10</v>
      </c>
      <c r="E1451" t="s">
        <v>6705</v>
      </c>
      <c r="F1451" s="43">
        <v>44942.645833333336</v>
      </c>
      <c r="G1451" s="43">
        <v>44942.666666666664</v>
      </c>
      <c r="H1451">
        <v>15</v>
      </c>
      <c r="I1451">
        <v>30</v>
      </c>
      <c r="J1451">
        <v>16</v>
      </c>
      <c r="K1451">
        <v>0</v>
      </c>
      <c r="L1451">
        <v>2023</v>
      </c>
      <c r="N1451" t="s">
        <v>47</v>
      </c>
      <c r="O1451" t="s">
        <v>47</v>
      </c>
      <c r="P1451" t="s">
        <v>6810</v>
      </c>
    </row>
    <row r="1452" spans="1:16" x14ac:dyDescent="0.3">
      <c r="A1452" t="s">
        <v>4519</v>
      </c>
      <c r="B1452" t="s">
        <v>223</v>
      </c>
      <c r="C1452">
        <v>30</v>
      </c>
      <c r="D1452" t="s">
        <v>10</v>
      </c>
      <c r="E1452" t="s">
        <v>6708</v>
      </c>
      <c r="F1452" s="43">
        <v>44942.604166666664</v>
      </c>
      <c r="G1452" s="43">
        <v>44942.625</v>
      </c>
      <c r="H1452">
        <v>14</v>
      </c>
      <c r="I1452">
        <v>30</v>
      </c>
      <c r="J1452">
        <v>15</v>
      </c>
      <c r="K1452">
        <v>0</v>
      </c>
      <c r="L1452">
        <v>2023</v>
      </c>
      <c r="N1452" t="s">
        <v>47</v>
      </c>
      <c r="O1452" t="s">
        <v>47</v>
      </c>
      <c r="P1452" t="s">
        <v>6811</v>
      </c>
    </row>
    <row r="1453" spans="1:16" x14ac:dyDescent="0.3">
      <c r="A1453" t="s">
        <v>6707</v>
      </c>
      <c r="B1453" t="s">
        <v>223</v>
      </c>
      <c r="C1453">
        <v>30</v>
      </c>
      <c r="D1453" t="s">
        <v>10</v>
      </c>
      <c r="E1453" t="s">
        <v>6708</v>
      </c>
      <c r="F1453" s="43">
        <v>44942.541666666664</v>
      </c>
      <c r="G1453" s="43">
        <v>44942.5625</v>
      </c>
      <c r="H1453">
        <v>13</v>
      </c>
      <c r="I1453">
        <v>0</v>
      </c>
      <c r="J1453">
        <v>13</v>
      </c>
      <c r="K1453">
        <v>30</v>
      </c>
      <c r="L1453">
        <v>2023</v>
      </c>
      <c r="N1453" t="s">
        <v>47</v>
      </c>
      <c r="O1453" t="s">
        <v>47</v>
      </c>
      <c r="P1453" t="s">
        <v>6709</v>
      </c>
    </row>
    <row r="1454" spans="1:16" x14ac:dyDescent="0.3">
      <c r="A1454" t="s">
        <v>6645</v>
      </c>
      <c r="B1454" t="s">
        <v>6</v>
      </c>
      <c r="C1454">
        <v>30</v>
      </c>
      <c r="D1454" t="s">
        <v>10</v>
      </c>
      <c r="E1454" t="s">
        <v>6705</v>
      </c>
      <c r="F1454" s="43">
        <v>44942.520833333336</v>
      </c>
      <c r="G1454" s="43">
        <v>44942.541666666664</v>
      </c>
      <c r="H1454">
        <v>12</v>
      </c>
      <c r="I1454">
        <v>30</v>
      </c>
      <c r="J1454">
        <v>13</v>
      </c>
      <c r="K1454">
        <v>0</v>
      </c>
      <c r="L1454">
        <v>2023</v>
      </c>
      <c r="N1454" t="s">
        <v>47</v>
      </c>
      <c r="O1454" t="s">
        <v>47</v>
      </c>
      <c r="P1454" t="s">
        <v>6706</v>
      </c>
    </row>
    <row r="1455" spans="1:16" x14ac:dyDescent="0.3">
      <c r="A1455" t="s">
        <v>6579</v>
      </c>
      <c r="B1455" t="s">
        <v>223</v>
      </c>
      <c r="C1455">
        <v>60</v>
      </c>
      <c r="D1455" t="s">
        <v>10</v>
      </c>
      <c r="E1455" t="s">
        <v>6687</v>
      </c>
      <c r="F1455" s="43">
        <v>44942.416666666664</v>
      </c>
      <c r="G1455" s="43">
        <v>44942.458333333336</v>
      </c>
      <c r="H1455">
        <v>10</v>
      </c>
      <c r="I1455">
        <v>0</v>
      </c>
      <c r="J1455">
        <v>11</v>
      </c>
      <c r="K1455">
        <v>0</v>
      </c>
      <c r="L1455">
        <v>2023</v>
      </c>
      <c r="N1455" t="s">
        <v>47</v>
      </c>
      <c r="O1455" t="s">
        <v>47</v>
      </c>
      <c r="P1455" t="s">
        <v>6688</v>
      </c>
    </row>
    <row r="1456" spans="1:16" x14ac:dyDescent="0.3">
      <c r="A1456" t="s">
        <v>6689</v>
      </c>
      <c r="B1456" t="s">
        <v>223</v>
      </c>
      <c r="C1456">
        <v>60</v>
      </c>
      <c r="D1456" t="s">
        <v>10</v>
      </c>
      <c r="E1456" t="s">
        <v>6690</v>
      </c>
      <c r="F1456" s="43">
        <v>44942.333333333336</v>
      </c>
      <c r="G1456" s="43">
        <v>44942.375</v>
      </c>
      <c r="H1456">
        <v>8</v>
      </c>
      <c r="I1456">
        <v>0</v>
      </c>
      <c r="J1456">
        <v>9</v>
      </c>
      <c r="K1456">
        <v>0</v>
      </c>
      <c r="L1456">
        <v>2023</v>
      </c>
      <c r="N1456" t="s">
        <v>47</v>
      </c>
      <c r="O1456" t="s">
        <v>47</v>
      </c>
      <c r="P1456" t="s">
        <v>6691</v>
      </c>
    </row>
    <row r="1457" spans="1:16" x14ac:dyDescent="0.3">
      <c r="A1457" t="s">
        <v>6692</v>
      </c>
      <c r="C1457">
        <v>30</v>
      </c>
      <c r="D1457" t="s">
        <v>10</v>
      </c>
      <c r="F1457" s="43">
        <v>44942.291666666664</v>
      </c>
      <c r="G1457" s="43">
        <v>44942.3125</v>
      </c>
      <c r="H1457">
        <v>7</v>
      </c>
      <c r="I1457">
        <v>0</v>
      </c>
      <c r="J1457">
        <v>7</v>
      </c>
      <c r="K1457">
        <v>30</v>
      </c>
      <c r="L1457">
        <v>2023</v>
      </c>
      <c r="N1457" t="s">
        <v>47</v>
      </c>
      <c r="O1457" t="s">
        <v>47</v>
      </c>
      <c r="P1457" t="s">
        <v>6693</v>
      </c>
    </row>
    <row r="1458" spans="1:16" x14ac:dyDescent="0.3">
      <c r="A1458" t="s">
        <v>6099</v>
      </c>
      <c r="C1458">
        <v>30</v>
      </c>
      <c r="D1458" t="s">
        <v>10</v>
      </c>
      <c r="E1458" t="s">
        <v>5</v>
      </c>
      <c r="F1458" s="1">
        <v>44942.270833333336</v>
      </c>
      <c r="G1458" s="43">
        <v>44942.291666666664</v>
      </c>
      <c r="H1458">
        <v>6</v>
      </c>
      <c r="I1458">
        <v>30</v>
      </c>
      <c r="J1458">
        <v>7</v>
      </c>
      <c r="K1458">
        <v>0</v>
      </c>
      <c r="L1458">
        <v>2023</v>
      </c>
      <c r="N1458" t="s">
        <v>6100</v>
      </c>
      <c r="O1458" t="s">
        <v>4006</v>
      </c>
      <c r="P1458" t="s">
        <v>6101</v>
      </c>
    </row>
    <row r="1459" spans="1:16" x14ac:dyDescent="0.3">
      <c r="A1459" t="s">
        <v>6694</v>
      </c>
      <c r="B1459" t="s">
        <v>223</v>
      </c>
      <c r="C1459">
        <v>60</v>
      </c>
      <c r="D1459" t="s">
        <v>10</v>
      </c>
      <c r="E1459" t="s">
        <v>6690</v>
      </c>
      <c r="F1459" s="43">
        <v>44942.25</v>
      </c>
      <c r="G1459" s="43">
        <v>44942.291666666664</v>
      </c>
      <c r="H1459">
        <v>6</v>
      </c>
      <c r="I1459">
        <v>0</v>
      </c>
      <c r="J1459">
        <v>7</v>
      </c>
      <c r="K1459">
        <v>0</v>
      </c>
      <c r="L1459">
        <v>2023</v>
      </c>
      <c r="N1459" t="s">
        <v>47</v>
      </c>
      <c r="O1459" t="s">
        <v>47</v>
      </c>
      <c r="P1459" t="s">
        <v>6695</v>
      </c>
    </row>
    <row r="1460" spans="1:16" x14ac:dyDescent="0.3">
      <c r="A1460" t="s">
        <v>6683</v>
      </c>
      <c r="B1460" t="s">
        <v>223</v>
      </c>
      <c r="C1460">
        <v>60</v>
      </c>
      <c r="D1460" t="s">
        <v>10</v>
      </c>
      <c r="E1460" t="s">
        <v>6643</v>
      </c>
      <c r="F1460" s="43">
        <v>44941.75</v>
      </c>
      <c r="G1460" s="43">
        <v>44941.791666666664</v>
      </c>
      <c r="H1460">
        <v>18</v>
      </c>
      <c r="I1460">
        <v>0</v>
      </c>
      <c r="J1460">
        <v>19</v>
      </c>
      <c r="K1460">
        <v>0</v>
      </c>
      <c r="L1460">
        <v>2023</v>
      </c>
      <c r="N1460" t="s">
        <v>47</v>
      </c>
      <c r="O1460" t="s">
        <v>47</v>
      </c>
      <c r="P1460" t="s">
        <v>6696</v>
      </c>
    </row>
    <row r="1461" spans="1:16" x14ac:dyDescent="0.3">
      <c r="A1461" t="s">
        <v>6683</v>
      </c>
      <c r="B1461" t="s">
        <v>223</v>
      </c>
      <c r="C1461">
        <v>60</v>
      </c>
      <c r="D1461" t="s">
        <v>10</v>
      </c>
      <c r="E1461" t="s">
        <v>6643</v>
      </c>
      <c r="F1461" s="43">
        <v>44941.666666666664</v>
      </c>
      <c r="G1461" s="43">
        <v>44941.708333333336</v>
      </c>
      <c r="H1461">
        <v>16</v>
      </c>
      <c r="I1461">
        <v>0</v>
      </c>
      <c r="J1461">
        <v>17</v>
      </c>
      <c r="K1461">
        <v>0</v>
      </c>
      <c r="L1461">
        <v>2023</v>
      </c>
      <c r="N1461" t="s">
        <v>47</v>
      </c>
      <c r="O1461" t="s">
        <v>47</v>
      </c>
      <c r="P1461" t="s">
        <v>6697</v>
      </c>
    </row>
    <row r="1462" spans="1:16" x14ac:dyDescent="0.3">
      <c r="A1462" t="s">
        <v>6683</v>
      </c>
      <c r="B1462" t="s">
        <v>223</v>
      </c>
      <c r="C1462">
        <v>60</v>
      </c>
      <c r="D1462" t="s">
        <v>10</v>
      </c>
      <c r="E1462" t="s">
        <v>6643</v>
      </c>
      <c r="F1462" s="43">
        <v>44941.25</v>
      </c>
      <c r="G1462" s="43">
        <v>44941.291666666664</v>
      </c>
      <c r="H1462">
        <v>6</v>
      </c>
      <c r="I1462">
        <v>0</v>
      </c>
      <c r="J1462">
        <v>7</v>
      </c>
      <c r="K1462">
        <v>0</v>
      </c>
      <c r="L1462">
        <v>2023</v>
      </c>
      <c r="N1462" t="s">
        <v>47</v>
      </c>
      <c r="O1462" t="s">
        <v>47</v>
      </c>
      <c r="P1462" t="s">
        <v>6698</v>
      </c>
    </row>
    <row r="1463" spans="1:16" x14ac:dyDescent="0.3">
      <c r="A1463" t="s">
        <v>6699</v>
      </c>
      <c r="B1463" t="s">
        <v>223</v>
      </c>
      <c r="C1463">
        <v>45</v>
      </c>
      <c r="D1463" t="s">
        <v>10</v>
      </c>
      <c r="E1463" t="s">
        <v>6643</v>
      </c>
      <c r="F1463" s="43">
        <v>44940.78125</v>
      </c>
      <c r="G1463" s="43">
        <v>44940.8125</v>
      </c>
      <c r="H1463">
        <v>18</v>
      </c>
      <c r="I1463">
        <v>45</v>
      </c>
      <c r="J1463">
        <v>19</v>
      </c>
      <c r="K1463">
        <v>30</v>
      </c>
      <c r="L1463">
        <v>2023</v>
      </c>
      <c r="N1463" t="s">
        <v>47</v>
      </c>
      <c r="O1463" t="s">
        <v>47</v>
      </c>
      <c r="P1463" t="s">
        <v>6700</v>
      </c>
    </row>
    <row r="1464" spans="1:16" x14ac:dyDescent="0.3">
      <c r="A1464" t="s">
        <v>6701</v>
      </c>
      <c r="B1464" t="s">
        <v>223</v>
      </c>
      <c r="C1464">
        <v>45</v>
      </c>
      <c r="D1464" t="s">
        <v>10</v>
      </c>
      <c r="E1464" t="s">
        <v>6643</v>
      </c>
      <c r="F1464" s="43">
        <v>44940.729166666664</v>
      </c>
      <c r="G1464" s="43">
        <v>44940.760416666664</v>
      </c>
      <c r="H1464">
        <v>17</v>
      </c>
      <c r="I1464">
        <v>30</v>
      </c>
      <c r="J1464">
        <v>18</v>
      </c>
      <c r="K1464">
        <v>15</v>
      </c>
      <c r="L1464">
        <v>2023</v>
      </c>
      <c r="N1464" t="s">
        <v>47</v>
      </c>
      <c r="O1464" t="s">
        <v>47</v>
      </c>
      <c r="P1464" t="s">
        <v>6702</v>
      </c>
    </row>
    <row r="1465" spans="1:16" x14ac:dyDescent="0.3">
      <c r="A1465" t="s">
        <v>6703</v>
      </c>
      <c r="B1465" t="s">
        <v>223</v>
      </c>
      <c r="C1465">
        <v>60</v>
      </c>
      <c r="D1465" t="s">
        <v>10</v>
      </c>
      <c r="E1465" t="s">
        <v>6643</v>
      </c>
      <c r="F1465" s="43">
        <v>44940.645833333336</v>
      </c>
      <c r="G1465" s="43">
        <v>44940.6875</v>
      </c>
      <c r="H1465">
        <v>15</v>
      </c>
      <c r="I1465">
        <v>30</v>
      </c>
      <c r="J1465">
        <v>16</v>
      </c>
      <c r="K1465">
        <v>30</v>
      </c>
      <c r="L1465">
        <v>2023</v>
      </c>
      <c r="N1465" t="s">
        <v>47</v>
      </c>
      <c r="O1465" t="s">
        <v>47</v>
      </c>
      <c r="P1465" t="s">
        <v>6704</v>
      </c>
    </row>
    <row r="1466" spans="1:16" x14ac:dyDescent="0.3">
      <c r="A1466" t="s">
        <v>6685</v>
      </c>
      <c r="B1466" t="s">
        <v>223</v>
      </c>
      <c r="C1466">
        <v>50</v>
      </c>
      <c r="D1466" t="s">
        <v>10</v>
      </c>
      <c r="E1466" t="s">
        <v>6643</v>
      </c>
      <c r="F1466" s="43">
        <v>44940.458333333336</v>
      </c>
      <c r="G1466" s="43">
        <v>44940.493055555555</v>
      </c>
      <c r="H1466">
        <v>11</v>
      </c>
      <c r="I1466">
        <v>0</v>
      </c>
      <c r="J1466">
        <v>11</v>
      </c>
      <c r="K1466">
        <v>50</v>
      </c>
      <c r="L1466">
        <v>2023</v>
      </c>
      <c r="N1466" t="s">
        <v>47</v>
      </c>
      <c r="O1466" t="s">
        <v>47</v>
      </c>
      <c r="P1466" t="s">
        <v>6686</v>
      </c>
    </row>
    <row r="1467" spans="1:16" x14ac:dyDescent="0.3">
      <c r="A1467" t="s">
        <v>6683</v>
      </c>
      <c r="B1467" t="s">
        <v>223</v>
      </c>
      <c r="C1467">
        <v>60</v>
      </c>
      <c r="D1467" t="s">
        <v>10</v>
      </c>
      <c r="E1467" t="s">
        <v>6643</v>
      </c>
      <c r="F1467" s="43">
        <v>44940.416666666664</v>
      </c>
      <c r="G1467" s="43">
        <v>44940.458333333336</v>
      </c>
      <c r="H1467">
        <v>10</v>
      </c>
      <c r="I1467">
        <v>0</v>
      </c>
      <c r="J1467">
        <v>11</v>
      </c>
      <c r="K1467">
        <v>0</v>
      </c>
      <c r="L1467">
        <v>2023</v>
      </c>
      <c r="N1467" t="s">
        <v>47</v>
      </c>
      <c r="O1467" t="s">
        <v>47</v>
      </c>
      <c r="P1467" t="s">
        <v>6684</v>
      </c>
    </row>
    <row r="1468" spans="1:16" x14ac:dyDescent="0.3">
      <c r="A1468" t="s">
        <v>6638</v>
      </c>
      <c r="C1468">
        <v>70</v>
      </c>
      <c r="D1468" t="s">
        <v>10</v>
      </c>
      <c r="F1468" s="43">
        <v>44939.645833333336</v>
      </c>
      <c r="G1468" s="43">
        <v>44939.694444444445</v>
      </c>
      <c r="H1468">
        <v>15</v>
      </c>
      <c r="I1468">
        <v>30</v>
      </c>
      <c r="J1468">
        <v>16</v>
      </c>
      <c r="K1468">
        <v>40</v>
      </c>
      <c r="L1468">
        <v>2023</v>
      </c>
      <c r="N1468" t="s">
        <v>47</v>
      </c>
      <c r="O1468" t="s">
        <v>47</v>
      </c>
      <c r="P1468" t="s">
        <v>6639</v>
      </c>
    </row>
    <row r="1469" spans="1:16" x14ac:dyDescent="0.3">
      <c r="A1469" t="s">
        <v>6640</v>
      </c>
      <c r="C1469">
        <v>60</v>
      </c>
      <c r="D1469" t="s">
        <v>10</v>
      </c>
      <c r="F1469" s="43">
        <v>44939.572916666664</v>
      </c>
      <c r="G1469" s="43">
        <v>44939.614583333336</v>
      </c>
      <c r="H1469">
        <v>13</v>
      </c>
      <c r="I1469">
        <v>45</v>
      </c>
      <c r="J1469">
        <v>14</v>
      </c>
      <c r="K1469">
        <v>45</v>
      </c>
      <c r="L1469">
        <v>2023</v>
      </c>
      <c r="N1469" t="s">
        <v>47</v>
      </c>
      <c r="O1469" t="s">
        <v>47</v>
      </c>
      <c r="P1469" t="s">
        <v>6641</v>
      </c>
    </row>
    <row r="1470" spans="1:16" x14ac:dyDescent="0.3">
      <c r="A1470" t="s">
        <v>6642</v>
      </c>
      <c r="B1470" t="s">
        <v>223</v>
      </c>
      <c r="C1470">
        <v>30</v>
      </c>
      <c r="D1470" t="s">
        <v>10</v>
      </c>
      <c r="E1470" t="s">
        <v>6643</v>
      </c>
      <c r="F1470" s="43">
        <v>44939.520833333336</v>
      </c>
      <c r="G1470" s="43">
        <v>44939.541666666664</v>
      </c>
      <c r="H1470">
        <v>12</v>
      </c>
      <c r="I1470">
        <v>30</v>
      </c>
      <c r="J1470">
        <v>13</v>
      </c>
      <c r="K1470">
        <v>0</v>
      </c>
      <c r="L1470">
        <v>2023</v>
      </c>
      <c r="N1470" t="s">
        <v>47</v>
      </c>
      <c r="O1470" t="s">
        <v>47</v>
      </c>
      <c r="P1470" t="s">
        <v>6644</v>
      </c>
    </row>
    <row r="1471" spans="1:16" x14ac:dyDescent="0.3">
      <c r="A1471" t="s">
        <v>6645</v>
      </c>
      <c r="C1471">
        <v>30</v>
      </c>
      <c r="D1471" t="s">
        <v>10</v>
      </c>
      <c r="F1471" s="43">
        <v>44939.5</v>
      </c>
      <c r="G1471" s="43">
        <v>44939.520833333336</v>
      </c>
      <c r="H1471">
        <v>12</v>
      </c>
      <c r="I1471">
        <v>0</v>
      </c>
      <c r="J1471">
        <v>12</v>
      </c>
      <c r="K1471">
        <v>30</v>
      </c>
      <c r="L1471">
        <v>2023</v>
      </c>
      <c r="N1471" t="s">
        <v>47</v>
      </c>
      <c r="O1471" t="s">
        <v>47</v>
      </c>
      <c r="P1471" t="s">
        <v>6646</v>
      </c>
    </row>
    <row r="1472" spans="1:16" x14ac:dyDescent="0.3">
      <c r="A1472" t="s">
        <v>17</v>
      </c>
      <c r="C1472">
        <v>40</v>
      </c>
      <c r="D1472" t="s">
        <v>10</v>
      </c>
      <c r="F1472" s="1">
        <v>44939.458333333336</v>
      </c>
      <c r="G1472" s="1">
        <v>44939.486111111109</v>
      </c>
      <c r="H1472">
        <v>11</v>
      </c>
      <c r="I1472">
        <v>0</v>
      </c>
      <c r="J1472">
        <v>11</v>
      </c>
      <c r="K1472">
        <v>40</v>
      </c>
      <c r="L1472">
        <v>2023</v>
      </c>
      <c r="N1472" t="s">
        <v>47</v>
      </c>
      <c r="O1472" t="s">
        <v>47</v>
      </c>
      <c r="P1472" t="s">
        <v>6647</v>
      </c>
    </row>
    <row r="1473" spans="1:16" x14ac:dyDescent="0.3">
      <c r="A1473" t="s">
        <v>4220</v>
      </c>
      <c r="C1473">
        <v>30</v>
      </c>
      <c r="D1473" t="s">
        <v>10</v>
      </c>
      <c r="F1473" s="43">
        <v>44939.416666666664</v>
      </c>
      <c r="G1473" s="43">
        <v>44939.4375</v>
      </c>
      <c r="H1473">
        <v>10</v>
      </c>
      <c r="I1473">
        <v>0</v>
      </c>
      <c r="J1473">
        <v>10</v>
      </c>
      <c r="K1473">
        <v>30</v>
      </c>
      <c r="L1473">
        <v>2023</v>
      </c>
      <c r="N1473" t="s">
        <v>47</v>
      </c>
      <c r="O1473" t="s">
        <v>47</v>
      </c>
      <c r="P1473" t="s">
        <v>6648</v>
      </c>
    </row>
    <row r="1474" spans="1:16" x14ac:dyDescent="0.3">
      <c r="A1474" t="s">
        <v>6650</v>
      </c>
      <c r="C1474">
        <v>30</v>
      </c>
      <c r="D1474" t="s">
        <v>10</v>
      </c>
      <c r="E1474" t="s">
        <v>5342</v>
      </c>
      <c r="F1474" s="43">
        <v>44939.395833333336</v>
      </c>
      <c r="G1474" s="43">
        <v>44939.416666666664</v>
      </c>
      <c r="H1474">
        <v>9</v>
      </c>
      <c r="I1474">
        <v>30</v>
      </c>
      <c r="J1474">
        <v>10</v>
      </c>
      <c r="K1474">
        <v>0</v>
      </c>
      <c r="L1474">
        <v>2023</v>
      </c>
      <c r="N1474" t="s">
        <v>1764</v>
      </c>
      <c r="O1474" t="s">
        <v>47</v>
      </c>
      <c r="P1474" t="s">
        <v>6651</v>
      </c>
    </row>
    <row r="1475" spans="1:16" x14ac:dyDescent="0.3">
      <c r="A1475" t="s">
        <v>4220</v>
      </c>
      <c r="C1475">
        <v>60</v>
      </c>
      <c r="D1475" t="s">
        <v>10</v>
      </c>
      <c r="F1475" s="43">
        <v>44939.354166666664</v>
      </c>
      <c r="G1475" s="43">
        <v>44939.395833333336</v>
      </c>
      <c r="H1475">
        <v>8</v>
      </c>
      <c r="I1475">
        <v>30</v>
      </c>
      <c r="J1475">
        <v>9</v>
      </c>
      <c r="K1475">
        <v>30</v>
      </c>
      <c r="L1475">
        <v>2023</v>
      </c>
      <c r="N1475" t="s">
        <v>47</v>
      </c>
      <c r="O1475" t="s">
        <v>47</v>
      </c>
      <c r="P1475" t="s">
        <v>6649</v>
      </c>
    </row>
    <row r="1476" spans="1:16" x14ac:dyDescent="0.3">
      <c r="A1476" t="s">
        <v>5196</v>
      </c>
      <c r="C1476">
        <v>30</v>
      </c>
      <c r="D1476" t="s">
        <v>10</v>
      </c>
      <c r="E1476" t="s">
        <v>5342</v>
      </c>
      <c r="F1476" s="43">
        <v>44939.333333333336</v>
      </c>
      <c r="G1476" s="43">
        <v>44939.354166666664</v>
      </c>
      <c r="H1476">
        <v>8</v>
      </c>
      <c r="I1476">
        <v>0</v>
      </c>
      <c r="J1476">
        <v>8</v>
      </c>
      <c r="K1476">
        <v>30</v>
      </c>
      <c r="L1476">
        <v>2023</v>
      </c>
      <c r="N1476" t="s">
        <v>5198</v>
      </c>
      <c r="O1476" t="s">
        <v>47</v>
      </c>
      <c r="P1476" t="s">
        <v>6660</v>
      </c>
    </row>
    <row r="1477" spans="1:16" x14ac:dyDescent="0.3">
      <c r="A1477" t="s">
        <v>3706</v>
      </c>
      <c r="C1477">
        <v>60</v>
      </c>
      <c r="D1477" t="s">
        <v>10</v>
      </c>
      <c r="E1477" t="s">
        <v>5342</v>
      </c>
      <c r="F1477" s="43">
        <v>44939.25</v>
      </c>
      <c r="G1477" s="43">
        <v>44939.291666666664</v>
      </c>
      <c r="H1477">
        <v>6</v>
      </c>
      <c r="I1477">
        <v>0</v>
      </c>
      <c r="J1477">
        <v>7</v>
      </c>
      <c r="K1477">
        <v>0</v>
      </c>
      <c r="L1477">
        <v>2023</v>
      </c>
      <c r="N1477" t="s">
        <v>629</v>
      </c>
      <c r="O1477" t="s">
        <v>47</v>
      </c>
      <c r="P1477" t="s">
        <v>6658</v>
      </c>
    </row>
    <row r="1478" spans="1:16" x14ac:dyDescent="0.3">
      <c r="A1478" t="s">
        <v>6652</v>
      </c>
      <c r="C1478">
        <v>60</v>
      </c>
      <c r="D1478" t="s">
        <v>10</v>
      </c>
      <c r="F1478" s="43">
        <v>44938.760416666664</v>
      </c>
      <c r="G1478" s="43">
        <v>44938.802083333336</v>
      </c>
      <c r="H1478">
        <v>18</v>
      </c>
      <c r="I1478">
        <v>15</v>
      </c>
      <c r="J1478">
        <v>19</v>
      </c>
      <c r="K1478">
        <v>15</v>
      </c>
      <c r="L1478">
        <v>2023</v>
      </c>
      <c r="N1478" t="s">
        <v>47</v>
      </c>
      <c r="O1478" t="s">
        <v>47</v>
      </c>
      <c r="P1478" t="s">
        <v>6653</v>
      </c>
    </row>
    <row r="1479" spans="1:16" x14ac:dyDescent="0.3">
      <c r="A1479" t="s">
        <v>6614</v>
      </c>
      <c r="C1479">
        <v>60</v>
      </c>
      <c r="D1479" t="s">
        <v>10</v>
      </c>
      <c r="E1479" t="s">
        <v>501</v>
      </c>
      <c r="F1479" s="43">
        <v>44938.6875</v>
      </c>
      <c r="G1479" s="43">
        <v>44938.729166666664</v>
      </c>
      <c r="H1479">
        <v>16</v>
      </c>
      <c r="I1479">
        <v>30</v>
      </c>
      <c r="J1479">
        <v>17</v>
      </c>
      <c r="K1479">
        <v>30</v>
      </c>
      <c r="L1479">
        <v>2023</v>
      </c>
      <c r="N1479" t="s">
        <v>6615</v>
      </c>
      <c r="O1479" t="s">
        <v>47</v>
      </c>
      <c r="P1479" t="s">
        <v>6616</v>
      </c>
    </row>
    <row r="1480" spans="1:16" x14ac:dyDescent="0.3">
      <c r="A1480" t="s">
        <v>6631</v>
      </c>
      <c r="C1480">
        <v>30</v>
      </c>
      <c r="D1480" t="s">
        <v>10</v>
      </c>
      <c r="E1480" t="s">
        <v>6632</v>
      </c>
      <c r="F1480" s="43">
        <v>44938.666666666664</v>
      </c>
      <c r="G1480" s="43">
        <v>44938.6875</v>
      </c>
      <c r="H1480">
        <v>16</v>
      </c>
      <c r="I1480">
        <v>0</v>
      </c>
      <c r="J1480">
        <v>16</v>
      </c>
      <c r="K1480">
        <v>30</v>
      </c>
      <c r="L1480">
        <v>2023</v>
      </c>
      <c r="N1480" t="s">
        <v>6633</v>
      </c>
      <c r="O1480" t="s">
        <v>6634</v>
      </c>
      <c r="P1480" t="s">
        <v>6635</v>
      </c>
    </row>
    <row r="1481" spans="1:16" x14ac:dyDescent="0.3">
      <c r="A1481" t="s">
        <v>9</v>
      </c>
      <c r="C1481">
        <v>30</v>
      </c>
      <c r="D1481" t="s">
        <v>10</v>
      </c>
      <c r="F1481" s="43">
        <v>44938.645833333336</v>
      </c>
      <c r="G1481" s="43">
        <v>44938.666666666664</v>
      </c>
      <c r="H1481">
        <v>15</v>
      </c>
      <c r="I1481">
        <v>30</v>
      </c>
      <c r="J1481">
        <v>16</v>
      </c>
      <c r="K1481">
        <v>0</v>
      </c>
      <c r="L1481">
        <v>2023</v>
      </c>
      <c r="N1481" t="s">
        <v>47</v>
      </c>
      <c r="O1481" t="s">
        <v>47</v>
      </c>
      <c r="P1481" t="s">
        <v>6654</v>
      </c>
    </row>
    <row r="1482" spans="1:16" x14ac:dyDescent="0.3">
      <c r="A1482" t="s">
        <v>8</v>
      </c>
      <c r="C1482">
        <v>15</v>
      </c>
      <c r="D1482" t="s">
        <v>10</v>
      </c>
      <c r="F1482" s="43">
        <v>44938.604166666664</v>
      </c>
      <c r="G1482" s="43">
        <v>44938.614583333336</v>
      </c>
      <c r="H1482">
        <v>14</v>
      </c>
      <c r="I1482">
        <v>30</v>
      </c>
      <c r="J1482">
        <v>14</v>
      </c>
      <c r="K1482">
        <v>45</v>
      </c>
      <c r="L1482">
        <v>2023</v>
      </c>
      <c r="N1482" t="s">
        <v>47</v>
      </c>
      <c r="O1482" t="s">
        <v>47</v>
      </c>
      <c r="P1482" t="s">
        <v>6655</v>
      </c>
    </row>
    <row r="1483" spans="1:16" x14ac:dyDescent="0.3">
      <c r="A1483" t="s">
        <v>24</v>
      </c>
      <c r="C1483">
        <v>30</v>
      </c>
      <c r="D1483" t="s">
        <v>10</v>
      </c>
      <c r="F1483" s="43">
        <v>44938.583333333336</v>
      </c>
      <c r="G1483" s="43">
        <v>44938.604166666664</v>
      </c>
      <c r="H1483">
        <v>14</v>
      </c>
      <c r="I1483">
        <v>0</v>
      </c>
      <c r="J1483">
        <v>14</v>
      </c>
      <c r="K1483">
        <v>30</v>
      </c>
      <c r="L1483">
        <v>2023</v>
      </c>
      <c r="N1483" t="s">
        <v>47</v>
      </c>
      <c r="O1483" t="s">
        <v>47</v>
      </c>
      <c r="P1483" t="s">
        <v>6238</v>
      </c>
    </row>
    <row r="1484" spans="1:16" x14ac:dyDescent="0.3">
      <c r="A1484" t="s">
        <v>6656</v>
      </c>
      <c r="C1484">
        <v>60</v>
      </c>
      <c r="D1484" t="s">
        <v>10</v>
      </c>
      <c r="F1484" s="43">
        <v>44938.527777777781</v>
      </c>
      <c r="G1484" s="43">
        <v>44938.569444444445</v>
      </c>
      <c r="H1484">
        <v>12</v>
      </c>
      <c r="I1484">
        <v>40</v>
      </c>
      <c r="J1484">
        <v>13</v>
      </c>
      <c r="K1484">
        <v>40</v>
      </c>
      <c r="L1484">
        <v>2023</v>
      </c>
      <c r="N1484" t="s">
        <v>47</v>
      </c>
      <c r="O1484" t="s">
        <v>47</v>
      </c>
      <c r="P1484" t="s">
        <v>6657</v>
      </c>
    </row>
    <row r="1485" spans="1:16" x14ac:dyDescent="0.3">
      <c r="A1485" t="s">
        <v>6530</v>
      </c>
      <c r="C1485">
        <v>60</v>
      </c>
      <c r="D1485" t="s">
        <v>10</v>
      </c>
      <c r="E1485" t="s">
        <v>501</v>
      </c>
      <c r="F1485" s="43">
        <v>44938.479166666664</v>
      </c>
      <c r="G1485" s="43">
        <v>44938.520833333336</v>
      </c>
      <c r="H1485">
        <v>11</v>
      </c>
      <c r="I1485">
        <v>30</v>
      </c>
      <c r="J1485">
        <v>12</v>
      </c>
      <c r="K1485">
        <v>30</v>
      </c>
      <c r="L1485">
        <v>2023</v>
      </c>
      <c r="N1485" t="s">
        <v>4380</v>
      </c>
      <c r="O1485" t="s">
        <v>47</v>
      </c>
      <c r="P1485" t="s">
        <v>6531</v>
      </c>
    </row>
    <row r="1486" spans="1:16" x14ac:dyDescent="0.3">
      <c r="A1486" t="s">
        <v>8</v>
      </c>
      <c r="C1486">
        <v>30</v>
      </c>
      <c r="D1486" t="s">
        <v>10</v>
      </c>
      <c r="F1486" s="43">
        <v>44938.458333333336</v>
      </c>
      <c r="G1486" s="43">
        <v>44938.479166666664</v>
      </c>
      <c r="H1486">
        <v>11</v>
      </c>
      <c r="I1486">
        <v>0</v>
      </c>
      <c r="J1486">
        <v>11</v>
      </c>
      <c r="K1486">
        <v>30</v>
      </c>
      <c r="L1486">
        <v>2023</v>
      </c>
      <c r="N1486" t="s">
        <v>47</v>
      </c>
      <c r="O1486" t="s">
        <v>47</v>
      </c>
      <c r="P1486" t="s">
        <v>6659</v>
      </c>
    </row>
    <row r="1487" spans="1:16" x14ac:dyDescent="0.3">
      <c r="A1487" t="s">
        <v>6666</v>
      </c>
      <c r="C1487">
        <v>45</v>
      </c>
      <c r="D1487" t="s">
        <v>10</v>
      </c>
      <c r="E1487" t="s">
        <v>501</v>
      </c>
      <c r="F1487" s="1">
        <v>44938.385416666664</v>
      </c>
      <c r="G1487" s="1">
        <v>44938.416666666664</v>
      </c>
      <c r="H1487">
        <v>9</v>
      </c>
      <c r="I1487">
        <v>15</v>
      </c>
      <c r="J1487">
        <v>10</v>
      </c>
      <c r="K1487">
        <v>0</v>
      </c>
      <c r="L1487">
        <v>2023</v>
      </c>
      <c r="N1487" t="s">
        <v>6667</v>
      </c>
      <c r="O1487" t="s">
        <v>47</v>
      </c>
      <c r="P1487" t="s">
        <v>6668</v>
      </c>
    </row>
    <row r="1488" spans="1:16" x14ac:dyDescent="0.3">
      <c r="A1488" t="s">
        <v>6663</v>
      </c>
      <c r="C1488">
        <v>15</v>
      </c>
      <c r="D1488" t="s">
        <v>10</v>
      </c>
      <c r="E1488" t="s">
        <v>501</v>
      </c>
      <c r="F1488" s="43">
        <v>44938.375</v>
      </c>
      <c r="G1488" s="43">
        <v>44938.385416666664</v>
      </c>
      <c r="H1488">
        <v>9</v>
      </c>
      <c r="I1488">
        <v>0</v>
      </c>
      <c r="J1488">
        <v>9</v>
      </c>
      <c r="K1488">
        <v>15</v>
      </c>
      <c r="L1488">
        <v>2023</v>
      </c>
      <c r="N1488" t="s">
        <v>6664</v>
      </c>
      <c r="O1488" t="s">
        <v>47</v>
      </c>
      <c r="P1488" t="s">
        <v>6665</v>
      </c>
    </row>
    <row r="1489" spans="1:16" x14ac:dyDescent="0.3">
      <c r="A1489" t="s">
        <v>6661</v>
      </c>
      <c r="C1489">
        <v>105</v>
      </c>
      <c r="D1489" t="s">
        <v>10</v>
      </c>
      <c r="F1489" s="43">
        <v>44938.229166666664</v>
      </c>
      <c r="G1489" s="43">
        <v>44938.302083333336</v>
      </c>
      <c r="H1489">
        <v>5</v>
      </c>
      <c r="I1489">
        <v>30</v>
      </c>
      <c r="J1489">
        <v>7</v>
      </c>
      <c r="K1489">
        <v>15</v>
      </c>
      <c r="L1489">
        <v>2023</v>
      </c>
      <c r="N1489" t="s">
        <v>47</v>
      </c>
      <c r="O1489" t="s">
        <v>47</v>
      </c>
      <c r="P1489" t="s">
        <v>6662</v>
      </c>
    </row>
    <row r="1490" spans="1:16" x14ac:dyDescent="0.3">
      <c r="A1490" t="s">
        <v>5332</v>
      </c>
      <c r="C1490">
        <v>45</v>
      </c>
      <c r="D1490" t="s">
        <v>10</v>
      </c>
      <c r="F1490" s="43">
        <v>44937.770833333336</v>
      </c>
      <c r="G1490" s="43">
        <v>44937.802083333336</v>
      </c>
      <c r="H1490">
        <v>18</v>
      </c>
      <c r="I1490">
        <v>30</v>
      </c>
      <c r="J1490">
        <v>19</v>
      </c>
      <c r="K1490">
        <v>15</v>
      </c>
      <c r="L1490">
        <v>2023</v>
      </c>
      <c r="N1490" t="s">
        <v>47</v>
      </c>
      <c r="O1490" t="s">
        <v>47</v>
      </c>
      <c r="P1490" t="s">
        <v>6669</v>
      </c>
    </row>
    <row r="1491" spans="1:16" x14ac:dyDescent="0.3">
      <c r="C1491">
        <v>20</v>
      </c>
      <c r="D1491" t="s">
        <v>10</v>
      </c>
      <c r="F1491" s="43">
        <v>44937.701388888891</v>
      </c>
      <c r="G1491" s="43">
        <v>44937.715277777781</v>
      </c>
      <c r="H1491">
        <v>16</v>
      </c>
      <c r="I1491">
        <v>50</v>
      </c>
      <c r="J1491">
        <v>17</v>
      </c>
      <c r="K1491">
        <v>10</v>
      </c>
      <c r="L1491">
        <v>2023</v>
      </c>
      <c r="N1491" t="s">
        <v>47</v>
      </c>
      <c r="O1491" t="s">
        <v>47</v>
      </c>
      <c r="P1491" t="s">
        <v>6670</v>
      </c>
    </row>
    <row r="1492" spans="1:16" x14ac:dyDescent="0.3">
      <c r="A1492" t="s">
        <v>6671</v>
      </c>
      <c r="C1492">
        <v>20</v>
      </c>
      <c r="D1492" t="s">
        <v>10</v>
      </c>
      <c r="F1492" s="43">
        <v>44937.6875</v>
      </c>
      <c r="G1492" s="43">
        <v>44937.701388888891</v>
      </c>
      <c r="H1492">
        <v>16</v>
      </c>
      <c r="I1492">
        <v>30</v>
      </c>
      <c r="J1492">
        <v>16</v>
      </c>
      <c r="K1492">
        <v>50</v>
      </c>
      <c r="L1492">
        <v>2023</v>
      </c>
      <c r="N1492" t="s">
        <v>47</v>
      </c>
      <c r="O1492" t="s">
        <v>47</v>
      </c>
      <c r="P1492" t="s">
        <v>6672</v>
      </c>
    </row>
    <row r="1493" spans="1:16" x14ac:dyDescent="0.3">
      <c r="A1493" t="s">
        <v>7</v>
      </c>
      <c r="C1493">
        <v>60</v>
      </c>
      <c r="D1493" t="s">
        <v>10</v>
      </c>
      <c r="F1493" s="43">
        <v>44937.645833333336</v>
      </c>
      <c r="G1493" s="43">
        <v>44937.6875</v>
      </c>
      <c r="H1493">
        <v>15</v>
      </c>
      <c r="I1493">
        <v>30</v>
      </c>
      <c r="J1493">
        <v>16</v>
      </c>
      <c r="K1493">
        <v>30</v>
      </c>
      <c r="L1493">
        <v>2023</v>
      </c>
      <c r="N1493" t="s">
        <v>47</v>
      </c>
      <c r="O1493" t="s">
        <v>47</v>
      </c>
      <c r="P1493" t="s">
        <v>6674</v>
      </c>
    </row>
    <row r="1494" spans="1:16" x14ac:dyDescent="0.3">
      <c r="A1494" t="s">
        <v>8</v>
      </c>
      <c r="C1494">
        <v>45</v>
      </c>
      <c r="D1494" t="s">
        <v>10</v>
      </c>
      <c r="F1494" s="43">
        <v>44937.614583333336</v>
      </c>
      <c r="G1494" s="43">
        <v>44937.645833333336</v>
      </c>
      <c r="H1494">
        <v>14</v>
      </c>
      <c r="I1494">
        <v>45</v>
      </c>
      <c r="J1494">
        <v>15</v>
      </c>
      <c r="K1494">
        <v>30</v>
      </c>
      <c r="L1494">
        <v>2023</v>
      </c>
      <c r="N1494" t="s">
        <v>47</v>
      </c>
      <c r="O1494" t="s">
        <v>47</v>
      </c>
      <c r="P1494" t="s">
        <v>6673</v>
      </c>
    </row>
    <row r="1495" spans="1:16" x14ac:dyDescent="0.3">
      <c r="A1495" t="s">
        <v>6485</v>
      </c>
      <c r="C1495">
        <v>30</v>
      </c>
      <c r="D1495" t="s">
        <v>10</v>
      </c>
      <c r="E1495" t="s">
        <v>6486</v>
      </c>
      <c r="F1495" s="43">
        <v>44937.583333333336</v>
      </c>
      <c r="G1495" s="43">
        <v>44937.604166666664</v>
      </c>
      <c r="H1495">
        <v>14</v>
      </c>
      <c r="I1495">
        <v>0</v>
      </c>
      <c r="J1495">
        <v>14</v>
      </c>
      <c r="K1495">
        <v>30</v>
      </c>
      <c r="L1495">
        <v>2023</v>
      </c>
      <c r="N1495" t="s">
        <v>47</v>
      </c>
      <c r="O1495" t="s">
        <v>47</v>
      </c>
      <c r="P1495" t="s">
        <v>6487</v>
      </c>
    </row>
    <row r="1496" spans="1:16" x14ac:dyDescent="0.3">
      <c r="A1496" t="s">
        <v>6675</v>
      </c>
      <c r="C1496">
        <v>20</v>
      </c>
      <c r="D1496" t="s">
        <v>10</v>
      </c>
      <c r="F1496" s="43">
        <v>44937.5</v>
      </c>
      <c r="G1496" s="43">
        <v>44937.513888888891</v>
      </c>
      <c r="H1496">
        <v>12</v>
      </c>
      <c r="I1496">
        <v>0</v>
      </c>
      <c r="J1496">
        <v>12</v>
      </c>
      <c r="K1496">
        <v>20</v>
      </c>
      <c r="L1496">
        <v>2023</v>
      </c>
      <c r="N1496" t="s">
        <v>47</v>
      </c>
      <c r="O1496" t="s">
        <v>47</v>
      </c>
      <c r="P1496" t="s">
        <v>6676</v>
      </c>
    </row>
    <row r="1497" spans="1:16" x14ac:dyDescent="0.3">
      <c r="A1497" t="s">
        <v>6679</v>
      </c>
      <c r="B1497" t="s">
        <v>20</v>
      </c>
      <c r="C1497">
        <v>60</v>
      </c>
      <c r="D1497" t="s">
        <v>10</v>
      </c>
      <c r="F1497" s="43">
        <v>44937.375</v>
      </c>
      <c r="G1497" s="43">
        <v>44937.416666666664</v>
      </c>
      <c r="H1497">
        <v>9</v>
      </c>
      <c r="I1497">
        <v>0</v>
      </c>
      <c r="J1497">
        <v>10</v>
      </c>
      <c r="K1497">
        <v>0</v>
      </c>
      <c r="L1497">
        <v>2023</v>
      </c>
      <c r="N1497" t="s">
        <v>6680</v>
      </c>
      <c r="O1497" t="s">
        <v>6681</v>
      </c>
      <c r="P1497" t="s">
        <v>6682</v>
      </c>
    </row>
    <row r="1498" spans="1:16" x14ac:dyDescent="0.3">
      <c r="A1498" t="s">
        <v>827</v>
      </c>
      <c r="C1498">
        <v>20</v>
      </c>
      <c r="D1498" t="s">
        <v>10</v>
      </c>
      <c r="F1498" s="43">
        <v>44937.305555555555</v>
      </c>
      <c r="G1498" s="43">
        <v>44937.319444444445</v>
      </c>
      <c r="H1498">
        <v>7</v>
      </c>
      <c r="I1498">
        <v>20</v>
      </c>
      <c r="J1498">
        <v>7</v>
      </c>
      <c r="K1498">
        <v>40</v>
      </c>
      <c r="L1498">
        <v>2023</v>
      </c>
      <c r="N1498" t="s">
        <v>47</v>
      </c>
      <c r="O1498" t="s">
        <v>47</v>
      </c>
      <c r="P1498" t="s">
        <v>6677</v>
      </c>
    </row>
    <row r="1499" spans="1:16" x14ac:dyDescent="0.3">
      <c r="A1499" t="s">
        <v>3706</v>
      </c>
      <c r="C1499">
        <v>30</v>
      </c>
      <c r="D1499" t="s">
        <v>10</v>
      </c>
      <c r="E1499" t="s">
        <v>6623</v>
      </c>
      <c r="F1499" s="43">
        <v>44937.25</v>
      </c>
      <c r="G1499" s="43">
        <v>44937.270833333336</v>
      </c>
      <c r="H1499">
        <v>6</v>
      </c>
      <c r="I1499">
        <v>0</v>
      </c>
      <c r="J1499">
        <v>6</v>
      </c>
      <c r="K1499">
        <v>30</v>
      </c>
      <c r="L1499">
        <v>2023</v>
      </c>
      <c r="N1499" t="s">
        <v>629</v>
      </c>
      <c r="O1499" t="s">
        <v>47</v>
      </c>
      <c r="P1499" t="s">
        <v>6624</v>
      </c>
    </row>
    <row r="1500" spans="1:16" x14ac:dyDescent="0.3">
      <c r="A1500" t="s">
        <v>166</v>
      </c>
      <c r="C1500">
        <v>30</v>
      </c>
      <c r="D1500" t="s">
        <v>10</v>
      </c>
      <c r="F1500" s="43">
        <v>44937.229166666664</v>
      </c>
      <c r="G1500" s="43">
        <v>44937.25</v>
      </c>
      <c r="H1500">
        <v>5</v>
      </c>
      <c r="I1500">
        <v>30</v>
      </c>
      <c r="J1500">
        <v>6</v>
      </c>
      <c r="K1500">
        <v>0</v>
      </c>
      <c r="L1500">
        <v>2023</v>
      </c>
      <c r="N1500" t="s">
        <v>47</v>
      </c>
      <c r="O1500" t="s">
        <v>47</v>
      </c>
      <c r="P1500" t="s">
        <v>6678</v>
      </c>
    </row>
    <row r="1501" spans="1:16" x14ac:dyDescent="0.3">
      <c r="A1501" t="s">
        <v>6545</v>
      </c>
      <c r="C1501">
        <v>60</v>
      </c>
      <c r="D1501" t="s">
        <v>256</v>
      </c>
      <c r="E1501" t="s">
        <v>21</v>
      </c>
      <c r="F1501" s="43">
        <v>44937</v>
      </c>
      <c r="G1501" s="43">
        <v>44958</v>
      </c>
      <c r="H1501">
        <v>10</v>
      </c>
      <c r="I1501">
        <v>0</v>
      </c>
      <c r="J1501">
        <v>11</v>
      </c>
      <c r="K1501">
        <v>0</v>
      </c>
      <c r="L1501">
        <v>2023</v>
      </c>
      <c r="N1501" t="s">
        <v>4493</v>
      </c>
      <c r="O1501" t="s">
        <v>50</v>
      </c>
      <c r="P1501" t="s">
        <v>6546</v>
      </c>
    </row>
    <row r="1502" spans="1:16" x14ac:dyDescent="0.3">
      <c r="A1502" t="s">
        <v>6612</v>
      </c>
      <c r="C1502">
        <v>80</v>
      </c>
      <c r="D1502" t="s">
        <v>10</v>
      </c>
      <c r="F1502" s="43">
        <v>44936.708333333336</v>
      </c>
      <c r="G1502" s="43">
        <v>44936.763888888891</v>
      </c>
      <c r="H1502">
        <v>17</v>
      </c>
      <c r="I1502">
        <v>0</v>
      </c>
      <c r="J1502">
        <v>18</v>
      </c>
      <c r="K1502">
        <v>20</v>
      </c>
      <c r="L1502">
        <v>2023</v>
      </c>
      <c r="N1502" t="s">
        <v>47</v>
      </c>
      <c r="O1502" t="s">
        <v>47</v>
      </c>
      <c r="P1502" t="s">
        <v>6613</v>
      </c>
    </row>
    <row r="1503" spans="1:16" x14ac:dyDescent="0.3">
      <c r="A1503" t="s">
        <v>119</v>
      </c>
      <c r="C1503">
        <v>50</v>
      </c>
      <c r="D1503" t="s">
        <v>10</v>
      </c>
      <c r="F1503" s="43">
        <v>44936.645833333336</v>
      </c>
      <c r="G1503" s="43">
        <v>44936.680555555555</v>
      </c>
      <c r="H1503">
        <v>15</v>
      </c>
      <c r="I1503">
        <v>30</v>
      </c>
      <c r="J1503">
        <v>16</v>
      </c>
      <c r="K1503">
        <v>20</v>
      </c>
      <c r="L1503">
        <v>2023</v>
      </c>
      <c r="N1503" t="s">
        <v>47</v>
      </c>
      <c r="O1503" t="s">
        <v>47</v>
      </c>
      <c r="P1503" t="s">
        <v>6617</v>
      </c>
    </row>
    <row r="1504" spans="1:16" x14ac:dyDescent="0.3">
      <c r="A1504" t="s">
        <v>6620</v>
      </c>
      <c r="C1504">
        <v>30</v>
      </c>
      <c r="D1504" t="s">
        <v>10</v>
      </c>
      <c r="F1504" s="43">
        <v>44936.583333333336</v>
      </c>
      <c r="G1504" s="43">
        <v>44936.604166666664</v>
      </c>
      <c r="H1504">
        <v>14</v>
      </c>
      <c r="I1504">
        <v>0</v>
      </c>
      <c r="J1504">
        <v>14</v>
      </c>
      <c r="K1504">
        <v>30</v>
      </c>
      <c r="L1504">
        <v>2023</v>
      </c>
      <c r="N1504" t="s">
        <v>47</v>
      </c>
      <c r="O1504" t="s">
        <v>47</v>
      </c>
      <c r="P1504" t="s">
        <v>6621</v>
      </c>
    </row>
    <row r="1505" spans="1:16" x14ac:dyDescent="0.3">
      <c r="A1505" t="s">
        <v>7</v>
      </c>
      <c r="C1505">
        <v>40</v>
      </c>
      <c r="D1505" t="s">
        <v>10</v>
      </c>
      <c r="F1505" s="43">
        <v>44936.5625</v>
      </c>
      <c r="G1505" s="43">
        <v>44936.590277777781</v>
      </c>
      <c r="H1505">
        <v>13</v>
      </c>
      <c r="I1505">
        <v>30</v>
      </c>
      <c r="J1505">
        <v>14</v>
      </c>
      <c r="K1505">
        <v>10</v>
      </c>
      <c r="L1505">
        <v>2023</v>
      </c>
      <c r="N1505" t="s">
        <v>47</v>
      </c>
      <c r="O1505" t="s">
        <v>47</v>
      </c>
      <c r="P1505" t="s">
        <v>6622</v>
      </c>
    </row>
    <row r="1506" spans="1:16" x14ac:dyDescent="0.3">
      <c r="A1506" t="s">
        <v>6555</v>
      </c>
      <c r="B1506" t="s">
        <v>20</v>
      </c>
      <c r="C1506">
        <v>30</v>
      </c>
      <c r="D1506" t="s">
        <v>10</v>
      </c>
      <c r="E1506" t="s">
        <v>5</v>
      </c>
      <c r="F1506" s="43">
        <v>44936.541666666664</v>
      </c>
      <c r="G1506" s="43">
        <v>44936.5625</v>
      </c>
      <c r="H1506">
        <v>13</v>
      </c>
      <c r="I1506">
        <v>0</v>
      </c>
      <c r="J1506">
        <v>13</v>
      </c>
      <c r="K1506">
        <v>30</v>
      </c>
      <c r="L1506">
        <v>2023</v>
      </c>
      <c r="N1506" t="s">
        <v>6556</v>
      </c>
      <c r="O1506" t="s">
        <v>6557</v>
      </c>
      <c r="P1506" t="s">
        <v>6558</v>
      </c>
    </row>
    <row r="1507" spans="1:16" x14ac:dyDescent="0.3">
      <c r="A1507" t="s">
        <v>8</v>
      </c>
      <c r="C1507">
        <v>15</v>
      </c>
      <c r="D1507" t="s">
        <v>10</v>
      </c>
      <c r="F1507" s="43">
        <v>44936.53125</v>
      </c>
      <c r="G1507" s="43">
        <v>44936.541666666664</v>
      </c>
      <c r="H1507">
        <v>12</v>
      </c>
      <c r="I1507">
        <v>45</v>
      </c>
      <c r="J1507">
        <v>13</v>
      </c>
      <c r="K1507">
        <v>0</v>
      </c>
      <c r="L1507">
        <v>2023</v>
      </c>
      <c r="N1507" t="s">
        <v>47</v>
      </c>
      <c r="O1507" t="s">
        <v>47</v>
      </c>
      <c r="P1507" t="s">
        <v>6625</v>
      </c>
    </row>
    <row r="1508" spans="1:16" x14ac:dyDescent="0.3">
      <c r="A1508" t="s">
        <v>1222</v>
      </c>
      <c r="C1508">
        <v>15</v>
      </c>
      <c r="D1508" t="s">
        <v>10</v>
      </c>
      <c r="F1508" s="43">
        <v>44936.5</v>
      </c>
      <c r="G1508" s="43">
        <v>44936.510416666664</v>
      </c>
      <c r="H1508">
        <v>12</v>
      </c>
      <c r="I1508">
        <v>0</v>
      </c>
      <c r="J1508">
        <v>12</v>
      </c>
      <c r="K1508">
        <v>15</v>
      </c>
      <c r="L1508">
        <v>2023</v>
      </c>
      <c r="N1508" t="s">
        <v>47</v>
      </c>
      <c r="O1508" t="s">
        <v>47</v>
      </c>
      <c r="P1508" t="s">
        <v>6626</v>
      </c>
    </row>
    <row r="1509" spans="1:16" x14ac:dyDescent="0.3">
      <c r="A1509" t="s">
        <v>6532</v>
      </c>
      <c r="B1509" t="s">
        <v>6</v>
      </c>
      <c r="C1509">
        <v>60</v>
      </c>
      <c r="D1509" t="s">
        <v>10</v>
      </c>
      <c r="E1509" t="s">
        <v>501</v>
      </c>
      <c r="F1509" s="43">
        <v>44936.458333333336</v>
      </c>
      <c r="G1509" s="43">
        <v>44936.5</v>
      </c>
      <c r="H1509">
        <v>11</v>
      </c>
      <c r="I1509">
        <v>0</v>
      </c>
      <c r="J1509">
        <v>12</v>
      </c>
      <c r="K1509">
        <v>0</v>
      </c>
      <c r="L1509">
        <v>2023</v>
      </c>
      <c r="N1509" t="s">
        <v>629</v>
      </c>
      <c r="O1509" t="s">
        <v>47</v>
      </c>
      <c r="P1509" t="s">
        <v>6533</v>
      </c>
    </row>
    <row r="1510" spans="1:16" x14ac:dyDescent="0.3">
      <c r="A1510" t="s">
        <v>6629</v>
      </c>
      <c r="C1510">
        <v>60</v>
      </c>
      <c r="D1510" t="s">
        <v>10</v>
      </c>
      <c r="F1510" s="43">
        <v>44936.395833333336</v>
      </c>
      <c r="G1510" s="43">
        <v>44936.4375</v>
      </c>
      <c r="H1510">
        <v>9</v>
      </c>
      <c r="I1510">
        <v>30</v>
      </c>
      <c r="J1510">
        <v>10</v>
      </c>
      <c r="K1510">
        <v>30</v>
      </c>
      <c r="L1510">
        <v>2023</v>
      </c>
      <c r="N1510" t="s">
        <v>47</v>
      </c>
      <c r="O1510" t="s">
        <v>47</v>
      </c>
      <c r="P1510" t="s">
        <v>6630</v>
      </c>
    </row>
    <row r="1511" spans="1:16" x14ac:dyDescent="0.3">
      <c r="A1511" t="s">
        <v>6636</v>
      </c>
      <c r="C1511">
        <v>75</v>
      </c>
      <c r="D1511" t="s">
        <v>10</v>
      </c>
      <c r="F1511" s="43">
        <v>44936.34375</v>
      </c>
      <c r="G1511" s="43">
        <v>44936.395833333336</v>
      </c>
      <c r="H1511">
        <v>8</v>
      </c>
      <c r="I1511">
        <v>15</v>
      </c>
      <c r="J1511">
        <v>9</v>
      </c>
      <c r="K1511">
        <v>30</v>
      </c>
      <c r="L1511">
        <v>2023</v>
      </c>
      <c r="N1511" t="s">
        <v>47</v>
      </c>
      <c r="O1511" t="s">
        <v>47</v>
      </c>
      <c r="P1511" t="s">
        <v>6637</v>
      </c>
    </row>
    <row r="1512" spans="1:16" x14ac:dyDescent="0.3">
      <c r="A1512" t="s">
        <v>6488</v>
      </c>
      <c r="B1512" t="s">
        <v>20</v>
      </c>
      <c r="C1512">
        <v>60</v>
      </c>
      <c r="D1512" t="s">
        <v>10</v>
      </c>
      <c r="E1512" t="s">
        <v>6489</v>
      </c>
      <c r="F1512" s="43">
        <v>44936.25</v>
      </c>
      <c r="G1512" s="43">
        <v>44936.291666666664</v>
      </c>
      <c r="H1512">
        <v>6</v>
      </c>
      <c r="I1512">
        <v>0</v>
      </c>
      <c r="J1512">
        <v>7</v>
      </c>
      <c r="K1512">
        <v>0</v>
      </c>
      <c r="L1512">
        <v>2023</v>
      </c>
      <c r="N1512" t="s">
        <v>6490</v>
      </c>
      <c r="O1512" t="s">
        <v>73</v>
      </c>
      <c r="P1512" t="s">
        <v>6491</v>
      </c>
    </row>
    <row r="1513" spans="1:16" x14ac:dyDescent="0.3">
      <c r="A1513" t="s">
        <v>6627</v>
      </c>
      <c r="C1513">
        <v>120</v>
      </c>
      <c r="D1513" t="s">
        <v>10</v>
      </c>
      <c r="F1513" s="43">
        <v>44936.166666666664</v>
      </c>
      <c r="G1513" s="43">
        <v>44936.25</v>
      </c>
      <c r="H1513">
        <v>4</v>
      </c>
      <c r="I1513">
        <v>0</v>
      </c>
      <c r="J1513">
        <v>6</v>
      </c>
      <c r="K1513">
        <v>0</v>
      </c>
      <c r="L1513">
        <v>2023</v>
      </c>
      <c r="N1513" t="s">
        <v>47</v>
      </c>
      <c r="O1513" t="s">
        <v>47</v>
      </c>
      <c r="P1513" t="s">
        <v>6628</v>
      </c>
    </row>
    <row r="1514" spans="1:16" x14ac:dyDescent="0.3">
      <c r="A1514" t="s">
        <v>6589</v>
      </c>
      <c r="C1514">
        <v>30</v>
      </c>
      <c r="D1514" t="s">
        <v>10</v>
      </c>
      <c r="F1514" s="43">
        <v>44935.8125</v>
      </c>
      <c r="G1514" s="43">
        <v>44935.833333333336</v>
      </c>
      <c r="H1514">
        <v>19</v>
      </c>
      <c r="I1514">
        <v>30</v>
      </c>
      <c r="J1514">
        <v>20</v>
      </c>
      <c r="K1514">
        <v>0</v>
      </c>
      <c r="L1514">
        <v>2023</v>
      </c>
      <c r="N1514" t="s">
        <v>47</v>
      </c>
      <c r="O1514" t="s">
        <v>47</v>
      </c>
      <c r="P1514" t="s">
        <v>6590</v>
      </c>
    </row>
    <row r="1515" spans="1:16" x14ac:dyDescent="0.3">
      <c r="A1515" t="s">
        <v>6589</v>
      </c>
      <c r="C1515">
        <v>60</v>
      </c>
      <c r="D1515" t="s">
        <v>10</v>
      </c>
      <c r="F1515" s="43">
        <v>44935.75</v>
      </c>
      <c r="G1515" s="43">
        <v>44935.791666666664</v>
      </c>
      <c r="H1515">
        <v>18</v>
      </c>
      <c r="I1515">
        <v>0</v>
      </c>
      <c r="J1515">
        <v>19</v>
      </c>
      <c r="K1515">
        <v>0</v>
      </c>
      <c r="L1515">
        <v>2023</v>
      </c>
      <c r="N1515" t="s">
        <v>47</v>
      </c>
      <c r="O1515" t="s">
        <v>47</v>
      </c>
      <c r="P1515" t="s">
        <v>6591</v>
      </c>
    </row>
    <row r="1516" spans="1:16" x14ac:dyDescent="0.3">
      <c r="A1516" t="s">
        <v>6589</v>
      </c>
      <c r="C1516">
        <v>23</v>
      </c>
      <c r="D1516" t="s">
        <v>10</v>
      </c>
      <c r="F1516" s="43">
        <v>44935.729166666664</v>
      </c>
      <c r="G1516" s="43">
        <v>44935.745138888888</v>
      </c>
      <c r="H1516">
        <v>17</v>
      </c>
      <c r="I1516">
        <v>30</v>
      </c>
      <c r="J1516">
        <v>17</v>
      </c>
      <c r="K1516">
        <v>53</v>
      </c>
      <c r="L1516">
        <v>2023</v>
      </c>
      <c r="N1516" t="s">
        <v>47</v>
      </c>
      <c r="O1516" t="s">
        <v>47</v>
      </c>
      <c r="P1516" t="s">
        <v>6592</v>
      </c>
    </row>
    <row r="1517" spans="1:16" x14ac:dyDescent="0.3">
      <c r="A1517" t="s">
        <v>3168</v>
      </c>
      <c r="C1517">
        <v>90</v>
      </c>
      <c r="D1517" t="s">
        <v>10</v>
      </c>
      <c r="F1517" s="43">
        <v>44935.645833333336</v>
      </c>
      <c r="G1517" s="43">
        <v>44935.708333333336</v>
      </c>
      <c r="H1517">
        <v>15</v>
      </c>
      <c r="I1517">
        <v>30</v>
      </c>
      <c r="J1517">
        <v>17</v>
      </c>
      <c r="K1517">
        <v>0</v>
      </c>
      <c r="L1517">
        <v>2023</v>
      </c>
      <c r="O1517" t="s">
        <v>47</v>
      </c>
      <c r="P1517" t="s">
        <v>6594</v>
      </c>
    </row>
    <row r="1518" spans="1:16" x14ac:dyDescent="0.3">
      <c r="A1518" t="s">
        <v>6598</v>
      </c>
      <c r="C1518">
        <v>30</v>
      </c>
      <c r="D1518" t="s">
        <v>10</v>
      </c>
      <c r="E1518" t="s">
        <v>501</v>
      </c>
      <c r="F1518" s="43">
        <v>44935.625</v>
      </c>
      <c r="G1518" s="43">
        <v>44935.645833333336</v>
      </c>
      <c r="H1518">
        <v>15</v>
      </c>
      <c r="I1518">
        <v>0</v>
      </c>
      <c r="J1518">
        <v>15</v>
      </c>
      <c r="K1518">
        <v>30</v>
      </c>
      <c r="L1518">
        <v>2023</v>
      </c>
      <c r="N1518" t="s">
        <v>6599</v>
      </c>
      <c r="O1518" t="s">
        <v>47</v>
      </c>
      <c r="P1518" t="s">
        <v>6600</v>
      </c>
    </row>
    <row r="1519" spans="1:16" x14ac:dyDescent="0.3">
      <c r="A1519" t="s">
        <v>6589</v>
      </c>
      <c r="C1519">
        <v>30</v>
      </c>
      <c r="D1519" t="s">
        <v>10</v>
      </c>
      <c r="F1519" s="43">
        <v>44935.604166666664</v>
      </c>
      <c r="G1519" s="43">
        <v>44935.625</v>
      </c>
      <c r="H1519">
        <v>14</v>
      </c>
      <c r="I1519">
        <v>30</v>
      </c>
      <c r="J1519">
        <v>15</v>
      </c>
      <c r="K1519">
        <v>0</v>
      </c>
      <c r="L1519">
        <v>2023</v>
      </c>
      <c r="N1519" t="s">
        <v>47</v>
      </c>
      <c r="O1519" t="s">
        <v>47</v>
      </c>
      <c r="P1519" t="s">
        <v>6593</v>
      </c>
    </row>
    <row r="1520" spans="1:16" x14ac:dyDescent="0.3">
      <c r="A1520" t="s">
        <v>6589</v>
      </c>
      <c r="C1520">
        <v>50</v>
      </c>
      <c r="D1520" t="s">
        <v>10</v>
      </c>
      <c r="F1520" s="43">
        <v>44935.541666666664</v>
      </c>
      <c r="G1520" s="43">
        <v>44935.576388888891</v>
      </c>
      <c r="H1520">
        <v>13</v>
      </c>
      <c r="I1520">
        <v>0</v>
      </c>
      <c r="J1520">
        <v>13</v>
      </c>
      <c r="K1520">
        <v>50</v>
      </c>
      <c r="L1520">
        <v>2023</v>
      </c>
      <c r="N1520" t="s">
        <v>47</v>
      </c>
      <c r="O1520" t="s">
        <v>47</v>
      </c>
      <c r="P1520" t="s">
        <v>6595</v>
      </c>
    </row>
    <row r="1521" spans="1:16" x14ac:dyDescent="0.3">
      <c r="A1521" t="s">
        <v>6596</v>
      </c>
      <c r="C1521">
        <v>15</v>
      </c>
      <c r="D1521" t="s">
        <v>10</v>
      </c>
      <c r="F1521" s="43">
        <v>44935.510416666664</v>
      </c>
      <c r="G1521" s="43">
        <v>44935.520833333336</v>
      </c>
      <c r="H1521">
        <v>12</v>
      </c>
      <c r="I1521">
        <v>15</v>
      </c>
      <c r="J1521">
        <v>12</v>
      </c>
      <c r="K1521">
        <v>30</v>
      </c>
      <c r="L1521">
        <v>2023</v>
      </c>
      <c r="N1521" t="s">
        <v>47</v>
      </c>
      <c r="O1521" t="s">
        <v>47</v>
      </c>
      <c r="P1521" t="s">
        <v>6597</v>
      </c>
    </row>
    <row r="1522" spans="1:16" x14ac:dyDescent="0.3">
      <c r="A1522" t="s">
        <v>6606</v>
      </c>
      <c r="B1522" t="s">
        <v>160</v>
      </c>
      <c r="C1522">
        <v>60</v>
      </c>
      <c r="D1522" t="s">
        <v>10</v>
      </c>
      <c r="E1522" t="s">
        <v>501</v>
      </c>
      <c r="F1522" s="43">
        <v>44935.46875</v>
      </c>
      <c r="G1522" s="43">
        <v>44935.510416666664</v>
      </c>
      <c r="H1522">
        <v>11</v>
      </c>
      <c r="I1522">
        <v>15</v>
      </c>
      <c r="J1522">
        <v>12</v>
      </c>
      <c r="K1522">
        <v>15</v>
      </c>
      <c r="L1522">
        <v>2023</v>
      </c>
      <c r="N1522" t="s">
        <v>4629</v>
      </c>
      <c r="O1522" t="s">
        <v>47</v>
      </c>
      <c r="P1522" t="s">
        <v>6607</v>
      </c>
    </row>
    <row r="1523" spans="1:16" x14ac:dyDescent="0.3">
      <c r="A1523" t="s">
        <v>6252</v>
      </c>
      <c r="B1523" t="s">
        <v>20</v>
      </c>
      <c r="C1523">
        <v>45</v>
      </c>
      <c r="D1523" t="s">
        <v>10</v>
      </c>
      <c r="E1523" t="s">
        <v>501</v>
      </c>
      <c r="F1523" s="43">
        <v>44935.416666666664</v>
      </c>
      <c r="G1523" s="43">
        <v>44935.447916666664</v>
      </c>
      <c r="H1523">
        <v>10</v>
      </c>
      <c r="I1523">
        <v>0</v>
      </c>
      <c r="J1523">
        <v>10</v>
      </c>
      <c r="K1523">
        <v>45</v>
      </c>
      <c r="L1523">
        <v>2023</v>
      </c>
      <c r="N1523" t="s">
        <v>6253</v>
      </c>
      <c r="O1523" t="s">
        <v>47</v>
      </c>
      <c r="P1523" t="s">
        <v>6254</v>
      </c>
    </row>
    <row r="1524" spans="1:16" x14ac:dyDescent="0.3">
      <c r="A1524" t="s">
        <v>6601</v>
      </c>
      <c r="C1524">
        <v>30</v>
      </c>
      <c r="D1524" t="s">
        <v>10</v>
      </c>
      <c r="F1524" s="43">
        <v>44935.395833333336</v>
      </c>
      <c r="G1524" s="43">
        <v>44935.416666666664</v>
      </c>
      <c r="H1524">
        <v>9</v>
      </c>
      <c r="I1524">
        <v>30</v>
      </c>
      <c r="J1524">
        <v>10</v>
      </c>
      <c r="K1524">
        <v>0</v>
      </c>
      <c r="L1524">
        <v>2023</v>
      </c>
      <c r="N1524" t="s">
        <v>47</v>
      </c>
      <c r="O1524" t="s">
        <v>47</v>
      </c>
      <c r="P1524" t="s">
        <v>6602</v>
      </c>
    </row>
    <row r="1525" spans="1:16" x14ac:dyDescent="0.3">
      <c r="A1525" t="s">
        <v>6609</v>
      </c>
      <c r="B1525" t="s">
        <v>4397</v>
      </c>
      <c r="C1525">
        <v>60</v>
      </c>
      <c r="D1525" t="s">
        <v>10</v>
      </c>
      <c r="E1525" t="s">
        <v>501</v>
      </c>
      <c r="F1525" s="43">
        <v>44935.333333333336</v>
      </c>
      <c r="G1525" s="43">
        <v>44935.375</v>
      </c>
      <c r="H1525">
        <v>8</v>
      </c>
      <c r="I1525">
        <v>0</v>
      </c>
      <c r="J1525">
        <v>9</v>
      </c>
      <c r="K1525">
        <v>0</v>
      </c>
      <c r="L1525">
        <v>2023</v>
      </c>
      <c r="N1525" t="s">
        <v>4629</v>
      </c>
      <c r="O1525" t="s">
        <v>47</v>
      </c>
      <c r="P1525" t="s">
        <v>6610</v>
      </c>
    </row>
    <row r="1526" spans="1:16" x14ac:dyDescent="0.3">
      <c r="A1526" t="s">
        <v>4265</v>
      </c>
      <c r="C1526">
        <v>60</v>
      </c>
      <c r="D1526" t="s">
        <v>10</v>
      </c>
      <c r="F1526" s="43">
        <v>44935.25</v>
      </c>
      <c r="G1526" s="43">
        <v>44935.291666666664</v>
      </c>
      <c r="H1526">
        <v>6</v>
      </c>
      <c r="I1526">
        <v>0</v>
      </c>
      <c r="J1526">
        <v>7</v>
      </c>
      <c r="K1526">
        <v>0</v>
      </c>
      <c r="L1526">
        <v>2023</v>
      </c>
      <c r="N1526" t="s">
        <v>47</v>
      </c>
      <c r="O1526" t="s">
        <v>47</v>
      </c>
      <c r="P1526" t="s">
        <v>6608</v>
      </c>
    </row>
    <row r="1527" spans="1:16" x14ac:dyDescent="0.3">
      <c r="A1527" t="s">
        <v>6547</v>
      </c>
      <c r="B1527" t="s">
        <v>109</v>
      </c>
      <c r="C1527">
        <v>60</v>
      </c>
      <c r="D1527" t="s">
        <v>256</v>
      </c>
      <c r="E1527" t="s">
        <v>6548</v>
      </c>
      <c r="F1527" s="43">
        <v>44935</v>
      </c>
      <c r="G1527" s="43">
        <v>44960</v>
      </c>
      <c r="H1527">
        <v>7</v>
      </c>
      <c r="I1527">
        <v>30</v>
      </c>
      <c r="J1527">
        <v>8</v>
      </c>
      <c r="K1527">
        <v>30</v>
      </c>
      <c r="L1527">
        <v>2023</v>
      </c>
      <c r="N1527" t="s">
        <v>4493</v>
      </c>
      <c r="O1527" t="s">
        <v>50</v>
      </c>
      <c r="P1527" t="s">
        <v>6549</v>
      </c>
    </row>
    <row r="1528" spans="1:16" x14ac:dyDescent="0.3">
      <c r="A1528" t="s">
        <v>731</v>
      </c>
      <c r="C1528">
        <v>60</v>
      </c>
      <c r="D1528" t="s">
        <v>10</v>
      </c>
      <c r="F1528" s="43">
        <v>44934.722222222219</v>
      </c>
      <c r="G1528" s="43">
        <v>44934.763888888891</v>
      </c>
      <c r="H1528">
        <v>17</v>
      </c>
      <c r="I1528">
        <v>20</v>
      </c>
      <c r="J1528">
        <v>18</v>
      </c>
      <c r="K1528">
        <v>20</v>
      </c>
      <c r="L1528">
        <v>2023</v>
      </c>
      <c r="N1528" t="s">
        <v>47</v>
      </c>
      <c r="O1528" t="s">
        <v>47</v>
      </c>
      <c r="P1528" t="s">
        <v>6611</v>
      </c>
    </row>
    <row r="1529" spans="1:16" x14ac:dyDescent="0.3">
      <c r="A1529" t="s">
        <v>731</v>
      </c>
      <c r="C1529">
        <v>45</v>
      </c>
      <c r="D1529" t="s">
        <v>10</v>
      </c>
      <c r="F1529" s="43">
        <v>44934.625</v>
      </c>
      <c r="G1529" s="43">
        <v>44934.65625</v>
      </c>
      <c r="H1529">
        <v>15</v>
      </c>
      <c r="I1529">
        <v>0</v>
      </c>
      <c r="J1529">
        <v>15</v>
      </c>
      <c r="K1529">
        <v>45</v>
      </c>
      <c r="L1529">
        <v>2023</v>
      </c>
      <c r="N1529" t="s">
        <v>47</v>
      </c>
      <c r="O1529" t="s">
        <v>47</v>
      </c>
      <c r="P1529" t="s">
        <v>6482</v>
      </c>
    </row>
    <row r="1530" spans="1:16" x14ac:dyDescent="0.3">
      <c r="A1530" t="s">
        <v>731</v>
      </c>
      <c r="C1530">
        <v>80</v>
      </c>
      <c r="D1530" t="s">
        <v>10</v>
      </c>
      <c r="F1530" s="43">
        <v>44934.513888888891</v>
      </c>
      <c r="G1530" s="43">
        <v>44934.569444444445</v>
      </c>
      <c r="H1530">
        <v>12</v>
      </c>
      <c r="I1530">
        <v>20</v>
      </c>
      <c r="J1530">
        <v>13</v>
      </c>
      <c r="K1530">
        <v>40</v>
      </c>
      <c r="L1530">
        <v>2023</v>
      </c>
      <c r="N1530" t="s">
        <v>47</v>
      </c>
      <c r="O1530" t="s">
        <v>47</v>
      </c>
      <c r="P1530" t="s">
        <v>6483</v>
      </c>
    </row>
    <row r="1531" spans="1:16" x14ac:dyDescent="0.3">
      <c r="A1531" t="s">
        <v>731</v>
      </c>
      <c r="C1531">
        <v>30</v>
      </c>
      <c r="D1531" t="s">
        <v>10</v>
      </c>
      <c r="F1531" s="43">
        <v>44934.416666666664</v>
      </c>
      <c r="G1531" s="43">
        <v>44934.4375</v>
      </c>
      <c r="H1531">
        <v>10</v>
      </c>
      <c r="I1531">
        <v>0</v>
      </c>
      <c r="J1531">
        <v>10</v>
      </c>
      <c r="K1531">
        <v>30</v>
      </c>
      <c r="L1531">
        <v>2023</v>
      </c>
      <c r="N1531" t="s">
        <v>47</v>
      </c>
      <c r="O1531" t="s">
        <v>47</v>
      </c>
      <c r="P1531" t="s">
        <v>6484</v>
      </c>
    </row>
    <row r="1532" spans="1:16" x14ac:dyDescent="0.3">
      <c r="A1532" t="s">
        <v>6492</v>
      </c>
      <c r="C1532">
        <v>60</v>
      </c>
      <c r="D1532" t="s">
        <v>10</v>
      </c>
      <c r="F1532" s="43">
        <v>44934.229166666664</v>
      </c>
      <c r="G1532" s="43">
        <v>44934.270833333336</v>
      </c>
      <c r="H1532">
        <v>5</v>
      </c>
      <c r="I1532">
        <v>30</v>
      </c>
      <c r="J1532">
        <v>6</v>
      </c>
      <c r="K1532">
        <v>30</v>
      </c>
      <c r="L1532">
        <v>2023</v>
      </c>
      <c r="N1532" t="s">
        <v>47</v>
      </c>
      <c r="O1532" t="s">
        <v>47</v>
      </c>
      <c r="P1532" t="s">
        <v>6493</v>
      </c>
    </row>
    <row r="1533" spans="1:16" x14ac:dyDescent="0.3">
      <c r="A1533" t="s">
        <v>35</v>
      </c>
      <c r="C1533">
        <v>45</v>
      </c>
      <c r="D1533" t="s">
        <v>10</v>
      </c>
      <c r="F1533" s="43">
        <v>44933.770833333336</v>
      </c>
      <c r="G1533" s="43">
        <v>44933.802083333336</v>
      </c>
      <c r="H1533">
        <v>18</v>
      </c>
      <c r="I1533">
        <v>30</v>
      </c>
      <c r="J1533">
        <v>19</v>
      </c>
      <c r="K1533">
        <v>15</v>
      </c>
      <c r="L1533">
        <v>2023</v>
      </c>
      <c r="N1533" t="s">
        <v>47</v>
      </c>
      <c r="O1533" t="s">
        <v>47</v>
      </c>
      <c r="P1533" t="s">
        <v>6494</v>
      </c>
    </row>
    <row r="1534" spans="1:16" x14ac:dyDescent="0.3">
      <c r="A1534" t="s">
        <v>4265</v>
      </c>
      <c r="C1534">
        <v>40</v>
      </c>
      <c r="D1534" t="s">
        <v>10</v>
      </c>
      <c r="F1534" s="43">
        <v>44933.708333333336</v>
      </c>
      <c r="G1534" s="43">
        <v>44933.736111111109</v>
      </c>
      <c r="H1534">
        <v>17</v>
      </c>
      <c r="I1534">
        <v>0</v>
      </c>
      <c r="J1534">
        <v>17</v>
      </c>
      <c r="K1534">
        <v>40</v>
      </c>
      <c r="L1534">
        <v>2023</v>
      </c>
      <c r="N1534" t="s">
        <v>47</v>
      </c>
      <c r="O1534" t="s">
        <v>47</v>
      </c>
      <c r="P1534" t="s">
        <v>6495</v>
      </c>
    </row>
    <row r="1535" spans="1:16" x14ac:dyDescent="0.3">
      <c r="A1535" t="s">
        <v>4265</v>
      </c>
      <c r="C1535">
        <v>60</v>
      </c>
      <c r="D1535" t="s">
        <v>10</v>
      </c>
      <c r="F1535" s="43">
        <v>44933.645833333336</v>
      </c>
      <c r="G1535" s="43">
        <v>44933.6875</v>
      </c>
      <c r="H1535">
        <v>15</v>
      </c>
      <c r="I1535">
        <v>30</v>
      </c>
      <c r="J1535">
        <v>16</v>
      </c>
      <c r="K1535">
        <v>30</v>
      </c>
      <c r="L1535">
        <v>2023</v>
      </c>
      <c r="N1535" t="s">
        <v>47</v>
      </c>
      <c r="O1535" t="s">
        <v>47</v>
      </c>
      <c r="P1535" t="s">
        <v>6496</v>
      </c>
    </row>
    <row r="1536" spans="1:16" x14ac:dyDescent="0.3">
      <c r="A1536" t="s">
        <v>4265</v>
      </c>
      <c r="C1536">
        <v>60</v>
      </c>
      <c r="D1536" t="s">
        <v>10</v>
      </c>
      <c r="F1536" s="43">
        <v>44933.5</v>
      </c>
      <c r="G1536" s="43">
        <v>44933.541666666664</v>
      </c>
      <c r="H1536">
        <v>12</v>
      </c>
      <c r="I1536">
        <v>0</v>
      </c>
      <c r="J1536">
        <v>13</v>
      </c>
      <c r="K1536">
        <v>0</v>
      </c>
      <c r="L1536">
        <v>2023</v>
      </c>
      <c r="N1536" t="s">
        <v>47</v>
      </c>
      <c r="O1536" t="s">
        <v>47</v>
      </c>
      <c r="P1536" t="s">
        <v>6497</v>
      </c>
    </row>
    <row r="1537" spans="1:16" x14ac:dyDescent="0.3">
      <c r="A1537" t="s">
        <v>4265</v>
      </c>
      <c r="C1537">
        <v>60</v>
      </c>
      <c r="D1537" t="s">
        <v>10</v>
      </c>
      <c r="F1537" s="43">
        <v>44933.375</v>
      </c>
      <c r="G1537" s="43">
        <v>44933.416666666664</v>
      </c>
      <c r="H1537">
        <v>9</v>
      </c>
      <c r="I1537">
        <v>0</v>
      </c>
      <c r="J1537">
        <v>10</v>
      </c>
      <c r="K1537">
        <v>0</v>
      </c>
      <c r="L1537">
        <v>2023</v>
      </c>
      <c r="N1537" t="s">
        <v>47</v>
      </c>
      <c r="O1537" t="s">
        <v>47</v>
      </c>
      <c r="P1537" t="s">
        <v>6498</v>
      </c>
    </row>
    <row r="1538" spans="1:16" x14ac:dyDescent="0.3">
      <c r="A1538" t="s">
        <v>6499</v>
      </c>
      <c r="C1538">
        <v>30</v>
      </c>
      <c r="D1538" t="s">
        <v>10</v>
      </c>
      <c r="F1538" s="43">
        <v>44932.75</v>
      </c>
      <c r="G1538" s="43">
        <v>44932.770833333336</v>
      </c>
      <c r="H1538">
        <v>18</v>
      </c>
      <c r="I1538">
        <v>0</v>
      </c>
      <c r="J1538">
        <v>18</v>
      </c>
      <c r="K1538">
        <v>30</v>
      </c>
      <c r="L1538">
        <v>2023</v>
      </c>
      <c r="N1538" t="s">
        <v>47</v>
      </c>
      <c r="O1538" t="s">
        <v>47</v>
      </c>
      <c r="P1538" t="s">
        <v>6500</v>
      </c>
    </row>
    <row r="1539" spans="1:16" x14ac:dyDescent="0.3">
      <c r="A1539" t="s">
        <v>7</v>
      </c>
      <c r="C1539">
        <v>30</v>
      </c>
      <c r="D1539" t="s">
        <v>10</v>
      </c>
      <c r="F1539" s="43">
        <v>44932.708333333336</v>
      </c>
      <c r="G1539" s="43">
        <v>44932.729166666664</v>
      </c>
      <c r="H1539">
        <v>17</v>
      </c>
      <c r="I1539">
        <v>0</v>
      </c>
      <c r="J1539">
        <v>17</v>
      </c>
      <c r="K1539">
        <v>30</v>
      </c>
      <c r="L1539">
        <v>2023</v>
      </c>
      <c r="N1539" t="s">
        <v>47</v>
      </c>
      <c r="O1539" t="s">
        <v>47</v>
      </c>
      <c r="P1539" t="s">
        <v>6501</v>
      </c>
    </row>
    <row r="1540" spans="1:16" x14ac:dyDescent="0.3">
      <c r="A1540" t="s">
        <v>23</v>
      </c>
      <c r="C1540">
        <v>30</v>
      </c>
      <c r="D1540" t="s">
        <v>10</v>
      </c>
      <c r="F1540" s="43">
        <v>44932.666666666664</v>
      </c>
      <c r="G1540" s="43">
        <v>44932.6875</v>
      </c>
      <c r="H1540">
        <v>16</v>
      </c>
      <c r="I1540">
        <v>0</v>
      </c>
      <c r="J1540">
        <v>16</v>
      </c>
      <c r="K1540">
        <v>30</v>
      </c>
      <c r="L1540">
        <v>2023</v>
      </c>
      <c r="N1540" t="s">
        <v>47</v>
      </c>
      <c r="O1540" t="s">
        <v>47</v>
      </c>
      <c r="P1540" t="s">
        <v>6502</v>
      </c>
    </row>
    <row r="1541" spans="1:16" x14ac:dyDescent="0.3">
      <c r="A1541" t="s">
        <v>6503</v>
      </c>
      <c r="C1541">
        <v>30</v>
      </c>
      <c r="D1541" t="s">
        <v>10</v>
      </c>
      <c r="F1541" s="43">
        <v>44932.645833333336</v>
      </c>
      <c r="G1541" s="43">
        <v>44932.666666666664</v>
      </c>
      <c r="H1541">
        <v>15</v>
      </c>
      <c r="I1541">
        <v>30</v>
      </c>
      <c r="J1541">
        <v>16</v>
      </c>
      <c r="K1541">
        <v>0</v>
      </c>
      <c r="L1541">
        <v>2023</v>
      </c>
      <c r="N1541" t="s">
        <v>47</v>
      </c>
      <c r="O1541" t="s">
        <v>47</v>
      </c>
      <c r="P1541" t="s">
        <v>6504</v>
      </c>
    </row>
    <row r="1542" spans="1:16" x14ac:dyDescent="0.3">
      <c r="A1542" t="s">
        <v>6505</v>
      </c>
      <c r="C1542">
        <v>20</v>
      </c>
      <c r="D1542" t="s">
        <v>10</v>
      </c>
      <c r="F1542" s="43">
        <v>44932.611111111109</v>
      </c>
      <c r="G1542" s="43">
        <v>44932.625</v>
      </c>
      <c r="H1542">
        <v>14</v>
      </c>
      <c r="I1542">
        <v>40</v>
      </c>
      <c r="J1542">
        <v>15</v>
      </c>
      <c r="K1542">
        <v>0</v>
      </c>
      <c r="L1542">
        <v>2023</v>
      </c>
      <c r="N1542" t="s">
        <v>47</v>
      </c>
      <c r="O1542" t="s">
        <v>47</v>
      </c>
      <c r="P1542" t="s">
        <v>6506</v>
      </c>
    </row>
    <row r="1543" spans="1:16" x14ac:dyDescent="0.3">
      <c r="A1543" t="s">
        <v>6507</v>
      </c>
      <c r="C1543">
        <v>40</v>
      </c>
      <c r="D1543" t="s">
        <v>10</v>
      </c>
      <c r="F1543" s="43">
        <v>44932.5625</v>
      </c>
      <c r="G1543" s="43">
        <v>44932.590277777781</v>
      </c>
      <c r="H1543">
        <v>13</v>
      </c>
      <c r="I1543">
        <v>30</v>
      </c>
      <c r="J1543">
        <v>14</v>
      </c>
      <c r="K1543">
        <v>10</v>
      </c>
      <c r="L1543">
        <v>2023</v>
      </c>
      <c r="N1543" t="s">
        <v>47</v>
      </c>
      <c r="O1543" t="s">
        <v>47</v>
      </c>
      <c r="P1543" t="s">
        <v>6508</v>
      </c>
    </row>
    <row r="1544" spans="1:16" x14ac:dyDescent="0.3">
      <c r="A1544" t="s">
        <v>6509</v>
      </c>
      <c r="C1544">
        <v>10</v>
      </c>
      <c r="D1544" t="s">
        <v>10</v>
      </c>
      <c r="F1544" s="43">
        <v>44932.527777777781</v>
      </c>
      <c r="G1544" s="43">
        <v>44932.534722222219</v>
      </c>
      <c r="H1544">
        <v>12</v>
      </c>
      <c r="I1544">
        <v>40</v>
      </c>
      <c r="J1544">
        <v>12</v>
      </c>
      <c r="K1544">
        <v>50</v>
      </c>
      <c r="L1544">
        <v>2023</v>
      </c>
      <c r="N1544" t="s">
        <v>47</v>
      </c>
      <c r="O1544" t="s">
        <v>47</v>
      </c>
      <c r="P1544" t="s">
        <v>6510</v>
      </c>
    </row>
    <row r="1545" spans="1:16" x14ac:dyDescent="0.3">
      <c r="A1545" t="s">
        <v>6511</v>
      </c>
      <c r="C1545">
        <v>40</v>
      </c>
      <c r="D1545" t="s">
        <v>10</v>
      </c>
      <c r="F1545" s="43">
        <v>44932.5</v>
      </c>
      <c r="G1545" s="43">
        <v>44932.527777777781</v>
      </c>
      <c r="H1545">
        <v>12</v>
      </c>
      <c r="I1545">
        <v>0</v>
      </c>
      <c r="J1545">
        <v>12</v>
      </c>
      <c r="K1545">
        <v>40</v>
      </c>
      <c r="L1545">
        <v>2023</v>
      </c>
      <c r="N1545" t="s">
        <v>47</v>
      </c>
      <c r="O1545" t="s">
        <v>47</v>
      </c>
      <c r="P1545" t="s">
        <v>6512</v>
      </c>
    </row>
    <row r="1546" spans="1:16" x14ac:dyDescent="0.3">
      <c r="A1546" t="s">
        <v>6513</v>
      </c>
      <c r="C1546">
        <v>30</v>
      </c>
      <c r="D1546" t="s">
        <v>10</v>
      </c>
      <c r="F1546" s="43">
        <v>44932.430555555555</v>
      </c>
      <c r="G1546" s="43">
        <v>44932.451388888891</v>
      </c>
      <c r="H1546">
        <v>10</v>
      </c>
      <c r="I1546">
        <v>20</v>
      </c>
      <c r="J1546">
        <v>10</v>
      </c>
      <c r="K1546">
        <v>50</v>
      </c>
      <c r="L1546">
        <v>2023</v>
      </c>
      <c r="N1546" t="s">
        <v>47</v>
      </c>
      <c r="O1546" t="s">
        <v>47</v>
      </c>
      <c r="P1546" t="s">
        <v>6514</v>
      </c>
    </row>
    <row r="1547" spans="1:16" x14ac:dyDescent="0.3">
      <c r="A1547" t="s">
        <v>6515</v>
      </c>
      <c r="C1547">
        <v>20</v>
      </c>
      <c r="D1547" t="s">
        <v>10</v>
      </c>
      <c r="F1547" s="43">
        <v>44932.416666666664</v>
      </c>
      <c r="G1547" s="43">
        <v>44932.430555555555</v>
      </c>
      <c r="H1547">
        <v>10</v>
      </c>
      <c r="I1547">
        <v>0</v>
      </c>
      <c r="J1547">
        <v>10</v>
      </c>
      <c r="K1547">
        <v>20</v>
      </c>
      <c r="L1547">
        <v>2023</v>
      </c>
      <c r="N1547" t="s">
        <v>47</v>
      </c>
      <c r="O1547" t="s">
        <v>47</v>
      </c>
      <c r="P1547" t="s">
        <v>6516</v>
      </c>
    </row>
    <row r="1548" spans="1:16" x14ac:dyDescent="0.3">
      <c r="A1548" t="s">
        <v>6517</v>
      </c>
      <c r="C1548">
        <v>30</v>
      </c>
      <c r="D1548" t="s">
        <v>10</v>
      </c>
      <c r="F1548" s="43">
        <v>44932.395833333336</v>
      </c>
      <c r="G1548" s="43">
        <v>44932.416666666664</v>
      </c>
      <c r="H1548">
        <v>9</v>
      </c>
      <c r="I1548">
        <v>30</v>
      </c>
      <c r="J1548">
        <v>10</v>
      </c>
      <c r="K1548">
        <v>0</v>
      </c>
      <c r="L1548">
        <v>2023</v>
      </c>
      <c r="N1548" t="s">
        <v>47</v>
      </c>
      <c r="O1548" t="s">
        <v>47</v>
      </c>
      <c r="P1548" t="s">
        <v>6518</v>
      </c>
    </row>
    <row r="1549" spans="1:16" x14ac:dyDescent="0.3">
      <c r="A1549" t="s">
        <v>8</v>
      </c>
      <c r="C1549">
        <v>30</v>
      </c>
      <c r="D1549" t="s">
        <v>10</v>
      </c>
      <c r="F1549" s="43">
        <v>44932.375</v>
      </c>
      <c r="G1549" s="43">
        <v>44932.395833333336</v>
      </c>
      <c r="H1549">
        <v>9</v>
      </c>
      <c r="I1549">
        <v>0</v>
      </c>
      <c r="J1549">
        <v>9</v>
      </c>
      <c r="K1549">
        <v>30</v>
      </c>
      <c r="L1549">
        <v>2023</v>
      </c>
      <c r="N1549" t="s">
        <v>47</v>
      </c>
      <c r="O1549" t="s">
        <v>47</v>
      </c>
      <c r="P1549" t="s">
        <v>6519</v>
      </c>
    </row>
    <row r="1550" spans="1:16" x14ac:dyDescent="0.3">
      <c r="A1550" t="s">
        <v>6520</v>
      </c>
      <c r="C1550">
        <v>30</v>
      </c>
      <c r="D1550" t="s">
        <v>10</v>
      </c>
      <c r="F1550" s="43">
        <v>44932.333333333336</v>
      </c>
      <c r="G1550" s="43">
        <v>44932.354166666664</v>
      </c>
      <c r="H1550">
        <v>8</v>
      </c>
      <c r="I1550">
        <v>0</v>
      </c>
      <c r="J1550">
        <v>8</v>
      </c>
      <c r="K1550">
        <v>30</v>
      </c>
      <c r="L1550">
        <v>2023</v>
      </c>
      <c r="N1550" t="s">
        <v>47</v>
      </c>
      <c r="O1550" t="s">
        <v>47</v>
      </c>
      <c r="P1550" t="s">
        <v>6521</v>
      </c>
    </row>
    <row r="1551" spans="1:16" x14ac:dyDescent="0.3">
      <c r="A1551" t="s">
        <v>17</v>
      </c>
      <c r="C1551">
        <v>30</v>
      </c>
      <c r="D1551" t="s">
        <v>10</v>
      </c>
      <c r="F1551" s="43">
        <v>44932.277777777781</v>
      </c>
      <c r="G1551" s="43">
        <v>44932.298611111109</v>
      </c>
      <c r="H1551">
        <v>6</v>
      </c>
      <c r="I1551">
        <v>40</v>
      </c>
      <c r="J1551">
        <v>7</v>
      </c>
      <c r="K1551">
        <v>10</v>
      </c>
      <c r="L1551">
        <v>2023</v>
      </c>
      <c r="N1551" t="s">
        <v>47</v>
      </c>
      <c r="O1551" t="s">
        <v>47</v>
      </c>
      <c r="P1551" t="s">
        <v>6522</v>
      </c>
    </row>
    <row r="1552" spans="1:16" x14ac:dyDescent="0.3">
      <c r="A1552" t="s">
        <v>4438</v>
      </c>
      <c r="C1552">
        <v>40</v>
      </c>
      <c r="D1552" t="s">
        <v>10</v>
      </c>
      <c r="F1552" s="43">
        <v>44932.25</v>
      </c>
      <c r="G1552" s="43">
        <v>44932.277777777781</v>
      </c>
      <c r="H1552">
        <v>6</v>
      </c>
      <c r="I1552">
        <v>0</v>
      </c>
      <c r="J1552">
        <v>6</v>
      </c>
      <c r="K1552">
        <v>40</v>
      </c>
      <c r="L1552">
        <v>2023</v>
      </c>
      <c r="N1552" t="s">
        <v>47</v>
      </c>
      <c r="O1552" t="s">
        <v>47</v>
      </c>
      <c r="P1552" t="s">
        <v>6523</v>
      </c>
    </row>
    <row r="1553" spans="1:16" x14ac:dyDescent="0.3">
      <c r="A1553" t="s">
        <v>6524</v>
      </c>
      <c r="C1553">
        <v>30</v>
      </c>
      <c r="D1553" t="s">
        <v>10</v>
      </c>
      <c r="F1553" s="43">
        <v>44932.229166666664</v>
      </c>
      <c r="G1553" s="43">
        <v>44932.25</v>
      </c>
      <c r="H1553">
        <v>5</v>
      </c>
      <c r="I1553">
        <v>30</v>
      </c>
      <c r="J1553">
        <v>6</v>
      </c>
      <c r="K1553">
        <v>0</v>
      </c>
      <c r="L1553">
        <v>2023</v>
      </c>
      <c r="N1553" t="s">
        <v>47</v>
      </c>
      <c r="O1553" t="s">
        <v>47</v>
      </c>
      <c r="P1553" t="s">
        <v>6525</v>
      </c>
    </row>
    <row r="1554" spans="1:16" x14ac:dyDescent="0.3">
      <c r="A1554" t="s">
        <v>6505</v>
      </c>
      <c r="C1554">
        <v>45</v>
      </c>
      <c r="D1554" t="s">
        <v>10</v>
      </c>
      <c r="F1554" s="43">
        <v>44931.78125</v>
      </c>
      <c r="G1554" s="43">
        <v>44931.8125</v>
      </c>
      <c r="H1554">
        <v>18</v>
      </c>
      <c r="I1554">
        <v>45</v>
      </c>
      <c r="J1554">
        <v>19</v>
      </c>
      <c r="K1554">
        <v>30</v>
      </c>
      <c r="L1554">
        <v>2023</v>
      </c>
      <c r="N1554" t="s">
        <v>47</v>
      </c>
      <c r="O1554" t="s">
        <v>47</v>
      </c>
      <c r="P1554" t="s">
        <v>6526</v>
      </c>
    </row>
    <row r="1555" spans="1:16" x14ac:dyDescent="0.3">
      <c r="A1555" t="s">
        <v>8</v>
      </c>
      <c r="C1555">
        <v>15</v>
      </c>
      <c r="D1555" t="s">
        <v>10</v>
      </c>
      <c r="F1555" s="43">
        <v>44931.729166666664</v>
      </c>
      <c r="G1555" s="43">
        <v>44931.739583333336</v>
      </c>
      <c r="H1555">
        <v>17</v>
      </c>
      <c r="I1555">
        <v>30</v>
      </c>
      <c r="J1555">
        <v>17</v>
      </c>
      <c r="K1555">
        <v>45</v>
      </c>
      <c r="L1555">
        <v>2023</v>
      </c>
      <c r="N1555" t="s">
        <v>47</v>
      </c>
      <c r="O1555" t="s">
        <v>47</v>
      </c>
      <c r="P1555" t="s">
        <v>6527</v>
      </c>
    </row>
    <row r="1556" spans="1:16" x14ac:dyDescent="0.3">
      <c r="A1556" t="s">
        <v>7</v>
      </c>
      <c r="C1556">
        <v>30</v>
      </c>
      <c r="D1556" t="s">
        <v>10</v>
      </c>
      <c r="F1556" s="43">
        <v>44931.708333333336</v>
      </c>
      <c r="G1556" s="43">
        <v>44931.729166666664</v>
      </c>
      <c r="H1556">
        <v>17</v>
      </c>
      <c r="I1556">
        <v>0</v>
      </c>
      <c r="J1556">
        <v>17</v>
      </c>
      <c r="K1556">
        <v>30</v>
      </c>
      <c r="L1556">
        <v>2023</v>
      </c>
      <c r="N1556" t="s">
        <v>47</v>
      </c>
      <c r="O1556" t="s">
        <v>47</v>
      </c>
      <c r="P1556" t="s">
        <v>6528</v>
      </c>
    </row>
    <row r="1557" spans="1:16" x14ac:dyDescent="0.3">
      <c r="A1557" t="s">
        <v>6575</v>
      </c>
      <c r="C1557">
        <v>30</v>
      </c>
      <c r="D1557" t="s">
        <v>10</v>
      </c>
      <c r="F1557" s="43">
        <v>44931.6875</v>
      </c>
      <c r="G1557" s="43">
        <v>44931.708333333336</v>
      </c>
      <c r="H1557">
        <v>16</v>
      </c>
      <c r="I1557">
        <v>30</v>
      </c>
      <c r="J1557">
        <v>17</v>
      </c>
      <c r="K1557">
        <v>0</v>
      </c>
      <c r="L1557">
        <v>2023</v>
      </c>
      <c r="N1557" t="s">
        <v>4365</v>
      </c>
      <c r="O1557" t="s">
        <v>783</v>
      </c>
      <c r="P1557" t="s">
        <v>6576</v>
      </c>
    </row>
    <row r="1558" spans="1:16" x14ac:dyDescent="0.3">
      <c r="A1558" t="s">
        <v>6569</v>
      </c>
      <c r="C1558">
        <v>30</v>
      </c>
      <c r="D1558" t="s">
        <v>10</v>
      </c>
      <c r="E1558" t="s">
        <v>6570</v>
      </c>
      <c r="F1558" s="43">
        <v>44931.666666666664</v>
      </c>
      <c r="G1558" s="43">
        <v>44931.6875</v>
      </c>
      <c r="H1558">
        <v>16</v>
      </c>
      <c r="I1558">
        <v>0</v>
      </c>
      <c r="J1558">
        <v>16</v>
      </c>
      <c r="K1558">
        <v>30</v>
      </c>
      <c r="L1558">
        <v>2023</v>
      </c>
      <c r="N1558" t="s">
        <v>6571</v>
      </c>
      <c r="O1558" t="s">
        <v>6572</v>
      </c>
      <c r="P1558" t="s">
        <v>6573</v>
      </c>
    </row>
    <row r="1559" spans="1:16" x14ac:dyDescent="0.3">
      <c r="A1559" t="s">
        <v>4265</v>
      </c>
      <c r="C1559">
        <v>20</v>
      </c>
      <c r="D1559" t="s">
        <v>10</v>
      </c>
      <c r="F1559" s="43">
        <v>44931.604166666664</v>
      </c>
      <c r="G1559" s="43">
        <v>44931.618055555555</v>
      </c>
      <c r="H1559">
        <v>14</v>
      </c>
      <c r="I1559">
        <v>30</v>
      </c>
      <c r="J1559">
        <v>14</v>
      </c>
      <c r="K1559">
        <v>50</v>
      </c>
      <c r="L1559">
        <v>2023</v>
      </c>
      <c r="N1559" t="s">
        <v>47</v>
      </c>
      <c r="O1559" t="s">
        <v>47</v>
      </c>
      <c r="P1559" t="s">
        <v>6529</v>
      </c>
    </row>
    <row r="1560" spans="1:16" x14ac:dyDescent="0.3">
      <c r="A1560" t="s">
        <v>119</v>
      </c>
      <c r="C1560">
        <v>30</v>
      </c>
      <c r="D1560" t="s">
        <v>10</v>
      </c>
      <c r="F1560" s="43">
        <v>44931.583333333336</v>
      </c>
      <c r="G1560" s="43">
        <v>44931.604166666664</v>
      </c>
      <c r="H1560">
        <v>14</v>
      </c>
      <c r="I1560">
        <v>0</v>
      </c>
      <c r="J1560">
        <v>14</v>
      </c>
      <c r="K1560">
        <v>30</v>
      </c>
      <c r="L1560">
        <v>2023</v>
      </c>
      <c r="N1560" t="s">
        <v>47</v>
      </c>
      <c r="O1560" t="s">
        <v>47</v>
      </c>
      <c r="P1560" t="s">
        <v>6534</v>
      </c>
    </row>
    <row r="1561" spans="1:16" x14ac:dyDescent="0.3">
      <c r="A1561" t="s">
        <v>4265</v>
      </c>
      <c r="C1561">
        <v>45</v>
      </c>
      <c r="D1561" t="s">
        <v>10</v>
      </c>
      <c r="F1561" s="43">
        <v>44931.552083333336</v>
      </c>
      <c r="G1561" s="43">
        <v>44931.583333333336</v>
      </c>
      <c r="H1561">
        <v>13</v>
      </c>
      <c r="I1561">
        <v>15</v>
      </c>
      <c r="J1561">
        <v>14</v>
      </c>
      <c r="K1561">
        <v>0</v>
      </c>
      <c r="L1561">
        <v>2023</v>
      </c>
      <c r="N1561" t="s">
        <v>47</v>
      </c>
      <c r="O1561" t="s">
        <v>47</v>
      </c>
      <c r="P1561" t="s">
        <v>6535</v>
      </c>
    </row>
    <row r="1562" spans="1:16" x14ac:dyDescent="0.3">
      <c r="A1562" t="s">
        <v>1222</v>
      </c>
      <c r="C1562">
        <v>30</v>
      </c>
      <c r="D1562" t="s">
        <v>10</v>
      </c>
      <c r="F1562" s="43">
        <v>44931.5</v>
      </c>
      <c r="G1562" s="43">
        <v>44931.520833333336</v>
      </c>
      <c r="H1562">
        <v>12</v>
      </c>
      <c r="I1562">
        <v>0</v>
      </c>
      <c r="J1562">
        <v>12</v>
      </c>
      <c r="K1562">
        <v>30</v>
      </c>
      <c r="L1562">
        <v>2023</v>
      </c>
      <c r="N1562" t="s">
        <v>47</v>
      </c>
      <c r="O1562" t="s">
        <v>47</v>
      </c>
      <c r="P1562" t="s">
        <v>6536</v>
      </c>
    </row>
    <row r="1563" spans="1:16" x14ac:dyDescent="0.3">
      <c r="A1563" t="s">
        <v>992</v>
      </c>
      <c r="C1563">
        <v>30</v>
      </c>
      <c r="D1563" t="s">
        <v>10</v>
      </c>
      <c r="F1563" s="43">
        <v>44931.479166666664</v>
      </c>
      <c r="G1563" s="43">
        <v>44931.5</v>
      </c>
      <c r="H1563">
        <v>11</v>
      </c>
      <c r="I1563">
        <v>30</v>
      </c>
      <c r="J1563">
        <v>12</v>
      </c>
      <c r="K1563">
        <v>0</v>
      </c>
      <c r="L1563">
        <v>2023</v>
      </c>
      <c r="N1563" t="s">
        <v>47</v>
      </c>
      <c r="O1563" t="s">
        <v>47</v>
      </c>
      <c r="P1563" t="s">
        <v>6537</v>
      </c>
    </row>
    <row r="1564" spans="1:16" x14ac:dyDescent="0.3">
      <c r="A1564" t="s">
        <v>6550</v>
      </c>
      <c r="C1564">
        <v>30</v>
      </c>
      <c r="D1564" t="s">
        <v>10</v>
      </c>
      <c r="E1564" s="47" t="s">
        <v>501</v>
      </c>
      <c r="F1564" s="43">
        <v>44931.4375</v>
      </c>
      <c r="G1564" s="43">
        <v>44931.458333333336</v>
      </c>
      <c r="H1564">
        <v>10</v>
      </c>
      <c r="I1564">
        <v>30</v>
      </c>
      <c r="J1564">
        <v>11</v>
      </c>
      <c r="K1564">
        <v>0</v>
      </c>
      <c r="L1564">
        <v>2023</v>
      </c>
      <c r="N1564" t="s">
        <v>4629</v>
      </c>
      <c r="O1564" t="s">
        <v>47</v>
      </c>
      <c r="P1564" t="s">
        <v>6551</v>
      </c>
    </row>
    <row r="1565" spans="1:16" x14ac:dyDescent="0.3">
      <c r="A1565" t="s">
        <v>6369</v>
      </c>
      <c r="C1565">
        <v>30</v>
      </c>
      <c r="D1565" t="s">
        <v>10</v>
      </c>
      <c r="E1565" t="s">
        <v>6370</v>
      </c>
      <c r="F1565" s="43">
        <v>44931.416666666664</v>
      </c>
      <c r="G1565" s="43">
        <v>44931.4375</v>
      </c>
      <c r="H1565">
        <v>10</v>
      </c>
      <c r="I1565">
        <v>0</v>
      </c>
      <c r="J1565">
        <v>10</v>
      </c>
      <c r="K1565">
        <v>30</v>
      </c>
      <c r="L1565">
        <v>2023</v>
      </c>
      <c r="N1565" t="s">
        <v>6371</v>
      </c>
      <c r="O1565" t="s">
        <v>6372</v>
      </c>
      <c r="P1565" t="s">
        <v>6373</v>
      </c>
    </row>
    <row r="1566" spans="1:16" x14ac:dyDescent="0.3">
      <c r="A1566" t="s">
        <v>6542</v>
      </c>
      <c r="C1566">
        <v>15</v>
      </c>
      <c r="D1566" t="s">
        <v>10</v>
      </c>
      <c r="F1566" s="43">
        <v>44931.40625</v>
      </c>
      <c r="G1566" s="43">
        <v>44931.416666666664</v>
      </c>
      <c r="H1566">
        <v>9</v>
      </c>
      <c r="I1566">
        <v>45</v>
      </c>
      <c r="J1566">
        <v>10</v>
      </c>
      <c r="K1566">
        <v>0</v>
      </c>
      <c r="L1566">
        <v>2023</v>
      </c>
      <c r="N1566" t="s">
        <v>47</v>
      </c>
      <c r="O1566" t="s">
        <v>47</v>
      </c>
      <c r="P1566" t="s">
        <v>6543</v>
      </c>
    </row>
    <row r="1567" spans="1:16" x14ac:dyDescent="0.3">
      <c r="A1567" t="s">
        <v>731</v>
      </c>
      <c r="C1567">
        <v>30</v>
      </c>
      <c r="D1567" t="s">
        <v>10</v>
      </c>
      <c r="F1567" s="43">
        <v>44931.385416666664</v>
      </c>
      <c r="G1567" s="43">
        <v>44931.40625</v>
      </c>
      <c r="H1567">
        <v>9</v>
      </c>
      <c r="I1567">
        <v>15</v>
      </c>
      <c r="J1567">
        <v>9</v>
      </c>
      <c r="K1567">
        <v>45</v>
      </c>
      <c r="L1567">
        <v>2023</v>
      </c>
      <c r="N1567" t="s">
        <v>47</v>
      </c>
      <c r="O1567" t="s">
        <v>47</v>
      </c>
      <c r="P1567" t="s">
        <v>6544</v>
      </c>
    </row>
    <row r="1568" spans="1:16" x14ac:dyDescent="0.3">
      <c r="A1568" t="s">
        <v>4440</v>
      </c>
      <c r="C1568">
        <v>60</v>
      </c>
      <c r="D1568" t="s">
        <v>10</v>
      </c>
      <c r="E1568" t="s">
        <v>21</v>
      </c>
      <c r="F1568" s="43">
        <v>44931.322916666664</v>
      </c>
      <c r="G1568" s="43">
        <v>44931.364583333336</v>
      </c>
      <c r="H1568">
        <v>7</v>
      </c>
      <c r="I1568">
        <v>45</v>
      </c>
      <c r="J1568">
        <v>8</v>
      </c>
      <c r="K1568">
        <v>45</v>
      </c>
      <c r="L1568">
        <v>2023</v>
      </c>
      <c r="N1568" t="s">
        <v>4493</v>
      </c>
      <c r="O1568" t="s">
        <v>50</v>
      </c>
      <c r="P1568" t="s">
        <v>6568</v>
      </c>
    </row>
    <row r="1569" spans="1:16" x14ac:dyDescent="0.3">
      <c r="A1569" t="s">
        <v>4265</v>
      </c>
      <c r="C1569">
        <v>60</v>
      </c>
      <c r="D1569" t="s">
        <v>10</v>
      </c>
      <c r="F1569" s="43">
        <v>44931.25</v>
      </c>
      <c r="G1569" s="43">
        <v>44931.291666666664</v>
      </c>
      <c r="H1569">
        <v>6</v>
      </c>
      <c r="I1569">
        <v>0</v>
      </c>
      <c r="J1569">
        <v>7</v>
      </c>
      <c r="K1569">
        <v>0</v>
      </c>
      <c r="L1569">
        <v>2023</v>
      </c>
      <c r="N1569" t="s">
        <v>47</v>
      </c>
      <c r="O1569" t="s">
        <v>47</v>
      </c>
      <c r="P1569" t="s">
        <v>6552</v>
      </c>
    </row>
    <row r="1570" spans="1:16" x14ac:dyDescent="0.3">
      <c r="A1570" t="s">
        <v>6553</v>
      </c>
      <c r="C1570">
        <v>30</v>
      </c>
      <c r="D1570" t="s">
        <v>10</v>
      </c>
      <c r="F1570" s="43">
        <v>44930.8125</v>
      </c>
      <c r="G1570" s="43">
        <v>44930.833333333336</v>
      </c>
      <c r="H1570">
        <v>19</v>
      </c>
      <c r="I1570">
        <v>30</v>
      </c>
      <c r="J1570">
        <v>20</v>
      </c>
      <c r="K1570">
        <v>0</v>
      </c>
      <c r="L1570">
        <v>2023</v>
      </c>
      <c r="N1570" t="s">
        <v>47</v>
      </c>
      <c r="O1570" t="s">
        <v>47</v>
      </c>
      <c r="P1570" t="s">
        <v>6554</v>
      </c>
    </row>
    <row r="1571" spans="1:16" x14ac:dyDescent="0.3">
      <c r="A1571" t="s">
        <v>35</v>
      </c>
      <c r="C1571">
        <v>15</v>
      </c>
      <c r="D1571" t="s">
        <v>10</v>
      </c>
      <c r="F1571" s="43">
        <v>44930.739583333336</v>
      </c>
      <c r="G1571" s="43">
        <v>44930.75</v>
      </c>
      <c r="H1571">
        <v>17</v>
      </c>
      <c r="I1571">
        <v>45</v>
      </c>
      <c r="J1571">
        <v>18</v>
      </c>
      <c r="K1571">
        <v>0</v>
      </c>
      <c r="L1571">
        <v>2023</v>
      </c>
      <c r="N1571" t="s">
        <v>47</v>
      </c>
      <c r="O1571" t="s">
        <v>47</v>
      </c>
      <c r="P1571" t="s">
        <v>6559</v>
      </c>
    </row>
    <row r="1572" spans="1:16" x14ac:dyDescent="0.3">
      <c r="A1572" t="s">
        <v>7</v>
      </c>
      <c r="C1572">
        <v>50</v>
      </c>
      <c r="D1572" t="s">
        <v>10</v>
      </c>
      <c r="F1572" s="43">
        <v>44930.708333333336</v>
      </c>
      <c r="G1572" s="43">
        <v>44930.743055555555</v>
      </c>
      <c r="H1572">
        <v>17</v>
      </c>
      <c r="I1572">
        <v>0</v>
      </c>
      <c r="J1572">
        <v>17</v>
      </c>
      <c r="K1572">
        <v>50</v>
      </c>
      <c r="L1572">
        <v>2023</v>
      </c>
      <c r="N1572" t="s">
        <v>47</v>
      </c>
      <c r="O1572" t="s">
        <v>47</v>
      </c>
      <c r="P1572" t="s">
        <v>6561</v>
      </c>
    </row>
    <row r="1573" spans="1:16" x14ac:dyDescent="0.3">
      <c r="A1573" t="s">
        <v>4265</v>
      </c>
      <c r="C1573">
        <v>20</v>
      </c>
      <c r="D1573" t="s">
        <v>10</v>
      </c>
      <c r="F1573" s="43">
        <v>44930.673611111109</v>
      </c>
      <c r="G1573" s="43">
        <v>44930.6875</v>
      </c>
      <c r="H1573">
        <v>16</v>
      </c>
      <c r="I1573">
        <v>10</v>
      </c>
      <c r="J1573">
        <v>16</v>
      </c>
      <c r="K1573">
        <v>30</v>
      </c>
      <c r="L1573">
        <v>2023</v>
      </c>
      <c r="N1573" t="s">
        <v>47</v>
      </c>
      <c r="O1573" t="s">
        <v>47</v>
      </c>
      <c r="P1573" t="s">
        <v>6560</v>
      </c>
    </row>
    <row r="1574" spans="1:16" x14ac:dyDescent="0.3">
      <c r="A1574" t="s">
        <v>6562</v>
      </c>
      <c r="C1574">
        <v>40</v>
      </c>
      <c r="D1574" t="s">
        <v>10</v>
      </c>
      <c r="F1574" s="43">
        <v>44930.645833333336</v>
      </c>
      <c r="G1574" s="43">
        <v>44930.673611111109</v>
      </c>
      <c r="H1574">
        <v>15</v>
      </c>
      <c r="I1574">
        <v>30</v>
      </c>
      <c r="J1574">
        <v>16</v>
      </c>
      <c r="K1574">
        <v>10</v>
      </c>
      <c r="L1574">
        <v>2023</v>
      </c>
      <c r="N1574" t="s">
        <v>47</v>
      </c>
      <c r="O1574" t="s">
        <v>47</v>
      </c>
      <c r="P1574" t="s">
        <v>6563</v>
      </c>
    </row>
    <row r="1575" spans="1:16" x14ac:dyDescent="0.3">
      <c r="A1575" t="s">
        <v>23</v>
      </c>
      <c r="C1575">
        <v>30</v>
      </c>
      <c r="D1575" t="s">
        <v>10</v>
      </c>
      <c r="F1575" s="43">
        <v>44930.604166666664</v>
      </c>
      <c r="G1575" s="43">
        <v>44930.625</v>
      </c>
      <c r="H1575">
        <v>14</v>
      </c>
      <c r="I1575">
        <v>30</v>
      </c>
      <c r="J1575">
        <v>15</v>
      </c>
      <c r="K1575">
        <v>0</v>
      </c>
      <c r="L1575">
        <v>2023</v>
      </c>
      <c r="N1575" t="s">
        <v>47</v>
      </c>
      <c r="O1575" t="s">
        <v>47</v>
      </c>
      <c r="P1575" t="s">
        <v>6564</v>
      </c>
    </row>
    <row r="1576" spans="1:16" x14ac:dyDescent="0.3">
      <c r="A1576" t="s">
        <v>119</v>
      </c>
      <c r="C1576">
        <v>30</v>
      </c>
      <c r="D1576" t="s">
        <v>10</v>
      </c>
      <c r="F1576" s="43">
        <v>44930.576388888891</v>
      </c>
      <c r="G1576" s="43">
        <v>44930.597222222219</v>
      </c>
      <c r="H1576">
        <v>13</v>
      </c>
      <c r="I1576">
        <v>50</v>
      </c>
      <c r="J1576">
        <v>14</v>
      </c>
      <c r="K1576">
        <v>20</v>
      </c>
      <c r="L1576">
        <v>2023</v>
      </c>
      <c r="N1576" t="s">
        <v>47</v>
      </c>
      <c r="O1576" t="s">
        <v>47</v>
      </c>
      <c r="P1576" t="s">
        <v>6565</v>
      </c>
    </row>
    <row r="1577" spans="1:16" x14ac:dyDescent="0.3">
      <c r="A1577" t="s">
        <v>6566</v>
      </c>
      <c r="C1577">
        <v>40</v>
      </c>
      <c r="D1577" t="s">
        <v>10</v>
      </c>
      <c r="F1577" s="43">
        <v>44930.548611111109</v>
      </c>
      <c r="G1577" s="43">
        <v>44930.576388888891</v>
      </c>
      <c r="H1577">
        <v>13</v>
      </c>
      <c r="I1577">
        <v>10</v>
      </c>
      <c r="J1577">
        <v>13</v>
      </c>
      <c r="K1577">
        <v>50</v>
      </c>
      <c r="L1577">
        <v>2023</v>
      </c>
      <c r="N1577" t="s">
        <v>47</v>
      </c>
      <c r="O1577" t="s">
        <v>47</v>
      </c>
      <c r="P1577" t="s">
        <v>6567</v>
      </c>
    </row>
    <row r="1578" spans="1:16" x14ac:dyDescent="0.3">
      <c r="A1578" t="s">
        <v>4790</v>
      </c>
      <c r="C1578">
        <v>30</v>
      </c>
      <c r="D1578" t="s">
        <v>10</v>
      </c>
      <c r="F1578" s="43">
        <v>44930.479166666664</v>
      </c>
      <c r="G1578" s="43">
        <v>44930.5</v>
      </c>
      <c r="H1578">
        <v>11</v>
      </c>
      <c r="I1578">
        <v>30</v>
      </c>
      <c r="J1578">
        <v>12</v>
      </c>
      <c r="K1578">
        <v>0</v>
      </c>
      <c r="L1578">
        <v>2023</v>
      </c>
      <c r="N1578" t="s">
        <v>47</v>
      </c>
      <c r="O1578" t="s">
        <v>47</v>
      </c>
      <c r="P1578" t="s">
        <v>6574</v>
      </c>
    </row>
    <row r="1579" spans="1:16" x14ac:dyDescent="0.3">
      <c r="A1579" t="s">
        <v>6583</v>
      </c>
      <c r="C1579">
        <v>30</v>
      </c>
      <c r="D1579" t="s">
        <v>10</v>
      </c>
      <c r="F1579" s="43">
        <v>44930.4375</v>
      </c>
      <c r="G1579" s="43">
        <v>44930.458333333336</v>
      </c>
      <c r="H1579">
        <v>10</v>
      </c>
      <c r="I1579">
        <v>30</v>
      </c>
      <c r="J1579">
        <v>11</v>
      </c>
      <c r="K1579">
        <v>0</v>
      </c>
      <c r="L1579">
        <v>2023</v>
      </c>
      <c r="N1579" t="s">
        <v>4384</v>
      </c>
      <c r="O1579" t="s">
        <v>47</v>
      </c>
      <c r="P1579" t="s">
        <v>6584</v>
      </c>
    </row>
    <row r="1580" spans="1:16" x14ac:dyDescent="0.3">
      <c r="A1580" t="s">
        <v>6577</v>
      </c>
      <c r="C1580">
        <v>75</v>
      </c>
      <c r="D1580" t="s">
        <v>10</v>
      </c>
      <c r="F1580" s="43">
        <v>44930.333333333336</v>
      </c>
      <c r="G1580" s="43">
        <v>44930.385416666664</v>
      </c>
      <c r="H1580">
        <v>8</v>
      </c>
      <c r="I1580">
        <v>0</v>
      </c>
      <c r="J1580">
        <v>9</v>
      </c>
      <c r="K1580">
        <v>15</v>
      </c>
      <c r="L1580">
        <v>2023</v>
      </c>
      <c r="N1580" t="s">
        <v>47</v>
      </c>
      <c r="O1580" t="s">
        <v>47</v>
      </c>
      <c r="P1580" t="s">
        <v>6578</v>
      </c>
    </row>
    <row r="1581" spans="1:16" x14ac:dyDescent="0.3">
      <c r="A1581" t="s">
        <v>6579</v>
      </c>
      <c r="C1581">
        <v>20</v>
      </c>
      <c r="D1581" t="s">
        <v>10</v>
      </c>
      <c r="F1581" s="43">
        <v>44930.277777777781</v>
      </c>
      <c r="G1581" s="43">
        <v>44930.291666666664</v>
      </c>
      <c r="H1581">
        <v>6</v>
      </c>
      <c r="I1581">
        <v>40</v>
      </c>
      <c r="J1581">
        <v>7</v>
      </c>
      <c r="K1581">
        <v>0</v>
      </c>
      <c r="L1581">
        <v>2023</v>
      </c>
      <c r="N1581" t="s">
        <v>47</v>
      </c>
      <c r="O1581" t="s">
        <v>47</v>
      </c>
      <c r="P1581" t="s">
        <v>6580</v>
      </c>
    </row>
    <row r="1582" spans="1:16" x14ac:dyDescent="0.3">
      <c r="A1582" t="s">
        <v>4265</v>
      </c>
      <c r="C1582">
        <v>55</v>
      </c>
      <c r="D1582" t="s">
        <v>10</v>
      </c>
      <c r="F1582" s="43">
        <v>44930.239583333336</v>
      </c>
      <c r="G1582" s="43">
        <v>44930.277777777781</v>
      </c>
      <c r="H1582">
        <v>5</v>
      </c>
      <c r="I1582">
        <v>45</v>
      </c>
      <c r="J1582">
        <v>6</v>
      </c>
      <c r="K1582">
        <v>40</v>
      </c>
      <c r="L1582">
        <v>2023</v>
      </c>
      <c r="N1582" t="s">
        <v>47</v>
      </c>
      <c r="O1582" t="s">
        <v>47</v>
      </c>
      <c r="P1582" t="s">
        <v>6581</v>
      </c>
    </row>
    <row r="1583" spans="1:16" x14ac:dyDescent="0.3">
      <c r="A1583" t="s">
        <v>8</v>
      </c>
      <c r="C1583">
        <v>30</v>
      </c>
      <c r="D1583" t="s">
        <v>10</v>
      </c>
      <c r="F1583" s="43">
        <v>44929.791666666664</v>
      </c>
      <c r="G1583" s="43">
        <v>44929.8125</v>
      </c>
      <c r="H1583">
        <v>19</v>
      </c>
      <c r="I1583">
        <v>0</v>
      </c>
      <c r="J1583">
        <v>19</v>
      </c>
      <c r="K1583">
        <v>30</v>
      </c>
      <c r="L1583">
        <v>2023</v>
      </c>
      <c r="N1583" t="s">
        <v>47</v>
      </c>
      <c r="O1583" t="s">
        <v>47</v>
      </c>
      <c r="P1583" t="s">
        <v>6582</v>
      </c>
    </row>
    <row r="1584" spans="1:16" x14ac:dyDescent="0.3">
      <c r="A1584" t="s">
        <v>6585</v>
      </c>
      <c r="C1584">
        <v>30</v>
      </c>
      <c r="D1584" t="s">
        <v>10</v>
      </c>
      <c r="F1584" s="43">
        <v>44929.729166666664</v>
      </c>
      <c r="G1584" s="43">
        <v>44929.75</v>
      </c>
      <c r="H1584">
        <v>17</v>
      </c>
      <c r="I1584">
        <v>30</v>
      </c>
      <c r="J1584">
        <v>18</v>
      </c>
      <c r="K1584">
        <v>0</v>
      </c>
      <c r="L1584">
        <v>2023</v>
      </c>
      <c r="N1584" t="s">
        <v>47</v>
      </c>
      <c r="O1584" t="s">
        <v>47</v>
      </c>
      <c r="P1584" t="s">
        <v>6586</v>
      </c>
    </row>
    <row r="1585" spans="1:16" x14ac:dyDescent="0.3">
      <c r="A1585" t="s">
        <v>8</v>
      </c>
      <c r="C1585">
        <v>30</v>
      </c>
      <c r="D1585" t="s">
        <v>10</v>
      </c>
      <c r="F1585" s="43">
        <v>44929.6875</v>
      </c>
      <c r="G1585" s="43">
        <v>44929.708333333336</v>
      </c>
      <c r="H1585">
        <v>16</v>
      </c>
      <c r="I1585">
        <v>30</v>
      </c>
      <c r="J1585">
        <v>17</v>
      </c>
      <c r="K1585">
        <v>0</v>
      </c>
      <c r="L1585">
        <v>2023</v>
      </c>
      <c r="N1585" t="s">
        <v>47</v>
      </c>
      <c r="O1585" t="s">
        <v>47</v>
      </c>
      <c r="P1585" t="s">
        <v>6587</v>
      </c>
    </row>
    <row r="1586" spans="1:16" x14ac:dyDescent="0.3">
      <c r="A1586" t="s">
        <v>9</v>
      </c>
      <c r="C1586">
        <v>40</v>
      </c>
      <c r="D1586" t="s">
        <v>10</v>
      </c>
      <c r="F1586" s="43">
        <v>44929.652777777781</v>
      </c>
      <c r="G1586" s="43">
        <v>44929.680555555555</v>
      </c>
      <c r="H1586">
        <v>15</v>
      </c>
      <c r="I1586">
        <v>40</v>
      </c>
      <c r="J1586">
        <v>16</v>
      </c>
      <c r="K1586">
        <v>20</v>
      </c>
      <c r="L1586">
        <v>2023</v>
      </c>
      <c r="N1586" t="s">
        <v>47</v>
      </c>
      <c r="O1586" t="s">
        <v>47</v>
      </c>
      <c r="P1586" t="s">
        <v>6588</v>
      </c>
    </row>
    <row r="1587" spans="1:16" x14ac:dyDescent="0.3">
      <c r="A1587" t="s">
        <v>6480</v>
      </c>
      <c r="C1587">
        <v>45</v>
      </c>
      <c r="D1587" t="s">
        <v>10</v>
      </c>
      <c r="F1587" s="43">
        <v>44929.604166666664</v>
      </c>
      <c r="G1587" s="43">
        <v>44929.635416666664</v>
      </c>
      <c r="H1587">
        <v>14</v>
      </c>
      <c r="I1587">
        <v>30</v>
      </c>
      <c r="J1587">
        <v>15</v>
      </c>
      <c r="K1587">
        <v>15</v>
      </c>
      <c r="L1587">
        <v>2023</v>
      </c>
      <c r="N1587" t="s">
        <v>47</v>
      </c>
      <c r="O1587" t="s">
        <v>47</v>
      </c>
      <c r="P1587" t="s">
        <v>6481</v>
      </c>
    </row>
    <row r="1588" spans="1:16" x14ac:dyDescent="0.3">
      <c r="A1588" t="s">
        <v>6461</v>
      </c>
      <c r="C1588">
        <v>75</v>
      </c>
      <c r="D1588" t="s">
        <v>10</v>
      </c>
      <c r="F1588" s="43">
        <v>44929.548611111109</v>
      </c>
      <c r="G1588" s="43">
        <v>44929.600694444445</v>
      </c>
      <c r="H1588">
        <v>13</v>
      </c>
      <c r="I1588">
        <v>10</v>
      </c>
      <c r="J1588">
        <v>14</v>
      </c>
      <c r="K1588">
        <v>25</v>
      </c>
      <c r="L1588">
        <v>2023</v>
      </c>
      <c r="N1588" t="s">
        <v>47</v>
      </c>
      <c r="O1588" t="s">
        <v>47</v>
      </c>
      <c r="P1588" t="s">
        <v>6462</v>
      </c>
    </row>
    <row r="1589" spans="1:16" x14ac:dyDescent="0.3">
      <c r="A1589" t="s">
        <v>6463</v>
      </c>
      <c r="C1589">
        <v>60</v>
      </c>
      <c r="D1589" t="s">
        <v>10</v>
      </c>
      <c r="F1589" s="43">
        <v>44929.458333333336</v>
      </c>
      <c r="G1589" s="43">
        <v>44929.5</v>
      </c>
      <c r="H1589">
        <v>11</v>
      </c>
      <c r="I1589">
        <v>0</v>
      </c>
      <c r="J1589">
        <v>12</v>
      </c>
      <c r="K1589">
        <v>0</v>
      </c>
      <c r="L1589">
        <v>2023</v>
      </c>
      <c r="N1589" t="s">
        <v>47</v>
      </c>
      <c r="O1589" t="s">
        <v>47</v>
      </c>
      <c r="P1589" t="s">
        <v>6464</v>
      </c>
    </row>
    <row r="1590" spans="1:16" x14ac:dyDescent="0.3">
      <c r="A1590" t="s">
        <v>1222</v>
      </c>
      <c r="C1590">
        <v>30</v>
      </c>
      <c r="D1590" t="s">
        <v>10</v>
      </c>
      <c r="F1590" s="43">
        <v>44929.4375</v>
      </c>
      <c r="G1590" s="43">
        <v>44929.458333333336</v>
      </c>
      <c r="H1590">
        <v>10</v>
      </c>
      <c r="I1590">
        <v>30</v>
      </c>
      <c r="J1590">
        <v>11</v>
      </c>
      <c r="K1590">
        <v>0</v>
      </c>
      <c r="L1590">
        <v>2023</v>
      </c>
      <c r="N1590" t="s">
        <v>47</v>
      </c>
      <c r="O1590" t="s">
        <v>47</v>
      </c>
      <c r="P1590" t="s">
        <v>6465</v>
      </c>
    </row>
    <row r="1591" spans="1:16" x14ac:dyDescent="0.3">
      <c r="A1591" t="s">
        <v>4452</v>
      </c>
      <c r="C1591">
        <v>30</v>
      </c>
      <c r="D1591" t="s">
        <v>10</v>
      </c>
      <c r="F1591" s="43">
        <v>44929.416666666664</v>
      </c>
      <c r="G1591" s="43">
        <v>44929.4375</v>
      </c>
      <c r="H1591">
        <v>10</v>
      </c>
      <c r="I1591">
        <v>0</v>
      </c>
      <c r="J1591">
        <v>10</v>
      </c>
      <c r="K1591">
        <v>30</v>
      </c>
      <c r="L1591">
        <v>2023</v>
      </c>
      <c r="N1591" t="s">
        <v>47</v>
      </c>
      <c r="O1591" t="s">
        <v>47</v>
      </c>
      <c r="P1591" t="s">
        <v>6466</v>
      </c>
    </row>
    <row r="1592" spans="1:16" x14ac:dyDescent="0.3">
      <c r="A1592" t="s">
        <v>4790</v>
      </c>
      <c r="C1592">
        <v>30</v>
      </c>
      <c r="D1592" t="s">
        <v>10</v>
      </c>
      <c r="F1592" s="43">
        <v>44929.375</v>
      </c>
      <c r="G1592" s="43">
        <v>44929.395833333336</v>
      </c>
      <c r="H1592">
        <v>9</v>
      </c>
      <c r="I1592">
        <v>0</v>
      </c>
      <c r="J1592">
        <v>9</v>
      </c>
      <c r="K1592">
        <v>30</v>
      </c>
      <c r="L1592">
        <v>2023</v>
      </c>
      <c r="N1592" t="s">
        <v>47</v>
      </c>
      <c r="O1592" t="s">
        <v>47</v>
      </c>
      <c r="P1592" t="s">
        <v>6467</v>
      </c>
    </row>
    <row r="1593" spans="1:16" x14ac:dyDescent="0.3">
      <c r="A1593" t="s">
        <v>17</v>
      </c>
      <c r="C1593">
        <v>30</v>
      </c>
      <c r="D1593" t="s">
        <v>10</v>
      </c>
      <c r="F1593" s="43">
        <v>44929.354166666664</v>
      </c>
      <c r="G1593" s="43">
        <v>44929.375</v>
      </c>
      <c r="H1593">
        <v>8</v>
      </c>
      <c r="I1593">
        <v>30</v>
      </c>
      <c r="J1593">
        <v>9</v>
      </c>
      <c r="K1593">
        <v>0</v>
      </c>
      <c r="L1593">
        <v>2023</v>
      </c>
      <c r="N1593" t="s">
        <v>47</v>
      </c>
      <c r="O1593" t="s">
        <v>47</v>
      </c>
      <c r="P1593" t="s">
        <v>6468</v>
      </c>
    </row>
    <row r="1594" spans="1:16" x14ac:dyDescent="0.3">
      <c r="A1594" t="s">
        <v>6469</v>
      </c>
      <c r="C1594">
        <v>60</v>
      </c>
      <c r="D1594" t="s">
        <v>10</v>
      </c>
      <c r="F1594" s="43">
        <v>44929.270833333336</v>
      </c>
      <c r="G1594" s="43">
        <v>44929.3125</v>
      </c>
      <c r="H1594">
        <v>6</v>
      </c>
      <c r="I1594">
        <v>30</v>
      </c>
      <c r="J1594">
        <v>7</v>
      </c>
      <c r="K1594">
        <v>30</v>
      </c>
      <c r="L1594">
        <v>2023</v>
      </c>
      <c r="N1594" t="s">
        <v>47</v>
      </c>
      <c r="O1594" t="s">
        <v>47</v>
      </c>
      <c r="P1594" t="s">
        <v>6470</v>
      </c>
    </row>
    <row r="1595" spans="1:16" x14ac:dyDescent="0.3">
      <c r="A1595" t="s">
        <v>6471</v>
      </c>
      <c r="C1595">
        <v>60</v>
      </c>
      <c r="D1595" t="s">
        <v>10</v>
      </c>
      <c r="F1595" s="43">
        <v>44928.666666666664</v>
      </c>
      <c r="G1595" s="43">
        <v>44928.708333333336</v>
      </c>
      <c r="H1595">
        <v>16</v>
      </c>
      <c r="I1595">
        <v>0</v>
      </c>
      <c r="J1595">
        <v>17</v>
      </c>
      <c r="K1595">
        <v>0</v>
      </c>
      <c r="L1595">
        <v>2023</v>
      </c>
      <c r="N1595" t="s">
        <v>47</v>
      </c>
      <c r="O1595" t="s">
        <v>47</v>
      </c>
      <c r="P1595" t="s">
        <v>6472</v>
      </c>
    </row>
    <row r="1596" spans="1:16" x14ac:dyDescent="0.3">
      <c r="A1596" t="s">
        <v>6473</v>
      </c>
      <c r="C1596">
        <v>45</v>
      </c>
      <c r="D1596" t="s">
        <v>10</v>
      </c>
      <c r="F1596" s="43">
        <v>44928.583333333336</v>
      </c>
      <c r="G1596" s="43">
        <v>44928.614583333336</v>
      </c>
      <c r="H1596">
        <v>14</v>
      </c>
      <c r="I1596">
        <v>0</v>
      </c>
      <c r="J1596">
        <v>14</v>
      </c>
      <c r="K1596">
        <v>45</v>
      </c>
      <c r="L1596">
        <v>2023</v>
      </c>
      <c r="N1596" t="s">
        <v>47</v>
      </c>
      <c r="O1596" t="s">
        <v>47</v>
      </c>
      <c r="P1596" t="s">
        <v>6474</v>
      </c>
    </row>
    <row r="1597" spans="1:16" x14ac:dyDescent="0.3">
      <c r="A1597" t="s">
        <v>4790</v>
      </c>
      <c r="C1597">
        <v>50</v>
      </c>
      <c r="D1597" t="s">
        <v>10</v>
      </c>
      <c r="F1597" s="43">
        <v>44928.479166666664</v>
      </c>
      <c r="G1597" s="43">
        <v>44928.513888888891</v>
      </c>
      <c r="H1597">
        <v>11</v>
      </c>
      <c r="I1597">
        <v>30</v>
      </c>
      <c r="J1597">
        <v>12</v>
      </c>
      <c r="K1597">
        <v>20</v>
      </c>
      <c r="L1597">
        <v>2023</v>
      </c>
      <c r="N1597" t="s">
        <v>47</v>
      </c>
      <c r="O1597" t="s">
        <v>47</v>
      </c>
      <c r="P1597" t="s">
        <v>6476</v>
      </c>
    </row>
    <row r="1598" spans="1:16" x14ac:dyDescent="0.3">
      <c r="A1598" t="s">
        <v>6477</v>
      </c>
      <c r="C1598">
        <v>60</v>
      </c>
      <c r="D1598" t="s">
        <v>10</v>
      </c>
      <c r="E1598" t="s">
        <v>6478</v>
      </c>
      <c r="F1598" s="43">
        <v>44928.4375</v>
      </c>
      <c r="G1598" s="43">
        <v>44928.479166666664</v>
      </c>
      <c r="H1598">
        <v>10</v>
      </c>
      <c r="I1598">
        <v>30</v>
      </c>
      <c r="J1598">
        <v>11</v>
      </c>
      <c r="K1598">
        <v>30</v>
      </c>
      <c r="L1598">
        <v>2023</v>
      </c>
      <c r="N1598" t="s">
        <v>87</v>
      </c>
      <c r="O1598" t="s">
        <v>73</v>
      </c>
      <c r="P1598" t="s">
        <v>6479</v>
      </c>
    </row>
    <row r="1599" spans="1:16" x14ac:dyDescent="0.3">
      <c r="A1599" t="s">
        <v>8</v>
      </c>
      <c r="C1599">
        <v>30</v>
      </c>
      <c r="D1599" t="s">
        <v>10</v>
      </c>
      <c r="F1599" s="43">
        <v>44928.375</v>
      </c>
      <c r="G1599" s="43">
        <v>44928.395833333336</v>
      </c>
      <c r="H1599">
        <v>9</v>
      </c>
      <c r="I1599">
        <v>0</v>
      </c>
      <c r="J1599">
        <v>9</v>
      </c>
      <c r="K1599">
        <v>30</v>
      </c>
      <c r="L1599">
        <v>2023</v>
      </c>
      <c r="N1599" t="s">
        <v>47</v>
      </c>
      <c r="O1599" t="s">
        <v>47</v>
      </c>
      <c r="P1599" t="s">
        <v>6475</v>
      </c>
    </row>
    <row r="1600" spans="1:16" x14ac:dyDescent="0.3">
      <c r="A1600" t="s">
        <v>6458</v>
      </c>
      <c r="C1600">
        <v>45</v>
      </c>
      <c r="D1600" t="s">
        <v>10</v>
      </c>
      <c r="F1600" s="43">
        <v>44927.75</v>
      </c>
      <c r="G1600" s="43">
        <v>44927.78125</v>
      </c>
      <c r="H1600">
        <v>18</v>
      </c>
      <c r="I1600">
        <v>0</v>
      </c>
      <c r="J1600">
        <v>18</v>
      </c>
      <c r="K1600">
        <v>45</v>
      </c>
      <c r="L1600">
        <v>2023</v>
      </c>
      <c r="N1600" t="s">
        <v>47</v>
      </c>
      <c r="O1600" t="s">
        <v>47</v>
      </c>
      <c r="P1600" t="s">
        <v>6459</v>
      </c>
    </row>
    <row r="1601" spans="1:16" x14ac:dyDescent="0.3">
      <c r="A1601" t="s">
        <v>8</v>
      </c>
      <c r="C1601">
        <v>90</v>
      </c>
      <c r="D1601" t="s">
        <v>10</v>
      </c>
      <c r="F1601" s="43">
        <v>44927.625</v>
      </c>
      <c r="G1601" s="43">
        <v>44927.6875</v>
      </c>
      <c r="H1601">
        <v>15</v>
      </c>
      <c r="I1601">
        <v>0</v>
      </c>
      <c r="J1601">
        <v>16</v>
      </c>
      <c r="K1601">
        <v>30</v>
      </c>
      <c r="L1601">
        <v>2023</v>
      </c>
      <c r="N1601" t="s">
        <v>47</v>
      </c>
      <c r="O1601" t="s">
        <v>47</v>
      </c>
      <c r="P1601" t="s">
        <v>6460</v>
      </c>
    </row>
    <row r="1602" spans="1:16" x14ac:dyDescent="0.3">
      <c r="A1602" t="s">
        <v>8</v>
      </c>
      <c r="C1602">
        <v>30</v>
      </c>
      <c r="D1602" t="s">
        <v>10</v>
      </c>
      <c r="F1602" s="43">
        <v>44927.520833333336</v>
      </c>
      <c r="G1602" s="43">
        <v>44927.541666666664</v>
      </c>
      <c r="H1602">
        <v>12</v>
      </c>
      <c r="I1602">
        <v>30</v>
      </c>
      <c r="J1602">
        <v>13</v>
      </c>
      <c r="K1602">
        <v>0</v>
      </c>
      <c r="L1602">
        <v>2023</v>
      </c>
      <c r="N1602" t="s">
        <v>47</v>
      </c>
      <c r="O1602" t="s">
        <v>47</v>
      </c>
      <c r="P1602" t="s">
        <v>6457</v>
      </c>
    </row>
    <row r="1603" spans="1:16" x14ac:dyDescent="0.3">
      <c r="A1603" t="s">
        <v>8</v>
      </c>
      <c r="C1603">
        <v>90</v>
      </c>
      <c r="D1603" t="s">
        <v>10</v>
      </c>
      <c r="F1603" s="43">
        <v>44927.208333333336</v>
      </c>
      <c r="G1603" s="43">
        <v>44927.270833333336</v>
      </c>
      <c r="H1603">
        <v>5</v>
      </c>
      <c r="I1603">
        <v>0</v>
      </c>
      <c r="J1603">
        <v>6</v>
      </c>
      <c r="K1603">
        <v>30</v>
      </c>
      <c r="L1603">
        <v>2023</v>
      </c>
      <c r="N1603" t="s">
        <v>47</v>
      </c>
      <c r="O1603" t="s">
        <v>47</v>
      </c>
      <c r="P1603" t="s">
        <v>6456</v>
      </c>
    </row>
    <row r="1604" spans="1:16" x14ac:dyDescent="0.3">
      <c r="A1604" t="s">
        <v>6449</v>
      </c>
      <c r="C1604">
        <v>60</v>
      </c>
      <c r="D1604" t="s">
        <v>10</v>
      </c>
      <c r="F1604" s="43">
        <v>44926.770833333336</v>
      </c>
      <c r="G1604" s="43">
        <v>44926.8125</v>
      </c>
      <c r="H1604">
        <v>18</v>
      </c>
      <c r="I1604">
        <v>30</v>
      </c>
      <c r="J1604">
        <v>19</v>
      </c>
      <c r="K1604">
        <v>30</v>
      </c>
      <c r="L1604">
        <v>2022</v>
      </c>
      <c r="N1604" t="s">
        <v>47</v>
      </c>
      <c r="O1604" t="s">
        <v>47</v>
      </c>
      <c r="P1604" t="s">
        <v>6450</v>
      </c>
    </row>
    <row r="1605" spans="1:16" x14ac:dyDescent="0.3">
      <c r="A1605" t="s">
        <v>8</v>
      </c>
      <c r="C1605">
        <v>60</v>
      </c>
      <c r="D1605" t="s">
        <v>10</v>
      </c>
      <c r="F1605" s="43">
        <v>44926.645833333336</v>
      </c>
      <c r="G1605" s="43">
        <v>44926.6875</v>
      </c>
      <c r="H1605">
        <v>15</v>
      </c>
      <c r="I1605">
        <v>30</v>
      </c>
      <c r="J1605">
        <v>16</v>
      </c>
      <c r="K1605">
        <v>30</v>
      </c>
      <c r="L1605">
        <v>2022</v>
      </c>
      <c r="N1605" t="s">
        <v>47</v>
      </c>
      <c r="O1605" t="s">
        <v>47</v>
      </c>
      <c r="P1605" t="s">
        <v>6451</v>
      </c>
    </row>
    <row r="1606" spans="1:16" x14ac:dyDescent="0.3">
      <c r="A1606" t="s">
        <v>8</v>
      </c>
      <c r="C1606">
        <v>30</v>
      </c>
      <c r="D1606" t="s">
        <v>10</v>
      </c>
      <c r="E1606" s="44"/>
      <c r="F1606" s="43">
        <v>44926.583333333336</v>
      </c>
      <c r="G1606" s="43">
        <v>44926.604166666664</v>
      </c>
      <c r="H1606">
        <v>14</v>
      </c>
      <c r="I1606">
        <v>0</v>
      </c>
      <c r="J1606">
        <v>14</v>
      </c>
      <c r="K1606">
        <v>30</v>
      </c>
      <c r="L1606">
        <v>2022</v>
      </c>
      <c r="N1606" t="s">
        <v>47</v>
      </c>
      <c r="O1606" t="s">
        <v>47</v>
      </c>
      <c r="P1606" t="s">
        <v>6452</v>
      </c>
    </row>
    <row r="1607" spans="1:16" x14ac:dyDescent="0.3">
      <c r="A1607" t="s">
        <v>8</v>
      </c>
      <c r="C1607">
        <v>60</v>
      </c>
      <c r="D1607" t="s">
        <v>10</v>
      </c>
      <c r="F1607" s="43">
        <v>44926.5</v>
      </c>
      <c r="G1607" s="43">
        <v>44926.541666666664</v>
      </c>
      <c r="H1607">
        <v>12</v>
      </c>
      <c r="I1607">
        <v>0</v>
      </c>
      <c r="J1607">
        <v>13</v>
      </c>
      <c r="K1607">
        <v>0</v>
      </c>
      <c r="L1607">
        <v>2022</v>
      </c>
      <c r="N1607" t="s">
        <v>47</v>
      </c>
      <c r="O1607" t="s">
        <v>47</v>
      </c>
      <c r="P1607" t="s">
        <v>6453</v>
      </c>
    </row>
    <row r="1608" spans="1:16" x14ac:dyDescent="0.3">
      <c r="A1608" t="s">
        <v>6454</v>
      </c>
      <c r="C1608">
        <v>75</v>
      </c>
      <c r="D1608" t="s">
        <v>10</v>
      </c>
      <c r="F1608" s="43">
        <v>44925.78125</v>
      </c>
      <c r="G1608" s="43">
        <v>44925.833333333336</v>
      </c>
      <c r="H1608">
        <v>18</v>
      </c>
      <c r="I1608">
        <v>45</v>
      </c>
      <c r="J1608">
        <v>20</v>
      </c>
      <c r="K1608">
        <v>0</v>
      </c>
      <c r="L1608">
        <v>2022</v>
      </c>
      <c r="N1608" t="s">
        <v>47</v>
      </c>
      <c r="O1608" t="s">
        <v>47</v>
      </c>
      <c r="P1608" t="s">
        <v>6455</v>
      </c>
    </row>
    <row r="1609" spans="1:16" x14ac:dyDescent="0.3">
      <c r="A1609" t="s">
        <v>4790</v>
      </c>
      <c r="C1609">
        <v>30</v>
      </c>
      <c r="D1609" t="s">
        <v>10</v>
      </c>
      <c r="F1609" s="43">
        <v>44925.416666666664</v>
      </c>
      <c r="G1609" s="43">
        <v>44925.4375</v>
      </c>
      <c r="H1609">
        <v>10</v>
      </c>
      <c r="I1609">
        <v>0</v>
      </c>
      <c r="J1609">
        <v>10</v>
      </c>
      <c r="K1609">
        <v>30</v>
      </c>
      <c r="L1609">
        <v>2022</v>
      </c>
      <c r="N1609" t="s">
        <v>47</v>
      </c>
      <c r="O1609" t="s">
        <v>47</v>
      </c>
      <c r="P1609" t="s">
        <v>6448</v>
      </c>
    </row>
    <row r="1610" spans="1:16" x14ac:dyDescent="0.3">
      <c r="A1610" t="s">
        <v>6442</v>
      </c>
      <c r="C1610">
        <v>60</v>
      </c>
      <c r="D1610" t="s">
        <v>10</v>
      </c>
      <c r="E1610" t="s">
        <v>6443</v>
      </c>
      <c r="F1610" s="43">
        <v>44925.375</v>
      </c>
      <c r="G1610" s="43">
        <v>44925.416666666664</v>
      </c>
      <c r="H1610">
        <v>9</v>
      </c>
      <c r="I1610">
        <v>0</v>
      </c>
      <c r="J1610">
        <v>10</v>
      </c>
      <c r="K1610">
        <v>0</v>
      </c>
      <c r="L1610">
        <v>2022</v>
      </c>
      <c r="N1610" t="s">
        <v>87</v>
      </c>
      <c r="O1610" t="s">
        <v>73</v>
      </c>
      <c r="P1610" t="s">
        <v>6444</v>
      </c>
    </row>
    <row r="1611" spans="1:16" x14ac:dyDescent="0.3">
      <c r="A1611" t="s">
        <v>166</v>
      </c>
      <c r="C1611">
        <v>90</v>
      </c>
      <c r="D1611" t="s">
        <v>10</v>
      </c>
      <c r="F1611" s="43">
        <v>44925.25</v>
      </c>
      <c r="G1611" s="43">
        <v>44925.3125</v>
      </c>
      <c r="H1611">
        <v>6</v>
      </c>
      <c r="I1611">
        <v>0</v>
      </c>
      <c r="J1611">
        <v>7</v>
      </c>
      <c r="K1611">
        <v>30</v>
      </c>
      <c r="L1611">
        <v>2022</v>
      </c>
      <c r="N1611" t="s">
        <v>47</v>
      </c>
      <c r="O1611" t="s">
        <v>47</v>
      </c>
      <c r="P1611" t="s">
        <v>6445</v>
      </c>
    </row>
    <row r="1612" spans="1:16" x14ac:dyDescent="0.3">
      <c r="A1612" t="s">
        <v>6385</v>
      </c>
      <c r="C1612">
        <v>90</v>
      </c>
      <c r="D1612" t="s">
        <v>10</v>
      </c>
      <c r="F1612" s="43">
        <v>44924.729166666664</v>
      </c>
      <c r="G1612" s="43">
        <v>44924.791666666664</v>
      </c>
      <c r="H1612">
        <v>17</v>
      </c>
      <c r="I1612">
        <v>30</v>
      </c>
      <c r="J1612">
        <v>19</v>
      </c>
      <c r="K1612">
        <v>0</v>
      </c>
      <c r="L1612">
        <v>2022</v>
      </c>
      <c r="N1612" t="s">
        <v>47</v>
      </c>
      <c r="O1612" t="s">
        <v>47</v>
      </c>
      <c r="P1612" t="s">
        <v>6446</v>
      </c>
    </row>
    <row r="1613" spans="1:16" x14ac:dyDescent="0.3">
      <c r="A1613" t="s">
        <v>166</v>
      </c>
      <c r="C1613">
        <v>30</v>
      </c>
      <c r="D1613" t="s">
        <v>10</v>
      </c>
      <c r="F1613" s="43">
        <v>44924.652777777781</v>
      </c>
      <c r="G1613" s="43">
        <v>44924.673611111109</v>
      </c>
      <c r="H1613">
        <v>15</v>
      </c>
      <c r="I1613">
        <v>40</v>
      </c>
      <c r="J1613">
        <v>16</v>
      </c>
      <c r="K1613">
        <v>10</v>
      </c>
      <c r="L1613">
        <v>2022</v>
      </c>
      <c r="N1613" t="s">
        <v>47</v>
      </c>
      <c r="O1613" t="s">
        <v>47</v>
      </c>
      <c r="P1613" t="s">
        <v>6447</v>
      </c>
    </row>
    <row r="1614" spans="1:16" x14ac:dyDescent="0.3">
      <c r="A1614" t="s">
        <v>6438</v>
      </c>
      <c r="C1614">
        <v>75</v>
      </c>
      <c r="D1614" t="s">
        <v>10</v>
      </c>
      <c r="F1614" s="43">
        <v>44924.416666666664</v>
      </c>
      <c r="G1614" s="43">
        <v>44924.46875</v>
      </c>
      <c r="H1614">
        <v>10</v>
      </c>
      <c r="I1614">
        <v>0</v>
      </c>
      <c r="J1614">
        <v>11</v>
      </c>
      <c r="K1614">
        <v>15</v>
      </c>
      <c r="L1614">
        <v>2022</v>
      </c>
      <c r="N1614" t="s">
        <v>47</v>
      </c>
      <c r="O1614" t="s">
        <v>47</v>
      </c>
      <c r="P1614" t="s">
        <v>6439</v>
      </c>
    </row>
    <row r="1615" spans="1:16" x14ac:dyDescent="0.3">
      <c r="A1615" t="s">
        <v>166</v>
      </c>
      <c r="C1615">
        <v>100</v>
      </c>
      <c r="D1615" t="s">
        <v>10</v>
      </c>
      <c r="F1615" s="43">
        <v>44923.708333333336</v>
      </c>
      <c r="G1615" s="43">
        <v>44923.777777777781</v>
      </c>
      <c r="H1615">
        <v>17</v>
      </c>
      <c r="I1615">
        <v>0</v>
      </c>
      <c r="J1615">
        <v>18</v>
      </c>
      <c r="K1615">
        <v>40</v>
      </c>
      <c r="L1615">
        <v>2022</v>
      </c>
      <c r="N1615" t="s">
        <v>47</v>
      </c>
      <c r="O1615" t="s">
        <v>47</v>
      </c>
      <c r="P1615" t="s">
        <v>6440</v>
      </c>
    </row>
    <row r="1616" spans="1:16" x14ac:dyDescent="0.3">
      <c r="A1616" t="s">
        <v>166</v>
      </c>
      <c r="C1616">
        <v>45</v>
      </c>
      <c r="D1616" t="s">
        <v>10</v>
      </c>
      <c r="F1616" s="43">
        <v>44923.666666666664</v>
      </c>
      <c r="G1616" s="43">
        <v>44923.697916666664</v>
      </c>
      <c r="H1616">
        <v>16</v>
      </c>
      <c r="I1616">
        <v>0</v>
      </c>
      <c r="J1616">
        <v>16</v>
      </c>
      <c r="K1616">
        <v>45</v>
      </c>
      <c r="L1616">
        <v>2022</v>
      </c>
      <c r="N1616" t="s">
        <v>47</v>
      </c>
      <c r="O1616" t="s">
        <v>47</v>
      </c>
      <c r="P1616" t="s">
        <v>6441</v>
      </c>
    </row>
    <row r="1617" spans="1:16" x14ac:dyDescent="0.3">
      <c r="A1617" t="s">
        <v>166</v>
      </c>
      <c r="C1617">
        <v>45</v>
      </c>
      <c r="D1617" t="s">
        <v>10</v>
      </c>
      <c r="F1617" s="43">
        <v>44923.541666666664</v>
      </c>
      <c r="G1617" s="43">
        <v>44923.572916666664</v>
      </c>
      <c r="H1617">
        <v>13</v>
      </c>
      <c r="I1617">
        <v>0</v>
      </c>
      <c r="J1617">
        <v>13</v>
      </c>
      <c r="K1617">
        <v>45</v>
      </c>
      <c r="L1617">
        <v>2022</v>
      </c>
      <c r="N1617" t="s">
        <v>47</v>
      </c>
      <c r="O1617" t="s">
        <v>47</v>
      </c>
      <c r="P1617" t="s">
        <v>6437</v>
      </c>
    </row>
    <row r="1618" spans="1:16" x14ac:dyDescent="0.3">
      <c r="A1618" t="s">
        <v>166</v>
      </c>
      <c r="C1618">
        <v>60</v>
      </c>
      <c r="D1618" t="s">
        <v>10</v>
      </c>
      <c r="F1618" s="43">
        <v>44923.416666666664</v>
      </c>
      <c r="G1618" s="43">
        <v>44923.458333333336</v>
      </c>
      <c r="H1618">
        <v>10</v>
      </c>
      <c r="I1618">
        <v>0</v>
      </c>
      <c r="J1618">
        <v>11</v>
      </c>
      <c r="K1618">
        <v>0</v>
      </c>
      <c r="L1618">
        <v>2022</v>
      </c>
      <c r="N1618" t="s">
        <v>47</v>
      </c>
      <c r="O1618" t="s">
        <v>47</v>
      </c>
      <c r="P1618" t="s">
        <v>6427</v>
      </c>
    </row>
    <row r="1619" spans="1:16" x14ac:dyDescent="0.3">
      <c r="A1619" t="s">
        <v>166</v>
      </c>
      <c r="C1619">
        <v>30</v>
      </c>
      <c r="D1619" t="s">
        <v>10</v>
      </c>
      <c r="F1619" s="43">
        <v>44922.854166666664</v>
      </c>
      <c r="G1619" s="43">
        <v>44922.875</v>
      </c>
      <c r="H1619">
        <v>20</v>
      </c>
      <c r="I1619">
        <v>30</v>
      </c>
      <c r="J1619">
        <v>21</v>
      </c>
      <c r="K1619">
        <v>0</v>
      </c>
      <c r="L1619">
        <v>2022</v>
      </c>
      <c r="N1619" t="s">
        <v>47</v>
      </c>
      <c r="O1619" t="s">
        <v>47</v>
      </c>
      <c r="P1619" t="s">
        <v>6428</v>
      </c>
    </row>
    <row r="1620" spans="1:16" x14ac:dyDescent="0.3">
      <c r="A1620" t="s">
        <v>166</v>
      </c>
      <c r="C1620">
        <v>60</v>
      </c>
      <c r="D1620" t="s">
        <v>10</v>
      </c>
      <c r="F1620" s="43">
        <v>44922.666666666664</v>
      </c>
      <c r="G1620" s="43">
        <v>44922.708333333336</v>
      </c>
      <c r="H1620">
        <v>16</v>
      </c>
      <c r="I1620">
        <v>0</v>
      </c>
      <c r="J1620">
        <v>17</v>
      </c>
      <c r="K1620">
        <v>0</v>
      </c>
      <c r="L1620">
        <v>2022</v>
      </c>
      <c r="N1620" t="s">
        <v>47</v>
      </c>
      <c r="O1620" t="s">
        <v>47</v>
      </c>
      <c r="P1620" t="s">
        <v>6429</v>
      </c>
    </row>
    <row r="1621" spans="1:16" x14ac:dyDescent="0.3">
      <c r="A1621" t="s">
        <v>166</v>
      </c>
      <c r="C1621">
        <v>75</v>
      </c>
      <c r="D1621" t="s">
        <v>10</v>
      </c>
      <c r="F1621" s="43">
        <v>44922.5625</v>
      </c>
      <c r="G1621" s="43">
        <v>44922.614583333336</v>
      </c>
      <c r="H1621">
        <v>13</v>
      </c>
      <c r="I1621">
        <v>30</v>
      </c>
      <c r="J1621">
        <v>14</v>
      </c>
      <c r="K1621">
        <v>45</v>
      </c>
      <c r="L1621">
        <v>2022</v>
      </c>
      <c r="N1621" t="s">
        <v>47</v>
      </c>
      <c r="O1621" t="s">
        <v>47</v>
      </c>
      <c r="P1621" t="s">
        <v>6430</v>
      </c>
    </row>
    <row r="1622" spans="1:16" x14ac:dyDescent="0.3">
      <c r="A1622" t="s">
        <v>166</v>
      </c>
      <c r="C1622">
        <v>60</v>
      </c>
      <c r="D1622" t="s">
        <v>10</v>
      </c>
      <c r="F1622" s="43">
        <v>44922.395833333336</v>
      </c>
      <c r="G1622" s="43">
        <v>44922.4375</v>
      </c>
      <c r="H1622">
        <v>9</v>
      </c>
      <c r="I1622">
        <v>30</v>
      </c>
      <c r="J1622">
        <v>10</v>
      </c>
      <c r="K1622">
        <v>30</v>
      </c>
      <c r="L1622">
        <v>2022</v>
      </c>
      <c r="N1622" t="s">
        <v>47</v>
      </c>
      <c r="O1622" t="s">
        <v>47</v>
      </c>
      <c r="P1622" t="s">
        <v>6431</v>
      </c>
    </row>
    <row r="1623" spans="1:16" x14ac:dyDescent="0.3">
      <c r="A1623" t="s">
        <v>166</v>
      </c>
      <c r="C1623">
        <v>30</v>
      </c>
      <c r="D1623" t="s">
        <v>10</v>
      </c>
      <c r="F1623" s="43">
        <v>44921.854166666664</v>
      </c>
      <c r="G1623" s="43">
        <v>44921.875</v>
      </c>
      <c r="H1623">
        <v>20</v>
      </c>
      <c r="I1623">
        <v>30</v>
      </c>
      <c r="J1623">
        <v>21</v>
      </c>
      <c r="K1623">
        <v>0</v>
      </c>
      <c r="L1623">
        <v>2022</v>
      </c>
      <c r="N1623" t="s">
        <v>47</v>
      </c>
      <c r="O1623" t="s">
        <v>47</v>
      </c>
      <c r="P1623" t="s">
        <v>6432</v>
      </c>
    </row>
    <row r="1624" spans="1:16" x14ac:dyDescent="0.3">
      <c r="A1624" t="s">
        <v>6433</v>
      </c>
      <c r="C1624">
        <v>30</v>
      </c>
      <c r="D1624" t="s">
        <v>10</v>
      </c>
      <c r="F1624" s="43">
        <v>44921.729166666664</v>
      </c>
      <c r="G1624" s="43">
        <v>44921.75</v>
      </c>
      <c r="H1624">
        <v>17</v>
      </c>
      <c r="I1624">
        <v>30</v>
      </c>
      <c r="J1624">
        <v>18</v>
      </c>
      <c r="K1624">
        <v>0</v>
      </c>
      <c r="L1624">
        <v>2022</v>
      </c>
      <c r="N1624" t="s">
        <v>47</v>
      </c>
      <c r="O1624" t="s">
        <v>47</v>
      </c>
      <c r="P1624" t="s">
        <v>6434</v>
      </c>
    </row>
    <row r="1625" spans="1:16" x14ac:dyDescent="0.3">
      <c r="A1625" t="s">
        <v>6435</v>
      </c>
      <c r="C1625">
        <v>60</v>
      </c>
      <c r="D1625" t="s">
        <v>10</v>
      </c>
      <c r="F1625" s="43">
        <v>44921.604166666664</v>
      </c>
      <c r="G1625" s="43">
        <v>44921.645833333336</v>
      </c>
      <c r="H1625">
        <v>14</v>
      </c>
      <c r="I1625">
        <v>30</v>
      </c>
      <c r="J1625">
        <v>15</v>
      </c>
      <c r="K1625">
        <v>30</v>
      </c>
      <c r="L1625">
        <v>2022</v>
      </c>
      <c r="N1625" t="s">
        <v>47</v>
      </c>
      <c r="O1625" t="s">
        <v>47</v>
      </c>
      <c r="P1625" t="s">
        <v>6436</v>
      </c>
    </row>
    <row r="1626" spans="1:16" x14ac:dyDescent="0.3">
      <c r="A1626" t="s">
        <v>166</v>
      </c>
      <c r="C1626">
        <v>30</v>
      </c>
      <c r="D1626" t="s">
        <v>10</v>
      </c>
      <c r="F1626" s="43">
        <v>44921.375</v>
      </c>
      <c r="G1626" s="43">
        <v>44921.395833333336</v>
      </c>
      <c r="H1626">
        <v>9</v>
      </c>
      <c r="I1626">
        <v>0</v>
      </c>
      <c r="J1626">
        <v>9</v>
      </c>
      <c r="K1626">
        <v>30</v>
      </c>
      <c r="L1626">
        <v>2022</v>
      </c>
      <c r="N1626" t="s">
        <v>47</v>
      </c>
      <c r="O1626" t="s">
        <v>47</v>
      </c>
      <c r="P1626" t="s">
        <v>6426</v>
      </c>
    </row>
    <row r="1627" spans="1:16" x14ac:dyDescent="0.3">
      <c r="A1627" t="s">
        <v>166</v>
      </c>
      <c r="C1627">
        <v>30</v>
      </c>
      <c r="D1627" t="s">
        <v>10</v>
      </c>
      <c r="F1627" s="43">
        <v>44920.833333333336</v>
      </c>
      <c r="G1627" s="43">
        <v>44920.854166666664</v>
      </c>
      <c r="H1627">
        <v>20</v>
      </c>
      <c r="I1627">
        <v>0</v>
      </c>
      <c r="J1627">
        <v>20</v>
      </c>
      <c r="K1627">
        <v>30</v>
      </c>
      <c r="L1627">
        <v>2022</v>
      </c>
      <c r="N1627" t="s">
        <v>47</v>
      </c>
      <c r="O1627" t="s">
        <v>47</v>
      </c>
      <c r="P1627" t="s">
        <v>6383</v>
      </c>
    </row>
    <row r="1628" spans="1:16" x14ac:dyDescent="0.3">
      <c r="A1628" t="s">
        <v>166</v>
      </c>
      <c r="C1628">
        <v>30</v>
      </c>
      <c r="D1628" t="s">
        <v>10</v>
      </c>
      <c r="F1628" s="43">
        <v>44920.739583333336</v>
      </c>
      <c r="G1628" s="43">
        <v>44920.760416666664</v>
      </c>
      <c r="H1628">
        <v>17</v>
      </c>
      <c r="I1628">
        <v>45</v>
      </c>
      <c r="J1628">
        <v>18</v>
      </c>
      <c r="K1628">
        <v>15</v>
      </c>
      <c r="L1628">
        <v>2022</v>
      </c>
      <c r="N1628" t="s">
        <v>47</v>
      </c>
      <c r="O1628" t="s">
        <v>47</v>
      </c>
      <c r="P1628" t="s">
        <v>6384</v>
      </c>
    </row>
    <row r="1629" spans="1:16" x14ac:dyDescent="0.3">
      <c r="A1629" t="s">
        <v>6385</v>
      </c>
      <c r="C1629">
        <v>30</v>
      </c>
      <c r="D1629" t="s">
        <v>10</v>
      </c>
      <c r="F1629" s="43">
        <v>44920.6875</v>
      </c>
      <c r="G1629" s="43">
        <v>44920.708333333336</v>
      </c>
      <c r="H1629">
        <v>16</v>
      </c>
      <c r="I1629">
        <v>30</v>
      </c>
      <c r="J1629">
        <v>17</v>
      </c>
      <c r="K1629">
        <v>0</v>
      </c>
      <c r="L1629">
        <v>2022</v>
      </c>
      <c r="N1629" t="s">
        <v>47</v>
      </c>
      <c r="O1629" t="s">
        <v>47</v>
      </c>
      <c r="P1629" t="s">
        <v>6386</v>
      </c>
    </row>
    <row r="1630" spans="1:16" x14ac:dyDescent="0.3">
      <c r="A1630" t="s">
        <v>166</v>
      </c>
      <c r="C1630">
        <v>60</v>
      </c>
      <c r="D1630" t="s">
        <v>10</v>
      </c>
      <c r="F1630" s="43">
        <v>44920.604166666664</v>
      </c>
      <c r="G1630" s="43">
        <v>44920.645833333336</v>
      </c>
      <c r="H1630">
        <v>14</v>
      </c>
      <c r="I1630">
        <v>30</v>
      </c>
      <c r="J1630">
        <v>15</v>
      </c>
      <c r="K1630">
        <v>30</v>
      </c>
      <c r="L1630">
        <v>2022</v>
      </c>
      <c r="N1630" t="s">
        <v>47</v>
      </c>
      <c r="O1630" t="s">
        <v>47</v>
      </c>
      <c r="P1630" t="s">
        <v>6387</v>
      </c>
    </row>
    <row r="1631" spans="1:16" x14ac:dyDescent="0.3">
      <c r="A1631" t="s">
        <v>166</v>
      </c>
      <c r="C1631">
        <v>30</v>
      </c>
      <c r="D1631" t="s">
        <v>10</v>
      </c>
      <c r="F1631" s="43">
        <v>44920.541666666664</v>
      </c>
      <c r="G1631" s="43">
        <v>44920.5625</v>
      </c>
      <c r="H1631">
        <v>13</v>
      </c>
      <c r="I1631">
        <v>0</v>
      </c>
      <c r="J1631">
        <v>13</v>
      </c>
      <c r="K1631">
        <v>30</v>
      </c>
      <c r="L1631">
        <v>2022</v>
      </c>
      <c r="N1631" t="s">
        <v>47</v>
      </c>
      <c r="O1631" t="s">
        <v>47</v>
      </c>
      <c r="P1631" t="s">
        <v>6388</v>
      </c>
    </row>
    <row r="1632" spans="1:16" x14ac:dyDescent="0.3">
      <c r="A1632" t="s">
        <v>6389</v>
      </c>
      <c r="C1632">
        <v>60</v>
      </c>
      <c r="D1632" t="s">
        <v>10</v>
      </c>
      <c r="F1632" s="43">
        <v>44920.416666666664</v>
      </c>
      <c r="G1632" s="43">
        <v>44920.458333333336</v>
      </c>
      <c r="H1632">
        <v>10</v>
      </c>
      <c r="I1632">
        <v>0</v>
      </c>
      <c r="J1632">
        <v>11</v>
      </c>
      <c r="K1632">
        <v>0</v>
      </c>
      <c r="L1632">
        <v>2022</v>
      </c>
      <c r="N1632" t="s">
        <v>47</v>
      </c>
      <c r="O1632" t="s">
        <v>47</v>
      </c>
      <c r="P1632" t="s">
        <v>6390</v>
      </c>
    </row>
    <row r="1633" spans="1:18" x14ac:dyDescent="0.3">
      <c r="A1633" t="s">
        <v>166</v>
      </c>
      <c r="C1633">
        <v>90</v>
      </c>
      <c r="D1633" t="s">
        <v>10</v>
      </c>
      <c r="F1633" s="43">
        <v>44920.173611111109</v>
      </c>
      <c r="G1633" s="43">
        <v>44920.236111111109</v>
      </c>
      <c r="H1633">
        <v>4</v>
      </c>
      <c r="I1633">
        <v>10</v>
      </c>
      <c r="J1633">
        <v>5</v>
      </c>
      <c r="K1633">
        <v>40</v>
      </c>
      <c r="L1633">
        <v>2022</v>
      </c>
      <c r="N1633" t="s">
        <v>47</v>
      </c>
      <c r="O1633" t="s">
        <v>47</v>
      </c>
      <c r="P1633" t="s">
        <v>6391</v>
      </c>
    </row>
    <row r="1634" spans="1:18" x14ac:dyDescent="0.3">
      <c r="A1634" t="s">
        <v>166</v>
      </c>
      <c r="C1634">
        <v>30</v>
      </c>
      <c r="D1634" t="s">
        <v>10</v>
      </c>
      <c r="F1634" s="43">
        <v>44919.541666666664</v>
      </c>
      <c r="G1634" s="43">
        <v>44919.5625</v>
      </c>
      <c r="H1634">
        <v>13</v>
      </c>
      <c r="I1634">
        <v>0</v>
      </c>
      <c r="J1634">
        <v>13</v>
      </c>
      <c r="K1634">
        <v>30</v>
      </c>
      <c r="L1634">
        <v>2022</v>
      </c>
      <c r="N1634" t="s">
        <v>47</v>
      </c>
      <c r="O1634" t="s">
        <v>47</v>
      </c>
      <c r="P1634" t="s">
        <v>6392</v>
      </c>
    </row>
    <row r="1635" spans="1:18" x14ac:dyDescent="0.3">
      <c r="A1635" t="s">
        <v>166</v>
      </c>
      <c r="C1635">
        <v>30</v>
      </c>
      <c r="D1635" t="s">
        <v>10</v>
      </c>
      <c r="F1635" s="43">
        <v>44919.486111111109</v>
      </c>
      <c r="G1635" s="43">
        <v>44919.506944444445</v>
      </c>
      <c r="H1635">
        <v>11</v>
      </c>
      <c r="I1635">
        <v>40</v>
      </c>
      <c r="J1635">
        <v>12</v>
      </c>
      <c r="K1635">
        <v>10</v>
      </c>
      <c r="L1635">
        <v>2022</v>
      </c>
      <c r="N1635" t="s">
        <v>47</v>
      </c>
      <c r="O1635" t="s">
        <v>47</v>
      </c>
      <c r="P1635" t="s">
        <v>6393</v>
      </c>
    </row>
    <row r="1636" spans="1:18" x14ac:dyDescent="0.3">
      <c r="A1636" t="s">
        <v>5264</v>
      </c>
      <c r="C1636">
        <v>60</v>
      </c>
      <c r="D1636" t="s">
        <v>10</v>
      </c>
      <c r="F1636" s="43">
        <v>44919.416666666664</v>
      </c>
      <c r="G1636" s="43">
        <v>44919.458333333336</v>
      </c>
      <c r="H1636">
        <v>10</v>
      </c>
      <c r="I1636">
        <v>0</v>
      </c>
      <c r="J1636">
        <v>11</v>
      </c>
      <c r="K1636">
        <v>0</v>
      </c>
      <c r="L1636">
        <v>2022</v>
      </c>
      <c r="N1636" t="s">
        <v>47</v>
      </c>
      <c r="O1636" t="s">
        <v>47</v>
      </c>
      <c r="P1636" t="s">
        <v>6394</v>
      </c>
    </row>
    <row r="1637" spans="1:18" x14ac:dyDescent="0.3">
      <c r="A1637" t="s">
        <v>6395</v>
      </c>
      <c r="C1637">
        <v>90</v>
      </c>
      <c r="D1637" t="s">
        <v>10</v>
      </c>
      <c r="F1637" s="43">
        <v>44919.229166666664</v>
      </c>
      <c r="G1637" s="43">
        <v>44919.291666666664</v>
      </c>
      <c r="H1637">
        <v>5</v>
      </c>
      <c r="I1637">
        <v>30</v>
      </c>
      <c r="J1637">
        <v>7</v>
      </c>
      <c r="K1637">
        <v>0</v>
      </c>
      <c r="L1637">
        <v>2022</v>
      </c>
      <c r="N1637" t="s">
        <v>47</v>
      </c>
      <c r="O1637" t="s">
        <v>47</v>
      </c>
      <c r="P1637" t="s">
        <v>6396</v>
      </c>
      <c r="Q1637" t="s">
        <v>6</v>
      </c>
      <c r="R1637" s="41" t="s">
        <v>9112</v>
      </c>
    </row>
    <row r="1638" spans="1:18" x14ac:dyDescent="0.3">
      <c r="A1638" t="s">
        <v>6345</v>
      </c>
      <c r="C1638">
        <v>60</v>
      </c>
      <c r="D1638" t="s">
        <v>10</v>
      </c>
      <c r="F1638" s="43">
        <v>44918.770833333336</v>
      </c>
      <c r="G1638" s="43">
        <v>44918.8125</v>
      </c>
      <c r="H1638">
        <v>18</v>
      </c>
      <c r="I1638">
        <v>30</v>
      </c>
      <c r="J1638">
        <v>19</v>
      </c>
      <c r="K1638">
        <v>30</v>
      </c>
      <c r="L1638">
        <v>2022</v>
      </c>
      <c r="N1638" t="s">
        <v>47</v>
      </c>
      <c r="O1638" t="s">
        <v>47</v>
      </c>
      <c r="P1638" t="s">
        <v>6397</v>
      </c>
    </row>
    <row r="1639" spans="1:18" x14ac:dyDescent="0.3">
      <c r="A1639" t="s">
        <v>9</v>
      </c>
      <c r="C1639">
        <v>40</v>
      </c>
      <c r="D1639" t="s">
        <v>10</v>
      </c>
      <c r="F1639" s="43">
        <v>44918.708333333336</v>
      </c>
      <c r="G1639" s="43">
        <v>44918.736111111109</v>
      </c>
      <c r="H1639">
        <v>17</v>
      </c>
      <c r="I1639">
        <v>0</v>
      </c>
      <c r="J1639">
        <v>17</v>
      </c>
      <c r="K1639">
        <v>40</v>
      </c>
      <c r="L1639">
        <v>2022</v>
      </c>
      <c r="N1639" t="s">
        <v>47</v>
      </c>
      <c r="O1639" t="s">
        <v>47</v>
      </c>
      <c r="P1639" t="s">
        <v>6398</v>
      </c>
    </row>
    <row r="1640" spans="1:18" x14ac:dyDescent="0.3">
      <c r="A1640" t="s">
        <v>6345</v>
      </c>
      <c r="C1640">
        <v>30</v>
      </c>
      <c r="D1640" t="s">
        <v>10</v>
      </c>
      <c r="F1640" s="43">
        <v>44918.666666666664</v>
      </c>
      <c r="G1640" s="43">
        <v>44918.6875</v>
      </c>
      <c r="H1640">
        <v>16</v>
      </c>
      <c r="I1640">
        <v>0</v>
      </c>
      <c r="J1640">
        <v>16</v>
      </c>
      <c r="K1640">
        <v>30</v>
      </c>
      <c r="L1640">
        <v>2022</v>
      </c>
      <c r="N1640" t="s">
        <v>47</v>
      </c>
      <c r="O1640" t="s">
        <v>47</v>
      </c>
      <c r="P1640" t="s">
        <v>6399</v>
      </c>
    </row>
    <row r="1641" spans="1:18" x14ac:dyDescent="0.3">
      <c r="A1641" t="s">
        <v>6412</v>
      </c>
      <c r="C1641">
        <v>30</v>
      </c>
      <c r="D1641" t="s">
        <v>10</v>
      </c>
      <c r="E1641" t="s">
        <v>501</v>
      </c>
      <c r="F1641" s="43">
        <v>44918.583333333336</v>
      </c>
      <c r="G1641" s="43">
        <v>44918.604166666664</v>
      </c>
      <c r="H1641">
        <v>14</v>
      </c>
      <c r="I1641">
        <v>0</v>
      </c>
      <c r="J1641">
        <v>14</v>
      </c>
      <c r="K1641">
        <v>30</v>
      </c>
      <c r="L1641">
        <v>2022</v>
      </c>
      <c r="N1641" t="s">
        <v>6413</v>
      </c>
      <c r="O1641" t="s">
        <v>47</v>
      </c>
      <c r="P1641" t="s">
        <v>6414</v>
      </c>
    </row>
    <row r="1642" spans="1:18" x14ac:dyDescent="0.3">
      <c r="A1642" t="s">
        <v>6400</v>
      </c>
      <c r="C1642">
        <v>60</v>
      </c>
      <c r="D1642" t="s">
        <v>10</v>
      </c>
      <c r="F1642" s="43">
        <v>44918.5625</v>
      </c>
      <c r="G1642" s="43">
        <v>44918.604166666664</v>
      </c>
      <c r="H1642">
        <v>13</v>
      </c>
      <c r="I1642">
        <v>30</v>
      </c>
      <c r="J1642">
        <v>14</v>
      </c>
      <c r="K1642">
        <v>30</v>
      </c>
      <c r="L1642">
        <v>2022</v>
      </c>
      <c r="N1642" t="s">
        <v>47</v>
      </c>
      <c r="O1642" t="s">
        <v>47</v>
      </c>
      <c r="P1642" t="s">
        <v>6401</v>
      </c>
    </row>
    <row r="1643" spans="1:18" x14ac:dyDescent="0.3">
      <c r="A1643" t="s">
        <v>6345</v>
      </c>
      <c r="C1643">
        <v>84</v>
      </c>
      <c r="D1643" t="s">
        <v>10</v>
      </c>
      <c r="F1643" s="43">
        <v>44918.458333333336</v>
      </c>
      <c r="G1643" s="43">
        <v>44918.51666666667</v>
      </c>
      <c r="H1643">
        <v>11</v>
      </c>
      <c r="I1643">
        <v>0</v>
      </c>
      <c r="J1643">
        <v>12</v>
      </c>
      <c r="K1643">
        <v>24</v>
      </c>
      <c r="L1643">
        <v>2022</v>
      </c>
      <c r="N1643" t="s">
        <v>47</v>
      </c>
      <c r="O1643" t="s">
        <v>47</v>
      </c>
      <c r="P1643" t="s">
        <v>6402</v>
      </c>
    </row>
    <row r="1644" spans="1:18" x14ac:dyDescent="0.3">
      <c r="A1644" t="s">
        <v>6378</v>
      </c>
      <c r="C1644">
        <v>60</v>
      </c>
      <c r="D1644" t="s">
        <v>10</v>
      </c>
      <c r="F1644" s="43">
        <v>44918.333333333336</v>
      </c>
      <c r="G1644" s="43">
        <v>44918.375</v>
      </c>
      <c r="H1644">
        <v>8</v>
      </c>
      <c r="I1644">
        <v>0</v>
      </c>
      <c r="J1644">
        <v>9</v>
      </c>
      <c r="K1644">
        <v>0</v>
      </c>
      <c r="L1644">
        <v>2022</v>
      </c>
      <c r="N1644" t="s">
        <v>6379</v>
      </c>
      <c r="O1644" t="s">
        <v>6296</v>
      </c>
      <c r="P1644" t="s">
        <v>6380</v>
      </c>
    </row>
    <row r="1645" spans="1:18" x14ac:dyDescent="0.3">
      <c r="A1645" t="s">
        <v>6376</v>
      </c>
      <c r="C1645">
        <v>60</v>
      </c>
      <c r="D1645" t="s">
        <v>10</v>
      </c>
      <c r="E1645" t="s">
        <v>21</v>
      </c>
      <c r="F1645" s="43">
        <v>44918.291666666664</v>
      </c>
      <c r="G1645" s="43">
        <v>44918.333333333336</v>
      </c>
      <c r="H1645">
        <v>7</v>
      </c>
      <c r="I1645">
        <v>0</v>
      </c>
      <c r="J1645">
        <v>8</v>
      </c>
      <c r="K1645">
        <v>0</v>
      </c>
      <c r="L1645">
        <v>2022</v>
      </c>
      <c r="N1645" t="s">
        <v>4493</v>
      </c>
      <c r="O1645" t="s">
        <v>50</v>
      </c>
      <c r="P1645" t="s">
        <v>6377</v>
      </c>
    </row>
    <row r="1646" spans="1:18" x14ac:dyDescent="0.3">
      <c r="A1646" t="s">
        <v>6345</v>
      </c>
      <c r="C1646">
        <v>75</v>
      </c>
      <c r="D1646" t="s">
        <v>10</v>
      </c>
      <c r="F1646" s="43">
        <v>44918.208333333336</v>
      </c>
      <c r="G1646" s="43">
        <v>44918.260416666664</v>
      </c>
      <c r="H1646">
        <v>5</v>
      </c>
      <c r="I1646">
        <v>0</v>
      </c>
      <c r="J1646">
        <v>6</v>
      </c>
      <c r="K1646">
        <v>15</v>
      </c>
      <c r="L1646">
        <v>2022</v>
      </c>
      <c r="N1646" t="s">
        <v>47</v>
      </c>
      <c r="O1646" t="s">
        <v>47</v>
      </c>
      <c r="P1646" t="s">
        <v>6403</v>
      </c>
    </row>
    <row r="1647" spans="1:18" x14ac:dyDescent="0.3">
      <c r="A1647" t="s">
        <v>6345</v>
      </c>
      <c r="C1647">
        <v>45</v>
      </c>
      <c r="D1647" t="s">
        <v>10</v>
      </c>
      <c r="F1647" s="43">
        <v>44917.833333333336</v>
      </c>
      <c r="G1647" s="43">
        <v>44917.864583333336</v>
      </c>
      <c r="H1647">
        <v>20</v>
      </c>
      <c r="I1647">
        <v>0</v>
      </c>
      <c r="J1647">
        <v>20</v>
      </c>
      <c r="K1647">
        <v>45</v>
      </c>
      <c r="L1647">
        <v>2022</v>
      </c>
      <c r="N1647" t="s">
        <v>47</v>
      </c>
      <c r="O1647" t="s">
        <v>47</v>
      </c>
      <c r="P1647" t="s">
        <v>6404</v>
      </c>
    </row>
    <row r="1648" spans="1:18" x14ac:dyDescent="0.3">
      <c r="A1648" t="s">
        <v>6345</v>
      </c>
      <c r="C1648">
        <v>45</v>
      </c>
      <c r="D1648" t="s">
        <v>10</v>
      </c>
      <c r="F1648" s="1">
        <v>44917.760416666664</v>
      </c>
      <c r="G1648" s="1">
        <v>44917.791666666664</v>
      </c>
      <c r="H1648">
        <v>18</v>
      </c>
      <c r="I1648">
        <v>15</v>
      </c>
      <c r="J1648">
        <v>19</v>
      </c>
      <c r="K1648">
        <v>0</v>
      </c>
      <c r="L1648">
        <v>2022</v>
      </c>
      <c r="N1648" t="s">
        <v>47</v>
      </c>
      <c r="O1648" t="s">
        <v>47</v>
      </c>
      <c r="P1648" t="s">
        <v>6405</v>
      </c>
    </row>
    <row r="1649" spans="1:16" x14ac:dyDescent="0.3">
      <c r="A1649" t="s">
        <v>9</v>
      </c>
      <c r="C1649">
        <v>45</v>
      </c>
      <c r="D1649" t="s">
        <v>10</v>
      </c>
      <c r="F1649" s="43">
        <v>44917.708333333336</v>
      </c>
      <c r="G1649" s="43">
        <v>44917.739583333336</v>
      </c>
      <c r="H1649">
        <v>17</v>
      </c>
      <c r="I1649">
        <v>0</v>
      </c>
      <c r="J1649">
        <v>17</v>
      </c>
      <c r="K1649">
        <v>45</v>
      </c>
      <c r="L1649">
        <v>2022</v>
      </c>
      <c r="N1649" t="s">
        <v>47</v>
      </c>
      <c r="O1649" t="s">
        <v>47</v>
      </c>
      <c r="P1649" t="s">
        <v>6406</v>
      </c>
    </row>
    <row r="1650" spans="1:16" x14ac:dyDescent="0.3">
      <c r="A1650" t="s">
        <v>6345</v>
      </c>
      <c r="C1650">
        <v>90</v>
      </c>
      <c r="D1650" t="s">
        <v>10</v>
      </c>
      <c r="F1650" s="43">
        <v>44917.625</v>
      </c>
      <c r="G1650" s="43">
        <v>44917.6875</v>
      </c>
      <c r="H1650">
        <v>15</v>
      </c>
      <c r="I1650">
        <v>0</v>
      </c>
      <c r="J1650">
        <v>16</v>
      </c>
      <c r="K1650">
        <v>30</v>
      </c>
      <c r="L1650">
        <v>2022</v>
      </c>
      <c r="N1650" t="s">
        <v>47</v>
      </c>
      <c r="O1650" t="s">
        <v>47</v>
      </c>
      <c r="P1650" t="s">
        <v>6407</v>
      </c>
    </row>
    <row r="1651" spans="1:16" x14ac:dyDescent="0.3">
      <c r="A1651" t="s">
        <v>6345</v>
      </c>
      <c r="C1651">
        <v>45</v>
      </c>
      <c r="D1651" t="s">
        <v>10</v>
      </c>
      <c r="F1651" s="43">
        <v>44917.552083333336</v>
      </c>
      <c r="G1651" s="43">
        <v>44917.583333333336</v>
      </c>
      <c r="H1651">
        <v>13</v>
      </c>
      <c r="I1651">
        <v>15</v>
      </c>
      <c r="J1651">
        <v>14</v>
      </c>
      <c r="K1651">
        <v>0</v>
      </c>
      <c r="L1651">
        <v>2022</v>
      </c>
      <c r="N1651" t="s">
        <v>47</v>
      </c>
      <c r="O1651" t="s">
        <v>47</v>
      </c>
      <c r="P1651" t="s">
        <v>6408</v>
      </c>
    </row>
    <row r="1652" spans="1:16" x14ac:dyDescent="0.3">
      <c r="A1652" t="s">
        <v>6358</v>
      </c>
      <c r="C1652">
        <v>30</v>
      </c>
      <c r="D1652" t="s">
        <v>10</v>
      </c>
      <c r="E1652" t="s">
        <v>501</v>
      </c>
      <c r="F1652" s="43">
        <v>44917.479166666664</v>
      </c>
      <c r="G1652" s="43">
        <v>44917.5</v>
      </c>
      <c r="H1652">
        <v>11</v>
      </c>
      <c r="I1652">
        <v>30</v>
      </c>
      <c r="J1652">
        <v>12</v>
      </c>
      <c r="K1652">
        <v>0</v>
      </c>
      <c r="L1652">
        <v>2022</v>
      </c>
      <c r="N1652" t="s">
        <v>519</v>
      </c>
      <c r="O1652" t="s">
        <v>47</v>
      </c>
      <c r="P1652" t="s">
        <v>6359</v>
      </c>
    </row>
    <row r="1653" spans="1:16" x14ac:dyDescent="0.3">
      <c r="A1653" t="s">
        <v>6381</v>
      </c>
      <c r="C1653">
        <v>60</v>
      </c>
      <c r="D1653" t="s">
        <v>10</v>
      </c>
      <c r="E1653" t="s">
        <v>501</v>
      </c>
      <c r="F1653" s="43">
        <v>44917.416666666664</v>
      </c>
      <c r="G1653" s="43">
        <v>44917.458333333336</v>
      </c>
      <c r="H1653">
        <v>10</v>
      </c>
      <c r="I1653">
        <v>0</v>
      </c>
      <c r="J1653">
        <v>11</v>
      </c>
      <c r="K1653">
        <v>0</v>
      </c>
      <c r="L1653">
        <v>2022</v>
      </c>
      <c r="N1653" t="s">
        <v>1220</v>
      </c>
      <c r="O1653" t="s">
        <v>1134</v>
      </c>
      <c r="P1653" t="s">
        <v>6382</v>
      </c>
    </row>
    <row r="1654" spans="1:16" x14ac:dyDescent="0.3">
      <c r="A1654" t="s">
        <v>6352</v>
      </c>
      <c r="C1654">
        <v>45</v>
      </c>
      <c r="D1654" t="s">
        <v>10</v>
      </c>
      <c r="E1654" t="s">
        <v>6353</v>
      </c>
      <c r="F1654" s="43">
        <v>44917.333333333336</v>
      </c>
      <c r="G1654" s="43">
        <v>44917.364583333336</v>
      </c>
      <c r="H1654">
        <v>8</v>
      </c>
      <c r="I1654">
        <v>0</v>
      </c>
      <c r="J1654">
        <v>8</v>
      </c>
      <c r="K1654">
        <v>45</v>
      </c>
      <c r="L1654">
        <v>2022</v>
      </c>
      <c r="N1654" t="s">
        <v>4539</v>
      </c>
      <c r="O1654" t="s">
        <v>975</v>
      </c>
      <c r="P1654" t="s">
        <v>6354</v>
      </c>
    </row>
    <row r="1655" spans="1:16" x14ac:dyDescent="0.3">
      <c r="A1655" t="s">
        <v>8</v>
      </c>
      <c r="C1655">
        <v>30</v>
      </c>
      <c r="D1655" t="s">
        <v>10</v>
      </c>
      <c r="F1655" s="43">
        <v>44917.3125</v>
      </c>
      <c r="G1655" s="43">
        <v>44917.333333333336</v>
      </c>
      <c r="H1655">
        <v>7</v>
      </c>
      <c r="I1655">
        <v>30</v>
      </c>
      <c r="J1655">
        <v>8</v>
      </c>
      <c r="K1655">
        <v>0</v>
      </c>
      <c r="L1655">
        <v>2022</v>
      </c>
      <c r="N1655" t="s">
        <v>47</v>
      </c>
      <c r="O1655" t="s">
        <v>47</v>
      </c>
      <c r="P1655" t="s">
        <v>6409</v>
      </c>
    </row>
    <row r="1656" spans="1:16" x14ac:dyDescent="0.3">
      <c r="A1656" t="s">
        <v>1222</v>
      </c>
      <c r="C1656">
        <v>30</v>
      </c>
      <c r="D1656" t="s">
        <v>10</v>
      </c>
      <c r="F1656" s="43">
        <v>44917.25</v>
      </c>
      <c r="G1656" s="43">
        <v>44917.270833333336</v>
      </c>
      <c r="H1656">
        <v>6</v>
      </c>
      <c r="I1656">
        <v>0</v>
      </c>
      <c r="J1656">
        <v>6</v>
      </c>
      <c r="K1656">
        <v>30</v>
      </c>
      <c r="L1656">
        <v>2022</v>
      </c>
      <c r="N1656" t="s">
        <v>47</v>
      </c>
      <c r="O1656" t="s">
        <v>47</v>
      </c>
      <c r="P1656" t="s">
        <v>6410</v>
      </c>
    </row>
    <row r="1657" spans="1:16" x14ac:dyDescent="0.3">
      <c r="A1657" t="s">
        <v>6345</v>
      </c>
      <c r="C1657">
        <v>60</v>
      </c>
      <c r="D1657" t="s">
        <v>10</v>
      </c>
      <c r="F1657" s="43">
        <v>44917.208333333336</v>
      </c>
      <c r="G1657" s="43">
        <v>44917.25</v>
      </c>
      <c r="H1657">
        <v>5</v>
      </c>
      <c r="I1657">
        <v>0</v>
      </c>
      <c r="J1657">
        <v>6</v>
      </c>
      <c r="K1657">
        <v>0</v>
      </c>
      <c r="L1657">
        <v>2022</v>
      </c>
      <c r="N1657" t="s">
        <v>47</v>
      </c>
      <c r="O1657" t="s">
        <v>47</v>
      </c>
      <c r="P1657" t="s">
        <v>6411</v>
      </c>
    </row>
    <row r="1658" spans="1:16" x14ac:dyDescent="0.3">
      <c r="A1658" t="s">
        <v>6345</v>
      </c>
      <c r="C1658">
        <v>30</v>
      </c>
      <c r="D1658" t="s">
        <v>10</v>
      </c>
      <c r="F1658" s="43">
        <v>44916.854166666664</v>
      </c>
      <c r="G1658" s="43">
        <v>44916.875</v>
      </c>
      <c r="H1658">
        <v>20</v>
      </c>
      <c r="I1658">
        <v>30</v>
      </c>
      <c r="J1658">
        <v>21</v>
      </c>
      <c r="K1658">
        <v>0</v>
      </c>
      <c r="L1658">
        <v>2022</v>
      </c>
      <c r="N1658" t="s">
        <v>47</v>
      </c>
      <c r="O1658" t="s">
        <v>47</v>
      </c>
      <c r="P1658" t="s">
        <v>6417</v>
      </c>
    </row>
    <row r="1659" spans="1:16" x14ac:dyDescent="0.3">
      <c r="A1659" t="s">
        <v>6418</v>
      </c>
      <c r="C1659">
        <v>60</v>
      </c>
      <c r="D1659" t="s">
        <v>10</v>
      </c>
      <c r="F1659" s="43">
        <v>44916.708333333336</v>
      </c>
      <c r="G1659" s="43">
        <v>44916.75</v>
      </c>
      <c r="H1659">
        <v>17</v>
      </c>
      <c r="I1659">
        <v>0</v>
      </c>
      <c r="J1659">
        <v>18</v>
      </c>
      <c r="K1659">
        <v>0</v>
      </c>
      <c r="L1659">
        <v>2022</v>
      </c>
      <c r="N1659" t="s">
        <v>47</v>
      </c>
      <c r="O1659" t="s">
        <v>47</v>
      </c>
      <c r="P1659" t="s">
        <v>6419</v>
      </c>
    </row>
    <row r="1660" spans="1:16" x14ac:dyDescent="0.3">
      <c r="A1660" t="s">
        <v>8</v>
      </c>
      <c r="C1660">
        <v>30</v>
      </c>
      <c r="D1660" t="s">
        <v>10</v>
      </c>
      <c r="F1660" s="43">
        <v>44916.666666666664</v>
      </c>
      <c r="G1660" s="43">
        <v>44916.6875</v>
      </c>
      <c r="H1660">
        <v>16</v>
      </c>
      <c r="I1660">
        <v>0</v>
      </c>
      <c r="J1660">
        <v>16</v>
      </c>
      <c r="K1660">
        <v>30</v>
      </c>
      <c r="L1660">
        <v>2022</v>
      </c>
      <c r="N1660" t="s">
        <v>47</v>
      </c>
      <c r="O1660" t="s">
        <v>47</v>
      </c>
      <c r="P1660" t="s">
        <v>6422</v>
      </c>
    </row>
    <row r="1661" spans="1:16" x14ac:dyDescent="0.3">
      <c r="A1661" t="s">
        <v>9</v>
      </c>
      <c r="C1661">
        <v>45</v>
      </c>
      <c r="D1661" t="s">
        <v>10</v>
      </c>
      <c r="F1661" s="43">
        <v>44916.583333333336</v>
      </c>
      <c r="G1661" s="43">
        <v>44916.614583333336</v>
      </c>
      <c r="H1661">
        <v>14</v>
      </c>
      <c r="I1661">
        <v>0</v>
      </c>
      <c r="J1661">
        <v>14</v>
      </c>
      <c r="K1661">
        <v>45</v>
      </c>
      <c r="L1661">
        <v>2022</v>
      </c>
      <c r="N1661" t="s">
        <v>47</v>
      </c>
      <c r="O1661" t="s">
        <v>47</v>
      </c>
      <c r="P1661" t="s">
        <v>6423</v>
      </c>
    </row>
    <row r="1662" spans="1:16" x14ac:dyDescent="0.3">
      <c r="A1662" t="s">
        <v>6424</v>
      </c>
      <c r="C1662">
        <v>60</v>
      </c>
      <c r="D1662" t="s">
        <v>10</v>
      </c>
      <c r="F1662" s="43">
        <v>44916.541666666664</v>
      </c>
      <c r="G1662" s="43">
        <v>44916.583333333336</v>
      </c>
      <c r="H1662">
        <v>13</v>
      </c>
      <c r="I1662">
        <v>0</v>
      </c>
      <c r="J1662">
        <v>14</v>
      </c>
      <c r="K1662">
        <v>0</v>
      </c>
      <c r="L1662">
        <v>2022</v>
      </c>
      <c r="N1662" t="s">
        <v>47</v>
      </c>
      <c r="O1662" t="s">
        <v>47</v>
      </c>
      <c r="P1662" t="s">
        <v>6425</v>
      </c>
    </row>
    <row r="1663" spans="1:16" x14ac:dyDescent="0.3">
      <c r="A1663" t="s">
        <v>6415</v>
      </c>
      <c r="C1663">
        <v>60</v>
      </c>
      <c r="D1663" t="s">
        <v>10</v>
      </c>
      <c r="F1663" s="43">
        <v>44916.5</v>
      </c>
      <c r="G1663" s="43">
        <v>44916.541666666664</v>
      </c>
      <c r="H1663">
        <v>12</v>
      </c>
      <c r="I1663">
        <v>0</v>
      </c>
      <c r="J1663">
        <v>13</v>
      </c>
      <c r="K1663">
        <v>0</v>
      </c>
      <c r="L1663">
        <v>2022</v>
      </c>
      <c r="N1663" t="s">
        <v>4365</v>
      </c>
      <c r="O1663" t="s">
        <v>783</v>
      </c>
      <c r="P1663" t="s">
        <v>6416</v>
      </c>
    </row>
    <row r="1664" spans="1:16" x14ac:dyDescent="0.3">
      <c r="A1664" s="44" t="s">
        <v>4193</v>
      </c>
      <c r="C1664">
        <v>30</v>
      </c>
      <c r="D1664" t="s">
        <v>10</v>
      </c>
      <c r="F1664" s="43">
        <v>44916.479166666664</v>
      </c>
      <c r="G1664" s="43">
        <v>44916.5</v>
      </c>
      <c r="H1664">
        <v>11</v>
      </c>
      <c r="I1664">
        <v>30</v>
      </c>
      <c r="J1664">
        <v>12</v>
      </c>
      <c r="K1664">
        <v>0</v>
      </c>
      <c r="L1664">
        <v>2022</v>
      </c>
      <c r="N1664" t="s">
        <v>47</v>
      </c>
      <c r="O1664" t="s">
        <v>47</v>
      </c>
      <c r="P1664" t="s">
        <v>6351</v>
      </c>
    </row>
    <row r="1665" spans="1:16" x14ac:dyDescent="0.3">
      <c r="A1665" t="s">
        <v>6341</v>
      </c>
      <c r="C1665">
        <v>30</v>
      </c>
      <c r="D1665" t="s">
        <v>10</v>
      </c>
      <c r="E1665" t="s">
        <v>501</v>
      </c>
      <c r="F1665" s="43">
        <v>44916.458333333336</v>
      </c>
      <c r="G1665" s="43">
        <v>44916.479166666664</v>
      </c>
      <c r="H1665">
        <v>11</v>
      </c>
      <c r="I1665">
        <v>0</v>
      </c>
      <c r="J1665">
        <v>11</v>
      </c>
      <c r="K1665">
        <v>30</v>
      </c>
      <c r="L1665">
        <v>2022</v>
      </c>
      <c r="N1665" t="s">
        <v>6342</v>
      </c>
      <c r="O1665" t="s">
        <v>47</v>
      </c>
      <c r="P1665" t="s">
        <v>6343</v>
      </c>
    </row>
    <row r="1666" spans="1:16" x14ac:dyDescent="0.3">
      <c r="A1666" t="s">
        <v>6355</v>
      </c>
      <c r="C1666">
        <v>45</v>
      </c>
      <c r="D1666" t="s">
        <v>10</v>
      </c>
      <c r="F1666" s="43">
        <v>44916.416666666664</v>
      </c>
      <c r="G1666" s="43">
        <v>44916.447916666664</v>
      </c>
      <c r="H1666">
        <v>10</v>
      </c>
      <c r="I1666">
        <v>0</v>
      </c>
      <c r="J1666">
        <v>10</v>
      </c>
      <c r="K1666">
        <v>45</v>
      </c>
      <c r="L1666">
        <v>2022</v>
      </c>
      <c r="N1666" t="s">
        <v>47</v>
      </c>
      <c r="O1666" t="s">
        <v>47</v>
      </c>
      <c r="P1666" t="s">
        <v>6356</v>
      </c>
    </row>
    <row r="1667" spans="1:16" x14ac:dyDescent="0.3">
      <c r="A1667" t="s">
        <v>4440</v>
      </c>
      <c r="C1667">
        <v>40</v>
      </c>
      <c r="D1667" t="s">
        <v>10</v>
      </c>
      <c r="F1667" s="43">
        <v>44916.333333333336</v>
      </c>
      <c r="G1667" s="43">
        <v>44916.361111111109</v>
      </c>
      <c r="H1667">
        <v>8</v>
      </c>
      <c r="I1667">
        <v>0</v>
      </c>
      <c r="J1667">
        <v>8</v>
      </c>
      <c r="K1667">
        <v>40</v>
      </c>
      <c r="L1667">
        <v>2022</v>
      </c>
      <c r="N1667" t="s">
        <v>47</v>
      </c>
      <c r="O1667" t="s">
        <v>47</v>
      </c>
      <c r="P1667" t="s">
        <v>6357</v>
      </c>
    </row>
    <row r="1668" spans="1:16" x14ac:dyDescent="0.3">
      <c r="A1668" t="s">
        <v>1222</v>
      </c>
      <c r="C1668">
        <v>45</v>
      </c>
      <c r="D1668" t="s">
        <v>10</v>
      </c>
      <c r="F1668" s="43">
        <v>44916.260416666664</v>
      </c>
      <c r="G1668" s="43">
        <v>44916.291666666664</v>
      </c>
      <c r="H1668">
        <v>6</v>
      </c>
      <c r="I1668">
        <v>15</v>
      </c>
      <c r="J1668">
        <v>7</v>
      </c>
      <c r="K1668">
        <v>0</v>
      </c>
      <c r="L1668">
        <v>2022</v>
      </c>
      <c r="N1668" t="s">
        <v>47</v>
      </c>
      <c r="O1668" t="s">
        <v>47</v>
      </c>
      <c r="P1668" t="s">
        <v>6360</v>
      </c>
    </row>
    <row r="1669" spans="1:16" x14ac:dyDescent="0.3">
      <c r="A1669" t="s">
        <v>4440</v>
      </c>
      <c r="C1669">
        <v>45</v>
      </c>
      <c r="D1669" t="s">
        <v>10</v>
      </c>
      <c r="F1669" s="43">
        <v>44916.229166666664</v>
      </c>
      <c r="G1669" s="43">
        <v>44916.260416666664</v>
      </c>
      <c r="H1669">
        <v>5</v>
      </c>
      <c r="I1669">
        <v>30</v>
      </c>
      <c r="J1669">
        <v>6</v>
      </c>
      <c r="K1669">
        <v>15</v>
      </c>
      <c r="L1669">
        <v>2022</v>
      </c>
      <c r="N1669" t="s">
        <v>47</v>
      </c>
      <c r="O1669" t="s">
        <v>47</v>
      </c>
      <c r="P1669" t="s">
        <v>6361</v>
      </c>
    </row>
    <row r="1670" spans="1:16" x14ac:dyDescent="0.3">
      <c r="A1670" t="s">
        <v>1394</v>
      </c>
      <c r="C1670">
        <v>60</v>
      </c>
      <c r="D1670" t="s">
        <v>10</v>
      </c>
      <c r="F1670" s="43">
        <v>44915.819444444445</v>
      </c>
      <c r="G1670" s="43">
        <v>44915.861111111109</v>
      </c>
      <c r="H1670">
        <v>19</v>
      </c>
      <c r="I1670">
        <v>40</v>
      </c>
      <c r="J1670">
        <v>20</v>
      </c>
      <c r="K1670">
        <v>40</v>
      </c>
      <c r="L1670">
        <v>2022</v>
      </c>
      <c r="N1670" t="s">
        <v>47</v>
      </c>
      <c r="O1670" t="s">
        <v>47</v>
      </c>
      <c r="P1670" t="s">
        <v>6362</v>
      </c>
    </row>
    <row r="1671" spans="1:16" x14ac:dyDescent="0.3">
      <c r="A1671" t="s">
        <v>6420</v>
      </c>
      <c r="C1671">
        <v>90</v>
      </c>
      <c r="D1671" t="s">
        <v>10</v>
      </c>
      <c r="F1671" s="43">
        <v>44915.75</v>
      </c>
      <c r="G1671" s="43">
        <v>44915.8125</v>
      </c>
      <c r="H1671">
        <v>18</v>
      </c>
      <c r="I1671">
        <v>0</v>
      </c>
      <c r="J1671">
        <v>19</v>
      </c>
      <c r="K1671">
        <v>30</v>
      </c>
      <c r="L1671">
        <v>2022</v>
      </c>
      <c r="N1671" t="s">
        <v>47</v>
      </c>
      <c r="O1671" t="s">
        <v>47</v>
      </c>
      <c r="P1671" t="s">
        <v>6421</v>
      </c>
    </row>
    <row r="1672" spans="1:16" x14ac:dyDescent="0.3">
      <c r="A1672" t="s">
        <v>1394</v>
      </c>
      <c r="C1672">
        <v>30</v>
      </c>
      <c r="D1672" t="s">
        <v>10</v>
      </c>
      <c r="F1672" s="43">
        <v>44915.708333333336</v>
      </c>
      <c r="G1672" s="43">
        <v>44915.729166666664</v>
      </c>
      <c r="H1672">
        <v>17</v>
      </c>
      <c r="I1672">
        <v>0</v>
      </c>
      <c r="J1672">
        <v>17</v>
      </c>
      <c r="K1672">
        <v>30</v>
      </c>
      <c r="L1672">
        <v>2022</v>
      </c>
      <c r="N1672" t="s">
        <v>47</v>
      </c>
      <c r="O1672" t="s">
        <v>47</v>
      </c>
      <c r="P1672" t="s">
        <v>6363</v>
      </c>
    </row>
    <row r="1673" spans="1:16" x14ac:dyDescent="0.3">
      <c r="A1673" t="s">
        <v>4315</v>
      </c>
      <c r="C1673">
        <v>30</v>
      </c>
      <c r="D1673" t="s">
        <v>10</v>
      </c>
      <c r="F1673" s="43">
        <v>44915.666666666664</v>
      </c>
      <c r="G1673" s="43">
        <v>44915.6875</v>
      </c>
      <c r="H1673">
        <v>16</v>
      </c>
      <c r="I1673">
        <v>0</v>
      </c>
      <c r="J1673">
        <v>16</v>
      </c>
      <c r="K1673">
        <v>30</v>
      </c>
      <c r="L1673">
        <v>2022</v>
      </c>
      <c r="N1673" t="s">
        <v>47</v>
      </c>
      <c r="O1673" t="s">
        <v>47</v>
      </c>
      <c r="P1673" t="s">
        <v>6366</v>
      </c>
    </row>
    <row r="1674" spans="1:16" x14ac:dyDescent="0.3">
      <c r="A1674" t="s">
        <v>59</v>
      </c>
      <c r="C1674">
        <v>60</v>
      </c>
      <c r="D1674" t="s">
        <v>10</v>
      </c>
      <c r="F1674" s="43">
        <v>44915.604166666664</v>
      </c>
      <c r="G1674" s="43">
        <v>44915.645833333336</v>
      </c>
      <c r="H1674">
        <v>14</v>
      </c>
      <c r="I1674">
        <v>30</v>
      </c>
      <c r="J1674">
        <v>15</v>
      </c>
      <c r="K1674">
        <v>30</v>
      </c>
      <c r="L1674">
        <v>2022</v>
      </c>
      <c r="N1674" t="s">
        <v>47</v>
      </c>
      <c r="O1674" t="s">
        <v>47</v>
      </c>
      <c r="P1674" t="s">
        <v>6367</v>
      </c>
    </row>
    <row r="1675" spans="1:16" x14ac:dyDescent="0.3">
      <c r="A1675" t="s">
        <v>6364</v>
      </c>
      <c r="C1675">
        <v>120</v>
      </c>
      <c r="D1675" t="s">
        <v>10</v>
      </c>
      <c r="F1675" s="43">
        <v>44915.520833333336</v>
      </c>
      <c r="G1675" s="43">
        <v>44915.604166666664</v>
      </c>
      <c r="H1675">
        <v>12</v>
      </c>
      <c r="I1675">
        <v>30</v>
      </c>
      <c r="J1675">
        <v>14</v>
      </c>
      <c r="K1675">
        <v>30</v>
      </c>
      <c r="L1675">
        <v>2022</v>
      </c>
      <c r="N1675" t="s">
        <v>47</v>
      </c>
      <c r="O1675" t="s">
        <v>47</v>
      </c>
      <c r="P1675" t="s">
        <v>6365</v>
      </c>
    </row>
    <row r="1676" spans="1:16" x14ac:dyDescent="0.3">
      <c r="A1676" t="s">
        <v>1981</v>
      </c>
      <c r="C1676">
        <v>30</v>
      </c>
      <c r="D1676" t="s">
        <v>10</v>
      </c>
      <c r="F1676" s="43">
        <v>44915.489583333336</v>
      </c>
      <c r="G1676" s="43">
        <v>44915.510416666664</v>
      </c>
      <c r="H1676">
        <v>11</v>
      </c>
      <c r="I1676">
        <v>45</v>
      </c>
      <c r="J1676">
        <v>12</v>
      </c>
      <c r="K1676">
        <v>15</v>
      </c>
      <c r="L1676">
        <v>2022</v>
      </c>
      <c r="N1676" t="s">
        <v>47</v>
      </c>
      <c r="O1676" t="s">
        <v>47</v>
      </c>
      <c r="P1676" t="s">
        <v>6368</v>
      </c>
    </row>
    <row r="1677" spans="1:16" x14ac:dyDescent="0.3">
      <c r="A1677" t="s">
        <v>6336</v>
      </c>
      <c r="B1677" t="s">
        <v>20</v>
      </c>
      <c r="C1677">
        <v>45</v>
      </c>
      <c r="D1677" t="s">
        <v>10</v>
      </c>
      <c r="E1677" t="s">
        <v>6337</v>
      </c>
      <c r="F1677" s="43">
        <v>44915.458333333336</v>
      </c>
      <c r="G1677" s="43">
        <v>44915.489583333336</v>
      </c>
      <c r="H1677">
        <v>11</v>
      </c>
      <c r="I1677">
        <v>0</v>
      </c>
      <c r="J1677">
        <v>11</v>
      </c>
      <c r="K1677">
        <v>45</v>
      </c>
      <c r="L1677">
        <v>2022</v>
      </c>
      <c r="N1677" t="s">
        <v>6338</v>
      </c>
      <c r="O1677" t="s">
        <v>48</v>
      </c>
      <c r="P1677" t="s">
        <v>6339</v>
      </c>
    </row>
    <row r="1678" spans="1:16" x14ac:dyDescent="0.3">
      <c r="A1678" t="s">
        <v>2602</v>
      </c>
      <c r="C1678">
        <v>90</v>
      </c>
      <c r="D1678" t="s">
        <v>10</v>
      </c>
      <c r="F1678" s="43">
        <v>44915.375</v>
      </c>
      <c r="G1678" s="43">
        <v>44915.4375</v>
      </c>
      <c r="H1678">
        <v>9</v>
      </c>
      <c r="I1678">
        <v>0</v>
      </c>
      <c r="J1678">
        <v>10</v>
      </c>
      <c r="K1678">
        <v>30</v>
      </c>
      <c r="L1678">
        <v>2022</v>
      </c>
      <c r="N1678" t="s">
        <v>47</v>
      </c>
      <c r="O1678" t="s">
        <v>47</v>
      </c>
      <c r="P1678" t="s">
        <v>6374</v>
      </c>
    </row>
    <row r="1679" spans="1:16" x14ac:dyDescent="0.3">
      <c r="A1679" t="s">
        <v>1222</v>
      </c>
      <c r="C1679">
        <v>60</v>
      </c>
      <c r="D1679" t="s">
        <v>10</v>
      </c>
      <c r="F1679" s="43">
        <v>44915.333333333336</v>
      </c>
      <c r="G1679" s="43">
        <v>44915.375</v>
      </c>
      <c r="H1679">
        <v>8</v>
      </c>
      <c r="I1679">
        <v>0</v>
      </c>
      <c r="J1679">
        <v>9</v>
      </c>
      <c r="K1679">
        <v>0</v>
      </c>
      <c r="L1679">
        <v>2022</v>
      </c>
      <c r="N1679" t="s">
        <v>47</v>
      </c>
      <c r="O1679" t="s">
        <v>47</v>
      </c>
      <c r="P1679" t="s">
        <v>6375</v>
      </c>
    </row>
    <row r="1680" spans="1:16" x14ac:dyDescent="0.3">
      <c r="A1680" t="s">
        <v>8</v>
      </c>
      <c r="C1680">
        <v>60</v>
      </c>
      <c r="D1680" t="s">
        <v>10</v>
      </c>
      <c r="F1680" s="43">
        <v>44915.270833333336</v>
      </c>
      <c r="G1680" s="43">
        <v>44915.3125</v>
      </c>
      <c r="H1680">
        <v>6</v>
      </c>
      <c r="I1680">
        <v>30</v>
      </c>
      <c r="J1680">
        <v>7</v>
      </c>
      <c r="K1680">
        <v>30</v>
      </c>
      <c r="L1680">
        <v>2022</v>
      </c>
      <c r="N1680" t="s">
        <v>47</v>
      </c>
      <c r="O1680" t="s">
        <v>47</v>
      </c>
      <c r="P1680" t="s">
        <v>6344</v>
      </c>
    </row>
    <row r="1681" spans="1:18" x14ac:dyDescent="0.3">
      <c r="A1681" t="s">
        <v>6345</v>
      </c>
      <c r="C1681">
        <v>30</v>
      </c>
      <c r="D1681" t="s">
        <v>10</v>
      </c>
      <c r="F1681" s="43">
        <v>44914.847222222219</v>
      </c>
      <c r="G1681" s="43">
        <v>44914.868055555555</v>
      </c>
      <c r="H1681">
        <v>20</v>
      </c>
      <c r="I1681">
        <v>20</v>
      </c>
      <c r="J1681">
        <v>20</v>
      </c>
      <c r="K1681">
        <v>50</v>
      </c>
      <c r="L1681">
        <v>2022</v>
      </c>
      <c r="N1681" t="s">
        <v>47</v>
      </c>
      <c r="O1681" t="s">
        <v>47</v>
      </c>
      <c r="P1681" t="s">
        <v>6346</v>
      </c>
    </row>
    <row r="1682" spans="1:18" x14ac:dyDescent="0.3">
      <c r="A1682" t="s">
        <v>6345</v>
      </c>
      <c r="C1682">
        <v>50</v>
      </c>
      <c r="D1682" t="s">
        <v>10</v>
      </c>
      <c r="F1682" s="43">
        <v>44914.78125</v>
      </c>
      <c r="G1682" s="43">
        <v>44914.815972222219</v>
      </c>
      <c r="H1682">
        <v>18</v>
      </c>
      <c r="I1682">
        <v>45</v>
      </c>
      <c r="J1682">
        <v>19</v>
      </c>
      <c r="K1682">
        <v>35</v>
      </c>
      <c r="L1682">
        <v>2022</v>
      </c>
      <c r="N1682" t="s">
        <v>47</v>
      </c>
      <c r="O1682" t="s">
        <v>47</v>
      </c>
      <c r="P1682" t="s">
        <v>6347</v>
      </c>
    </row>
    <row r="1683" spans="1:18" x14ac:dyDescent="0.3">
      <c r="A1683" t="s">
        <v>6348</v>
      </c>
      <c r="C1683">
        <v>60</v>
      </c>
      <c r="D1683" t="s">
        <v>10</v>
      </c>
      <c r="F1683" s="43">
        <v>44914.708333333336</v>
      </c>
      <c r="G1683" s="43">
        <v>44914.75</v>
      </c>
      <c r="H1683">
        <v>17</v>
      </c>
      <c r="I1683">
        <v>0</v>
      </c>
      <c r="J1683">
        <v>18</v>
      </c>
      <c r="K1683">
        <v>0</v>
      </c>
      <c r="L1683">
        <v>2022</v>
      </c>
      <c r="N1683" t="s">
        <v>47</v>
      </c>
      <c r="O1683" t="s">
        <v>47</v>
      </c>
      <c r="P1683" t="s">
        <v>6349</v>
      </c>
    </row>
    <row r="1684" spans="1:18" x14ac:dyDescent="0.3">
      <c r="A1684" t="s">
        <v>23</v>
      </c>
      <c r="C1684">
        <v>45</v>
      </c>
      <c r="D1684" t="s">
        <v>10</v>
      </c>
      <c r="F1684" s="43">
        <v>44914.652777777781</v>
      </c>
      <c r="G1684" s="43">
        <v>44914.684027777781</v>
      </c>
      <c r="H1684">
        <v>15</v>
      </c>
      <c r="I1684">
        <v>40</v>
      </c>
      <c r="J1684">
        <v>16</v>
      </c>
      <c r="K1684">
        <v>25</v>
      </c>
      <c r="L1684">
        <v>2022</v>
      </c>
      <c r="N1684" t="s">
        <v>47</v>
      </c>
      <c r="O1684" t="s">
        <v>47</v>
      </c>
      <c r="P1684" t="s">
        <v>6350</v>
      </c>
    </row>
    <row r="1685" spans="1:18" x14ac:dyDescent="0.3">
      <c r="A1685" t="s">
        <v>6208</v>
      </c>
      <c r="C1685">
        <v>140</v>
      </c>
      <c r="D1685" t="s">
        <v>10</v>
      </c>
      <c r="F1685" s="43">
        <v>44914.520833333336</v>
      </c>
      <c r="G1685" s="43">
        <v>44914.618055555555</v>
      </c>
      <c r="H1685">
        <v>12</v>
      </c>
      <c r="I1685">
        <v>30</v>
      </c>
      <c r="J1685">
        <v>14</v>
      </c>
      <c r="K1685">
        <v>50</v>
      </c>
      <c r="L1685">
        <v>2022</v>
      </c>
      <c r="N1685" t="s">
        <v>47</v>
      </c>
      <c r="O1685" t="s">
        <v>47</v>
      </c>
      <c r="P1685" t="s">
        <v>6340</v>
      </c>
    </row>
    <row r="1686" spans="1:18" x14ac:dyDescent="0.3">
      <c r="A1686" t="s">
        <v>6208</v>
      </c>
      <c r="C1686">
        <v>60</v>
      </c>
      <c r="D1686" t="s">
        <v>10</v>
      </c>
      <c r="F1686" s="43">
        <v>44914.458333333336</v>
      </c>
      <c r="G1686" s="43">
        <v>44914.5</v>
      </c>
      <c r="H1686">
        <v>11</v>
      </c>
      <c r="I1686">
        <v>0</v>
      </c>
      <c r="J1686">
        <v>12</v>
      </c>
      <c r="K1686">
        <v>0</v>
      </c>
      <c r="L1686">
        <v>2022</v>
      </c>
      <c r="N1686" t="s">
        <v>47</v>
      </c>
      <c r="O1686" t="s">
        <v>47</v>
      </c>
      <c r="P1686" t="s">
        <v>6327</v>
      </c>
    </row>
    <row r="1687" spans="1:18" x14ac:dyDescent="0.3">
      <c r="A1687" t="s">
        <v>17</v>
      </c>
      <c r="C1687">
        <v>30</v>
      </c>
      <c r="D1687" t="s">
        <v>10</v>
      </c>
      <c r="F1687" s="43">
        <v>44914.4375</v>
      </c>
      <c r="G1687" s="43">
        <v>44914.458333333336</v>
      </c>
      <c r="H1687">
        <v>10</v>
      </c>
      <c r="I1687">
        <v>30</v>
      </c>
      <c r="J1687">
        <v>11</v>
      </c>
      <c r="K1687">
        <v>0</v>
      </c>
      <c r="L1687">
        <v>2022</v>
      </c>
      <c r="N1687" t="s">
        <v>47</v>
      </c>
      <c r="O1687" t="s">
        <v>47</v>
      </c>
      <c r="P1687" t="s">
        <v>6328</v>
      </c>
    </row>
    <row r="1688" spans="1:18" x14ac:dyDescent="0.3">
      <c r="A1688" t="s">
        <v>6208</v>
      </c>
      <c r="C1688">
        <v>60</v>
      </c>
      <c r="D1688" t="s">
        <v>10</v>
      </c>
      <c r="F1688" s="43">
        <v>44914.333333333336</v>
      </c>
      <c r="G1688" s="43">
        <v>44914.375</v>
      </c>
      <c r="H1688">
        <v>8</v>
      </c>
      <c r="I1688">
        <v>0</v>
      </c>
      <c r="J1688">
        <v>9</v>
      </c>
      <c r="K1688">
        <v>0</v>
      </c>
      <c r="L1688">
        <v>2022</v>
      </c>
      <c r="N1688" t="s">
        <v>47</v>
      </c>
      <c r="O1688" t="s">
        <v>47</v>
      </c>
      <c r="P1688" t="s">
        <v>6329</v>
      </c>
    </row>
    <row r="1689" spans="1:18" x14ac:dyDescent="0.3">
      <c r="A1689" t="s">
        <v>6330</v>
      </c>
      <c r="C1689">
        <v>21</v>
      </c>
      <c r="D1689" t="s">
        <v>10</v>
      </c>
      <c r="F1689" s="43">
        <v>44914.291666666664</v>
      </c>
      <c r="G1689" s="43">
        <v>44914.306250000001</v>
      </c>
      <c r="H1689">
        <v>7</v>
      </c>
      <c r="I1689">
        <v>0</v>
      </c>
      <c r="J1689">
        <v>7</v>
      </c>
      <c r="K1689">
        <v>21</v>
      </c>
      <c r="L1689">
        <v>2022</v>
      </c>
      <c r="N1689" t="s">
        <v>47</v>
      </c>
      <c r="O1689" t="s">
        <v>47</v>
      </c>
      <c r="P1689" t="s">
        <v>6331</v>
      </c>
      <c r="Q1689" t="s">
        <v>221</v>
      </c>
      <c r="R1689">
        <v>2791002964</v>
      </c>
    </row>
    <row r="1690" spans="1:18" x14ac:dyDescent="0.3">
      <c r="A1690" t="s">
        <v>6294</v>
      </c>
      <c r="C1690">
        <v>30</v>
      </c>
      <c r="D1690" t="s">
        <v>10</v>
      </c>
      <c r="F1690" s="43">
        <v>44914.270833333336</v>
      </c>
      <c r="G1690" s="43">
        <v>44914.291666666664</v>
      </c>
      <c r="H1690">
        <v>6</v>
      </c>
      <c r="I1690">
        <v>30</v>
      </c>
      <c r="J1690">
        <v>7</v>
      </c>
      <c r="K1690">
        <v>0</v>
      </c>
      <c r="L1690">
        <v>2022</v>
      </c>
      <c r="N1690" t="s">
        <v>6295</v>
      </c>
      <c r="O1690" t="s">
        <v>6296</v>
      </c>
      <c r="P1690" t="s">
        <v>6297</v>
      </c>
    </row>
    <row r="1691" spans="1:18" x14ac:dyDescent="0.3">
      <c r="A1691" t="s">
        <v>6208</v>
      </c>
      <c r="C1691">
        <v>60</v>
      </c>
      <c r="D1691" t="s">
        <v>10</v>
      </c>
      <c r="F1691" s="43">
        <v>44914.229166666664</v>
      </c>
      <c r="G1691" s="43">
        <v>44914.270833333336</v>
      </c>
      <c r="H1691">
        <v>5</v>
      </c>
      <c r="I1691">
        <v>30</v>
      </c>
      <c r="J1691">
        <v>6</v>
      </c>
      <c r="K1691">
        <v>30</v>
      </c>
      <c r="L1691">
        <v>2022</v>
      </c>
      <c r="N1691" t="s">
        <v>47</v>
      </c>
      <c r="O1691" t="s">
        <v>47</v>
      </c>
      <c r="P1691" t="s">
        <v>6332</v>
      </c>
      <c r="Q1691" t="s">
        <v>227</v>
      </c>
      <c r="R1691">
        <v>2791002964</v>
      </c>
    </row>
    <row r="1692" spans="1:18" x14ac:dyDescent="0.3">
      <c r="A1692" t="s">
        <v>6208</v>
      </c>
      <c r="C1692">
        <v>45</v>
      </c>
      <c r="D1692" t="s">
        <v>10</v>
      </c>
      <c r="F1692" s="43">
        <v>44913.708333333336</v>
      </c>
      <c r="G1692" s="43">
        <v>44913.739583333336</v>
      </c>
      <c r="H1692">
        <v>17</v>
      </c>
      <c r="I1692">
        <v>0</v>
      </c>
      <c r="J1692">
        <v>17</v>
      </c>
      <c r="K1692">
        <v>45</v>
      </c>
      <c r="L1692">
        <v>2022</v>
      </c>
      <c r="N1692" t="s">
        <v>47</v>
      </c>
      <c r="O1692" t="s">
        <v>47</v>
      </c>
      <c r="P1692" t="s">
        <v>6333</v>
      </c>
      <c r="Q1692" t="s">
        <v>227</v>
      </c>
      <c r="R1692">
        <v>556565656</v>
      </c>
    </row>
    <row r="1693" spans="1:18" x14ac:dyDescent="0.3">
      <c r="A1693" t="s">
        <v>6208</v>
      </c>
      <c r="C1693">
        <v>60</v>
      </c>
      <c r="D1693" t="s">
        <v>10</v>
      </c>
      <c r="F1693" s="43">
        <v>44913.645833333336</v>
      </c>
      <c r="G1693" s="43">
        <v>44913.6875</v>
      </c>
      <c r="H1693">
        <v>15</v>
      </c>
      <c r="I1693">
        <v>30</v>
      </c>
      <c r="J1693">
        <v>16</v>
      </c>
      <c r="K1693">
        <v>30</v>
      </c>
      <c r="L1693">
        <v>2022</v>
      </c>
      <c r="N1693" t="s">
        <v>47</v>
      </c>
      <c r="O1693" t="s">
        <v>47</v>
      </c>
      <c r="P1693" t="s">
        <v>6334</v>
      </c>
      <c r="Q1693" t="s">
        <v>6</v>
      </c>
      <c r="R1693">
        <v>2784118521</v>
      </c>
    </row>
    <row r="1694" spans="1:18" x14ac:dyDescent="0.3">
      <c r="A1694" t="s">
        <v>6208</v>
      </c>
      <c r="C1694">
        <v>120</v>
      </c>
      <c r="D1694" t="s">
        <v>10</v>
      </c>
      <c r="F1694" s="43">
        <v>44913.5</v>
      </c>
      <c r="G1694" s="43">
        <v>44913.583333333336</v>
      </c>
      <c r="H1694">
        <v>12</v>
      </c>
      <c r="I1694">
        <v>0</v>
      </c>
      <c r="J1694">
        <v>14</v>
      </c>
      <c r="K1694">
        <v>0</v>
      </c>
      <c r="L1694">
        <v>2022</v>
      </c>
      <c r="N1694" t="s">
        <v>47</v>
      </c>
      <c r="O1694" t="s">
        <v>47</v>
      </c>
      <c r="P1694" t="s">
        <v>6335</v>
      </c>
    </row>
    <row r="1695" spans="1:18" x14ac:dyDescent="0.3">
      <c r="A1695" t="s">
        <v>6208</v>
      </c>
      <c r="C1695">
        <v>60</v>
      </c>
      <c r="D1695" t="s">
        <v>10</v>
      </c>
      <c r="F1695" s="43">
        <v>44913.34375</v>
      </c>
      <c r="G1695" s="43">
        <v>44913.385416666664</v>
      </c>
      <c r="H1695">
        <v>8</v>
      </c>
      <c r="I1695">
        <v>15</v>
      </c>
      <c r="J1695">
        <v>9</v>
      </c>
      <c r="K1695">
        <v>15</v>
      </c>
      <c r="L1695">
        <v>2022</v>
      </c>
      <c r="N1695" t="s">
        <v>47</v>
      </c>
      <c r="O1695" t="s">
        <v>47</v>
      </c>
      <c r="P1695" t="s">
        <v>6277</v>
      </c>
    </row>
    <row r="1696" spans="1:18" x14ac:dyDescent="0.3">
      <c r="A1696" t="s">
        <v>6208</v>
      </c>
      <c r="C1696">
        <v>90</v>
      </c>
      <c r="D1696" t="s">
        <v>10</v>
      </c>
      <c r="F1696" s="43">
        <v>44913.229166666664</v>
      </c>
      <c r="G1696" s="43">
        <v>44913.291666666664</v>
      </c>
      <c r="H1696">
        <v>5</v>
      </c>
      <c r="I1696">
        <v>30</v>
      </c>
      <c r="J1696">
        <v>7</v>
      </c>
      <c r="K1696">
        <v>0</v>
      </c>
      <c r="L1696">
        <v>2022</v>
      </c>
      <c r="N1696" t="s">
        <v>47</v>
      </c>
      <c r="O1696" t="s">
        <v>47</v>
      </c>
      <c r="P1696" t="s">
        <v>6280</v>
      </c>
    </row>
    <row r="1697" spans="1:16" x14ac:dyDescent="0.3">
      <c r="A1697" t="s">
        <v>6278</v>
      </c>
      <c r="C1697">
        <v>30</v>
      </c>
      <c r="D1697" t="s">
        <v>10</v>
      </c>
      <c r="F1697" s="43">
        <v>44912.791666666664</v>
      </c>
      <c r="G1697" s="43">
        <v>44912.8125</v>
      </c>
      <c r="H1697">
        <v>19</v>
      </c>
      <c r="I1697">
        <v>0</v>
      </c>
      <c r="J1697">
        <v>19</v>
      </c>
      <c r="K1697">
        <v>30</v>
      </c>
      <c r="L1697">
        <v>2022</v>
      </c>
      <c r="N1697" t="s">
        <v>47</v>
      </c>
      <c r="O1697" t="s">
        <v>47</v>
      </c>
      <c r="P1697" t="s">
        <v>6279</v>
      </c>
    </row>
    <row r="1698" spans="1:16" x14ac:dyDescent="0.3">
      <c r="A1698" t="s">
        <v>6208</v>
      </c>
      <c r="C1698">
        <v>60</v>
      </c>
      <c r="D1698" t="s">
        <v>10</v>
      </c>
      <c r="F1698" s="43">
        <v>44912.697916666664</v>
      </c>
      <c r="G1698" s="43">
        <v>44912.739583333336</v>
      </c>
      <c r="H1698">
        <v>16</v>
      </c>
      <c r="I1698">
        <v>45</v>
      </c>
      <c r="J1698">
        <v>17</v>
      </c>
      <c r="K1698">
        <v>45</v>
      </c>
      <c r="L1698">
        <v>2022</v>
      </c>
      <c r="N1698" t="s">
        <v>47</v>
      </c>
      <c r="O1698" t="s">
        <v>47</v>
      </c>
      <c r="P1698" t="s">
        <v>6281</v>
      </c>
    </row>
    <row r="1699" spans="1:16" x14ac:dyDescent="0.3">
      <c r="A1699" t="s">
        <v>6208</v>
      </c>
      <c r="C1699">
        <v>45</v>
      </c>
      <c r="D1699" t="s">
        <v>10</v>
      </c>
      <c r="F1699" s="43">
        <v>44912.604166666664</v>
      </c>
      <c r="G1699" s="43">
        <v>44912.635416666664</v>
      </c>
      <c r="H1699">
        <v>14</v>
      </c>
      <c r="I1699">
        <v>30</v>
      </c>
      <c r="J1699">
        <v>15</v>
      </c>
      <c r="K1699">
        <v>15</v>
      </c>
      <c r="L1699">
        <v>2022</v>
      </c>
      <c r="N1699" t="s">
        <v>47</v>
      </c>
      <c r="O1699" t="s">
        <v>47</v>
      </c>
      <c r="P1699" t="s">
        <v>6282</v>
      </c>
    </row>
    <row r="1700" spans="1:16" x14ac:dyDescent="0.3">
      <c r="A1700" t="s">
        <v>6283</v>
      </c>
      <c r="C1700">
        <v>60</v>
      </c>
      <c r="D1700" t="s">
        <v>10</v>
      </c>
      <c r="F1700" s="43">
        <v>44912.541666666664</v>
      </c>
      <c r="G1700" s="43">
        <v>44912.583333333336</v>
      </c>
      <c r="H1700">
        <v>13</v>
      </c>
      <c r="I1700">
        <v>0</v>
      </c>
      <c r="J1700">
        <v>14</v>
      </c>
      <c r="K1700">
        <v>0</v>
      </c>
      <c r="L1700">
        <v>2022</v>
      </c>
      <c r="N1700" t="s">
        <v>47</v>
      </c>
      <c r="O1700" t="s">
        <v>47</v>
      </c>
      <c r="P1700" t="s">
        <v>6284</v>
      </c>
    </row>
    <row r="1701" spans="1:16" x14ac:dyDescent="0.3">
      <c r="A1701" s="44" t="s">
        <v>7</v>
      </c>
      <c r="C1701">
        <v>45</v>
      </c>
      <c r="D1701" t="s">
        <v>10</v>
      </c>
      <c r="F1701" s="43">
        <v>44912.458333333336</v>
      </c>
      <c r="G1701" s="43">
        <v>44912.489583333336</v>
      </c>
      <c r="H1701">
        <v>11</v>
      </c>
      <c r="I1701">
        <v>0</v>
      </c>
      <c r="J1701">
        <v>11</v>
      </c>
      <c r="K1701">
        <v>45</v>
      </c>
      <c r="L1701">
        <v>2022</v>
      </c>
      <c r="N1701" t="s">
        <v>47</v>
      </c>
      <c r="O1701" t="s">
        <v>47</v>
      </c>
      <c r="P1701" t="s">
        <v>6285</v>
      </c>
    </row>
    <row r="1702" spans="1:16" x14ac:dyDescent="0.3">
      <c r="A1702" t="s">
        <v>6208</v>
      </c>
      <c r="C1702">
        <v>60</v>
      </c>
      <c r="D1702" t="s">
        <v>10</v>
      </c>
      <c r="F1702" s="43">
        <v>44912.416666666664</v>
      </c>
      <c r="G1702" s="43">
        <v>44912.458333333336</v>
      </c>
      <c r="H1702">
        <v>10</v>
      </c>
      <c r="I1702">
        <v>0</v>
      </c>
      <c r="J1702">
        <v>11</v>
      </c>
      <c r="K1702">
        <v>0</v>
      </c>
      <c r="L1702">
        <v>2022</v>
      </c>
      <c r="N1702" t="s">
        <v>47</v>
      </c>
      <c r="O1702" t="s">
        <v>47</v>
      </c>
      <c r="P1702" t="s">
        <v>6286</v>
      </c>
    </row>
    <row r="1703" spans="1:16" x14ac:dyDescent="0.3">
      <c r="A1703" t="s">
        <v>6208</v>
      </c>
      <c r="C1703">
        <v>40</v>
      </c>
      <c r="D1703" t="s">
        <v>10</v>
      </c>
      <c r="F1703" s="43">
        <v>44911.847222222219</v>
      </c>
      <c r="G1703" s="43">
        <v>44911.875</v>
      </c>
      <c r="H1703">
        <v>20</v>
      </c>
      <c r="I1703">
        <v>20</v>
      </c>
      <c r="J1703">
        <v>21</v>
      </c>
      <c r="K1703">
        <v>0</v>
      </c>
      <c r="L1703">
        <v>2022</v>
      </c>
      <c r="N1703" t="s">
        <v>47</v>
      </c>
      <c r="O1703" t="s">
        <v>47</v>
      </c>
      <c r="P1703" t="s">
        <v>6287</v>
      </c>
    </row>
    <row r="1704" spans="1:16" x14ac:dyDescent="0.3">
      <c r="A1704" t="s">
        <v>6208</v>
      </c>
      <c r="C1704">
        <v>30</v>
      </c>
      <c r="D1704" t="s">
        <v>10</v>
      </c>
      <c r="F1704" s="43">
        <v>44911.770833333336</v>
      </c>
      <c r="G1704" s="43">
        <v>44911.791666666664</v>
      </c>
      <c r="H1704">
        <v>18</v>
      </c>
      <c r="I1704">
        <v>30</v>
      </c>
      <c r="J1704">
        <v>19</v>
      </c>
      <c r="K1704">
        <v>0</v>
      </c>
      <c r="L1704">
        <v>2022</v>
      </c>
      <c r="N1704" t="s">
        <v>47</v>
      </c>
      <c r="O1704" t="s">
        <v>47</v>
      </c>
      <c r="P1704" t="s">
        <v>6288</v>
      </c>
    </row>
    <row r="1705" spans="1:16" x14ac:dyDescent="0.3">
      <c r="A1705" t="s">
        <v>6208</v>
      </c>
      <c r="C1705">
        <v>45</v>
      </c>
      <c r="D1705" t="s">
        <v>10</v>
      </c>
      <c r="F1705" s="43">
        <v>44911.71875</v>
      </c>
      <c r="G1705" s="43">
        <v>44911.75</v>
      </c>
      <c r="H1705">
        <v>17</v>
      </c>
      <c r="I1705">
        <v>15</v>
      </c>
      <c r="J1705">
        <v>18</v>
      </c>
      <c r="K1705">
        <v>0</v>
      </c>
      <c r="L1705">
        <v>2022</v>
      </c>
      <c r="N1705" t="s">
        <v>47</v>
      </c>
      <c r="O1705" t="s">
        <v>47</v>
      </c>
      <c r="P1705" t="s">
        <v>6289</v>
      </c>
    </row>
    <row r="1706" spans="1:16" x14ac:dyDescent="0.3">
      <c r="A1706" t="s">
        <v>6208</v>
      </c>
      <c r="C1706">
        <v>85</v>
      </c>
      <c r="D1706" t="s">
        <v>10</v>
      </c>
      <c r="F1706" s="43">
        <v>44911.635416666664</v>
      </c>
      <c r="G1706" s="43">
        <v>44911.694444444445</v>
      </c>
      <c r="H1706">
        <v>15</v>
      </c>
      <c r="I1706">
        <v>15</v>
      </c>
      <c r="J1706">
        <v>16</v>
      </c>
      <c r="K1706">
        <v>40</v>
      </c>
      <c r="L1706">
        <v>2022</v>
      </c>
      <c r="N1706" t="s">
        <v>47</v>
      </c>
      <c r="O1706" t="s">
        <v>47</v>
      </c>
      <c r="P1706" t="s">
        <v>6290</v>
      </c>
    </row>
    <row r="1707" spans="1:16" x14ac:dyDescent="0.3">
      <c r="A1707" t="s">
        <v>6208</v>
      </c>
      <c r="C1707">
        <v>75</v>
      </c>
      <c r="D1707" t="s">
        <v>10</v>
      </c>
      <c r="F1707" s="1">
        <v>44911.552083333336</v>
      </c>
      <c r="G1707" s="1">
        <v>44911.604166666664</v>
      </c>
      <c r="H1707">
        <v>13</v>
      </c>
      <c r="I1707">
        <v>15</v>
      </c>
      <c r="J1707">
        <v>14</v>
      </c>
      <c r="K1707">
        <v>30</v>
      </c>
      <c r="L1707">
        <v>2022</v>
      </c>
      <c r="N1707" t="s">
        <v>47</v>
      </c>
      <c r="O1707" t="s">
        <v>47</v>
      </c>
      <c r="P1707" t="s">
        <v>6291</v>
      </c>
    </row>
    <row r="1708" spans="1:16" x14ac:dyDescent="0.3">
      <c r="A1708" t="s">
        <v>8</v>
      </c>
      <c r="C1708">
        <v>30</v>
      </c>
      <c r="D1708" t="s">
        <v>10</v>
      </c>
      <c r="F1708" s="43">
        <v>44911.5</v>
      </c>
      <c r="G1708" s="43">
        <v>44911.520833333336</v>
      </c>
      <c r="H1708">
        <v>12</v>
      </c>
      <c r="I1708">
        <v>0</v>
      </c>
      <c r="J1708">
        <v>12</v>
      </c>
      <c r="K1708">
        <v>30</v>
      </c>
      <c r="L1708">
        <v>2022</v>
      </c>
      <c r="N1708" t="s">
        <v>47</v>
      </c>
      <c r="O1708" t="s">
        <v>47</v>
      </c>
      <c r="P1708" t="s">
        <v>6292</v>
      </c>
    </row>
    <row r="1709" spans="1:16" x14ac:dyDescent="0.3">
      <c r="A1709" t="s">
        <v>6305</v>
      </c>
      <c r="C1709">
        <v>60</v>
      </c>
      <c r="D1709" t="s">
        <v>10</v>
      </c>
      <c r="E1709" t="s">
        <v>5</v>
      </c>
      <c r="F1709" s="43">
        <v>44911.458333333336</v>
      </c>
      <c r="G1709" s="43">
        <v>44911.5</v>
      </c>
      <c r="H1709">
        <v>11</v>
      </c>
      <c r="I1709">
        <v>0</v>
      </c>
      <c r="J1709">
        <v>12</v>
      </c>
      <c r="K1709">
        <v>0</v>
      </c>
      <c r="L1709">
        <v>2022</v>
      </c>
      <c r="N1709" t="s">
        <v>6306</v>
      </c>
      <c r="O1709" t="s">
        <v>6307</v>
      </c>
      <c r="P1709" t="s">
        <v>6308</v>
      </c>
    </row>
    <row r="1710" spans="1:16" x14ac:dyDescent="0.3">
      <c r="A1710" t="s">
        <v>8</v>
      </c>
      <c r="C1710">
        <v>30</v>
      </c>
      <c r="D1710" t="s">
        <v>10</v>
      </c>
      <c r="F1710" s="43">
        <v>44911.416666666664</v>
      </c>
      <c r="G1710" s="43">
        <v>44911.4375</v>
      </c>
      <c r="H1710">
        <v>10</v>
      </c>
      <c r="I1710">
        <v>0</v>
      </c>
      <c r="J1710">
        <v>10</v>
      </c>
      <c r="K1710">
        <v>30</v>
      </c>
      <c r="L1710">
        <v>2022</v>
      </c>
      <c r="N1710" t="s">
        <v>47</v>
      </c>
      <c r="O1710" t="s">
        <v>47</v>
      </c>
      <c r="P1710" t="s">
        <v>6293</v>
      </c>
    </row>
    <row r="1711" spans="1:16" x14ac:dyDescent="0.3">
      <c r="A1711" t="s">
        <v>6322</v>
      </c>
      <c r="C1711">
        <v>30</v>
      </c>
      <c r="D1711" t="s">
        <v>10</v>
      </c>
      <c r="E1711" t="s">
        <v>6323</v>
      </c>
      <c r="F1711" s="43">
        <v>44911.354166666664</v>
      </c>
      <c r="G1711" s="43">
        <v>44911.375</v>
      </c>
      <c r="H1711">
        <v>8</v>
      </c>
      <c r="I1711">
        <v>30</v>
      </c>
      <c r="J1711">
        <v>9</v>
      </c>
      <c r="K1711">
        <v>0</v>
      </c>
      <c r="L1711">
        <v>2022</v>
      </c>
      <c r="N1711" t="s">
        <v>6324</v>
      </c>
      <c r="O1711" t="s">
        <v>6325</v>
      </c>
      <c r="P1711" t="s">
        <v>6326</v>
      </c>
    </row>
    <row r="1712" spans="1:16" x14ac:dyDescent="0.3">
      <c r="A1712" t="s">
        <v>6208</v>
      </c>
      <c r="C1712">
        <v>50</v>
      </c>
      <c r="D1712" t="s">
        <v>10</v>
      </c>
      <c r="F1712" s="43">
        <v>44911.270833333336</v>
      </c>
      <c r="G1712" s="43">
        <v>44911.305555555555</v>
      </c>
      <c r="H1712">
        <v>6</v>
      </c>
      <c r="I1712">
        <v>30</v>
      </c>
      <c r="J1712">
        <v>7</v>
      </c>
      <c r="K1712">
        <v>20</v>
      </c>
      <c r="L1712">
        <v>2022</v>
      </c>
      <c r="N1712" t="s">
        <v>47</v>
      </c>
      <c r="O1712" t="s">
        <v>47</v>
      </c>
      <c r="P1712" t="s">
        <v>6298</v>
      </c>
    </row>
    <row r="1713" spans="1:18" x14ac:dyDescent="0.3">
      <c r="A1713" t="s">
        <v>6299</v>
      </c>
      <c r="C1713">
        <v>30</v>
      </c>
      <c r="D1713" t="s">
        <v>10</v>
      </c>
      <c r="F1713" s="43">
        <v>44910.854166666664</v>
      </c>
      <c r="G1713" s="43">
        <v>44910.875</v>
      </c>
      <c r="H1713">
        <v>20</v>
      </c>
      <c r="I1713">
        <v>30</v>
      </c>
      <c r="J1713">
        <v>21</v>
      </c>
      <c r="K1713">
        <v>0</v>
      </c>
      <c r="L1713">
        <v>2022</v>
      </c>
      <c r="N1713" t="s">
        <v>47</v>
      </c>
      <c r="O1713" t="s">
        <v>47</v>
      </c>
      <c r="P1713" t="s">
        <v>6300</v>
      </c>
      <c r="Q1713" t="s">
        <v>227</v>
      </c>
      <c r="R1713">
        <v>45345345345</v>
      </c>
    </row>
    <row r="1714" spans="1:18" x14ac:dyDescent="0.3">
      <c r="A1714" t="s">
        <v>6301</v>
      </c>
      <c r="C1714">
        <v>75</v>
      </c>
      <c r="D1714" t="s">
        <v>10</v>
      </c>
      <c r="F1714" s="43">
        <v>44910.71875</v>
      </c>
      <c r="G1714" s="43">
        <v>44910.770833333336</v>
      </c>
      <c r="H1714">
        <v>17</v>
      </c>
      <c r="I1714">
        <v>15</v>
      </c>
      <c r="J1714">
        <v>18</v>
      </c>
      <c r="K1714">
        <v>30</v>
      </c>
      <c r="L1714">
        <v>2022</v>
      </c>
      <c r="N1714" t="s">
        <v>47</v>
      </c>
      <c r="O1714" t="s">
        <v>47</v>
      </c>
      <c r="P1714" t="s">
        <v>6302</v>
      </c>
    </row>
    <row r="1715" spans="1:18" x14ac:dyDescent="0.3">
      <c r="A1715" t="s">
        <v>6208</v>
      </c>
      <c r="C1715">
        <v>20</v>
      </c>
      <c r="D1715" t="s">
        <v>10</v>
      </c>
      <c r="F1715" s="43">
        <v>44910.6875</v>
      </c>
      <c r="G1715" s="43">
        <v>44910.701388888891</v>
      </c>
      <c r="H1715">
        <v>16</v>
      </c>
      <c r="I1715">
        <v>30</v>
      </c>
      <c r="J1715">
        <v>16</v>
      </c>
      <c r="K1715">
        <v>50</v>
      </c>
      <c r="L1715">
        <v>2022</v>
      </c>
      <c r="N1715" t="s">
        <v>47</v>
      </c>
      <c r="O1715" t="s">
        <v>47</v>
      </c>
      <c r="P1715" t="s">
        <v>6303</v>
      </c>
    </row>
    <row r="1716" spans="1:18" x14ac:dyDescent="0.3">
      <c r="A1716" t="s">
        <v>9</v>
      </c>
      <c r="C1716">
        <v>60</v>
      </c>
      <c r="D1716" t="s">
        <v>10</v>
      </c>
      <c r="F1716" s="43">
        <v>44910.645833333336</v>
      </c>
      <c r="G1716" s="43">
        <v>44910.6875</v>
      </c>
      <c r="H1716">
        <v>15</v>
      </c>
      <c r="I1716">
        <v>30</v>
      </c>
      <c r="J1716">
        <v>16</v>
      </c>
      <c r="K1716">
        <v>30</v>
      </c>
      <c r="L1716">
        <v>2022</v>
      </c>
      <c r="N1716" t="s">
        <v>47</v>
      </c>
      <c r="O1716" t="s">
        <v>47</v>
      </c>
      <c r="P1716" t="s">
        <v>6304</v>
      </c>
    </row>
    <row r="1717" spans="1:18" x14ac:dyDescent="0.3">
      <c r="A1717" t="s">
        <v>6309</v>
      </c>
      <c r="C1717">
        <v>135</v>
      </c>
      <c r="D1717" t="s">
        <v>10</v>
      </c>
      <c r="F1717" s="43">
        <v>44910.520833333336</v>
      </c>
      <c r="G1717" s="43">
        <v>44910.614583333336</v>
      </c>
      <c r="H1717">
        <v>12</v>
      </c>
      <c r="I1717">
        <v>30</v>
      </c>
      <c r="J1717">
        <v>14</v>
      </c>
      <c r="K1717">
        <v>45</v>
      </c>
      <c r="L1717">
        <v>2022</v>
      </c>
      <c r="N1717" t="s">
        <v>47</v>
      </c>
      <c r="O1717" t="s">
        <v>47</v>
      </c>
      <c r="P1717" t="s">
        <v>6310</v>
      </c>
    </row>
    <row r="1718" spans="1:18" x14ac:dyDescent="0.3">
      <c r="A1718" t="s">
        <v>6311</v>
      </c>
      <c r="C1718">
        <v>30</v>
      </c>
      <c r="D1718" t="s">
        <v>10</v>
      </c>
      <c r="F1718" s="43">
        <v>44910.458333333336</v>
      </c>
      <c r="G1718" s="43">
        <v>44910.479166666664</v>
      </c>
      <c r="H1718">
        <v>11</v>
      </c>
      <c r="I1718">
        <v>0</v>
      </c>
      <c r="J1718">
        <v>11</v>
      </c>
      <c r="K1718">
        <v>30</v>
      </c>
      <c r="L1718">
        <v>2022</v>
      </c>
      <c r="N1718" t="s">
        <v>47</v>
      </c>
      <c r="O1718" t="s">
        <v>47</v>
      </c>
      <c r="P1718" t="s">
        <v>6312</v>
      </c>
    </row>
    <row r="1719" spans="1:18" x14ac:dyDescent="0.3">
      <c r="A1719" t="s">
        <v>8</v>
      </c>
      <c r="C1719">
        <v>30</v>
      </c>
      <c r="D1719" t="s">
        <v>10</v>
      </c>
      <c r="F1719" s="43">
        <v>44910.354166666664</v>
      </c>
      <c r="G1719" s="43">
        <v>44910.375</v>
      </c>
      <c r="H1719">
        <v>8</v>
      </c>
      <c r="I1719">
        <v>30</v>
      </c>
      <c r="J1719">
        <v>9</v>
      </c>
      <c r="K1719">
        <v>0</v>
      </c>
      <c r="L1719">
        <v>2022</v>
      </c>
      <c r="N1719" t="s">
        <v>47</v>
      </c>
      <c r="O1719" t="s">
        <v>47</v>
      </c>
      <c r="P1719" t="s">
        <v>6314</v>
      </c>
    </row>
    <row r="1720" spans="1:18" x14ac:dyDescent="0.3">
      <c r="A1720" t="s">
        <v>8</v>
      </c>
      <c r="C1720">
        <v>30</v>
      </c>
      <c r="D1720" t="s">
        <v>10</v>
      </c>
      <c r="F1720" s="43">
        <v>44910.3125</v>
      </c>
      <c r="G1720" s="43">
        <v>44910.333333333336</v>
      </c>
      <c r="H1720">
        <v>7</v>
      </c>
      <c r="I1720">
        <v>30</v>
      </c>
      <c r="J1720">
        <v>8</v>
      </c>
      <c r="K1720">
        <v>0</v>
      </c>
      <c r="L1720">
        <v>2022</v>
      </c>
      <c r="N1720" t="s">
        <v>47</v>
      </c>
      <c r="O1720" t="s">
        <v>47</v>
      </c>
      <c r="P1720" t="s">
        <v>6313</v>
      </c>
    </row>
    <row r="1721" spans="1:18" x14ac:dyDescent="0.3">
      <c r="A1721" t="s">
        <v>1222</v>
      </c>
      <c r="C1721">
        <v>60</v>
      </c>
      <c r="D1721" t="s">
        <v>10</v>
      </c>
      <c r="F1721" s="43">
        <v>44910.25</v>
      </c>
      <c r="G1721" s="43">
        <v>44910.291666666664</v>
      </c>
      <c r="H1721">
        <v>6</v>
      </c>
      <c r="I1721">
        <v>0</v>
      </c>
      <c r="J1721">
        <v>7</v>
      </c>
      <c r="K1721">
        <v>0</v>
      </c>
      <c r="L1721">
        <v>2022</v>
      </c>
      <c r="N1721" t="s">
        <v>47</v>
      </c>
      <c r="O1721" t="s">
        <v>47</v>
      </c>
      <c r="P1721" t="s">
        <v>6315</v>
      </c>
      <c r="Q1721" t="s">
        <v>224</v>
      </c>
      <c r="R1721">
        <v>2784118521</v>
      </c>
    </row>
    <row r="1722" spans="1:18" x14ac:dyDescent="0.3">
      <c r="A1722" t="s">
        <v>1750</v>
      </c>
      <c r="C1722">
        <v>30</v>
      </c>
      <c r="D1722" t="s">
        <v>10</v>
      </c>
      <c r="F1722" s="43">
        <v>44909.791666666664</v>
      </c>
      <c r="G1722" s="43">
        <v>44909.8125</v>
      </c>
      <c r="H1722">
        <v>19</v>
      </c>
      <c r="I1722">
        <v>0</v>
      </c>
      <c r="J1722">
        <v>19</v>
      </c>
      <c r="K1722">
        <v>30</v>
      </c>
      <c r="L1722">
        <v>2022</v>
      </c>
      <c r="N1722" t="s">
        <v>47</v>
      </c>
      <c r="O1722" t="s">
        <v>47</v>
      </c>
      <c r="P1722" t="s">
        <v>6316</v>
      </c>
    </row>
    <row r="1723" spans="1:18" x14ac:dyDescent="0.3">
      <c r="A1723" t="s">
        <v>6317</v>
      </c>
      <c r="C1723">
        <v>45</v>
      </c>
      <c r="D1723" t="s">
        <v>10</v>
      </c>
      <c r="F1723" s="43">
        <v>44909.729166666664</v>
      </c>
      <c r="G1723" s="43">
        <v>44909.760416666664</v>
      </c>
      <c r="H1723">
        <v>17</v>
      </c>
      <c r="I1723">
        <v>30</v>
      </c>
      <c r="J1723">
        <v>18</v>
      </c>
      <c r="K1723">
        <v>15</v>
      </c>
      <c r="L1723">
        <v>2022</v>
      </c>
      <c r="N1723" t="s">
        <v>47</v>
      </c>
      <c r="O1723" t="s">
        <v>47</v>
      </c>
      <c r="P1723" t="s">
        <v>6318</v>
      </c>
    </row>
    <row r="1724" spans="1:18" x14ac:dyDescent="0.3">
      <c r="A1724" t="s">
        <v>6317</v>
      </c>
      <c r="C1724">
        <v>60</v>
      </c>
      <c r="D1724" t="s">
        <v>10</v>
      </c>
      <c r="F1724" s="43">
        <v>44909.666666666664</v>
      </c>
      <c r="G1724" s="43">
        <v>44909.708333333336</v>
      </c>
      <c r="H1724">
        <v>16</v>
      </c>
      <c r="I1724">
        <v>0</v>
      </c>
      <c r="J1724">
        <v>17</v>
      </c>
      <c r="K1724">
        <v>0</v>
      </c>
      <c r="L1724">
        <v>2022</v>
      </c>
      <c r="N1724" t="s">
        <v>47</v>
      </c>
      <c r="O1724" t="s">
        <v>47</v>
      </c>
      <c r="P1724" t="s">
        <v>6319</v>
      </c>
    </row>
    <row r="1725" spans="1:18" x14ac:dyDescent="0.3">
      <c r="A1725" t="s">
        <v>9</v>
      </c>
      <c r="C1725">
        <v>45</v>
      </c>
      <c r="D1725" t="s">
        <v>10</v>
      </c>
      <c r="F1725" s="43">
        <v>44909.604166666664</v>
      </c>
      <c r="G1725" s="43">
        <v>44909.635416666664</v>
      </c>
      <c r="H1725">
        <v>14</v>
      </c>
      <c r="I1725">
        <v>30</v>
      </c>
      <c r="J1725">
        <v>15</v>
      </c>
      <c r="K1725">
        <v>15</v>
      </c>
      <c r="L1725">
        <v>2022</v>
      </c>
      <c r="N1725" t="s">
        <v>47</v>
      </c>
      <c r="O1725" t="s">
        <v>47</v>
      </c>
      <c r="P1725" t="s">
        <v>6320</v>
      </c>
    </row>
    <row r="1726" spans="1:18" x14ac:dyDescent="0.3">
      <c r="A1726" t="s">
        <v>6176</v>
      </c>
      <c r="C1726">
        <v>60</v>
      </c>
      <c r="D1726" t="s">
        <v>10</v>
      </c>
      <c r="F1726" s="43">
        <v>44909.5625</v>
      </c>
      <c r="G1726" s="43">
        <v>44909.604166666664</v>
      </c>
      <c r="H1726">
        <v>13</v>
      </c>
      <c r="I1726">
        <v>30</v>
      </c>
      <c r="J1726">
        <v>14</v>
      </c>
      <c r="K1726">
        <v>30</v>
      </c>
      <c r="L1726">
        <v>2022</v>
      </c>
      <c r="N1726" t="s">
        <v>47</v>
      </c>
      <c r="O1726" t="s">
        <v>47</v>
      </c>
      <c r="P1726" t="s">
        <v>6321</v>
      </c>
    </row>
    <row r="1727" spans="1:18" x14ac:dyDescent="0.3">
      <c r="A1727" t="s">
        <v>6275</v>
      </c>
      <c r="C1727">
        <v>50</v>
      </c>
      <c r="D1727" t="s">
        <v>10</v>
      </c>
      <c r="F1727" s="43">
        <v>44909.534722222219</v>
      </c>
      <c r="G1727" s="43">
        <v>44909.569444444445</v>
      </c>
      <c r="H1727">
        <v>12</v>
      </c>
      <c r="I1727">
        <v>50</v>
      </c>
      <c r="J1727">
        <v>13</v>
      </c>
      <c r="K1727">
        <v>40</v>
      </c>
      <c r="L1727">
        <v>2022</v>
      </c>
      <c r="N1727" t="s">
        <v>47</v>
      </c>
      <c r="O1727" t="s">
        <v>47</v>
      </c>
      <c r="P1727" t="s">
        <v>6276</v>
      </c>
    </row>
    <row r="1728" spans="1:18" x14ac:dyDescent="0.3">
      <c r="A1728" t="s">
        <v>6259</v>
      </c>
      <c r="B1728" t="s">
        <v>20</v>
      </c>
      <c r="C1728">
        <v>45</v>
      </c>
      <c r="D1728" t="s">
        <v>10</v>
      </c>
      <c r="E1728" t="s">
        <v>501</v>
      </c>
      <c r="F1728" s="43">
        <v>44909.458333333336</v>
      </c>
      <c r="G1728" s="43">
        <v>44909.489583333336</v>
      </c>
      <c r="H1728">
        <v>11</v>
      </c>
      <c r="I1728">
        <v>0</v>
      </c>
      <c r="J1728">
        <v>11</v>
      </c>
      <c r="K1728">
        <v>45</v>
      </c>
      <c r="L1728">
        <v>2022</v>
      </c>
      <c r="N1728" t="s">
        <v>6260</v>
      </c>
      <c r="O1728" t="s">
        <v>47</v>
      </c>
      <c r="P1728" t="s">
        <v>6261</v>
      </c>
    </row>
    <row r="1729" spans="1:16" x14ac:dyDescent="0.3">
      <c r="A1729" t="s">
        <v>23</v>
      </c>
      <c r="C1729">
        <v>45</v>
      </c>
      <c r="D1729" t="s">
        <v>10</v>
      </c>
      <c r="F1729" s="1">
        <v>44909.427083333336</v>
      </c>
      <c r="G1729" s="1">
        <v>44909.458333333336</v>
      </c>
      <c r="H1729">
        <v>10</v>
      </c>
      <c r="I1729">
        <v>15</v>
      </c>
      <c r="J1729">
        <v>11</v>
      </c>
      <c r="K1729">
        <v>0</v>
      </c>
      <c r="L1729">
        <v>2022</v>
      </c>
      <c r="N1729" t="s">
        <v>47</v>
      </c>
      <c r="O1729" t="s">
        <v>47</v>
      </c>
      <c r="P1729" t="s">
        <v>6266</v>
      </c>
    </row>
    <row r="1730" spans="1:16" x14ac:dyDescent="0.3">
      <c r="A1730" t="s">
        <v>6267</v>
      </c>
      <c r="C1730">
        <v>55</v>
      </c>
      <c r="D1730" t="s">
        <v>10</v>
      </c>
      <c r="F1730" s="43">
        <v>44909.388888888891</v>
      </c>
      <c r="G1730" s="43">
        <v>44909.427083333336</v>
      </c>
      <c r="H1730">
        <v>9</v>
      </c>
      <c r="I1730">
        <v>20</v>
      </c>
      <c r="J1730">
        <v>10</v>
      </c>
      <c r="K1730">
        <v>15</v>
      </c>
      <c r="L1730">
        <v>2022</v>
      </c>
      <c r="N1730" t="s">
        <v>47</v>
      </c>
      <c r="O1730" t="s">
        <v>47</v>
      </c>
      <c r="P1730" t="s">
        <v>6268</v>
      </c>
    </row>
    <row r="1731" spans="1:16" x14ac:dyDescent="0.3">
      <c r="A1731" t="s">
        <v>6092</v>
      </c>
      <c r="B1731" t="s">
        <v>20</v>
      </c>
      <c r="C1731">
        <v>60</v>
      </c>
      <c r="D1731" t="s">
        <v>10</v>
      </c>
      <c r="F1731" s="43">
        <v>44909.322916666664</v>
      </c>
      <c r="G1731" s="43">
        <v>44909.364583333336</v>
      </c>
      <c r="H1731">
        <v>7</v>
      </c>
      <c r="I1731">
        <v>45</v>
      </c>
      <c r="J1731">
        <v>8</v>
      </c>
      <c r="K1731">
        <v>45</v>
      </c>
      <c r="L1731">
        <v>2022</v>
      </c>
      <c r="N1731" t="s">
        <v>6093</v>
      </c>
      <c r="O1731" t="s">
        <v>3058</v>
      </c>
      <c r="P1731" t="s">
        <v>6094</v>
      </c>
    </row>
    <row r="1732" spans="1:16" x14ac:dyDescent="0.3">
      <c r="A1732" t="s">
        <v>17</v>
      </c>
      <c r="C1732">
        <v>15</v>
      </c>
      <c r="D1732" t="s">
        <v>10</v>
      </c>
      <c r="F1732" s="43">
        <v>44909.28125</v>
      </c>
      <c r="G1732" s="43">
        <v>44909.291666666664</v>
      </c>
      <c r="H1732">
        <v>6</v>
      </c>
      <c r="I1732">
        <v>45</v>
      </c>
      <c r="J1732">
        <v>7</v>
      </c>
      <c r="K1732">
        <v>0</v>
      </c>
      <c r="L1732">
        <v>2022</v>
      </c>
      <c r="N1732" t="s">
        <v>47</v>
      </c>
      <c r="O1732" t="s">
        <v>47</v>
      </c>
      <c r="P1732" t="s">
        <v>6269</v>
      </c>
    </row>
    <row r="1733" spans="1:16" x14ac:dyDescent="0.3">
      <c r="A1733" t="s">
        <v>992</v>
      </c>
      <c r="C1733">
        <v>30</v>
      </c>
      <c r="D1733" t="s">
        <v>10</v>
      </c>
      <c r="F1733" s="43">
        <v>44909.270833333336</v>
      </c>
      <c r="G1733" s="43">
        <v>44909.291666666664</v>
      </c>
      <c r="H1733">
        <v>6</v>
      </c>
      <c r="I1733">
        <v>30</v>
      </c>
      <c r="J1733">
        <v>7</v>
      </c>
      <c r="K1733">
        <v>0</v>
      </c>
      <c r="L1733">
        <v>2022</v>
      </c>
      <c r="N1733" t="s">
        <v>47</v>
      </c>
      <c r="O1733" t="s">
        <v>47</v>
      </c>
      <c r="P1733" t="s">
        <v>6270</v>
      </c>
    </row>
    <row r="1734" spans="1:16" x14ac:dyDescent="0.3">
      <c r="A1734" t="s">
        <v>6271</v>
      </c>
      <c r="C1734">
        <v>60</v>
      </c>
      <c r="D1734" t="s">
        <v>10</v>
      </c>
      <c r="F1734" s="43">
        <v>44909.229166666664</v>
      </c>
      <c r="G1734" s="43">
        <v>44909.270833333336</v>
      </c>
      <c r="H1734">
        <v>5</v>
      </c>
      <c r="I1734">
        <v>30</v>
      </c>
      <c r="J1734">
        <v>6</v>
      </c>
      <c r="K1734">
        <v>30</v>
      </c>
      <c r="L1734">
        <v>2022</v>
      </c>
      <c r="N1734" t="s">
        <v>47</v>
      </c>
      <c r="O1734" t="s">
        <v>47</v>
      </c>
      <c r="P1734" t="s">
        <v>6272</v>
      </c>
    </row>
    <row r="1735" spans="1:16" x14ac:dyDescent="0.3">
      <c r="A1735" t="s">
        <v>6273</v>
      </c>
      <c r="C1735">
        <v>60</v>
      </c>
      <c r="D1735" t="s">
        <v>10</v>
      </c>
      <c r="F1735" s="43">
        <v>44909.166666666664</v>
      </c>
      <c r="G1735" s="43">
        <v>44909.208333333336</v>
      </c>
      <c r="H1735">
        <v>4</v>
      </c>
      <c r="I1735">
        <v>0</v>
      </c>
      <c r="J1735">
        <v>5</v>
      </c>
      <c r="K1735">
        <v>0</v>
      </c>
      <c r="L1735">
        <v>2022</v>
      </c>
      <c r="N1735" t="s">
        <v>47</v>
      </c>
      <c r="O1735" t="s">
        <v>47</v>
      </c>
      <c r="P1735" t="s">
        <v>6274</v>
      </c>
    </row>
    <row r="1736" spans="1:16" x14ac:dyDescent="0.3">
      <c r="A1736" t="s">
        <v>6187</v>
      </c>
      <c r="C1736">
        <v>30</v>
      </c>
      <c r="D1736" t="s">
        <v>256</v>
      </c>
      <c r="E1736" t="s">
        <v>501</v>
      </c>
      <c r="F1736" s="43">
        <v>44909</v>
      </c>
      <c r="G1736" s="43">
        <v>45077</v>
      </c>
      <c r="H1736">
        <v>9</v>
      </c>
      <c r="I1736">
        <v>30</v>
      </c>
      <c r="J1736">
        <v>10</v>
      </c>
      <c r="K1736">
        <v>0</v>
      </c>
      <c r="L1736">
        <v>2022</v>
      </c>
      <c r="N1736" t="s">
        <v>6188</v>
      </c>
      <c r="O1736" t="s">
        <v>47</v>
      </c>
      <c r="P1736" t="s">
        <v>6189</v>
      </c>
    </row>
    <row r="1737" spans="1:16" x14ac:dyDescent="0.3">
      <c r="A1737" t="s">
        <v>2014</v>
      </c>
      <c r="C1737">
        <v>30</v>
      </c>
      <c r="D1737" t="s">
        <v>10</v>
      </c>
      <c r="F1737" s="43">
        <v>44908.729166666664</v>
      </c>
      <c r="G1737" s="43">
        <v>44908.75</v>
      </c>
      <c r="H1737">
        <v>17</v>
      </c>
      <c r="I1737">
        <v>30</v>
      </c>
      <c r="J1737">
        <v>18</v>
      </c>
      <c r="K1737">
        <v>0</v>
      </c>
      <c r="L1737">
        <v>2022</v>
      </c>
      <c r="N1737" t="s">
        <v>47</v>
      </c>
      <c r="O1737" t="s">
        <v>47</v>
      </c>
      <c r="P1737" t="s">
        <v>6175</v>
      </c>
    </row>
    <row r="1738" spans="1:16" x14ac:dyDescent="0.3">
      <c r="A1738" t="s">
        <v>6176</v>
      </c>
      <c r="C1738">
        <v>45</v>
      </c>
      <c r="D1738" t="s">
        <v>10</v>
      </c>
      <c r="F1738" s="43">
        <v>44908.697916666664</v>
      </c>
      <c r="G1738" s="43">
        <v>44908.729166666664</v>
      </c>
      <c r="H1738">
        <v>16</v>
      </c>
      <c r="I1738">
        <v>45</v>
      </c>
      <c r="J1738">
        <v>17</v>
      </c>
      <c r="K1738">
        <v>30</v>
      </c>
      <c r="L1738">
        <v>2022</v>
      </c>
      <c r="N1738" t="s">
        <v>47</v>
      </c>
      <c r="O1738" t="s">
        <v>47</v>
      </c>
      <c r="P1738" t="s">
        <v>6177</v>
      </c>
    </row>
    <row r="1739" spans="1:16" x14ac:dyDescent="0.3">
      <c r="A1739" t="s">
        <v>6178</v>
      </c>
      <c r="C1739">
        <v>45</v>
      </c>
      <c r="D1739" t="s">
        <v>10</v>
      </c>
      <c r="F1739" s="43">
        <v>44908.635416666664</v>
      </c>
      <c r="G1739" s="43">
        <v>44908.666666666664</v>
      </c>
      <c r="H1739">
        <v>15</v>
      </c>
      <c r="I1739">
        <v>15</v>
      </c>
      <c r="J1739">
        <v>16</v>
      </c>
      <c r="K1739">
        <v>0</v>
      </c>
      <c r="L1739">
        <v>2022</v>
      </c>
      <c r="N1739" t="s">
        <v>47</v>
      </c>
      <c r="O1739" t="s">
        <v>47</v>
      </c>
      <c r="P1739" t="s">
        <v>6179</v>
      </c>
    </row>
    <row r="1740" spans="1:16" x14ac:dyDescent="0.3">
      <c r="A1740" t="s">
        <v>9</v>
      </c>
      <c r="C1740">
        <v>30</v>
      </c>
      <c r="D1740" t="s">
        <v>10</v>
      </c>
      <c r="F1740" s="43">
        <v>44908.614583333336</v>
      </c>
      <c r="G1740" s="43">
        <v>44908.635416666664</v>
      </c>
      <c r="H1740">
        <v>14</v>
      </c>
      <c r="I1740">
        <v>45</v>
      </c>
      <c r="J1740">
        <v>15</v>
      </c>
      <c r="K1740">
        <v>15</v>
      </c>
      <c r="L1740">
        <v>2022</v>
      </c>
      <c r="N1740" t="s">
        <v>47</v>
      </c>
      <c r="O1740" t="s">
        <v>47</v>
      </c>
      <c r="P1740" t="s">
        <v>6180</v>
      </c>
    </row>
    <row r="1741" spans="1:16" x14ac:dyDescent="0.3">
      <c r="A1741" t="s">
        <v>4519</v>
      </c>
      <c r="C1741">
        <v>30</v>
      </c>
      <c r="D1741" t="s">
        <v>10</v>
      </c>
      <c r="F1741" s="43">
        <v>44908.583333333336</v>
      </c>
      <c r="G1741" s="43">
        <v>44908.604166666664</v>
      </c>
      <c r="H1741">
        <v>14</v>
      </c>
      <c r="I1741">
        <v>0</v>
      </c>
      <c r="J1741">
        <v>14</v>
      </c>
      <c r="K1741">
        <v>30</v>
      </c>
      <c r="L1741">
        <v>2022</v>
      </c>
      <c r="N1741" t="s">
        <v>47</v>
      </c>
      <c r="O1741" t="s">
        <v>47</v>
      </c>
      <c r="P1741" t="s">
        <v>6181</v>
      </c>
    </row>
    <row r="1742" spans="1:16" x14ac:dyDescent="0.3">
      <c r="A1742" t="s">
        <v>4452</v>
      </c>
      <c r="C1742">
        <v>15</v>
      </c>
      <c r="D1742" t="s">
        <v>10</v>
      </c>
      <c r="F1742" s="43">
        <v>44908.5625</v>
      </c>
      <c r="G1742" s="43">
        <v>44908.572916666664</v>
      </c>
      <c r="H1742">
        <v>13</v>
      </c>
      <c r="I1742">
        <v>30</v>
      </c>
      <c r="J1742">
        <v>13</v>
      </c>
      <c r="K1742">
        <v>45</v>
      </c>
      <c r="L1742">
        <v>2022</v>
      </c>
      <c r="N1742" t="s">
        <v>47</v>
      </c>
      <c r="O1742" t="s">
        <v>47</v>
      </c>
      <c r="P1742" t="s">
        <v>6182</v>
      </c>
    </row>
    <row r="1743" spans="1:16" x14ac:dyDescent="0.3">
      <c r="A1743" t="s">
        <v>6200</v>
      </c>
      <c r="C1743">
        <v>60</v>
      </c>
      <c r="D1743" t="s">
        <v>10</v>
      </c>
      <c r="F1743" s="43">
        <v>44908.520833333336</v>
      </c>
      <c r="G1743" s="43">
        <v>44908.5625</v>
      </c>
      <c r="H1743">
        <v>12</v>
      </c>
      <c r="I1743">
        <v>30</v>
      </c>
      <c r="J1743">
        <v>13</v>
      </c>
      <c r="K1743">
        <v>30</v>
      </c>
      <c r="L1743">
        <v>2022</v>
      </c>
      <c r="N1743" t="s">
        <v>4365</v>
      </c>
      <c r="O1743" t="s">
        <v>783</v>
      </c>
      <c r="P1743" t="s">
        <v>6201</v>
      </c>
    </row>
    <row r="1744" spans="1:16" x14ac:dyDescent="0.3">
      <c r="A1744" t="s">
        <v>6183</v>
      </c>
      <c r="C1744">
        <v>81</v>
      </c>
      <c r="D1744" t="s">
        <v>10</v>
      </c>
      <c r="F1744" s="43">
        <v>44908.46875</v>
      </c>
      <c r="G1744" s="43">
        <v>44908.525000000001</v>
      </c>
      <c r="H1744">
        <v>11</v>
      </c>
      <c r="I1744">
        <v>15</v>
      </c>
      <c r="J1744">
        <v>12</v>
      </c>
      <c r="K1744">
        <v>36</v>
      </c>
      <c r="L1744">
        <v>2022</v>
      </c>
      <c r="N1744" t="s">
        <v>47</v>
      </c>
      <c r="O1744" t="s">
        <v>47</v>
      </c>
      <c r="P1744" t="s">
        <v>6184</v>
      </c>
    </row>
    <row r="1745" spans="1:16" x14ac:dyDescent="0.3">
      <c r="A1745" t="s">
        <v>8</v>
      </c>
      <c r="C1745">
        <v>15</v>
      </c>
      <c r="D1745" t="s">
        <v>10</v>
      </c>
      <c r="F1745" s="43">
        <v>44908.4375</v>
      </c>
      <c r="G1745" s="43">
        <v>44908.447916666664</v>
      </c>
      <c r="H1745">
        <v>10</v>
      </c>
      <c r="I1745">
        <v>30</v>
      </c>
      <c r="J1745">
        <v>10</v>
      </c>
      <c r="K1745">
        <v>45</v>
      </c>
      <c r="L1745">
        <v>2022</v>
      </c>
      <c r="N1745" t="s">
        <v>47</v>
      </c>
      <c r="O1745" t="s">
        <v>47</v>
      </c>
      <c r="P1745" t="s">
        <v>6185</v>
      </c>
    </row>
    <row r="1746" spans="1:16" x14ac:dyDescent="0.3">
      <c r="A1746" t="s">
        <v>6242</v>
      </c>
      <c r="C1746">
        <v>30</v>
      </c>
      <c r="D1746" t="s">
        <v>10</v>
      </c>
      <c r="E1746" t="s">
        <v>501</v>
      </c>
      <c r="F1746" s="43">
        <v>44908.416666666664</v>
      </c>
      <c r="G1746" s="43">
        <v>44908.4375</v>
      </c>
      <c r="H1746">
        <v>10</v>
      </c>
      <c r="I1746">
        <v>0</v>
      </c>
      <c r="J1746">
        <v>10</v>
      </c>
      <c r="K1746">
        <v>30</v>
      </c>
      <c r="L1746">
        <v>2022</v>
      </c>
      <c r="N1746" t="s">
        <v>6243</v>
      </c>
      <c r="O1746" t="s">
        <v>47</v>
      </c>
      <c r="P1746" t="s">
        <v>6244</v>
      </c>
    </row>
    <row r="1747" spans="1:16" x14ac:dyDescent="0.3">
      <c r="A1747" t="s">
        <v>8</v>
      </c>
      <c r="C1747">
        <v>120</v>
      </c>
      <c r="D1747" t="s">
        <v>10</v>
      </c>
      <c r="F1747" s="43">
        <v>44908.333333333336</v>
      </c>
      <c r="G1747" s="43">
        <v>44908.416666666664</v>
      </c>
      <c r="H1747">
        <v>8</v>
      </c>
      <c r="I1747">
        <v>0</v>
      </c>
      <c r="J1747">
        <v>10</v>
      </c>
      <c r="K1747">
        <v>0</v>
      </c>
      <c r="L1747">
        <v>2022</v>
      </c>
      <c r="N1747" t="s">
        <v>47</v>
      </c>
      <c r="O1747" t="s">
        <v>47</v>
      </c>
      <c r="P1747" t="s">
        <v>6186</v>
      </c>
    </row>
    <row r="1748" spans="1:16" x14ac:dyDescent="0.3">
      <c r="A1748" t="s">
        <v>8</v>
      </c>
      <c r="C1748">
        <v>30</v>
      </c>
      <c r="D1748" t="s">
        <v>10</v>
      </c>
      <c r="F1748" s="43">
        <v>44908.291666666664</v>
      </c>
      <c r="G1748" s="43">
        <v>44908.3125</v>
      </c>
      <c r="H1748">
        <v>7</v>
      </c>
      <c r="I1748">
        <v>0</v>
      </c>
      <c r="J1748">
        <v>7</v>
      </c>
      <c r="K1748">
        <v>30</v>
      </c>
      <c r="L1748">
        <v>2022</v>
      </c>
      <c r="N1748" t="s">
        <v>47</v>
      </c>
      <c r="O1748" t="s">
        <v>47</v>
      </c>
      <c r="P1748" t="s">
        <v>6190</v>
      </c>
    </row>
    <row r="1749" spans="1:16" x14ac:dyDescent="0.3">
      <c r="A1749" t="s">
        <v>4519</v>
      </c>
      <c r="C1749">
        <v>30</v>
      </c>
      <c r="D1749" t="s">
        <v>10</v>
      </c>
      <c r="F1749" s="43">
        <v>44908.270833333336</v>
      </c>
      <c r="G1749" s="43">
        <v>44908.291666666664</v>
      </c>
      <c r="H1749">
        <v>6</v>
      </c>
      <c r="I1749">
        <v>30</v>
      </c>
      <c r="J1749">
        <v>7</v>
      </c>
      <c r="K1749">
        <v>0</v>
      </c>
      <c r="L1749">
        <v>2022</v>
      </c>
      <c r="O1749" t="s">
        <v>47</v>
      </c>
      <c r="P1749" t="s">
        <v>6191</v>
      </c>
    </row>
    <row r="1750" spans="1:16" x14ac:dyDescent="0.3">
      <c r="A1750" t="s">
        <v>6131</v>
      </c>
      <c r="C1750">
        <v>30</v>
      </c>
      <c r="D1750" t="s">
        <v>10</v>
      </c>
      <c r="F1750" s="43">
        <v>44907.833333333336</v>
      </c>
      <c r="G1750" s="43">
        <v>44907.854166666664</v>
      </c>
      <c r="H1750">
        <v>20</v>
      </c>
      <c r="I1750">
        <v>0</v>
      </c>
      <c r="J1750">
        <v>20</v>
      </c>
      <c r="K1750">
        <v>30</v>
      </c>
      <c r="L1750">
        <v>2022</v>
      </c>
      <c r="N1750" t="s">
        <v>47</v>
      </c>
      <c r="O1750" t="s">
        <v>47</v>
      </c>
      <c r="P1750" t="s">
        <v>6192</v>
      </c>
    </row>
    <row r="1751" spans="1:16" x14ac:dyDescent="0.3">
      <c r="A1751" t="s">
        <v>6193</v>
      </c>
      <c r="C1751">
        <v>35</v>
      </c>
      <c r="D1751" t="s">
        <v>10</v>
      </c>
      <c r="F1751" s="43">
        <v>44907.78125</v>
      </c>
      <c r="G1751" s="43">
        <v>44907.805555555555</v>
      </c>
      <c r="H1751">
        <v>18</v>
      </c>
      <c r="I1751">
        <v>45</v>
      </c>
      <c r="J1751">
        <v>19</v>
      </c>
      <c r="K1751">
        <v>20</v>
      </c>
      <c r="L1751">
        <v>2022</v>
      </c>
      <c r="N1751" t="s">
        <v>47</v>
      </c>
      <c r="O1751" t="s">
        <v>47</v>
      </c>
      <c r="P1751" t="s">
        <v>6194</v>
      </c>
    </row>
    <row r="1752" spans="1:16" x14ac:dyDescent="0.3">
      <c r="A1752" t="s">
        <v>6195</v>
      </c>
      <c r="C1752">
        <v>45</v>
      </c>
      <c r="D1752" t="s">
        <v>10</v>
      </c>
      <c r="F1752" s="43">
        <v>44907.71875</v>
      </c>
      <c r="G1752" s="43">
        <v>44907.75</v>
      </c>
      <c r="H1752">
        <v>17</v>
      </c>
      <c r="I1752">
        <v>15</v>
      </c>
      <c r="J1752">
        <v>18</v>
      </c>
      <c r="K1752">
        <v>0</v>
      </c>
      <c r="L1752">
        <v>2022</v>
      </c>
      <c r="N1752" t="s">
        <v>47</v>
      </c>
      <c r="O1752" t="s">
        <v>47</v>
      </c>
      <c r="P1752" t="s">
        <v>6196</v>
      </c>
    </row>
    <row r="1753" spans="1:16" x14ac:dyDescent="0.3">
      <c r="A1753" t="s">
        <v>6040</v>
      </c>
      <c r="C1753">
        <v>60</v>
      </c>
      <c r="D1753" t="s">
        <v>10</v>
      </c>
      <c r="E1753" t="s">
        <v>6041</v>
      </c>
      <c r="F1753" s="43">
        <v>44907.666666666664</v>
      </c>
      <c r="G1753" s="43">
        <v>44907.708333333336</v>
      </c>
      <c r="H1753">
        <v>16</v>
      </c>
      <c r="I1753">
        <v>0</v>
      </c>
      <c r="J1753">
        <v>17</v>
      </c>
      <c r="K1753">
        <v>0</v>
      </c>
      <c r="L1753">
        <v>2022</v>
      </c>
      <c r="N1753" t="s">
        <v>5979</v>
      </c>
      <c r="O1753" t="s">
        <v>1781</v>
      </c>
      <c r="P1753" t="s">
        <v>6042</v>
      </c>
    </row>
    <row r="1754" spans="1:16" x14ac:dyDescent="0.3">
      <c r="A1754" t="s">
        <v>8</v>
      </c>
      <c r="C1754">
        <v>30</v>
      </c>
      <c r="D1754" t="s">
        <v>10</v>
      </c>
      <c r="F1754" s="43">
        <v>44907.645833333336</v>
      </c>
      <c r="G1754" s="43">
        <v>44907.666666666664</v>
      </c>
      <c r="H1754">
        <v>15</v>
      </c>
      <c r="I1754">
        <v>30</v>
      </c>
      <c r="J1754">
        <v>16</v>
      </c>
      <c r="K1754">
        <v>0</v>
      </c>
      <c r="L1754">
        <v>2022</v>
      </c>
      <c r="N1754" t="s">
        <v>47</v>
      </c>
      <c r="O1754" t="s">
        <v>47</v>
      </c>
      <c r="P1754" t="s">
        <v>6197</v>
      </c>
    </row>
    <row r="1755" spans="1:16" x14ac:dyDescent="0.3">
      <c r="A1755" t="s">
        <v>8</v>
      </c>
      <c r="C1755">
        <v>15</v>
      </c>
      <c r="D1755" t="s">
        <v>10</v>
      </c>
      <c r="F1755" s="43">
        <v>44907.604166666664</v>
      </c>
      <c r="G1755" s="43">
        <v>44907.614583333336</v>
      </c>
      <c r="H1755">
        <v>14</v>
      </c>
      <c r="I1755">
        <v>30</v>
      </c>
      <c r="J1755">
        <v>14</v>
      </c>
      <c r="K1755">
        <v>45</v>
      </c>
      <c r="L1755">
        <v>2022</v>
      </c>
      <c r="N1755" t="s">
        <v>47</v>
      </c>
      <c r="O1755" t="s">
        <v>47</v>
      </c>
      <c r="P1755" t="s">
        <v>6198</v>
      </c>
    </row>
    <row r="1756" spans="1:16" x14ac:dyDescent="0.3">
      <c r="A1756" t="s">
        <v>5159</v>
      </c>
      <c r="B1756" t="s">
        <v>20</v>
      </c>
      <c r="C1756">
        <v>30</v>
      </c>
      <c r="D1756" t="s">
        <v>10</v>
      </c>
      <c r="E1756" t="s">
        <v>501</v>
      </c>
      <c r="F1756" s="43">
        <v>44907.583333333336</v>
      </c>
      <c r="G1756" s="43">
        <v>44907.604166666664</v>
      </c>
      <c r="H1756">
        <v>14</v>
      </c>
      <c r="I1756">
        <v>0</v>
      </c>
      <c r="J1756">
        <v>14</v>
      </c>
      <c r="K1756">
        <v>30</v>
      </c>
      <c r="L1756">
        <v>2022</v>
      </c>
      <c r="N1756" t="s">
        <v>5764</v>
      </c>
      <c r="O1756" t="s">
        <v>47</v>
      </c>
      <c r="P1756" t="s">
        <v>5765</v>
      </c>
    </row>
    <row r="1757" spans="1:16" x14ac:dyDescent="0.3">
      <c r="A1757" t="s">
        <v>6131</v>
      </c>
      <c r="C1757">
        <v>60</v>
      </c>
      <c r="D1757" t="s">
        <v>10</v>
      </c>
      <c r="F1757" s="43">
        <v>44907.520833333336</v>
      </c>
      <c r="G1757" s="43">
        <v>44907.5625</v>
      </c>
      <c r="H1757">
        <v>12</v>
      </c>
      <c r="I1757">
        <v>30</v>
      </c>
      <c r="J1757">
        <v>13</v>
      </c>
      <c r="K1757">
        <v>30</v>
      </c>
      <c r="L1757">
        <v>2022</v>
      </c>
      <c r="N1757" t="s">
        <v>47</v>
      </c>
      <c r="O1757" t="s">
        <v>47</v>
      </c>
      <c r="P1757" t="s">
        <v>6199</v>
      </c>
    </row>
    <row r="1758" spans="1:16" x14ac:dyDescent="0.3">
      <c r="A1758" t="s">
        <v>4519</v>
      </c>
      <c r="C1758">
        <v>45</v>
      </c>
      <c r="D1758" t="s">
        <v>10</v>
      </c>
      <c r="F1758" s="43">
        <v>44907.4375</v>
      </c>
      <c r="G1758" s="43">
        <v>44907.46875</v>
      </c>
      <c r="H1758">
        <v>10</v>
      </c>
      <c r="I1758">
        <v>30</v>
      </c>
      <c r="J1758">
        <v>11</v>
      </c>
      <c r="K1758">
        <v>15</v>
      </c>
      <c r="L1758">
        <v>2022</v>
      </c>
      <c r="N1758" t="s">
        <v>47</v>
      </c>
      <c r="O1758" t="s">
        <v>47</v>
      </c>
      <c r="P1758" t="s">
        <v>6202</v>
      </c>
    </row>
    <row r="1759" spans="1:16" x14ac:dyDescent="0.3">
      <c r="A1759" t="s">
        <v>17</v>
      </c>
      <c r="C1759">
        <v>30</v>
      </c>
      <c r="D1759" t="s">
        <v>10</v>
      </c>
      <c r="F1759" s="43">
        <v>44907.416666666664</v>
      </c>
      <c r="G1759" s="43">
        <v>44907.4375</v>
      </c>
      <c r="H1759">
        <v>10</v>
      </c>
      <c r="I1759">
        <v>0</v>
      </c>
      <c r="J1759">
        <v>10</v>
      </c>
      <c r="K1759">
        <v>30</v>
      </c>
      <c r="L1759">
        <v>2022</v>
      </c>
      <c r="N1759" t="s">
        <v>47</v>
      </c>
      <c r="O1759" t="s">
        <v>47</v>
      </c>
      <c r="P1759" t="s">
        <v>6203</v>
      </c>
    </row>
    <row r="1760" spans="1:16" x14ac:dyDescent="0.3">
      <c r="A1760" t="s">
        <v>992</v>
      </c>
      <c r="C1760">
        <v>30</v>
      </c>
      <c r="D1760" t="s">
        <v>10</v>
      </c>
      <c r="F1760" s="43">
        <v>44907.333333333336</v>
      </c>
      <c r="G1760" s="43">
        <v>44907.354166666664</v>
      </c>
      <c r="H1760">
        <v>8</v>
      </c>
      <c r="I1760">
        <v>0</v>
      </c>
      <c r="J1760">
        <v>8</v>
      </c>
      <c r="K1760">
        <v>30</v>
      </c>
      <c r="L1760">
        <v>2022</v>
      </c>
      <c r="N1760" t="s">
        <v>47</v>
      </c>
      <c r="O1760" t="s">
        <v>47</v>
      </c>
      <c r="P1760" t="s">
        <v>6204</v>
      </c>
    </row>
    <row r="1761" spans="1:18" x14ac:dyDescent="0.3">
      <c r="A1761" t="s">
        <v>6205</v>
      </c>
      <c r="C1761">
        <v>110</v>
      </c>
      <c r="D1761" t="s">
        <v>10</v>
      </c>
      <c r="F1761" s="43">
        <v>44907.229166666664</v>
      </c>
      <c r="G1761" s="43">
        <v>44907.305555555555</v>
      </c>
      <c r="H1761">
        <v>5</v>
      </c>
      <c r="I1761">
        <v>30</v>
      </c>
      <c r="J1761">
        <v>7</v>
      </c>
      <c r="K1761">
        <v>20</v>
      </c>
      <c r="L1761">
        <v>2022</v>
      </c>
      <c r="N1761" t="s">
        <v>47</v>
      </c>
      <c r="O1761" t="s">
        <v>47</v>
      </c>
      <c r="P1761" t="s">
        <v>6206</v>
      </c>
    </row>
    <row r="1762" spans="1:18" x14ac:dyDescent="0.3">
      <c r="A1762" t="s">
        <v>8</v>
      </c>
      <c r="C1762">
        <v>30</v>
      </c>
      <c r="D1762" t="s">
        <v>10</v>
      </c>
      <c r="F1762" s="43">
        <v>44906.833333333336</v>
      </c>
      <c r="G1762" s="43">
        <v>44906.854166666664</v>
      </c>
      <c r="H1762">
        <v>20</v>
      </c>
      <c r="I1762">
        <v>0</v>
      </c>
      <c r="J1762">
        <v>20</v>
      </c>
      <c r="K1762">
        <v>30</v>
      </c>
      <c r="L1762">
        <v>2022</v>
      </c>
      <c r="N1762" t="s">
        <v>47</v>
      </c>
      <c r="O1762" t="s">
        <v>47</v>
      </c>
      <c r="P1762" t="s">
        <v>6207</v>
      </c>
    </row>
    <row r="1763" spans="1:18" x14ac:dyDescent="0.3">
      <c r="A1763" t="s">
        <v>6208</v>
      </c>
      <c r="C1763">
        <v>60</v>
      </c>
      <c r="D1763" t="s">
        <v>10</v>
      </c>
      <c r="F1763" s="43">
        <v>44906.708333333336</v>
      </c>
      <c r="G1763" s="43">
        <v>44906.75</v>
      </c>
      <c r="H1763">
        <v>17</v>
      </c>
      <c r="I1763">
        <v>0</v>
      </c>
      <c r="J1763">
        <v>18</v>
      </c>
      <c r="K1763">
        <v>0</v>
      </c>
      <c r="L1763">
        <v>2022</v>
      </c>
      <c r="N1763" t="s">
        <v>47</v>
      </c>
      <c r="O1763" t="s">
        <v>47</v>
      </c>
      <c r="P1763" t="s">
        <v>6209</v>
      </c>
    </row>
    <row r="1764" spans="1:18" x14ac:dyDescent="0.3">
      <c r="A1764" t="s">
        <v>6131</v>
      </c>
      <c r="C1764">
        <v>45</v>
      </c>
      <c r="D1764" t="s">
        <v>10</v>
      </c>
      <c r="F1764" s="43">
        <v>44906.489583333336</v>
      </c>
      <c r="G1764" s="43">
        <v>44906.520833333336</v>
      </c>
      <c r="H1764">
        <v>11</v>
      </c>
      <c r="I1764">
        <v>45</v>
      </c>
      <c r="J1764">
        <v>12</v>
      </c>
      <c r="K1764">
        <v>30</v>
      </c>
      <c r="L1764">
        <v>2022</v>
      </c>
      <c r="N1764" t="s">
        <v>47</v>
      </c>
      <c r="O1764" t="s">
        <v>47</v>
      </c>
      <c r="P1764" t="s">
        <v>6210</v>
      </c>
    </row>
    <row r="1765" spans="1:18" x14ac:dyDescent="0.3">
      <c r="A1765" t="s">
        <v>6131</v>
      </c>
      <c r="C1765">
        <v>75</v>
      </c>
      <c r="D1765" t="s">
        <v>10</v>
      </c>
      <c r="F1765" s="43">
        <v>44906.40625</v>
      </c>
      <c r="G1765" s="43">
        <v>44906.458333333336</v>
      </c>
      <c r="H1765">
        <v>9</v>
      </c>
      <c r="I1765">
        <v>45</v>
      </c>
      <c r="J1765">
        <v>11</v>
      </c>
      <c r="K1765">
        <v>0</v>
      </c>
      <c r="L1765">
        <v>2022</v>
      </c>
      <c r="N1765" t="s">
        <v>47</v>
      </c>
      <c r="O1765" t="s">
        <v>47</v>
      </c>
      <c r="P1765" t="s">
        <v>6211</v>
      </c>
    </row>
    <row r="1766" spans="1:18" x14ac:dyDescent="0.3">
      <c r="A1766" t="s">
        <v>6131</v>
      </c>
      <c r="C1766">
        <v>60</v>
      </c>
      <c r="D1766" t="s">
        <v>10</v>
      </c>
      <c r="F1766" s="43">
        <v>44906.34375</v>
      </c>
      <c r="G1766" s="43">
        <v>44906.385416666664</v>
      </c>
      <c r="H1766">
        <v>8</v>
      </c>
      <c r="I1766">
        <v>15</v>
      </c>
      <c r="J1766">
        <v>9</v>
      </c>
      <c r="K1766">
        <v>15</v>
      </c>
      <c r="L1766">
        <v>2022</v>
      </c>
      <c r="N1766" t="s">
        <v>47</v>
      </c>
      <c r="O1766" t="s">
        <v>47</v>
      </c>
      <c r="P1766" t="s">
        <v>6212</v>
      </c>
    </row>
    <row r="1767" spans="1:18" x14ac:dyDescent="0.3">
      <c r="A1767" t="s">
        <v>6131</v>
      </c>
      <c r="C1767">
        <v>90</v>
      </c>
      <c r="D1767" t="s">
        <v>10</v>
      </c>
      <c r="F1767" s="43">
        <v>44906.197916666664</v>
      </c>
      <c r="G1767" s="43">
        <v>44906.260416666664</v>
      </c>
      <c r="H1767">
        <v>4</v>
      </c>
      <c r="I1767">
        <v>45</v>
      </c>
      <c r="J1767">
        <v>6</v>
      </c>
      <c r="K1767">
        <v>15</v>
      </c>
      <c r="L1767">
        <v>2022</v>
      </c>
      <c r="N1767" t="s">
        <v>47</v>
      </c>
      <c r="O1767" t="s">
        <v>47</v>
      </c>
      <c r="P1767" t="s">
        <v>6213</v>
      </c>
    </row>
    <row r="1768" spans="1:18" x14ac:dyDescent="0.3">
      <c r="A1768" t="s">
        <v>6208</v>
      </c>
      <c r="C1768">
        <v>45</v>
      </c>
      <c r="D1768" t="s">
        <v>10</v>
      </c>
      <c r="E1768" s="47"/>
      <c r="F1768" s="43">
        <v>44905.78125</v>
      </c>
      <c r="G1768" s="43">
        <v>44905.8125</v>
      </c>
      <c r="H1768">
        <v>18</v>
      </c>
      <c r="I1768">
        <v>45</v>
      </c>
      <c r="J1768">
        <v>19</v>
      </c>
      <c r="K1768">
        <v>30</v>
      </c>
      <c r="L1768">
        <v>2022</v>
      </c>
      <c r="N1768" t="s">
        <v>47</v>
      </c>
      <c r="O1768" t="s">
        <v>47</v>
      </c>
      <c r="P1768" t="s">
        <v>6214</v>
      </c>
    </row>
    <row r="1769" spans="1:18" x14ac:dyDescent="0.3">
      <c r="A1769" t="s">
        <v>6131</v>
      </c>
      <c r="C1769">
        <v>30</v>
      </c>
      <c r="D1769" t="s">
        <v>10</v>
      </c>
      <c r="F1769" s="43">
        <v>44905.6875</v>
      </c>
      <c r="G1769" s="43">
        <v>44905.708333333336</v>
      </c>
      <c r="H1769">
        <v>16</v>
      </c>
      <c r="I1769">
        <v>30</v>
      </c>
      <c r="J1769">
        <v>17</v>
      </c>
      <c r="K1769">
        <v>0</v>
      </c>
      <c r="L1769">
        <v>2022</v>
      </c>
      <c r="N1769" t="s">
        <v>47</v>
      </c>
      <c r="O1769" t="s">
        <v>47</v>
      </c>
      <c r="P1769" t="s">
        <v>6215</v>
      </c>
      <c r="Q1769" t="s">
        <v>223</v>
      </c>
      <c r="R1769">
        <v>2895583867</v>
      </c>
    </row>
    <row r="1770" spans="1:18" x14ac:dyDescent="0.3">
      <c r="A1770" t="s">
        <v>6131</v>
      </c>
      <c r="C1770">
        <v>60</v>
      </c>
      <c r="D1770" t="s">
        <v>10</v>
      </c>
      <c r="F1770" s="43">
        <v>44905.520833333336</v>
      </c>
      <c r="G1770" s="43">
        <v>44905.5625</v>
      </c>
      <c r="H1770">
        <v>12</v>
      </c>
      <c r="I1770">
        <v>30</v>
      </c>
      <c r="J1770">
        <v>13</v>
      </c>
      <c r="K1770">
        <v>30</v>
      </c>
      <c r="L1770">
        <v>2022</v>
      </c>
      <c r="N1770" t="s">
        <v>47</v>
      </c>
      <c r="O1770" t="s">
        <v>47</v>
      </c>
      <c r="P1770" t="s">
        <v>6216</v>
      </c>
    </row>
    <row r="1771" spans="1:18" x14ac:dyDescent="0.3">
      <c r="A1771" t="s">
        <v>6131</v>
      </c>
      <c r="C1771">
        <v>120</v>
      </c>
      <c r="D1771" t="s">
        <v>10</v>
      </c>
      <c r="F1771" s="43">
        <v>44905.364583333336</v>
      </c>
      <c r="G1771" s="43">
        <v>44905.447916666664</v>
      </c>
      <c r="H1771">
        <v>8</v>
      </c>
      <c r="I1771">
        <v>45</v>
      </c>
      <c r="J1771">
        <v>10</v>
      </c>
      <c r="K1771">
        <v>45</v>
      </c>
      <c r="L1771">
        <v>2022</v>
      </c>
      <c r="N1771" t="s">
        <v>47</v>
      </c>
      <c r="O1771" t="s">
        <v>47</v>
      </c>
      <c r="P1771" t="s">
        <v>6217</v>
      </c>
    </row>
    <row r="1772" spans="1:18" x14ac:dyDescent="0.3">
      <c r="A1772" t="s">
        <v>6208</v>
      </c>
      <c r="C1772">
        <v>40</v>
      </c>
      <c r="D1772" t="s">
        <v>10</v>
      </c>
      <c r="F1772" s="43">
        <v>44904.784722222219</v>
      </c>
      <c r="G1772" s="43">
        <v>44904.8125</v>
      </c>
      <c r="H1772">
        <v>18</v>
      </c>
      <c r="I1772">
        <v>50</v>
      </c>
      <c r="J1772">
        <v>19</v>
      </c>
      <c r="K1772">
        <v>30</v>
      </c>
      <c r="L1772">
        <v>2022</v>
      </c>
      <c r="N1772" t="s">
        <v>47</v>
      </c>
      <c r="O1772" t="s">
        <v>47</v>
      </c>
      <c r="P1772" t="s">
        <v>6218</v>
      </c>
    </row>
    <row r="1773" spans="1:18" x14ac:dyDescent="0.3">
      <c r="A1773" t="s">
        <v>6208</v>
      </c>
      <c r="C1773">
        <v>60</v>
      </c>
      <c r="D1773" t="s">
        <v>10</v>
      </c>
      <c r="F1773" s="43">
        <v>44904.722222222219</v>
      </c>
      <c r="G1773" s="43">
        <v>44904.763888888891</v>
      </c>
      <c r="H1773">
        <v>17</v>
      </c>
      <c r="I1773">
        <v>20</v>
      </c>
      <c r="J1773">
        <v>18</v>
      </c>
      <c r="K1773">
        <v>20</v>
      </c>
      <c r="L1773">
        <v>2022</v>
      </c>
      <c r="N1773" t="s">
        <v>47</v>
      </c>
      <c r="O1773" t="s">
        <v>47</v>
      </c>
      <c r="P1773" t="s">
        <v>6219</v>
      </c>
    </row>
    <row r="1774" spans="1:18" x14ac:dyDescent="0.3">
      <c r="A1774" t="s">
        <v>8</v>
      </c>
      <c r="C1774">
        <v>30</v>
      </c>
      <c r="D1774" t="s">
        <v>10</v>
      </c>
      <c r="F1774" s="43">
        <v>44904.65625</v>
      </c>
      <c r="G1774" s="43">
        <v>44904.677083333336</v>
      </c>
      <c r="H1774">
        <v>15</v>
      </c>
      <c r="I1774">
        <v>45</v>
      </c>
      <c r="J1774">
        <v>16</v>
      </c>
      <c r="K1774">
        <v>15</v>
      </c>
      <c r="L1774">
        <v>2022</v>
      </c>
      <c r="N1774" t="s">
        <v>47</v>
      </c>
      <c r="O1774" t="s">
        <v>47</v>
      </c>
      <c r="P1774" t="s">
        <v>6220</v>
      </c>
    </row>
    <row r="1775" spans="1:18" x14ac:dyDescent="0.3">
      <c r="A1775" t="s">
        <v>8</v>
      </c>
      <c r="C1775">
        <v>20</v>
      </c>
      <c r="D1775" t="s">
        <v>10</v>
      </c>
      <c r="F1775" s="43">
        <v>44904.604166666664</v>
      </c>
      <c r="G1775" s="43">
        <v>44904.618055555555</v>
      </c>
      <c r="H1775">
        <v>14</v>
      </c>
      <c r="I1775">
        <v>30</v>
      </c>
      <c r="J1775">
        <v>14</v>
      </c>
      <c r="K1775">
        <v>50</v>
      </c>
      <c r="L1775">
        <v>2022</v>
      </c>
      <c r="N1775" t="s">
        <v>47</v>
      </c>
      <c r="O1775" t="s">
        <v>47</v>
      </c>
      <c r="P1775" t="s">
        <v>6221</v>
      </c>
    </row>
    <row r="1776" spans="1:18" x14ac:dyDescent="0.3">
      <c r="A1776" t="s">
        <v>6121</v>
      </c>
      <c r="B1776" t="s">
        <v>20</v>
      </c>
      <c r="C1776">
        <v>30</v>
      </c>
      <c r="D1776" t="s">
        <v>10</v>
      </c>
      <c r="E1776" t="s">
        <v>6122</v>
      </c>
      <c r="F1776" s="43">
        <v>44904.583333333336</v>
      </c>
      <c r="G1776" s="43">
        <v>44904.604166666664</v>
      </c>
      <c r="H1776">
        <v>14</v>
      </c>
      <c r="I1776">
        <v>0</v>
      </c>
      <c r="J1776">
        <v>14</v>
      </c>
      <c r="K1776">
        <v>30</v>
      </c>
      <c r="L1776">
        <v>2022</v>
      </c>
      <c r="N1776" t="s">
        <v>6123</v>
      </c>
      <c r="O1776" t="s">
        <v>48</v>
      </c>
      <c r="P1776" t="s">
        <v>6124</v>
      </c>
    </row>
    <row r="1777" spans="1:18" x14ac:dyDescent="0.3">
      <c r="A1777" t="s">
        <v>8</v>
      </c>
      <c r="C1777">
        <v>30</v>
      </c>
      <c r="D1777" t="s">
        <v>10</v>
      </c>
      <c r="F1777" s="43">
        <v>44904.5625</v>
      </c>
      <c r="G1777" s="43">
        <v>44904.583333333336</v>
      </c>
      <c r="H1777">
        <v>13</v>
      </c>
      <c r="I1777">
        <v>30</v>
      </c>
      <c r="J1777">
        <v>14</v>
      </c>
      <c r="K1777">
        <v>0</v>
      </c>
      <c r="L1777">
        <v>2022</v>
      </c>
      <c r="N1777" t="s">
        <v>47</v>
      </c>
      <c r="O1777" t="s">
        <v>47</v>
      </c>
      <c r="P1777" t="s">
        <v>6222</v>
      </c>
    </row>
    <row r="1778" spans="1:18" x14ac:dyDescent="0.3">
      <c r="A1778" t="s">
        <v>3112</v>
      </c>
      <c r="C1778">
        <v>30</v>
      </c>
      <c r="D1778" t="s">
        <v>10</v>
      </c>
      <c r="F1778" s="43">
        <v>44904.5</v>
      </c>
      <c r="G1778" s="43">
        <v>44904.520833333336</v>
      </c>
      <c r="H1778">
        <v>12</v>
      </c>
      <c r="I1778">
        <v>0</v>
      </c>
      <c r="J1778">
        <v>12</v>
      </c>
      <c r="K1778">
        <v>30</v>
      </c>
      <c r="L1778">
        <v>2022</v>
      </c>
      <c r="N1778" t="s">
        <v>47</v>
      </c>
      <c r="O1778" t="s">
        <v>47</v>
      </c>
      <c r="P1778" t="s">
        <v>6223</v>
      </c>
    </row>
    <row r="1779" spans="1:18" x14ac:dyDescent="0.3">
      <c r="A1779" t="s">
        <v>6131</v>
      </c>
      <c r="C1779">
        <v>80</v>
      </c>
      <c r="D1779" t="s">
        <v>10</v>
      </c>
      <c r="F1779" s="43">
        <v>44904.409722222219</v>
      </c>
      <c r="G1779" s="43">
        <v>44904.465277777781</v>
      </c>
      <c r="H1779">
        <v>9</v>
      </c>
      <c r="I1779">
        <v>50</v>
      </c>
      <c r="J1779">
        <v>11</v>
      </c>
      <c r="K1779">
        <v>10</v>
      </c>
      <c r="L1779">
        <v>2022</v>
      </c>
      <c r="N1779" t="s">
        <v>47</v>
      </c>
      <c r="O1779" t="s">
        <v>47</v>
      </c>
      <c r="P1779" t="s">
        <v>6224</v>
      </c>
    </row>
    <row r="1780" spans="1:18" x14ac:dyDescent="0.3">
      <c r="A1780" t="s">
        <v>6225</v>
      </c>
      <c r="C1780">
        <v>75</v>
      </c>
      <c r="D1780" t="s">
        <v>10</v>
      </c>
      <c r="F1780" s="43">
        <v>44904.333333333336</v>
      </c>
      <c r="G1780" s="43">
        <v>44904.385416666664</v>
      </c>
      <c r="H1780">
        <v>8</v>
      </c>
      <c r="I1780">
        <v>0</v>
      </c>
      <c r="J1780">
        <v>9</v>
      </c>
      <c r="K1780">
        <v>15</v>
      </c>
      <c r="L1780">
        <v>2022</v>
      </c>
      <c r="N1780" t="s">
        <v>47</v>
      </c>
      <c r="O1780" t="s">
        <v>47</v>
      </c>
      <c r="P1780" t="s">
        <v>6226</v>
      </c>
      <c r="Q1780" t="s">
        <v>224</v>
      </c>
      <c r="R1780">
        <v>2784118521</v>
      </c>
    </row>
    <row r="1781" spans="1:18" x14ac:dyDescent="0.3">
      <c r="A1781" t="s">
        <v>5897</v>
      </c>
      <c r="C1781">
        <v>45</v>
      </c>
      <c r="D1781" t="s">
        <v>10</v>
      </c>
      <c r="F1781" s="43">
        <v>44904.270833333336</v>
      </c>
      <c r="G1781" s="43">
        <v>44904.302083333336</v>
      </c>
      <c r="H1781">
        <v>6</v>
      </c>
      <c r="I1781">
        <v>30</v>
      </c>
      <c r="J1781">
        <v>7</v>
      </c>
      <c r="K1781">
        <v>15</v>
      </c>
      <c r="L1781">
        <v>2022</v>
      </c>
      <c r="N1781" t="s">
        <v>47</v>
      </c>
      <c r="O1781" t="s">
        <v>47</v>
      </c>
      <c r="P1781" t="s">
        <v>6227</v>
      </c>
    </row>
    <row r="1782" spans="1:18" x14ac:dyDescent="0.3">
      <c r="A1782" t="s">
        <v>6228</v>
      </c>
      <c r="C1782">
        <v>30</v>
      </c>
      <c r="D1782" t="s">
        <v>10</v>
      </c>
      <c r="F1782" s="43">
        <v>44903.84375</v>
      </c>
      <c r="G1782" s="43">
        <v>44903.864583333336</v>
      </c>
      <c r="H1782">
        <v>20</v>
      </c>
      <c r="I1782">
        <v>15</v>
      </c>
      <c r="J1782">
        <v>20</v>
      </c>
      <c r="K1782">
        <v>45</v>
      </c>
      <c r="L1782">
        <v>2022</v>
      </c>
      <c r="N1782" t="s">
        <v>47</v>
      </c>
      <c r="O1782" t="s">
        <v>47</v>
      </c>
      <c r="P1782" t="s">
        <v>6229</v>
      </c>
    </row>
    <row r="1783" spans="1:18" x14ac:dyDescent="0.3">
      <c r="A1783" t="s">
        <v>8</v>
      </c>
      <c r="C1783">
        <v>30</v>
      </c>
      <c r="D1783" t="s">
        <v>10</v>
      </c>
      <c r="F1783" s="43">
        <v>44903.791666666664</v>
      </c>
      <c r="G1783" s="43">
        <v>44903.8125</v>
      </c>
      <c r="H1783">
        <v>19</v>
      </c>
      <c r="I1783">
        <v>0</v>
      </c>
      <c r="J1783">
        <v>19</v>
      </c>
      <c r="K1783">
        <v>30</v>
      </c>
      <c r="L1783">
        <v>2022</v>
      </c>
      <c r="N1783" t="s">
        <v>47</v>
      </c>
      <c r="O1783" t="s">
        <v>47</v>
      </c>
      <c r="P1783" t="s">
        <v>6230</v>
      </c>
    </row>
    <row r="1784" spans="1:18" x14ac:dyDescent="0.3">
      <c r="A1784" t="s">
        <v>6208</v>
      </c>
      <c r="C1784">
        <v>60</v>
      </c>
      <c r="D1784" t="s">
        <v>10</v>
      </c>
      <c r="F1784" s="43">
        <v>44903.729166666664</v>
      </c>
      <c r="G1784" s="43">
        <v>44903.770833333336</v>
      </c>
      <c r="H1784">
        <v>17</v>
      </c>
      <c r="I1784">
        <v>30</v>
      </c>
      <c r="J1784">
        <v>18</v>
      </c>
      <c r="K1784">
        <v>30</v>
      </c>
      <c r="L1784">
        <v>2022</v>
      </c>
      <c r="N1784" t="s">
        <v>47</v>
      </c>
      <c r="O1784" t="s">
        <v>47</v>
      </c>
      <c r="P1784" t="s">
        <v>6231</v>
      </c>
    </row>
    <row r="1785" spans="1:18" x14ac:dyDescent="0.3">
      <c r="A1785" t="s">
        <v>9</v>
      </c>
      <c r="C1785">
        <v>30</v>
      </c>
      <c r="D1785" t="s">
        <v>10</v>
      </c>
      <c r="F1785" s="43">
        <v>44903.697916666664</v>
      </c>
      <c r="G1785" s="43">
        <v>44903.71875</v>
      </c>
      <c r="H1785">
        <v>16</v>
      </c>
      <c r="I1785">
        <v>45</v>
      </c>
      <c r="J1785">
        <v>17</v>
      </c>
      <c r="K1785">
        <v>15</v>
      </c>
      <c r="L1785">
        <v>2022</v>
      </c>
      <c r="N1785" t="s">
        <v>47</v>
      </c>
      <c r="O1785" t="s">
        <v>47</v>
      </c>
      <c r="P1785" t="s">
        <v>6232</v>
      </c>
    </row>
    <row r="1786" spans="1:18" x14ac:dyDescent="0.3">
      <c r="A1786" t="s">
        <v>6208</v>
      </c>
      <c r="C1786">
        <v>40</v>
      </c>
      <c r="D1786" t="s">
        <v>10</v>
      </c>
      <c r="F1786" s="43">
        <v>44903.666666666664</v>
      </c>
      <c r="G1786" s="43">
        <v>44903.694444444445</v>
      </c>
      <c r="H1786">
        <v>16</v>
      </c>
      <c r="I1786">
        <v>0</v>
      </c>
      <c r="J1786">
        <v>16</v>
      </c>
      <c r="K1786">
        <v>40</v>
      </c>
      <c r="L1786">
        <v>2022</v>
      </c>
      <c r="N1786" t="s">
        <v>47</v>
      </c>
      <c r="O1786" t="s">
        <v>47</v>
      </c>
      <c r="P1786" t="s">
        <v>6233</v>
      </c>
    </row>
    <row r="1787" spans="1:18" x14ac:dyDescent="0.3">
      <c r="A1787" t="s">
        <v>6234</v>
      </c>
      <c r="C1787">
        <v>40</v>
      </c>
      <c r="D1787" t="s">
        <v>10</v>
      </c>
      <c r="F1787" s="43">
        <v>44903.638888888891</v>
      </c>
      <c r="G1787" s="43">
        <v>44903.666666666664</v>
      </c>
      <c r="H1787">
        <v>15</v>
      </c>
      <c r="I1787">
        <v>20</v>
      </c>
      <c r="J1787">
        <v>16</v>
      </c>
      <c r="K1787">
        <v>0</v>
      </c>
      <c r="L1787">
        <v>2022</v>
      </c>
      <c r="N1787" t="s">
        <v>47</v>
      </c>
      <c r="O1787" t="s">
        <v>47</v>
      </c>
      <c r="P1787" t="s">
        <v>6235</v>
      </c>
    </row>
    <row r="1788" spans="1:18" x14ac:dyDescent="0.3">
      <c r="A1788" t="s">
        <v>1769</v>
      </c>
      <c r="C1788">
        <v>30</v>
      </c>
      <c r="D1788" t="s">
        <v>10</v>
      </c>
      <c r="F1788" s="43">
        <v>44903.604166666664</v>
      </c>
      <c r="G1788" s="43">
        <v>44903.625</v>
      </c>
      <c r="H1788">
        <v>14</v>
      </c>
      <c r="I1788">
        <v>30</v>
      </c>
      <c r="J1788">
        <v>15</v>
      </c>
      <c r="K1788">
        <v>0</v>
      </c>
      <c r="L1788">
        <v>2022</v>
      </c>
      <c r="N1788" t="s">
        <v>47</v>
      </c>
      <c r="O1788" t="s">
        <v>47</v>
      </c>
      <c r="P1788" t="s">
        <v>6237</v>
      </c>
    </row>
    <row r="1789" spans="1:18" x14ac:dyDescent="0.3">
      <c r="A1789" t="s">
        <v>5733</v>
      </c>
      <c r="C1789">
        <v>30</v>
      </c>
      <c r="D1789" t="s">
        <v>10</v>
      </c>
      <c r="F1789" s="43">
        <v>44903.583333333336</v>
      </c>
      <c r="G1789" s="43">
        <v>44903.604166666664</v>
      </c>
      <c r="H1789">
        <v>14</v>
      </c>
      <c r="I1789">
        <v>0</v>
      </c>
      <c r="J1789">
        <v>14</v>
      </c>
      <c r="K1789">
        <v>30</v>
      </c>
      <c r="L1789">
        <v>2022</v>
      </c>
      <c r="N1789" t="s">
        <v>47</v>
      </c>
      <c r="O1789" t="s">
        <v>47</v>
      </c>
      <c r="P1789" t="s">
        <v>5734</v>
      </c>
    </row>
    <row r="1790" spans="1:18" x14ac:dyDescent="0.3">
      <c r="A1790" t="s">
        <v>8</v>
      </c>
      <c r="C1790">
        <v>15</v>
      </c>
      <c r="D1790" t="s">
        <v>10</v>
      </c>
      <c r="F1790" s="43">
        <v>44903.572916666664</v>
      </c>
      <c r="G1790" s="43">
        <v>44903.583333333336</v>
      </c>
      <c r="H1790">
        <v>13</v>
      </c>
      <c r="I1790">
        <v>45</v>
      </c>
      <c r="J1790">
        <v>14</v>
      </c>
      <c r="K1790">
        <v>0</v>
      </c>
      <c r="L1790">
        <v>2022</v>
      </c>
      <c r="N1790" t="s">
        <v>47</v>
      </c>
      <c r="O1790" t="s">
        <v>47</v>
      </c>
      <c r="P1790" t="s">
        <v>6236</v>
      </c>
      <c r="Q1790" t="s">
        <v>221</v>
      </c>
      <c r="R1790">
        <v>2919076903</v>
      </c>
    </row>
    <row r="1791" spans="1:18" x14ac:dyDescent="0.3">
      <c r="A1791" t="s">
        <v>2905</v>
      </c>
      <c r="C1791">
        <v>15</v>
      </c>
      <c r="D1791" t="s">
        <v>10</v>
      </c>
      <c r="F1791" s="43">
        <v>44903.520833333336</v>
      </c>
      <c r="G1791" s="43">
        <v>44903.53125</v>
      </c>
      <c r="H1791">
        <v>12</v>
      </c>
      <c r="I1791">
        <v>30</v>
      </c>
      <c r="J1791">
        <v>12</v>
      </c>
      <c r="K1791">
        <v>45</v>
      </c>
      <c r="L1791">
        <v>2022</v>
      </c>
      <c r="N1791" t="s">
        <v>47</v>
      </c>
      <c r="O1791" t="s">
        <v>47</v>
      </c>
      <c r="P1791" t="s">
        <v>6239</v>
      </c>
    </row>
    <row r="1792" spans="1:18" x14ac:dyDescent="0.3">
      <c r="A1792" t="s">
        <v>1222</v>
      </c>
      <c r="C1792">
        <v>30</v>
      </c>
      <c r="D1792" t="s">
        <v>10</v>
      </c>
      <c r="F1792" s="43">
        <v>44903.5</v>
      </c>
      <c r="G1792" s="43">
        <v>44903.520833333336</v>
      </c>
      <c r="H1792">
        <v>12</v>
      </c>
      <c r="I1792">
        <v>0</v>
      </c>
      <c r="J1792">
        <v>12</v>
      </c>
      <c r="K1792">
        <v>30</v>
      </c>
      <c r="L1792">
        <v>2022</v>
      </c>
      <c r="O1792" t="s">
        <v>47</v>
      </c>
      <c r="P1792" t="s">
        <v>6240</v>
      </c>
    </row>
    <row r="1793" spans="1:18" x14ac:dyDescent="0.3">
      <c r="A1793" t="s">
        <v>8</v>
      </c>
      <c r="C1793">
        <v>45</v>
      </c>
      <c r="D1793" t="s">
        <v>10</v>
      </c>
      <c r="F1793" s="43">
        <v>44903.46875</v>
      </c>
      <c r="G1793" s="43">
        <v>44903.5</v>
      </c>
      <c r="H1793">
        <v>11</v>
      </c>
      <c r="I1793">
        <v>15</v>
      </c>
      <c r="J1793">
        <v>12</v>
      </c>
      <c r="K1793">
        <v>0</v>
      </c>
      <c r="L1793">
        <v>2022</v>
      </c>
      <c r="N1793" t="s">
        <v>47</v>
      </c>
      <c r="O1793" t="s">
        <v>47</v>
      </c>
      <c r="P1793" t="s">
        <v>6241</v>
      </c>
    </row>
    <row r="1794" spans="1:18" x14ac:dyDescent="0.3">
      <c r="A1794" t="s">
        <v>17</v>
      </c>
      <c r="C1794">
        <v>45</v>
      </c>
      <c r="D1794" t="s">
        <v>10</v>
      </c>
      <c r="F1794" s="43">
        <v>44903.40625</v>
      </c>
      <c r="G1794" s="43">
        <v>44903.4375</v>
      </c>
      <c r="H1794">
        <v>9</v>
      </c>
      <c r="I1794">
        <v>45</v>
      </c>
      <c r="J1794">
        <v>10</v>
      </c>
      <c r="K1794">
        <v>30</v>
      </c>
      <c r="L1794">
        <v>2022</v>
      </c>
      <c r="N1794" t="s">
        <v>47</v>
      </c>
      <c r="O1794" t="s">
        <v>47</v>
      </c>
      <c r="P1794" t="s">
        <v>6245</v>
      </c>
    </row>
    <row r="1795" spans="1:18" x14ac:dyDescent="0.3">
      <c r="A1795" t="s">
        <v>5901</v>
      </c>
      <c r="C1795">
        <v>70</v>
      </c>
      <c r="D1795" t="s">
        <v>10</v>
      </c>
      <c r="F1795" s="43">
        <v>44903.354166666664</v>
      </c>
      <c r="G1795" s="43">
        <v>44903.402777777781</v>
      </c>
      <c r="H1795">
        <v>8</v>
      </c>
      <c r="I1795">
        <v>30</v>
      </c>
      <c r="J1795">
        <v>9</v>
      </c>
      <c r="K1795">
        <v>40</v>
      </c>
      <c r="L1795">
        <v>2022</v>
      </c>
      <c r="N1795" t="s">
        <v>47</v>
      </c>
      <c r="O1795" t="s">
        <v>47</v>
      </c>
      <c r="P1795" t="s">
        <v>6248</v>
      </c>
    </row>
    <row r="1796" spans="1:18" x14ac:dyDescent="0.3">
      <c r="A1796" t="s">
        <v>1222</v>
      </c>
      <c r="C1796">
        <v>30</v>
      </c>
      <c r="D1796" t="s">
        <v>10</v>
      </c>
      <c r="F1796" s="43">
        <v>44903.333333333336</v>
      </c>
      <c r="G1796" s="43">
        <v>44903.354166666664</v>
      </c>
      <c r="H1796">
        <v>8</v>
      </c>
      <c r="I1796">
        <v>0</v>
      </c>
      <c r="J1796">
        <v>8</v>
      </c>
      <c r="K1796">
        <v>30</v>
      </c>
      <c r="L1796">
        <v>2022</v>
      </c>
      <c r="N1796" t="s">
        <v>47</v>
      </c>
      <c r="O1796" t="s">
        <v>47</v>
      </c>
      <c r="P1796" t="s">
        <v>6247</v>
      </c>
      <c r="Q1796" t="s">
        <v>6</v>
      </c>
      <c r="R1796">
        <v>2708548138</v>
      </c>
    </row>
    <row r="1797" spans="1:18" x14ac:dyDescent="0.3">
      <c r="A1797" t="s">
        <v>8</v>
      </c>
      <c r="C1797">
        <v>15</v>
      </c>
      <c r="D1797" t="s">
        <v>10</v>
      </c>
      <c r="F1797" s="43">
        <v>44903.322916666664</v>
      </c>
      <c r="G1797" s="43">
        <v>44903.333333333336</v>
      </c>
      <c r="H1797">
        <v>7</v>
      </c>
      <c r="I1797">
        <v>45</v>
      </c>
      <c r="J1797">
        <v>8</v>
      </c>
      <c r="K1797">
        <v>0</v>
      </c>
      <c r="L1797">
        <v>2022</v>
      </c>
      <c r="N1797" t="s">
        <v>47</v>
      </c>
      <c r="O1797" t="s">
        <v>47</v>
      </c>
      <c r="P1797" t="s">
        <v>6246</v>
      </c>
    </row>
    <row r="1798" spans="1:18" x14ac:dyDescent="0.3">
      <c r="A1798" t="s">
        <v>8</v>
      </c>
      <c r="C1798">
        <v>30</v>
      </c>
      <c r="D1798" t="s">
        <v>10</v>
      </c>
      <c r="F1798" s="43">
        <v>44903.25</v>
      </c>
      <c r="G1798" s="43">
        <v>44903.270833333336</v>
      </c>
      <c r="H1798">
        <v>6</v>
      </c>
      <c r="I1798">
        <v>0</v>
      </c>
      <c r="J1798">
        <v>6</v>
      </c>
      <c r="K1798">
        <v>30</v>
      </c>
      <c r="L1798">
        <v>2022</v>
      </c>
      <c r="N1798" t="s">
        <v>47</v>
      </c>
      <c r="O1798" t="s">
        <v>47</v>
      </c>
      <c r="P1798" t="s">
        <v>6249</v>
      </c>
    </row>
    <row r="1799" spans="1:18" x14ac:dyDescent="0.3">
      <c r="A1799" t="s">
        <v>4519</v>
      </c>
      <c r="C1799">
        <v>30</v>
      </c>
      <c r="D1799" t="s">
        <v>10</v>
      </c>
      <c r="F1799" s="43">
        <v>44903.229166666664</v>
      </c>
      <c r="G1799" s="43">
        <v>44903.25</v>
      </c>
      <c r="H1799">
        <v>5</v>
      </c>
      <c r="I1799">
        <v>30</v>
      </c>
      <c r="J1799">
        <v>6</v>
      </c>
      <c r="K1799">
        <v>0</v>
      </c>
      <c r="L1799">
        <v>2022</v>
      </c>
      <c r="N1799" t="s">
        <v>47</v>
      </c>
      <c r="O1799" t="s">
        <v>47</v>
      </c>
      <c r="P1799" t="s">
        <v>6250</v>
      </c>
    </row>
    <row r="1800" spans="1:18" x14ac:dyDescent="0.3">
      <c r="A1800" t="s">
        <v>8</v>
      </c>
      <c r="C1800">
        <v>35</v>
      </c>
      <c r="D1800" t="s">
        <v>10</v>
      </c>
      <c r="F1800" s="43">
        <v>44902.84375</v>
      </c>
      <c r="G1800" s="43">
        <v>44902.868055555555</v>
      </c>
      <c r="H1800">
        <v>20</v>
      </c>
      <c r="I1800">
        <v>15</v>
      </c>
      <c r="J1800">
        <v>20</v>
      </c>
      <c r="K1800">
        <v>50</v>
      </c>
      <c r="L1800">
        <v>2022</v>
      </c>
      <c r="N1800" t="s">
        <v>47</v>
      </c>
      <c r="O1800" t="s">
        <v>47</v>
      </c>
      <c r="P1800" t="s">
        <v>6251</v>
      </c>
    </row>
    <row r="1801" spans="1:18" x14ac:dyDescent="0.3">
      <c r="A1801" t="s">
        <v>6131</v>
      </c>
      <c r="C1801">
        <v>45</v>
      </c>
      <c r="D1801" t="s">
        <v>10</v>
      </c>
      <c r="F1801" s="43">
        <v>44902.71875</v>
      </c>
      <c r="G1801" s="43">
        <v>44902.75</v>
      </c>
      <c r="H1801">
        <v>17</v>
      </c>
      <c r="I1801">
        <v>15</v>
      </c>
      <c r="J1801">
        <v>18</v>
      </c>
      <c r="K1801">
        <v>0</v>
      </c>
      <c r="L1801">
        <v>2022</v>
      </c>
      <c r="N1801" t="s">
        <v>47</v>
      </c>
      <c r="O1801" t="s">
        <v>47</v>
      </c>
      <c r="P1801" t="s">
        <v>6255</v>
      </c>
    </row>
    <row r="1802" spans="1:18" x14ac:dyDescent="0.3">
      <c r="A1802" t="s">
        <v>6</v>
      </c>
      <c r="C1802">
        <v>50</v>
      </c>
      <c r="D1802" t="s">
        <v>10</v>
      </c>
      <c r="F1802" s="43">
        <v>44902.666666666664</v>
      </c>
      <c r="G1802" s="43">
        <v>44902.701388888891</v>
      </c>
      <c r="H1802">
        <v>16</v>
      </c>
      <c r="I1802">
        <v>0</v>
      </c>
      <c r="J1802">
        <v>16</v>
      </c>
      <c r="K1802">
        <v>50</v>
      </c>
      <c r="L1802">
        <v>2022</v>
      </c>
      <c r="N1802" t="s">
        <v>47</v>
      </c>
      <c r="O1802" t="s">
        <v>47</v>
      </c>
      <c r="P1802" t="s">
        <v>6257</v>
      </c>
    </row>
    <row r="1803" spans="1:18" x14ac:dyDescent="0.3">
      <c r="A1803" t="s">
        <v>7</v>
      </c>
      <c r="C1803">
        <v>30</v>
      </c>
      <c r="D1803" t="s">
        <v>10</v>
      </c>
      <c r="F1803" s="43">
        <v>44902.645833333336</v>
      </c>
      <c r="G1803" s="43">
        <v>44902.666666666664</v>
      </c>
      <c r="H1803">
        <v>15</v>
      </c>
      <c r="I1803">
        <v>30</v>
      </c>
      <c r="J1803">
        <v>16</v>
      </c>
      <c r="K1803">
        <v>0</v>
      </c>
      <c r="L1803">
        <v>2022</v>
      </c>
      <c r="N1803" t="s">
        <v>47</v>
      </c>
      <c r="O1803" t="s">
        <v>47</v>
      </c>
      <c r="P1803" t="s">
        <v>6258</v>
      </c>
    </row>
    <row r="1804" spans="1:18" x14ac:dyDescent="0.3">
      <c r="A1804" t="s">
        <v>8</v>
      </c>
      <c r="C1804">
        <v>65</v>
      </c>
      <c r="D1804" t="s">
        <v>10</v>
      </c>
      <c r="F1804" s="43">
        <v>44902.572916666664</v>
      </c>
      <c r="G1804" s="43">
        <v>44902.618055555555</v>
      </c>
      <c r="H1804">
        <v>13</v>
      </c>
      <c r="I1804">
        <v>45</v>
      </c>
      <c r="J1804">
        <v>14</v>
      </c>
      <c r="K1804">
        <v>50</v>
      </c>
      <c r="L1804">
        <v>2022</v>
      </c>
      <c r="N1804" t="s">
        <v>47</v>
      </c>
      <c r="O1804" t="s">
        <v>47</v>
      </c>
      <c r="P1804" t="s">
        <v>6256</v>
      </c>
    </row>
    <row r="1805" spans="1:18" x14ac:dyDescent="0.3">
      <c r="A1805" t="s">
        <v>6025</v>
      </c>
      <c r="B1805" t="s">
        <v>20</v>
      </c>
      <c r="C1805">
        <v>60</v>
      </c>
      <c r="D1805" t="s">
        <v>10</v>
      </c>
      <c r="E1805" t="s">
        <v>5</v>
      </c>
      <c r="F1805" s="43">
        <v>44902.458333333336</v>
      </c>
      <c r="G1805" s="43">
        <v>44902.5</v>
      </c>
      <c r="H1805">
        <v>11</v>
      </c>
      <c r="I1805">
        <v>0</v>
      </c>
      <c r="J1805">
        <v>12</v>
      </c>
      <c r="K1805">
        <v>0</v>
      </c>
      <c r="L1805">
        <v>2022</v>
      </c>
      <c r="N1805" t="s">
        <v>6026</v>
      </c>
      <c r="O1805" t="s">
        <v>6027</v>
      </c>
      <c r="P1805" t="s">
        <v>6028</v>
      </c>
    </row>
    <row r="1806" spans="1:18" x14ac:dyDescent="0.3">
      <c r="A1806" t="s">
        <v>6264</v>
      </c>
      <c r="C1806">
        <v>120</v>
      </c>
      <c r="D1806" t="s">
        <v>10</v>
      </c>
      <c r="F1806" s="43">
        <v>44902.375</v>
      </c>
      <c r="G1806" s="43">
        <v>44902.458333333336</v>
      </c>
      <c r="H1806">
        <v>9</v>
      </c>
      <c r="I1806">
        <v>0</v>
      </c>
      <c r="J1806">
        <v>11</v>
      </c>
      <c r="K1806">
        <v>0</v>
      </c>
      <c r="L1806">
        <v>2022</v>
      </c>
      <c r="N1806" t="s">
        <v>47</v>
      </c>
      <c r="O1806" t="s">
        <v>47</v>
      </c>
      <c r="P1806" t="s">
        <v>6265</v>
      </c>
    </row>
    <row r="1807" spans="1:18" x14ac:dyDescent="0.3">
      <c r="A1807" t="s">
        <v>6162</v>
      </c>
      <c r="C1807">
        <v>30</v>
      </c>
      <c r="D1807" t="s">
        <v>10</v>
      </c>
      <c r="F1807" s="43">
        <v>44902.3125</v>
      </c>
      <c r="G1807" s="43">
        <v>44902.333333333336</v>
      </c>
      <c r="H1807">
        <v>7</v>
      </c>
      <c r="I1807">
        <v>30</v>
      </c>
      <c r="J1807">
        <v>8</v>
      </c>
      <c r="K1807">
        <v>0</v>
      </c>
      <c r="L1807">
        <v>2022</v>
      </c>
      <c r="N1807" t="s">
        <v>6163</v>
      </c>
      <c r="O1807" t="s">
        <v>6164</v>
      </c>
      <c r="P1807" t="s">
        <v>6165</v>
      </c>
    </row>
    <row r="1808" spans="1:18" x14ac:dyDescent="0.3">
      <c r="A1808" t="s">
        <v>5938</v>
      </c>
      <c r="C1808">
        <v>90</v>
      </c>
      <c r="D1808" t="s">
        <v>10</v>
      </c>
      <c r="F1808" s="43">
        <v>44902.229166666664</v>
      </c>
      <c r="G1808" s="43">
        <v>44902.291666666664</v>
      </c>
      <c r="H1808">
        <v>5</v>
      </c>
      <c r="I1808">
        <v>30</v>
      </c>
      <c r="J1808">
        <v>7</v>
      </c>
      <c r="K1808">
        <v>0</v>
      </c>
      <c r="L1808">
        <v>2022</v>
      </c>
      <c r="N1808" t="s">
        <v>47</v>
      </c>
      <c r="O1808" t="s">
        <v>47</v>
      </c>
      <c r="P1808" t="s">
        <v>6263</v>
      </c>
    </row>
    <row r="1809" spans="1:18" x14ac:dyDescent="0.3">
      <c r="A1809" t="s">
        <v>5897</v>
      </c>
      <c r="C1809">
        <v>80</v>
      </c>
      <c r="D1809" t="s">
        <v>10</v>
      </c>
      <c r="F1809" s="43">
        <v>44901.791666666664</v>
      </c>
      <c r="G1809" s="43">
        <v>44901.847222222219</v>
      </c>
      <c r="H1809">
        <v>19</v>
      </c>
      <c r="I1809">
        <v>0</v>
      </c>
      <c r="J1809">
        <v>20</v>
      </c>
      <c r="K1809">
        <v>20</v>
      </c>
      <c r="L1809">
        <v>2022</v>
      </c>
      <c r="N1809" t="s">
        <v>47</v>
      </c>
      <c r="O1809" t="s">
        <v>47</v>
      </c>
      <c r="P1809" t="s">
        <v>6137</v>
      </c>
      <c r="Q1809" t="s">
        <v>225</v>
      </c>
      <c r="R1809">
        <v>8888888888</v>
      </c>
    </row>
    <row r="1810" spans="1:18" x14ac:dyDescent="0.3">
      <c r="A1810" t="s">
        <v>1750</v>
      </c>
      <c r="C1810">
        <v>30</v>
      </c>
      <c r="D1810" t="s">
        <v>10</v>
      </c>
      <c r="F1810" s="43">
        <v>44901.729166666664</v>
      </c>
      <c r="G1810" s="43">
        <v>44901.75</v>
      </c>
      <c r="H1810">
        <v>17</v>
      </c>
      <c r="I1810">
        <v>30</v>
      </c>
      <c r="J1810">
        <v>18</v>
      </c>
      <c r="K1810">
        <v>0</v>
      </c>
      <c r="L1810">
        <v>2022</v>
      </c>
      <c r="N1810" t="s">
        <v>47</v>
      </c>
      <c r="O1810" t="s">
        <v>47</v>
      </c>
      <c r="P1810" t="s">
        <v>6262</v>
      </c>
    </row>
    <row r="1811" spans="1:18" x14ac:dyDescent="0.3">
      <c r="A1811" t="s">
        <v>6138</v>
      </c>
      <c r="C1811">
        <v>90</v>
      </c>
      <c r="D1811" t="s">
        <v>10</v>
      </c>
      <c r="F1811" s="43">
        <v>44901.552083333336</v>
      </c>
      <c r="G1811" s="43">
        <v>44901.614583333336</v>
      </c>
      <c r="H1811">
        <v>13</v>
      </c>
      <c r="I1811">
        <v>15</v>
      </c>
      <c r="J1811">
        <v>14</v>
      </c>
      <c r="K1811">
        <v>45</v>
      </c>
      <c r="L1811">
        <v>2022</v>
      </c>
      <c r="N1811" t="s">
        <v>47</v>
      </c>
      <c r="O1811" t="s">
        <v>47</v>
      </c>
      <c r="P1811" t="s">
        <v>6139</v>
      </c>
      <c r="Q1811" t="s">
        <v>224</v>
      </c>
      <c r="R1811">
        <v>2784118521</v>
      </c>
    </row>
    <row r="1812" spans="1:18" x14ac:dyDescent="0.3">
      <c r="A1812" t="s">
        <v>6140</v>
      </c>
      <c r="C1812">
        <v>60</v>
      </c>
      <c r="D1812" t="s">
        <v>10</v>
      </c>
      <c r="F1812" s="43">
        <v>44901.479166666664</v>
      </c>
      <c r="G1812" s="43">
        <v>44901.520833333336</v>
      </c>
      <c r="H1812">
        <v>11</v>
      </c>
      <c r="I1812">
        <v>30</v>
      </c>
      <c r="J1812">
        <v>12</v>
      </c>
      <c r="K1812">
        <v>30</v>
      </c>
      <c r="L1812">
        <v>2022</v>
      </c>
      <c r="N1812" t="s">
        <v>47</v>
      </c>
      <c r="O1812" t="s">
        <v>47</v>
      </c>
      <c r="P1812" t="s">
        <v>6141</v>
      </c>
    </row>
    <row r="1813" spans="1:18" x14ac:dyDescent="0.3">
      <c r="A1813" t="s">
        <v>6142</v>
      </c>
      <c r="C1813">
        <v>30</v>
      </c>
      <c r="D1813" t="s">
        <v>10</v>
      </c>
      <c r="F1813" s="43">
        <v>44901.458333333336</v>
      </c>
      <c r="G1813" s="43">
        <v>44901.479166666664</v>
      </c>
      <c r="H1813">
        <v>11</v>
      </c>
      <c r="I1813">
        <v>0</v>
      </c>
      <c r="J1813">
        <v>11</v>
      </c>
      <c r="K1813">
        <v>30</v>
      </c>
      <c r="L1813">
        <v>2022</v>
      </c>
      <c r="N1813" t="s">
        <v>47</v>
      </c>
      <c r="O1813" t="s">
        <v>47</v>
      </c>
      <c r="P1813" t="s">
        <v>6143</v>
      </c>
      <c r="Q1813" t="s">
        <v>225</v>
      </c>
      <c r="R1813">
        <v>2805523544</v>
      </c>
    </row>
    <row r="1814" spans="1:18" x14ac:dyDescent="0.3">
      <c r="A1814" t="s">
        <v>5938</v>
      </c>
      <c r="C1814">
        <v>30</v>
      </c>
      <c r="D1814" t="s">
        <v>10</v>
      </c>
      <c r="E1814" t="s">
        <v>501</v>
      </c>
      <c r="F1814" s="43">
        <v>44901.416666666664</v>
      </c>
      <c r="G1814" s="43">
        <v>44901.4375</v>
      </c>
      <c r="H1814">
        <v>10</v>
      </c>
      <c r="I1814">
        <v>0</v>
      </c>
      <c r="J1814">
        <v>10</v>
      </c>
      <c r="K1814">
        <v>30</v>
      </c>
      <c r="L1814">
        <v>2022</v>
      </c>
      <c r="N1814" t="s">
        <v>6166</v>
      </c>
      <c r="O1814" t="s">
        <v>47</v>
      </c>
      <c r="P1814" t="s">
        <v>6167</v>
      </c>
    </row>
    <row r="1815" spans="1:18" x14ac:dyDescent="0.3">
      <c r="A1815" t="s">
        <v>5897</v>
      </c>
      <c r="C1815">
        <v>65</v>
      </c>
      <c r="D1815" t="s">
        <v>10</v>
      </c>
      <c r="F1815" s="43">
        <v>44901.34375</v>
      </c>
      <c r="G1815" s="43">
        <v>44901.388888888891</v>
      </c>
      <c r="H1815">
        <v>8</v>
      </c>
      <c r="I1815">
        <v>15</v>
      </c>
      <c r="J1815">
        <v>9</v>
      </c>
      <c r="K1815">
        <v>20</v>
      </c>
      <c r="L1815">
        <v>2022</v>
      </c>
      <c r="N1815" t="s">
        <v>47</v>
      </c>
      <c r="O1815" t="s">
        <v>47</v>
      </c>
      <c r="P1815" t="s">
        <v>6144</v>
      </c>
      <c r="Q1815" t="s">
        <v>224</v>
      </c>
      <c r="R1815">
        <v>556565656</v>
      </c>
    </row>
    <row r="1816" spans="1:18" x14ac:dyDescent="0.3">
      <c r="A1816" t="s">
        <v>2014</v>
      </c>
      <c r="C1816">
        <v>30</v>
      </c>
      <c r="D1816" t="s">
        <v>10</v>
      </c>
      <c r="F1816" s="43">
        <v>44901.322916666664</v>
      </c>
      <c r="G1816" s="43">
        <v>44901.34375</v>
      </c>
      <c r="H1816">
        <v>7</v>
      </c>
      <c r="I1816">
        <v>45</v>
      </c>
      <c r="J1816">
        <v>8</v>
      </c>
      <c r="K1816">
        <v>15</v>
      </c>
      <c r="L1816">
        <v>2022</v>
      </c>
      <c r="N1816" t="s">
        <v>47</v>
      </c>
      <c r="O1816" t="s">
        <v>47</v>
      </c>
      <c r="P1816" t="s">
        <v>6145</v>
      </c>
    </row>
    <row r="1817" spans="1:18" x14ac:dyDescent="0.3">
      <c r="A1817" t="s">
        <v>6153</v>
      </c>
      <c r="C1817">
        <v>30</v>
      </c>
      <c r="D1817" t="s">
        <v>10</v>
      </c>
      <c r="E1817" t="s">
        <v>501</v>
      </c>
      <c r="F1817" s="43">
        <v>44901.302083333336</v>
      </c>
      <c r="G1817" s="43">
        <v>44901.322916666664</v>
      </c>
      <c r="H1817">
        <v>7</v>
      </c>
      <c r="I1817">
        <v>15</v>
      </c>
      <c r="J1817">
        <v>7</v>
      </c>
      <c r="K1817">
        <v>45</v>
      </c>
      <c r="L1817">
        <v>2022</v>
      </c>
      <c r="N1817" t="s">
        <v>5984</v>
      </c>
      <c r="O1817" t="s">
        <v>47</v>
      </c>
      <c r="P1817" t="s">
        <v>6154</v>
      </c>
    </row>
    <row r="1818" spans="1:18" x14ac:dyDescent="0.3">
      <c r="A1818" t="s">
        <v>4519</v>
      </c>
      <c r="C1818">
        <v>75</v>
      </c>
      <c r="D1818" t="s">
        <v>10</v>
      </c>
      <c r="F1818" s="43">
        <v>44901.21875</v>
      </c>
      <c r="G1818" s="43">
        <v>44901.270833333336</v>
      </c>
      <c r="H1818">
        <v>5</v>
      </c>
      <c r="I1818">
        <v>15</v>
      </c>
      <c r="J1818">
        <v>6</v>
      </c>
      <c r="K1818">
        <v>30</v>
      </c>
      <c r="L1818">
        <v>2022</v>
      </c>
      <c r="N1818" t="s">
        <v>47</v>
      </c>
      <c r="O1818" t="s">
        <v>47</v>
      </c>
      <c r="P1818" t="s">
        <v>6146</v>
      </c>
    </row>
    <row r="1819" spans="1:18" x14ac:dyDescent="0.3">
      <c r="A1819" t="s">
        <v>6147</v>
      </c>
      <c r="C1819">
        <v>60</v>
      </c>
      <c r="D1819" t="s">
        <v>10</v>
      </c>
      <c r="F1819" s="43">
        <v>44900.798611111109</v>
      </c>
      <c r="G1819" s="43">
        <v>44900.840277777781</v>
      </c>
      <c r="H1819">
        <v>19</v>
      </c>
      <c r="I1819">
        <v>10</v>
      </c>
      <c r="J1819">
        <v>20</v>
      </c>
      <c r="K1819">
        <v>10</v>
      </c>
      <c r="L1819">
        <v>2022</v>
      </c>
      <c r="N1819" t="s">
        <v>47</v>
      </c>
      <c r="O1819" t="s">
        <v>47</v>
      </c>
      <c r="P1819" t="s">
        <v>6148</v>
      </c>
      <c r="Q1819" t="s">
        <v>221</v>
      </c>
      <c r="R1819">
        <v>2882948873</v>
      </c>
    </row>
    <row r="1820" spans="1:18" x14ac:dyDescent="0.3">
      <c r="A1820" t="s">
        <v>8</v>
      </c>
      <c r="C1820">
        <v>30</v>
      </c>
      <c r="D1820" t="s">
        <v>10</v>
      </c>
      <c r="F1820" s="43">
        <v>44900.760416666664</v>
      </c>
      <c r="G1820" s="43">
        <v>44900.78125</v>
      </c>
      <c r="H1820">
        <v>18</v>
      </c>
      <c r="I1820">
        <v>15</v>
      </c>
      <c r="J1820">
        <v>18</v>
      </c>
      <c r="K1820">
        <v>45</v>
      </c>
      <c r="L1820">
        <v>2022</v>
      </c>
      <c r="N1820" t="s">
        <v>47</v>
      </c>
      <c r="O1820" t="s">
        <v>47</v>
      </c>
      <c r="P1820" t="s">
        <v>6149</v>
      </c>
    </row>
    <row r="1821" spans="1:18" x14ac:dyDescent="0.3">
      <c r="A1821" t="s">
        <v>7</v>
      </c>
      <c r="C1821">
        <v>30</v>
      </c>
      <c r="D1821" t="s">
        <v>10</v>
      </c>
      <c r="F1821" s="43">
        <v>44900.708333333336</v>
      </c>
      <c r="G1821" s="43">
        <v>44900.729166666664</v>
      </c>
      <c r="H1821">
        <v>17</v>
      </c>
      <c r="I1821">
        <v>0</v>
      </c>
      <c r="J1821">
        <v>17</v>
      </c>
      <c r="K1821">
        <v>30</v>
      </c>
      <c r="L1821">
        <v>2022</v>
      </c>
      <c r="N1821" t="s">
        <v>47</v>
      </c>
      <c r="O1821" t="s">
        <v>47</v>
      </c>
      <c r="P1821" t="s">
        <v>6150</v>
      </c>
    </row>
    <row r="1822" spans="1:18" x14ac:dyDescent="0.3">
      <c r="A1822" t="s">
        <v>8</v>
      </c>
      <c r="C1822">
        <v>15</v>
      </c>
      <c r="D1822" t="s">
        <v>10</v>
      </c>
      <c r="F1822" s="43">
        <v>44900.6875</v>
      </c>
      <c r="G1822" s="43">
        <v>44900.697916666664</v>
      </c>
      <c r="H1822">
        <v>16</v>
      </c>
      <c r="I1822">
        <v>30</v>
      </c>
      <c r="J1822">
        <v>16</v>
      </c>
      <c r="K1822">
        <v>45</v>
      </c>
      <c r="L1822">
        <v>2022</v>
      </c>
      <c r="N1822" t="s">
        <v>47</v>
      </c>
      <c r="O1822" t="s">
        <v>47</v>
      </c>
      <c r="P1822" t="s">
        <v>6151</v>
      </c>
      <c r="Q1822" t="s">
        <v>224</v>
      </c>
      <c r="R1822">
        <v>2857168355</v>
      </c>
    </row>
    <row r="1823" spans="1:18" x14ac:dyDescent="0.3">
      <c r="A1823" t="s">
        <v>6043</v>
      </c>
      <c r="B1823" t="s">
        <v>20</v>
      </c>
      <c r="C1823">
        <v>30</v>
      </c>
      <c r="D1823" t="s">
        <v>10</v>
      </c>
      <c r="E1823" t="s">
        <v>6044</v>
      </c>
      <c r="F1823" s="43">
        <v>44900.666666666664</v>
      </c>
      <c r="G1823" s="43">
        <v>44900.6875</v>
      </c>
      <c r="H1823">
        <v>16</v>
      </c>
      <c r="I1823">
        <v>0</v>
      </c>
      <c r="J1823">
        <v>16</v>
      </c>
      <c r="K1823">
        <v>30</v>
      </c>
      <c r="L1823">
        <v>2022</v>
      </c>
      <c r="N1823" t="s">
        <v>6045</v>
      </c>
      <c r="O1823" t="s">
        <v>6046</v>
      </c>
      <c r="P1823" t="s">
        <v>6047</v>
      </c>
    </row>
    <row r="1824" spans="1:18" x14ac:dyDescent="0.3">
      <c r="A1824" t="s">
        <v>8</v>
      </c>
      <c r="C1824">
        <v>30</v>
      </c>
      <c r="D1824" t="s">
        <v>10</v>
      </c>
      <c r="F1824" s="43">
        <v>44900.645833333336</v>
      </c>
      <c r="G1824" s="43">
        <v>44900.666666666664</v>
      </c>
      <c r="H1824">
        <v>15</v>
      </c>
      <c r="I1824">
        <v>30</v>
      </c>
      <c r="J1824">
        <v>16</v>
      </c>
      <c r="K1824">
        <v>0</v>
      </c>
      <c r="L1824">
        <v>2022</v>
      </c>
      <c r="N1824" t="s">
        <v>47</v>
      </c>
      <c r="O1824" t="s">
        <v>47</v>
      </c>
      <c r="P1824" t="s">
        <v>6152</v>
      </c>
    </row>
    <row r="1825" spans="1:16" x14ac:dyDescent="0.3">
      <c r="A1825" t="s">
        <v>1575</v>
      </c>
      <c r="C1825">
        <v>40</v>
      </c>
      <c r="D1825" t="s">
        <v>10</v>
      </c>
      <c r="F1825" s="43">
        <v>44900.590277777781</v>
      </c>
      <c r="G1825" s="43">
        <v>44900.618055555555</v>
      </c>
      <c r="H1825">
        <v>14</v>
      </c>
      <c r="I1825">
        <v>10</v>
      </c>
      <c r="J1825">
        <v>14</v>
      </c>
      <c r="K1825">
        <v>50</v>
      </c>
      <c r="L1825">
        <v>2022</v>
      </c>
      <c r="N1825" t="s">
        <v>47</v>
      </c>
      <c r="O1825" t="s">
        <v>47</v>
      </c>
      <c r="P1825" t="s">
        <v>6155</v>
      </c>
    </row>
    <row r="1826" spans="1:16" x14ac:dyDescent="0.3">
      <c r="A1826" t="s">
        <v>6156</v>
      </c>
      <c r="C1826">
        <v>35</v>
      </c>
      <c r="D1826" t="s">
        <v>10</v>
      </c>
      <c r="F1826" s="43">
        <v>44900.583333333336</v>
      </c>
      <c r="G1826" s="43">
        <v>44900.607638888891</v>
      </c>
      <c r="H1826">
        <v>14</v>
      </c>
      <c r="I1826">
        <v>0</v>
      </c>
      <c r="J1826">
        <v>14</v>
      </c>
      <c r="K1826">
        <v>35</v>
      </c>
      <c r="L1826">
        <v>2022</v>
      </c>
      <c r="N1826" t="s">
        <v>47</v>
      </c>
      <c r="O1826" t="s">
        <v>47</v>
      </c>
      <c r="P1826" t="s">
        <v>6157</v>
      </c>
    </row>
    <row r="1827" spans="1:16" x14ac:dyDescent="0.3">
      <c r="A1827" t="s">
        <v>6158</v>
      </c>
      <c r="C1827">
        <v>30</v>
      </c>
      <c r="D1827" t="s">
        <v>10</v>
      </c>
      <c r="F1827" s="43">
        <v>44900.520833333336</v>
      </c>
      <c r="G1827" s="43">
        <v>44900.541666666664</v>
      </c>
      <c r="H1827">
        <v>12</v>
      </c>
      <c r="I1827">
        <v>30</v>
      </c>
      <c r="J1827">
        <v>13</v>
      </c>
      <c r="K1827">
        <v>0</v>
      </c>
      <c r="L1827">
        <v>2022</v>
      </c>
      <c r="N1827" t="s">
        <v>47</v>
      </c>
      <c r="O1827" t="s">
        <v>47</v>
      </c>
      <c r="P1827" t="s">
        <v>6159</v>
      </c>
    </row>
    <row r="1828" spans="1:16" x14ac:dyDescent="0.3">
      <c r="A1828" t="s">
        <v>6022</v>
      </c>
      <c r="B1828" t="s">
        <v>20</v>
      </c>
      <c r="C1828">
        <v>30</v>
      </c>
      <c r="D1828" t="s">
        <v>10</v>
      </c>
      <c r="E1828" t="s">
        <v>5</v>
      </c>
      <c r="F1828" s="43">
        <v>44900.5</v>
      </c>
      <c r="G1828" s="43">
        <v>44900.520833333336</v>
      </c>
      <c r="H1828">
        <v>12</v>
      </c>
      <c r="I1828">
        <v>0</v>
      </c>
      <c r="J1828">
        <v>12</v>
      </c>
      <c r="K1828">
        <v>30</v>
      </c>
      <c r="L1828">
        <v>2022</v>
      </c>
      <c r="N1828" t="s">
        <v>6023</v>
      </c>
      <c r="O1828" t="s">
        <v>1241</v>
      </c>
      <c r="P1828" t="s">
        <v>6024</v>
      </c>
    </row>
    <row r="1829" spans="1:16" x14ac:dyDescent="0.3">
      <c r="A1829" t="s">
        <v>8</v>
      </c>
      <c r="C1829">
        <v>60</v>
      </c>
      <c r="D1829" t="s">
        <v>10</v>
      </c>
      <c r="F1829" s="43">
        <v>44900.458333333336</v>
      </c>
      <c r="G1829" s="43">
        <v>44900.5</v>
      </c>
      <c r="H1829">
        <v>11</v>
      </c>
      <c r="I1829">
        <v>0</v>
      </c>
      <c r="J1829">
        <v>12</v>
      </c>
      <c r="K1829">
        <v>0</v>
      </c>
      <c r="L1829">
        <v>2022</v>
      </c>
      <c r="N1829" t="s">
        <v>47</v>
      </c>
      <c r="O1829" t="s">
        <v>47</v>
      </c>
      <c r="P1829" t="s">
        <v>6160</v>
      </c>
    </row>
    <row r="1830" spans="1:16" x14ac:dyDescent="0.3">
      <c r="A1830" t="s">
        <v>1222</v>
      </c>
      <c r="C1830">
        <v>30</v>
      </c>
      <c r="D1830" t="s">
        <v>10</v>
      </c>
      <c r="F1830" s="43">
        <v>44900.4375</v>
      </c>
      <c r="G1830" s="43">
        <v>44900.458333333336</v>
      </c>
      <c r="H1830">
        <v>10</v>
      </c>
      <c r="I1830">
        <v>30</v>
      </c>
      <c r="J1830">
        <v>11</v>
      </c>
      <c r="K1830">
        <v>0</v>
      </c>
      <c r="L1830">
        <v>2022</v>
      </c>
      <c r="N1830" t="s">
        <v>47</v>
      </c>
      <c r="O1830" t="s">
        <v>47</v>
      </c>
      <c r="P1830" t="s">
        <v>6161</v>
      </c>
    </row>
    <row r="1831" spans="1:16" x14ac:dyDescent="0.3">
      <c r="A1831" t="s">
        <v>6168</v>
      </c>
      <c r="C1831">
        <v>75</v>
      </c>
      <c r="D1831" t="s">
        <v>10</v>
      </c>
      <c r="F1831" s="43">
        <v>44900.385416666664</v>
      </c>
      <c r="G1831" s="43">
        <v>44900.4375</v>
      </c>
      <c r="H1831">
        <v>9</v>
      </c>
      <c r="I1831">
        <v>15</v>
      </c>
      <c r="J1831">
        <v>10</v>
      </c>
      <c r="K1831">
        <v>30</v>
      </c>
      <c r="L1831">
        <v>2022</v>
      </c>
      <c r="N1831" t="s">
        <v>47</v>
      </c>
      <c r="O1831" t="s">
        <v>47</v>
      </c>
      <c r="P1831" t="s">
        <v>6169</v>
      </c>
    </row>
    <row r="1832" spans="1:16" x14ac:dyDescent="0.3">
      <c r="A1832" t="s">
        <v>6170</v>
      </c>
      <c r="C1832">
        <v>60</v>
      </c>
      <c r="D1832" t="s">
        <v>10</v>
      </c>
      <c r="F1832" s="43">
        <v>44900.3125</v>
      </c>
      <c r="G1832" s="43">
        <v>44900.354166666664</v>
      </c>
      <c r="H1832">
        <v>7</v>
      </c>
      <c r="I1832">
        <v>30</v>
      </c>
      <c r="J1832">
        <v>8</v>
      </c>
      <c r="K1832">
        <v>30</v>
      </c>
      <c r="L1832">
        <v>2022</v>
      </c>
      <c r="N1832" t="s">
        <v>47</v>
      </c>
      <c r="O1832" t="s">
        <v>47</v>
      </c>
      <c r="P1832" t="s">
        <v>6171</v>
      </c>
    </row>
    <row r="1833" spans="1:16" x14ac:dyDescent="0.3">
      <c r="A1833" t="s">
        <v>8</v>
      </c>
      <c r="C1833">
        <v>40</v>
      </c>
      <c r="D1833" t="s">
        <v>10</v>
      </c>
      <c r="F1833" s="43">
        <v>44900.25</v>
      </c>
      <c r="G1833" s="43">
        <v>44900.277777777781</v>
      </c>
      <c r="H1833">
        <v>6</v>
      </c>
      <c r="I1833">
        <v>0</v>
      </c>
      <c r="J1833">
        <v>6</v>
      </c>
      <c r="K1833">
        <v>40</v>
      </c>
      <c r="L1833">
        <v>2022</v>
      </c>
      <c r="N1833" t="s">
        <v>47</v>
      </c>
      <c r="O1833" t="s">
        <v>47</v>
      </c>
      <c r="P1833" t="s">
        <v>6172</v>
      </c>
    </row>
    <row r="1834" spans="1:16" x14ac:dyDescent="0.3">
      <c r="A1834" t="s">
        <v>6173</v>
      </c>
      <c r="C1834">
        <v>60</v>
      </c>
      <c r="D1834" t="s">
        <v>10</v>
      </c>
      <c r="F1834" s="43">
        <v>44899.791666666664</v>
      </c>
      <c r="G1834" s="43">
        <v>44899.833333333336</v>
      </c>
      <c r="H1834">
        <v>19</v>
      </c>
      <c r="I1834">
        <v>0</v>
      </c>
      <c r="J1834">
        <v>20</v>
      </c>
      <c r="K1834">
        <v>0</v>
      </c>
      <c r="L1834">
        <v>2022</v>
      </c>
      <c r="N1834" t="s">
        <v>47</v>
      </c>
      <c r="O1834" t="s">
        <v>47</v>
      </c>
      <c r="P1834" t="s">
        <v>6174</v>
      </c>
    </row>
    <row r="1835" spans="1:16" x14ac:dyDescent="0.3">
      <c r="A1835" t="s">
        <v>4440</v>
      </c>
      <c r="C1835">
        <v>30</v>
      </c>
      <c r="D1835" t="s">
        <v>10</v>
      </c>
      <c r="F1835" s="43">
        <v>44899.479166666664</v>
      </c>
      <c r="G1835" s="43">
        <v>44899.5</v>
      </c>
      <c r="H1835">
        <v>11</v>
      </c>
      <c r="I1835">
        <v>30</v>
      </c>
      <c r="J1835">
        <v>12</v>
      </c>
      <c r="K1835">
        <v>0</v>
      </c>
      <c r="L1835">
        <v>2022</v>
      </c>
      <c r="N1835" t="s">
        <v>47</v>
      </c>
      <c r="O1835" t="s">
        <v>47</v>
      </c>
      <c r="P1835" t="s">
        <v>6125</v>
      </c>
    </row>
    <row r="1836" spans="1:16" x14ac:dyDescent="0.3">
      <c r="A1836" t="s">
        <v>6126</v>
      </c>
      <c r="C1836">
        <v>60</v>
      </c>
      <c r="D1836" t="s">
        <v>10</v>
      </c>
      <c r="F1836" s="43">
        <v>44899.416666666664</v>
      </c>
      <c r="G1836" s="43">
        <v>44899.458333333336</v>
      </c>
      <c r="H1836">
        <v>10</v>
      </c>
      <c r="I1836">
        <v>0</v>
      </c>
      <c r="J1836">
        <v>11</v>
      </c>
      <c r="K1836">
        <v>0</v>
      </c>
      <c r="L1836">
        <v>2022</v>
      </c>
      <c r="N1836" t="s">
        <v>47</v>
      </c>
      <c r="O1836" t="s">
        <v>47</v>
      </c>
      <c r="P1836" t="s">
        <v>6127</v>
      </c>
    </row>
    <row r="1837" spans="1:16" x14ac:dyDescent="0.3">
      <c r="A1837" t="s">
        <v>4440</v>
      </c>
      <c r="C1837">
        <v>60</v>
      </c>
      <c r="D1837" t="s">
        <v>10</v>
      </c>
      <c r="F1837" s="43">
        <v>44899.25</v>
      </c>
      <c r="G1837" s="43">
        <v>44899.291666666664</v>
      </c>
      <c r="H1837">
        <v>6</v>
      </c>
      <c r="I1837">
        <v>0</v>
      </c>
      <c r="J1837">
        <v>7</v>
      </c>
      <c r="K1837">
        <v>0</v>
      </c>
      <c r="L1837">
        <v>2022</v>
      </c>
      <c r="N1837" t="s">
        <v>47</v>
      </c>
      <c r="O1837" t="s">
        <v>47</v>
      </c>
      <c r="P1837" t="s">
        <v>6128</v>
      </c>
    </row>
    <row r="1838" spans="1:16" x14ac:dyDescent="0.3">
      <c r="A1838" t="s">
        <v>6129</v>
      </c>
      <c r="C1838">
        <v>60</v>
      </c>
      <c r="D1838" t="s">
        <v>10</v>
      </c>
      <c r="F1838" s="43">
        <v>44898.75</v>
      </c>
      <c r="G1838" s="43">
        <v>44898.791666666664</v>
      </c>
      <c r="H1838">
        <v>18</v>
      </c>
      <c r="I1838">
        <v>0</v>
      </c>
      <c r="J1838">
        <v>19</v>
      </c>
      <c r="K1838">
        <v>0</v>
      </c>
      <c r="L1838">
        <v>2022</v>
      </c>
      <c r="N1838" t="s">
        <v>47</v>
      </c>
      <c r="O1838" t="s">
        <v>47</v>
      </c>
      <c r="P1838" t="s">
        <v>6130</v>
      </c>
    </row>
    <row r="1839" spans="1:16" x14ac:dyDescent="0.3">
      <c r="A1839" t="s">
        <v>6131</v>
      </c>
      <c r="C1839">
        <v>60</v>
      </c>
      <c r="D1839" t="s">
        <v>10</v>
      </c>
      <c r="F1839" s="43">
        <v>44898.666666666664</v>
      </c>
      <c r="G1839" s="43">
        <v>44898.708333333336</v>
      </c>
      <c r="H1839">
        <v>16</v>
      </c>
      <c r="I1839">
        <v>0</v>
      </c>
      <c r="J1839">
        <v>17</v>
      </c>
      <c r="K1839">
        <v>0</v>
      </c>
      <c r="L1839">
        <v>2022</v>
      </c>
      <c r="N1839" t="s">
        <v>47</v>
      </c>
      <c r="O1839" t="s">
        <v>47</v>
      </c>
      <c r="P1839" t="s">
        <v>6132</v>
      </c>
    </row>
    <row r="1840" spans="1:16" x14ac:dyDescent="0.3">
      <c r="A1840" t="s">
        <v>6131</v>
      </c>
      <c r="C1840">
        <v>60</v>
      </c>
      <c r="D1840" t="s">
        <v>10</v>
      </c>
      <c r="F1840" s="43">
        <v>44898.604166666664</v>
      </c>
      <c r="G1840" s="43">
        <v>44898.645833333336</v>
      </c>
      <c r="H1840">
        <v>14</v>
      </c>
      <c r="I1840">
        <v>30</v>
      </c>
      <c r="J1840">
        <v>15</v>
      </c>
      <c r="K1840">
        <v>30</v>
      </c>
      <c r="L1840">
        <v>2022</v>
      </c>
      <c r="N1840" t="s">
        <v>47</v>
      </c>
      <c r="O1840" t="s">
        <v>47</v>
      </c>
      <c r="P1840" t="s">
        <v>6133</v>
      </c>
    </row>
    <row r="1841" spans="1:18" x14ac:dyDescent="0.3">
      <c r="A1841" t="s">
        <v>6131</v>
      </c>
      <c r="C1841">
        <v>80</v>
      </c>
      <c r="D1841" t="s">
        <v>10</v>
      </c>
      <c r="F1841" s="43">
        <v>44898.520833333336</v>
      </c>
      <c r="G1841" s="43">
        <v>44898.576388888891</v>
      </c>
      <c r="H1841">
        <v>12</v>
      </c>
      <c r="I1841">
        <v>30</v>
      </c>
      <c r="J1841">
        <v>13</v>
      </c>
      <c r="K1841">
        <v>50</v>
      </c>
      <c r="L1841">
        <v>2022</v>
      </c>
      <c r="N1841" t="s">
        <v>47</v>
      </c>
      <c r="O1841" t="s">
        <v>47</v>
      </c>
      <c r="P1841" t="s">
        <v>6134</v>
      </c>
    </row>
    <row r="1842" spans="1:18" x14ac:dyDescent="0.3">
      <c r="A1842" t="s">
        <v>6135</v>
      </c>
      <c r="C1842">
        <v>60</v>
      </c>
      <c r="D1842" t="s">
        <v>10</v>
      </c>
      <c r="F1842" s="43">
        <v>44898.4375</v>
      </c>
      <c r="G1842" s="43">
        <v>44898.479166666664</v>
      </c>
      <c r="H1842">
        <v>10</v>
      </c>
      <c r="I1842">
        <v>30</v>
      </c>
      <c r="J1842">
        <v>11</v>
      </c>
      <c r="K1842">
        <v>30</v>
      </c>
      <c r="L1842">
        <v>2022</v>
      </c>
      <c r="N1842" t="s">
        <v>47</v>
      </c>
      <c r="O1842" t="s">
        <v>47</v>
      </c>
      <c r="P1842" t="s">
        <v>6136</v>
      </c>
    </row>
    <row r="1843" spans="1:18" x14ac:dyDescent="0.3">
      <c r="A1843" t="s">
        <v>4440</v>
      </c>
      <c r="C1843">
        <v>45</v>
      </c>
      <c r="D1843" t="s">
        <v>10</v>
      </c>
      <c r="F1843" s="43">
        <v>44897.75</v>
      </c>
      <c r="G1843" s="43">
        <v>44897.78125</v>
      </c>
      <c r="H1843">
        <v>18</v>
      </c>
      <c r="I1843">
        <v>0</v>
      </c>
      <c r="J1843">
        <v>18</v>
      </c>
      <c r="K1843">
        <v>45</v>
      </c>
      <c r="L1843">
        <v>2022</v>
      </c>
      <c r="N1843" t="s">
        <v>47</v>
      </c>
      <c r="O1843" t="s">
        <v>47</v>
      </c>
      <c r="P1843" t="s">
        <v>6118</v>
      </c>
    </row>
    <row r="1844" spans="1:18" x14ac:dyDescent="0.3">
      <c r="A1844" t="s">
        <v>6029</v>
      </c>
      <c r="C1844">
        <v>30</v>
      </c>
      <c r="D1844" t="s">
        <v>10</v>
      </c>
      <c r="E1844" t="s">
        <v>6030</v>
      </c>
      <c r="F1844" s="43">
        <v>44897.645833333336</v>
      </c>
      <c r="G1844" s="43">
        <v>44897.666666666664</v>
      </c>
      <c r="H1844">
        <v>15</v>
      </c>
      <c r="I1844">
        <v>30</v>
      </c>
      <c r="J1844">
        <v>16</v>
      </c>
      <c r="K1844">
        <v>0</v>
      </c>
      <c r="L1844">
        <v>2022</v>
      </c>
      <c r="N1844" t="s">
        <v>3908</v>
      </c>
      <c r="O1844" t="s">
        <v>48</v>
      </c>
      <c r="P1844" t="s">
        <v>6031</v>
      </c>
    </row>
    <row r="1845" spans="1:18" x14ac:dyDescent="0.3">
      <c r="A1845" t="s">
        <v>6069</v>
      </c>
      <c r="C1845">
        <v>30</v>
      </c>
      <c r="D1845" t="s">
        <v>10</v>
      </c>
      <c r="E1845" t="s">
        <v>6070</v>
      </c>
      <c r="F1845" s="43">
        <v>44897.625</v>
      </c>
      <c r="G1845" s="43">
        <v>44897.645833333336</v>
      </c>
      <c r="H1845">
        <v>15</v>
      </c>
      <c r="I1845">
        <v>0</v>
      </c>
      <c r="J1845">
        <v>15</v>
      </c>
      <c r="K1845">
        <v>30</v>
      </c>
      <c r="L1845">
        <v>2022</v>
      </c>
      <c r="N1845" t="s">
        <v>6071</v>
      </c>
      <c r="O1845" t="s">
        <v>48</v>
      </c>
      <c r="P1845" t="s">
        <v>6072</v>
      </c>
      <c r="Q1845" t="s">
        <v>223</v>
      </c>
      <c r="R1845">
        <v>2431410583</v>
      </c>
    </row>
    <row r="1846" spans="1:18" x14ac:dyDescent="0.3">
      <c r="A1846" t="s">
        <v>2923</v>
      </c>
      <c r="C1846">
        <v>60</v>
      </c>
      <c r="D1846" t="s">
        <v>10</v>
      </c>
      <c r="F1846" s="43">
        <v>44897.5625</v>
      </c>
      <c r="G1846" s="43">
        <v>44897.604166666664</v>
      </c>
      <c r="H1846">
        <v>13</v>
      </c>
      <c r="I1846">
        <v>30</v>
      </c>
      <c r="J1846">
        <v>14</v>
      </c>
      <c r="K1846">
        <v>30</v>
      </c>
      <c r="L1846">
        <v>2022</v>
      </c>
      <c r="N1846" t="s">
        <v>47</v>
      </c>
      <c r="O1846" t="s">
        <v>47</v>
      </c>
      <c r="P1846" t="s">
        <v>6119</v>
      </c>
    </row>
    <row r="1847" spans="1:18" x14ac:dyDescent="0.3">
      <c r="A1847" t="s">
        <v>6050</v>
      </c>
      <c r="C1847">
        <v>60</v>
      </c>
      <c r="D1847" t="s">
        <v>10</v>
      </c>
      <c r="E1847" t="s">
        <v>6051</v>
      </c>
      <c r="F1847" s="43">
        <v>44897.541666666664</v>
      </c>
      <c r="G1847" s="43">
        <v>44897.583333333336</v>
      </c>
      <c r="H1847">
        <v>13</v>
      </c>
      <c r="I1847">
        <v>0</v>
      </c>
      <c r="J1847">
        <v>14</v>
      </c>
      <c r="K1847">
        <v>0</v>
      </c>
      <c r="L1847">
        <v>2022</v>
      </c>
      <c r="N1847" t="s">
        <v>6052</v>
      </c>
      <c r="O1847" t="s">
        <v>6053</v>
      </c>
      <c r="P1847" t="s">
        <v>6054</v>
      </c>
    </row>
    <row r="1848" spans="1:18" x14ac:dyDescent="0.3">
      <c r="A1848" t="s">
        <v>6076</v>
      </c>
      <c r="C1848">
        <v>60</v>
      </c>
      <c r="D1848" t="s">
        <v>10</v>
      </c>
      <c r="E1848" t="s">
        <v>6077</v>
      </c>
      <c r="F1848" s="43">
        <v>44897.541666666664</v>
      </c>
      <c r="G1848" s="43">
        <v>44897.583333333336</v>
      </c>
      <c r="H1848">
        <v>13</v>
      </c>
      <c r="I1848">
        <v>0</v>
      </c>
      <c r="J1848">
        <v>14</v>
      </c>
      <c r="K1848">
        <v>0</v>
      </c>
      <c r="L1848">
        <v>2022</v>
      </c>
      <c r="N1848" t="s">
        <v>6078</v>
      </c>
      <c r="O1848" t="s">
        <v>47</v>
      </c>
      <c r="P1848" t="s">
        <v>6079</v>
      </c>
    </row>
    <row r="1849" spans="1:18" x14ac:dyDescent="0.3">
      <c r="A1849" t="s">
        <v>8</v>
      </c>
      <c r="C1849">
        <v>30</v>
      </c>
      <c r="D1849" t="s">
        <v>10</v>
      </c>
      <c r="F1849" s="43">
        <v>44897.541666666664</v>
      </c>
      <c r="G1849" s="43">
        <v>44897.5625</v>
      </c>
      <c r="H1849">
        <v>13</v>
      </c>
      <c r="I1849">
        <v>0</v>
      </c>
      <c r="J1849">
        <v>13</v>
      </c>
      <c r="K1849">
        <v>30</v>
      </c>
      <c r="L1849">
        <v>2022</v>
      </c>
      <c r="N1849" t="s">
        <v>47</v>
      </c>
      <c r="O1849" t="s">
        <v>47</v>
      </c>
      <c r="P1849" t="s">
        <v>6120</v>
      </c>
    </row>
    <row r="1850" spans="1:18" x14ac:dyDescent="0.3">
      <c r="A1850" t="s">
        <v>5799</v>
      </c>
      <c r="C1850">
        <v>60</v>
      </c>
      <c r="D1850" t="s">
        <v>10</v>
      </c>
      <c r="E1850" t="s">
        <v>5</v>
      </c>
      <c r="F1850" s="43">
        <v>44897.458333333336</v>
      </c>
      <c r="G1850" s="43">
        <v>44897.5</v>
      </c>
      <c r="H1850">
        <v>11</v>
      </c>
      <c r="I1850">
        <v>0</v>
      </c>
      <c r="J1850">
        <v>12</v>
      </c>
      <c r="K1850">
        <v>0</v>
      </c>
      <c r="L1850">
        <v>2022</v>
      </c>
      <c r="N1850" t="s">
        <v>1399</v>
      </c>
      <c r="O1850" t="s">
        <v>1241</v>
      </c>
      <c r="P1850" t="s">
        <v>6036</v>
      </c>
    </row>
    <row r="1851" spans="1:18" x14ac:dyDescent="0.3">
      <c r="A1851" t="s">
        <v>6081</v>
      </c>
      <c r="C1851">
        <v>60</v>
      </c>
      <c r="D1851" t="s">
        <v>10</v>
      </c>
      <c r="E1851" t="s">
        <v>5</v>
      </c>
      <c r="F1851" s="43">
        <v>44897.416666666664</v>
      </c>
      <c r="G1851" s="43">
        <v>44897.458333333336</v>
      </c>
      <c r="H1851">
        <v>10</v>
      </c>
      <c r="I1851">
        <v>0</v>
      </c>
      <c r="J1851">
        <v>11</v>
      </c>
      <c r="K1851">
        <v>0</v>
      </c>
      <c r="L1851">
        <v>2022</v>
      </c>
      <c r="N1851" t="s">
        <v>2075</v>
      </c>
      <c r="O1851" t="s">
        <v>1241</v>
      </c>
      <c r="P1851" t="s">
        <v>6082</v>
      </c>
    </row>
    <row r="1852" spans="1:18" x14ac:dyDescent="0.3">
      <c r="A1852" t="s">
        <v>8</v>
      </c>
      <c r="C1852">
        <v>60</v>
      </c>
      <c r="D1852" t="s">
        <v>10</v>
      </c>
      <c r="F1852" s="43">
        <v>44897.375</v>
      </c>
      <c r="G1852" s="43">
        <v>44897.416666666664</v>
      </c>
      <c r="H1852">
        <v>9</v>
      </c>
      <c r="I1852">
        <v>0</v>
      </c>
      <c r="J1852">
        <v>10</v>
      </c>
      <c r="K1852">
        <v>0</v>
      </c>
      <c r="L1852">
        <v>2022</v>
      </c>
      <c r="N1852" t="s">
        <v>47</v>
      </c>
      <c r="O1852" t="s">
        <v>47</v>
      </c>
      <c r="P1852" t="s">
        <v>6117</v>
      </c>
    </row>
    <row r="1853" spans="1:18" x14ac:dyDescent="0.3">
      <c r="A1853" t="s">
        <v>1750</v>
      </c>
      <c r="C1853">
        <v>30</v>
      </c>
      <c r="D1853" t="s">
        <v>10</v>
      </c>
      <c r="F1853" s="43">
        <v>44897.3125</v>
      </c>
      <c r="G1853" s="43">
        <v>44897.333333333336</v>
      </c>
      <c r="H1853">
        <v>7</v>
      </c>
      <c r="I1853">
        <v>30</v>
      </c>
      <c r="J1853">
        <v>8</v>
      </c>
      <c r="K1853">
        <v>0</v>
      </c>
      <c r="L1853">
        <v>2022</v>
      </c>
      <c r="N1853" t="s">
        <v>47</v>
      </c>
      <c r="O1853" t="s">
        <v>47</v>
      </c>
      <c r="P1853" t="s">
        <v>6032</v>
      </c>
    </row>
    <row r="1854" spans="1:18" x14ac:dyDescent="0.3">
      <c r="A1854" t="s">
        <v>2698</v>
      </c>
      <c r="C1854">
        <v>30</v>
      </c>
      <c r="D1854" t="s">
        <v>10</v>
      </c>
      <c r="E1854" t="s">
        <v>501</v>
      </c>
      <c r="F1854" s="43">
        <v>44897.291666666664</v>
      </c>
      <c r="G1854" s="43">
        <v>44897.3125</v>
      </c>
      <c r="H1854">
        <v>7</v>
      </c>
      <c r="I1854">
        <v>0</v>
      </c>
      <c r="J1854">
        <v>7</v>
      </c>
      <c r="K1854">
        <v>30</v>
      </c>
      <c r="L1854">
        <v>2022</v>
      </c>
      <c r="N1854" t="s">
        <v>2348</v>
      </c>
      <c r="O1854" t="s">
        <v>47</v>
      </c>
      <c r="P1854" t="s">
        <v>6055</v>
      </c>
    </row>
    <row r="1855" spans="1:18" x14ac:dyDescent="0.3">
      <c r="A1855" t="s">
        <v>6033</v>
      </c>
      <c r="C1855">
        <v>90</v>
      </c>
      <c r="D1855" t="s">
        <v>10</v>
      </c>
      <c r="F1855" s="43">
        <v>44897.229166666664</v>
      </c>
      <c r="G1855" s="43">
        <v>44897.291666666664</v>
      </c>
      <c r="H1855">
        <v>5</v>
      </c>
      <c r="I1855">
        <v>30</v>
      </c>
      <c r="J1855">
        <v>7</v>
      </c>
      <c r="K1855">
        <v>0</v>
      </c>
      <c r="L1855">
        <v>2022</v>
      </c>
      <c r="N1855" t="s">
        <v>47</v>
      </c>
      <c r="O1855" t="s">
        <v>47</v>
      </c>
      <c r="P1855" t="s">
        <v>6034</v>
      </c>
    </row>
    <row r="1856" spans="1:18" x14ac:dyDescent="0.3">
      <c r="A1856" t="s">
        <v>1222</v>
      </c>
      <c r="C1856">
        <v>30</v>
      </c>
      <c r="D1856" t="s">
        <v>10</v>
      </c>
      <c r="F1856" s="43">
        <v>44897.208333333336</v>
      </c>
      <c r="G1856" s="43">
        <v>44897.229166666664</v>
      </c>
      <c r="H1856">
        <v>5</v>
      </c>
      <c r="I1856">
        <v>0</v>
      </c>
      <c r="J1856">
        <v>5</v>
      </c>
      <c r="K1856">
        <v>30</v>
      </c>
      <c r="L1856">
        <v>2022</v>
      </c>
      <c r="N1856" t="s">
        <v>47</v>
      </c>
      <c r="O1856" t="s">
        <v>47</v>
      </c>
      <c r="P1856" t="s">
        <v>6035</v>
      </c>
    </row>
    <row r="1857" spans="1:16" x14ac:dyDescent="0.3">
      <c r="A1857" t="s">
        <v>6037</v>
      </c>
      <c r="C1857">
        <v>50</v>
      </c>
      <c r="D1857" t="s">
        <v>10</v>
      </c>
      <c r="F1857" s="43">
        <v>44896.756944444445</v>
      </c>
      <c r="G1857" s="43">
        <v>44896.791666666664</v>
      </c>
      <c r="H1857">
        <v>18</v>
      </c>
      <c r="I1857">
        <v>10</v>
      </c>
      <c r="J1857">
        <v>19</v>
      </c>
      <c r="K1857">
        <v>0</v>
      </c>
      <c r="L1857">
        <v>2022</v>
      </c>
      <c r="N1857" t="s">
        <v>47</v>
      </c>
      <c r="O1857" t="s">
        <v>47</v>
      </c>
      <c r="P1857" t="s">
        <v>6038</v>
      </c>
    </row>
    <row r="1858" spans="1:16" x14ac:dyDescent="0.3">
      <c r="A1858" t="s">
        <v>4452</v>
      </c>
      <c r="C1858">
        <v>15</v>
      </c>
      <c r="D1858" t="s">
        <v>10</v>
      </c>
      <c r="F1858" s="43">
        <v>44896.729166666664</v>
      </c>
      <c r="G1858" s="43">
        <v>44896.739583333336</v>
      </c>
      <c r="H1858">
        <v>17</v>
      </c>
      <c r="I1858">
        <v>30</v>
      </c>
      <c r="J1858">
        <v>17</v>
      </c>
      <c r="K1858">
        <v>45</v>
      </c>
      <c r="L1858">
        <v>2022</v>
      </c>
      <c r="N1858" t="s">
        <v>47</v>
      </c>
      <c r="O1858" t="s">
        <v>47</v>
      </c>
      <c r="P1858" t="s">
        <v>6039</v>
      </c>
    </row>
    <row r="1859" spans="1:16" x14ac:dyDescent="0.3">
      <c r="A1859" t="s">
        <v>6059</v>
      </c>
      <c r="C1859">
        <v>30</v>
      </c>
      <c r="D1859" t="s">
        <v>10</v>
      </c>
      <c r="F1859" s="43">
        <v>44896.708333333336</v>
      </c>
      <c r="G1859" s="43">
        <v>44896.729166666664</v>
      </c>
      <c r="H1859">
        <v>17</v>
      </c>
      <c r="I1859">
        <v>0</v>
      </c>
      <c r="J1859">
        <v>17</v>
      </c>
      <c r="K1859">
        <v>30</v>
      </c>
      <c r="L1859">
        <v>2022</v>
      </c>
      <c r="N1859" t="s">
        <v>4365</v>
      </c>
      <c r="O1859" t="s">
        <v>783</v>
      </c>
      <c r="P1859" t="s">
        <v>6060</v>
      </c>
    </row>
    <row r="1860" spans="1:16" x14ac:dyDescent="0.3">
      <c r="A1860" t="s">
        <v>6048</v>
      </c>
      <c r="C1860">
        <v>90</v>
      </c>
      <c r="D1860" t="s">
        <v>10</v>
      </c>
      <c r="F1860" s="43">
        <v>44896.645833333336</v>
      </c>
      <c r="G1860" s="43">
        <v>44896.708333333336</v>
      </c>
      <c r="H1860">
        <v>15</v>
      </c>
      <c r="I1860">
        <v>30</v>
      </c>
      <c r="J1860">
        <v>17</v>
      </c>
      <c r="K1860">
        <v>0</v>
      </c>
      <c r="L1860">
        <v>2022</v>
      </c>
      <c r="N1860" t="s">
        <v>47</v>
      </c>
      <c r="O1860" t="s">
        <v>47</v>
      </c>
      <c r="P1860" t="s">
        <v>6049</v>
      </c>
    </row>
    <row r="1861" spans="1:16" x14ac:dyDescent="0.3">
      <c r="A1861" t="s">
        <v>8</v>
      </c>
      <c r="C1861">
        <v>75</v>
      </c>
      <c r="D1861" t="s">
        <v>10</v>
      </c>
      <c r="F1861" s="1">
        <v>44896.569444444445</v>
      </c>
      <c r="G1861" s="1">
        <v>44896.621527777781</v>
      </c>
      <c r="H1861">
        <v>13</v>
      </c>
      <c r="I1861">
        <v>40</v>
      </c>
      <c r="J1861">
        <v>14</v>
      </c>
      <c r="K1861">
        <v>55</v>
      </c>
      <c r="L1861">
        <v>2022</v>
      </c>
      <c r="N1861" t="s">
        <v>47</v>
      </c>
      <c r="O1861" t="s">
        <v>47</v>
      </c>
      <c r="P1861" t="s">
        <v>6056</v>
      </c>
    </row>
    <row r="1862" spans="1:16" x14ac:dyDescent="0.3">
      <c r="A1862" t="s">
        <v>6057</v>
      </c>
      <c r="C1862">
        <v>45</v>
      </c>
      <c r="D1862" t="s">
        <v>10</v>
      </c>
      <c r="F1862" s="43">
        <v>44896.541666666664</v>
      </c>
      <c r="G1862" s="43">
        <v>44896.572916666664</v>
      </c>
      <c r="H1862">
        <v>13</v>
      </c>
      <c r="I1862">
        <v>0</v>
      </c>
      <c r="J1862">
        <v>13</v>
      </c>
      <c r="K1862">
        <v>45</v>
      </c>
      <c r="L1862">
        <v>2022</v>
      </c>
      <c r="N1862" t="s">
        <v>47</v>
      </c>
      <c r="O1862" t="s">
        <v>47</v>
      </c>
      <c r="P1862" t="s">
        <v>6058</v>
      </c>
    </row>
    <row r="1863" spans="1:16" x14ac:dyDescent="0.3">
      <c r="A1863" t="s">
        <v>992</v>
      </c>
      <c r="C1863">
        <v>30</v>
      </c>
      <c r="D1863" t="s">
        <v>10</v>
      </c>
      <c r="F1863" s="43">
        <v>44896.479166666664</v>
      </c>
      <c r="G1863" s="43">
        <v>44896.5</v>
      </c>
      <c r="H1863">
        <v>11</v>
      </c>
      <c r="I1863">
        <v>30</v>
      </c>
      <c r="J1863">
        <v>12</v>
      </c>
      <c r="K1863">
        <v>0</v>
      </c>
      <c r="L1863">
        <v>2022</v>
      </c>
      <c r="N1863" t="s">
        <v>47</v>
      </c>
      <c r="O1863" t="s">
        <v>47</v>
      </c>
      <c r="P1863" t="s">
        <v>6061</v>
      </c>
    </row>
    <row r="1864" spans="1:16" x14ac:dyDescent="0.3">
      <c r="A1864" t="s">
        <v>6062</v>
      </c>
      <c r="C1864">
        <v>150</v>
      </c>
      <c r="D1864" t="s">
        <v>10</v>
      </c>
      <c r="F1864" s="43">
        <v>44896.333333333336</v>
      </c>
      <c r="G1864" s="43">
        <v>44896.4375</v>
      </c>
      <c r="H1864">
        <v>8</v>
      </c>
      <c r="I1864">
        <v>0</v>
      </c>
      <c r="J1864">
        <v>10</v>
      </c>
      <c r="K1864">
        <v>30</v>
      </c>
      <c r="L1864">
        <v>2022</v>
      </c>
      <c r="N1864" t="s">
        <v>47</v>
      </c>
      <c r="O1864" t="s">
        <v>47</v>
      </c>
      <c r="P1864" t="s">
        <v>6063</v>
      </c>
    </row>
    <row r="1865" spans="1:16" x14ac:dyDescent="0.3">
      <c r="A1865" t="s">
        <v>6064</v>
      </c>
      <c r="C1865">
        <v>30</v>
      </c>
      <c r="D1865" t="s">
        <v>10</v>
      </c>
      <c r="F1865" s="43">
        <v>44896.270833333336</v>
      </c>
      <c r="G1865" s="43">
        <v>44896.291666666664</v>
      </c>
      <c r="H1865">
        <v>6</v>
      </c>
      <c r="I1865">
        <v>30</v>
      </c>
      <c r="J1865">
        <v>7</v>
      </c>
      <c r="K1865">
        <v>0</v>
      </c>
      <c r="L1865">
        <v>2022</v>
      </c>
      <c r="N1865" t="s">
        <v>47</v>
      </c>
      <c r="O1865" t="s">
        <v>47</v>
      </c>
      <c r="P1865" t="s">
        <v>6065</v>
      </c>
    </row>
    <row r="1866" spans="1:16" x14ac:dyDescent="0.3">
      <c r="A1866" t="s">
        <v>1222</v>
      </c>
      <c r="C1866">
        <v>30</v>
      </c>
      <c r="D1866" t="s">
        <v>10</v>
      </c>
      <c r="F1866" s="43">
        <v>44896.25</v>
      </c>
      <c r="G1866" s="43">
        <v>44896.270833333336</v>
      </c>
      <c r="H1866">
        <v>6</v>
      </c>
      <c r="I1866">
        <v>0</v>
      </c>
      <c r="J1866">
        <v>6</v>
      </c>
      <c r="K1866">
        <v>30</v>
      </c>
      <c r="L1866">
        <v>2022</v>
      </c>
      <c r="N1866" t="s">
        <v>47</v>
      </c>
      <c r="O1866" t="s">
        <v>47</v>
      </c>
      <c r="P1866" t="s">
        <v>6066</v>
      </c>
    </row>
    <row r="1867" spans="1:16" x14ac:dyDescent="0.3">
      <c r="A1867" t="s">
        <v>4519</v>
      </c>
      <c r="C1867">
        <v>30</v>
      </c>
      <c r="D1867" t="s">
        <v>10</v>
      </c>
      <c r="F1867" s="43">
        <v>44895.854166666664</v>
      </c>
      <c r="G1867" s="43">
        <v>44895.875</v>
      </c>
      <c r="H1867">
        <v>20</v>
      </c>
      <c r="I1867">
        <v>30</v>
      </c>
      <c r="J1867">
        <v>21</v>
      </c>
      <c r="K1867">
        <v>0</v>
      </c>
      <c r="L1867">
        <v>2022</v>
      </c>
      <c r="N1867" t="s">
        <v>47</v>
      </c>
      <c r="O1867" t="s">
        <v>47</v>
      </c>
      <c r="P1867" t="s">
        <v>6067</v>
      </c>
    </row>
    <row r="1868" spans="1:16" x14ac:dyDescent="0.3">
      <c r="A1868" t="s">
        <v>4519</v>
      </c>
      <c r="C1868">
        <v>30</v>
      </c>
      <c r="D1868" t="s">
        <v>10</v>
      </c>
      <c r="F1868" s="43">
        <v>44895.8125</v>
      </c>
      <c r="G1868" s="43">
        <v>44895.833333333336</v>
      </c>
      <c r="H1868">
        <v>19</v>
      </c>
      <c r="I1868">
        <v>30</v>
      </c>
      <c r="J1868">
        <v>20</v>
      </c>
      <c r="K1868">
        <v>0</v>
      </c>
      <c r="L1868">
        <v>2022</v>
      </c>
      <c r="N1868" t="s">
        <v>47</v>
      </c>
      <c r="O1868" t="s">
        <v>47</v>
      </c>
      <c r="P1868" t="s">
        <v>6068</v>
      </c>
    </row>
    <row r="1869" spans="1:16" x14ac:dyDescent="0.3">
      <c r="A1869" t="s">
        <v>4519</v>
      </c>
      <c r="C1869">
        <v>165</v>
      </c>
      <c r="D1869" t="s">
        <v>10</v>
      </c>
      <c r="F1869" s="43">
        <v>44895.65625</v>
      </c>
      <c r="G1869" s="43">
        <v>44895.770833333336</v>
      </c>
      <c r="H1869">
        <v>15</v>
      </c>
      <c r="I1869">
        <v>45</v>
      </c>
      <c r="J1869">
        <v>18</v>
      </c>
      <c r="K1869">
        <v>30</v>
      </c>
      <c r="L1869">
        <v>2022</v>
      </c>
      <c r="N1869" t="s">
        <v>47</v>
      </c>
      <c r="O1869" t="s">
        <v>47</v>
      </c>
      <c r="P1869" t="s">
        <v>6073</v>
      </c>
    </row>
    <row r="1870" spans="1:16" x14ac:dyDescent="0.3">
      <c r="A1870" t="s">
        <v>4519</v>
      </c>
      <c r="C1870">
        <v>70</v>
      </c>
      <c r="D1870" t="s">
        <v>10</v>
      </c>
      <c r="F1870" s="43">
        <v>44895.597222222219</v>
      </c>
      <c r="G1870" s="43">
        <v>44895.645833333336</v>
      </c>
      <c r="H1870">
        <v>14</v>
      </c>
      <c r="I1870">
        <v>20</v>
      </c>
      <c r="J1870">
        <v>15</v>
      </c>
      <c r="K1870">
        <v>30</v>
      </c>
      <c r="L1870">
        <v>2022</v>
      </c>
      <c r="N1870" t="s">
        <v>47</v>
      </c>
      <c r="O1870" t="s">
        <v>47</v>
      </c>
      <c r="P1870" t="s">
        <v>6074</v>
      </c>
    </row>
    <row r="1871" spans="1:16" x14ac:dyDescent="0.3">
      <c r="A1871" t="s">
        <v>5998</v>
      </c>
      <c r="B1871" t="s">
        <v>20</v>
      </c>
      <c r="C1871">
        <v>30</v>
      </c>
      <c r="D1871" t="s">
        <v>10</v>
      </c>
      <c r="F1871" s="43">
        <v>44895.541666666664</v>
      </c>
      <c r="G1871" s="43">
        <v>44895.5625</v>
      </c>
      <c r="H1871">
        <v>13</v>
      </c>
      <c r="I1871">
        <v>0</v>
      </c>
      <c r="J1871">
        <v>13</v>
      </c>
      <c r="K1871">
        <v>30</v>
      </c>
      <c r="L1871">
        <v>2022</v>
      </c>
      <c r="N1871" t="s">
        <v>5999</v>
      </c>
      <c r="O1871" t="s">
        <v>6000</v>
      </c>
      <c r="P1871" t="s">
        <v>6001</v>
      </c>
    </row>
    <row r="1872" spans="1:16" x14ac:dyDescent="0.3">
      <c r="A1872" t="s">
        <v>17</v>
      </c>
      <c r="C1872">
        <v>45</v>
      </c>
      <c r="D1872" t="s">
        <v>10</v>
      </c>
      <c r="F1872" s="43">
        <v>44895.5</v>
      </c>
      <c r="G1872" s="43">
        <v>44895.53125</v>
      </c>
      <c r="H1872">
        <v>12</v>
      </c>
      <c r="I1872">
        <v>0</v>
      </c>
      <c r="J1872">
        <v>12</v>
      </c>
      <c r="K1872">
        <v>45</v>
      </c>
      <c r="L1872">
        <v>2022</v>
      </c>
      <c r="N1872" t="s">
        <v>47</v>
      </c>
      <c r="O1872" t="s">
        <v>47</v>
      </c>
      <c r="P1872" t="s">
        <v>6075</v>
      </c>
    </row>
    <row r="1873" spans="1:18" x14ac:dyDescent="0.3">
      <c r="A1873" t="s">
        <v>4440</v>
      </c>
      <c r="C1873">
        <v>30</v>
      </c>
      <c r="D1873" t="s">
        <v>10</v>
      </c>
      <c r="E1873" t="s">
        <v>501</v>
      </c>
      <c r="F1873" s="1">
        <v>44895.4375</v>
      </c>
      <c r="G1873" s="1">
        <v>44895.458333333336</v>
      </c>
      <c r="H1873">
        <v>10</v>
      </c>
      <c r="I1873">
        <v>30</v>
      </c>
      <c r="J1873">
        <v>11</v>
      </c>
      <c r="K1873">
        <v>0</v>
      </c>
      <c r="L1873">
        <v>2022</v>
      </c>
      <c r="N1873" t="s">
        <v>6083</v>
      </c>
      <c r="O1873" t="s">
        <v>47</v>
      </c>
      <c r="P1873" t="s">
        <v>6084</v>
      </c>
    </row>
    <row r="1874" spans="1:18" x14ac:dyDescent="0.3">
      <c r="A1874" t="s">
        <v>5907</v>
      </c>
      <c r="B1874" t="s">
        <v>20</v>
      </c>
      <c r="C1874">
        <v>60</v>
      </c>
      <c r="D1874" t="s">
        <v>10</v>
      </c>
      <c r="E1874" t="s">
        <v>5908</v>
      </c>
      <c r="F1874" s="43">
        <v>44895.395833333336</v>
      </c>
      <c r="G1874" s="43">
        <v>44895.4375</v>
      </c>
      <c r="H1874">
        <v>9</v>
      </c>
      <c r="I1874">
        <v>30</v>
      </c>
      <c r="J1874">
        <v>10</v>
      </c>
      <c r="K1874">
        <v>30</v>
      </c>
      <c r="L1874">
        <v>2022</v>
      </c>
      <c r="N1874" t="s">
        <v>5909</v>
      </c>
      <c r="O1874" t="s">
        <v>48</v>
      </c>
      <c r="P1874" t="s">
        <v>5910</v>
      </c>
    </row>
    <row r="1875" spans="1:18" x14ac:dyDescent="0.3">
      <c r="A1875" t="s">
        <v>6</v>
      </c>
      <c r="C1875">
        <v>60</v>
      </c>
      <c r="D1875" t="s">
        <v>10</v>
      </c>
      <c r="F1875" s="43">
        <v>44895.291666666664</v>
      </c>
      <c r="G1875" s="43">
        <v>44895.333333333336</v>
      </c>
      <c r="H1875">
        <v>7</v>
      </c>
      <c r="I1875">
        <v>0</v>
      </c>
      <c r="J1875">
        <v>8</v>
      </c>
      <c r="K1875">
        <v>0</v>
      </c>
      <c r="L1875">
        <v>2022</v>
      </c>
      <c r="N1875" t="s">
        <v>47</v>
      </c>
      <c r="O1875" t="s">
        <v>47</v>
      </c>
      <c r="P1875" t="s">
        <v>6080</v>
      </c>
    </row>
    <row r="1876" spans="1:18" x14ac:dyDescent="0.3">
      <c r="A1876" t="s">
        <v>4519</v>
      </c>
      <c r="C1876">
        <v>60</v>
      </c>
      <c r="D1876" t="s">
        <v>10</v>
      </c>
      <c r="F1876" s="43">
        <v>44894.78125</v>
      </c>
      <c r="G1876" s="43">
        <v>44894.822916666664</v>
      </c>
      <c r="H1876">
        <v>18</v>
      </c>
      <c r="I1876">
        <v>45</v>
      </c>
      <c r="J1876">
        <v>19</v>
      </c>
      <c r="K1876">
        <v>45</v>
      </c>
      <c r="L1876">
        <v>2022</v>
      </c>
      <c r="N1876" t="s">
        <v>47</v>
      </c>
      <c r="O1876" t="s">
        <v>47</v>
      </c>
      <c r="P1876" t="s">
        <v>6085</v>
      </c>
      <c r="Q1876" t="s">
        <v>224</v>
      </c>
      <c r="R1876">
        <v>2784118521</v>
      </c>
    </row>
    <row r="1877" spans="1:18" x14ac:dyDescent="0.3">
      <c r="A1877" t="s">
        <v>9</v>
      </c>
      <c r="C1877">
        <v>25</v>
      </c>
      <c r="D1877" t="s">
        <v>10</v>
      </c>
      <c r="F1877" s="1">
        <v>44894.722222222219</v>
      </c>
      <c r="G1877" s="1">
        <v>44894.739583333336</v>
      </c>
      <c r="H1877">
        <v>17</v>
      </c>
      <c r="I1877">
        <v>20</v>
      </c>
      <c r="J1877">
        <v>17</v>
      </c>
      <c r="K1877">
        <v>45</v>
      </c>
      <c r="L1877">
        <v>2022</v>
      </c>
      <c r="N1877" t="s">
        <v>47</v>
      </c>
      <c r="O1877" t="s">
        <v>47</v>
      </c>
      <c r="P1877" t="s">
        <v>6086</v>
      </c>
    </row>
    <row r="1878" spans="1:18" x14ac:dyDescent="0.3">
      <c r="A1878" t="s">
        <v>4519</v>
      </c>
      <c r="C1878">
        <v>60</v>
      </c>
      <c r="D1878" t="s">
        <v>10</v>
      </c>
      <c r="F1878" s="43">
        <v>44894.6875</v>
      </c>
      <c r="G1878" s="43">
        <v>44894.729166666664</v>
      </c>
      <c r="H1878">
        <v>16</v>
      </c>
      <c r="I1878">
        <v>30</v>
      </c>
      <c r="J1878">
        <v>17</v>
      </c>
      <c r="K1878">
        <v>30</v>
      </c>
      <c r="L1878">
        <v>2022</v>
      </c>
      <c r="N1878" t="s">
        <v>47</v>
      </c>
      <c r="O1878" t="s">
        <v>47</v>
      </c>
      <c r="P1878" t="s">
        <v>6087</v>
      </c>
    </row>
    <row r="1879" spans="1:18" x14ac:dyDescent="0.3">
      <c r="A1879" t="s">
        <v>6095</v>
      </c>
      <c r="C1879">
        <v>35</v>
      </c>
      <c r="D1879" t="s">
        <v>10</v>
      </c>
      <c r="E1879" t="s">
        <v>501</v>
      </c>
      <c r="F1879" s="43">
        <v>44894.652777777781</v>
      </c>
      <c r="G1879" s="43">
        <v>44894.677083333336</v>
      </c>
      <c r="H1879">
        <v>15</v>
      </c>
      <c r="I1879">
        <v>40</v>
      </c>
      <c r="J1879">
        <v>16</v>
      </c>
      <c r="K1879">
        <v>15</v>
      </c>
      <c r="L1879">
        <v>2022</v>
      </c>
      <c r="N1879" t="s">
        <v>4954</v>
      </c>
      <c r="O1879" t="s">
        <v>47</v>
      </c>
      <c r="P1879" t="s">
        <v>6096</v>
      </c>
    </row>
    <row r="1880" spans="1:18" x14ac:dyDescent="0.3">
      <c r="A1880" t="s">
        <v>4519</v>
      </c>
      <c r="C1880">
        <v>25</v>
      </c>
      <c r="D1880" t="s">
        <v>10</v>
      </c>
      <c r="F1880" s="43">
        <v>44894.59375</v>
      </c>
      <c r="G1880" s="43">
        <v>44894.611111111109</v>
      </c>
      <c r="H1880">
        <v>14</v>
      </c>
      <c r="I1880">
        <v>15</v>
      </c>
      <c r="J1880">
        <v>14</v>
      </c>
      <c r="K1880">
        <v>40</v>
      </c>
      <c r="L1880">
        <v>2022</v>
      </c>
      <c r="N1880" t="s">
        <v>47</v>
      </c>
      <c r="O1880" t="s">
        <v>47</v>
      </c>
      <c r="P1880" t="s">
        <v>6088</v>
      </c>
    </row>
    <row r="1881" spans="1:18" x14ac:dyDescent="0.3">
      <c r="A1881" t="s">
        <v>6089</v>
      </c>
      <c r="C1881">
        <v>45</v>
      </c>
      <c r="D1881" t="s">
        <v>10</v>
      </c>
      <c r="F1881" s="43">
        <v>44894.5625</v>
      </c>
      <c r="G1881" s="43">
        <v>44894.59375</v>
      </c>
      <c r="H1881">
        <v>13</v>
      </c>
      <c r="I1881">
        <v>30</v>
      </c>
      <c r="J1881">
        <v>14</v>
      </c>
      <c r="K1881">
        <v>15</v>
      </c>
      <c r="L1881">
        <v>2022</v>
      </c>
      <c r="N1881" t="s">
        <v>47</v>
      </c>
      <c r="O1881" t="s">
        <v>47</v>
      </c>
      <c r="P1881" t="s">
        <v>6090</v>
      </c>
    </row>
    <row r="1882" spans="1:18" x14ac:dyDescent="0.3">
      <c r="A1882" t="s">
        <v>2905</v>
      </c>
      <c r="C1882">
        <v>40</v>
      </c>
      <c r="D1882" t="s">
        <v>10</v>
      </c>
      <c r="F1882" s="43">
        <v>44894.534722222219</v>
      </c>
      <c r="G1882" s="43">
        <v>44894.5625</v>
      </c>
      <c r="H1882">
        <v>12</v>
      </c>
      <c r="I1882">
        <v>50</v>
      </c>
      <c r="J1882">
        <v>13</v>
      </c>
      <c r="K1882">
        <v>30</v>
      </c>
      <c r="L1882">
        <v>2022</v>
      </c>
      <c r="N1882" t="s">
        <v>47</v>
      </c>
      <c r="O1882" t="s">
        <v>47</v>
      </c>
      <c r="P1882" t="s">
        <v>6091</v>
      </c>
    </row>
    <row r="1883" spans="1:18" x14ac:dyDescent="0.3">
      <c r="A1883" t="s">
        <v>2905</v>
      </c>
      <c r="C1883">
        <v>100</v>
      </c>
      <c r="D1883" t="s">
        <v>10</v>
      </c>
      <c r="F1883" s="43">
        <v>44894.430555555555</v>
      </c>
      <c r="G1883" s="43">
        <v>44894.5</v>
      </c>
      <c r="H1883">
        <v>10</v>
      </c>
      <c r="I1883">
        <v>20</v>
      </c>
      <c r="J1883">
        <v>12</v>
      </c>
      <c r="K1883">
        <v>0</v>
      </c>
      <c r="L1883">
        <v>2022</v>
      </c>
      <c r="N1883" t="s">
        <v>47</v>
      </c>
      <c r="O1883" t="s">
        <v>47</v>
      </c>
      <c r="P1883" t="s">
        <v>6097</v>
      </c>
    </row>
    <row r="1884" spans="1:18" x14ac:dyDescent="0.3">
      <c r="A1884" t="s">
        <v>6113</v>
      </c>
      <c r="C1884">
        <v>30</v>
      </c>
      <c r="D1884" t="s">
        <v>10</v>
      </c>
      <c r="E1884" t="s">
        <v>5</v>
      </c>
      <c r="F1884" s="43">
        <v>44894.395833333336</v>
      </c>
      <c r="G1884" s="43">
        <v>44894.416666666664</v>
      </c>
      <c r="H1884">
        <v>9</v>
      </c>
      <c r="I1884">
        <v>30</v>
      </c>
      <c r="J1884">
        <v>10</v>
      </c>
      <c r="K1884">
        <v>0</v>
      </c>
      <c r="L1884">
        <v>2022</v>
      </c>
      <c r="N1884" t="s">
        <v>6114</v>
      </c>
      <c r="O1884" t="s">
        <v>6115</v>
      </c>
      <c r="P1884" t="s">
        <v>6116</v>
      </c>
    </row>
    <row r="1885" spans="1:18" x14ac:dyDescent="0.3">
      <c r="A1885" t="s">
        <v>6104</v>
      </c>
      <c r="C1885">
        <v>30</v>
      </c>
      <c r="D1885" t="s">
        <v>10</v>
      </c>
      <c r="E1885" t="s">
        <v>5</v>
      </c>
      <c r="F1885" s="43">
        <v>44894.354166666664</v>
      </c>
      <c r="G1885" s="43">
        <v>44894.375</v>
      </c>
      <c r="H1885">
        <v>8</v>
      </c>
      <c r="I1885">
        <v>30</v>
      </c>
      <c r="J1885">
        <v>9</v>
      </c>
      <c r="K1885">
        <v>0</v>
      </c>
      <c r="L1885">
        <v>2022</v>
      </c>
      <c r="N1885" t="s">
        <v>6105</v>
      </c>
      <c r="O1885" t="s">
        <v>4006</v>
      </c>
      <c r="P1885" t="s">
        <v>6106</v>
      </c>
    </row>
    <row r="1886" spans="1:18" x14ac:dyDescent="0.3">
      <c r="A1886" t="s">
        <v>8</v>
      </c>
      <c r="C1886">
        <v>30</v>
      </c>
      <c r="D1886" t="s">
        <v>10</v>
      </c>
      <c r="F1886" s="43">
        <v>44894.333333333336</v>
      </c>
      <c r="G1886" s="43">
        <v>44894.354166666664</v>
      </c>
      <c r="H1886">
        <v>8</v>
      </c>
      <c r="I1886">
        <v>0</v>
      </c>
      <c r="J1886">
        <v>8</v>
      </c>
      <c r="K1886">
        <v>30</v>
      </c>
      <c r="L1886">
        <v>2022</v>
      </c>
      <c r="N1886" t="s">
        <v>47</v>
      </c>
      <c r="O1886" t="s">
        <v>47</v>
      </c>
      <c r="P1886" t="s">
        <v>6098</v>
      </c>
    </row>
    <row r="1887" spans="1:18" x14ac:dyDescent="0.3">
      <c r="A1887" t="s">
        <v>6102</v>
      </c>
      <c r="C1887">
        <v>80</v>
      </c>
      <c r="D1887" t="s">
        <v>10</v>
      </c>
      <c r="F1887" s="43">
        <v>44894.243055555555</v>
      </c>
      <c r="G1887" s="43">
        <v>44894.298611111109</v>
      </c>
      <c r="H1887">
        <v>5</v>
      </c>
      <c r="I1887">
        <v>50</v>
      </c>
      <c r="J1887">
        <v>7</v>
      </c>
      <c r="K1887">
        <v>10</v>
      </c>
      <c r="L1887">
        <v>2022</v>
      </c>
      <c r="N1887" t="s">
        <v>47</v>
      </c>
      <c r="O1887" t="s">
        <v>47</v>
      </c>
      <c r="P1887" t="s">
        <v>6103</v>
      </c>
    </row>
    <row r="1888" spans="1:18" x14ac:dyDescent="0.3">
      <c r="A1888" t="s">
        <v>6107</v>
      </c>
      <c r="C1888">
        <v>20</v>
      </c>
      <c r="D1888" t="s">
        <v>10</v>
      </c>
      <c r="F1888" s="43">
        <v>44893.75</v>
      </c>
      <c r="G1888" s="43">
        <v>44893.763888888891</v>
      </c>
      <c r="H1888">
        <v>18</v>
      </c>
      <c r="I1888">
        <v>0</v>
      </c>
      <c r="J1888">
        <v>18</v>
      </c>
      <c r="K1888">
        <v>20</v>
      </c>
      <c r="L1888">
        <v>2022</v>
      </c>
      <c r="N1888" t="s">
        <v>47</v>
      </c>
      <c r="O1888" t="s">
        <v>47</v>
      </c>
      <c r="P1888" t="s">
        <v>6108</v>
      </c>
    </row>
    <row r="1889" spans="1:16" x14ac:dyDescent="0.3">
      <c r="A1889" t="s">
        <v>7</v>
      </c>
      <c r="C1889">
        <v>30</v>
      </c>
      <c r="D1889" t="s">
        <v>10</v>
      </c>
      <c r="F1889" s="43">
        <v>44893.708333333336</v>
      </c>
      <c r="G1889" s="43">
        <v>44893.729166666664</v>
      </c>
      <c r="H1889">
        <v>17</v>
      </c>
      <c r="I1889">
        <v>0</v>
      </c>
      <c r="J1889">
        <v>17</v>
      </c>
      <c r="K1889">
        <v>30</v>
      </c>
      <c r="L1889">
        <v>2022</v>
      </c>
      <c r="N1889" t="s">
        <v>47</v>
      </c>
      <c r="O1889" t="s">
        <v>47</v>
      </c>
      <c r="P1889" t="s">
        <v>6109</v>
      </c>
    </row>
    <row r="1890" spans="1:16" x14ac:dyDescent="0.3">
      <c r="A1890" t="s">
        <v>5625</v>
      </c>
      <c r="B1890" t="s">
        <v>20</v>
      </c>
      <c r="C1890">
        <v>25</v>
      </c>
      <c r="D1890" t="s">
        <v>10</v>
      </c>
      <c r="E1890" t="s">
        <v>5626</v>
      </c>
      <c r="F1890" s="43">
        <v>44893.666666666664</v>
      </c>
      <c r="G1890" s="43">
        <v>44893.684027777781</v>
      </c>
      <c r="H1890">
        <v>16</v>
      </c>
      <c r="I1890">
        <v>0</v>
      </c>
      <c r="J1890">
        <v>16</v>
      </c>
      <c r="K1890">
        <v>25</v>
      </c>
      <c r="L1890">
        <v>2022</v>
      </c>
      <c r="N1890" t="s">
        <v>5627</v>
      </c>
      <c r="O1890" t="s">
        <v>5628</v>
      </c>
      <c r="P1890" t="s">
        <v>5629</v>
      </c>
    </row>
    <row r="1891" spans="1:16" x14ac:dyDescent="0.3">
      <c r="A1891" t="s">
        <v>6110</v>
      </c>
      <c r="C1891">
        <v>75</v>
      </c>
      <c r="D1891" t="s">
        <v>10</v>
      </c>
      <c r="F1891" s="43">
        <v>44893.614583333336</v>
      </c>
      <c r="G1891" s="43">
        <v>44893.666666666664</v>
      </c>
      <c r="H1891">
        <v>14</v>
      </c>
      <c r="I1891">
        <v>45</v>
      </c>
      <c r="J1891">
        <v>16</v>
      </c>
      <c r="K1891">
        <v>0</v>
      </c>
      <c r="L1891">
        <v>2022</v>
      </c>
      <c r="N1891" t="s">
        <v>47</v>
      </c>
      <c r="O1891" t="s">
        <v>47</v>
      </c>
      <c r="P1891" t="s">
        <v>6111</v>
      </c>
    </row>
    <row r="1892" spans="1:16" x14ac:dyDescent="0.3">
      <c r="A1892" t="s">
        <v>5897</v>
      </c>
      <c r="C1892">
        <v>120</v>
      </c>
      <c r="D1892" t="s">
        <v>10</v>
      </c>
      <c r="F1892" s="43">
        <v>44893.5</v>
      </c>
      <c r="G1892" s="43">
        <v>44893.583333333336</v>
      </c>
      <c r="H1892">
        <v>12</v>
      </c>
      <c r="I1892">
        <v>0</v>
      </c>
      <c r="J1892">
        <v>14</v>
      </c>
      <c r="K1892">
        <v>0</v>
      </c>
      <c r="L1892">
        <v>2022</v>
      </c>
      <c r="N1892" t="s">
        <v>47</v>
      </c>
      <c r="O1892" t="s">
        <v>47</v>
      </c>
      <c r="P1892" t="s">
        <v>6112</v>
      </c>
    </row>
    <row r="1893" spans="1:16" x14ac:dyDescent="0.3">
      <c r="A1893" t="s">
        <v>5965</v>
      </c>
      <c r="B1893" t="s">
        <v>20</v>
      </c>
      <c r="C1893">
        <v>25</v>
      </c>
      <c r="D1893" t="s">
        <v>10</v>
      </c>
      <c r="F1893" s="43">
        <v>44893.479166666664</v>
      </c>
      <c r="G1893" s="43">
        <v>44893.496527777781</v>
      </c>
      <c r="H1893">
        <v>11</v>
      </c>
      <c r="I1893">
        <v>30</v>
      </c>
      <c r="J1893">
        <v>11</v>
      </c>
      <c r="K1893">
        <v>55</v>
      </c>
      <c r="L1893">
        <v>2022</v>
      </c>
      <c r="N1893" t="s">
        <v>5966</v>
      </c>
      <c r="O1893" t="s">
        <v>956</v>
      </c>
      <c r="P1893" t="s">
        <v>5967</v>
      </c>
    </row>
    <row r="1894" spans="1:16" x14ac:dyDescent="0.3">
      <c r="A1894" t="s">
        <v>6010</v>
      </c>
      <c r="C1894">
        <v>30</v>
      </c>
      <c r="D1894" t="s">
        <v>10</v>
      </c>
      <c r="F1894" s="43">
        <v>44893.4375</v>
      </c>
      <c r="G1894" s="43">
        <v>44893.458333333336</v>
      </c>
      <c r="H1894">
        <v>10</v>
      </c>
      <c r="I1894">
        <v>30</v>
      </c>
      <c r="J1894">
        <v>11</v>
      </c>
      <c r="K1894">
        <v>0</v>
      </c>
      <c r="L1894">
        <v>2022</v>
      </c>
      <c r="N1894" t="s">
        <v>47</v>
      </c>
      <c r="O1894" t="s">
        <v>47</v>
      </c>
      <c r="P1894" t="s">
        <v>6012</v>
      </c>
    </row>
    <row r="1895" spans="1:16" x14ac:dyDescent="0.3">
      <c r="A1895" t="s">
        <v>5844</v>
      </c>
      <c r="B1895" t="s">
        <v>20</v>
      </c>
      <c r="C1895">
        <v>30</v>
      </c>
      <c r="D1895" t="s">
        <v>10</v>
      </c>
      <c r="E1895" t="s">
        <v>501</v>
      </c>
      <c r="F1895" s="43">
        <v>44893.416666666664</v>
      </c>
      <c r="G1895" s="43">
        <v>44893.4375</v>
      </c>
      <c r="H1895">
        <v>10</v>
      </c>
      <c r="I1895">
        <v>0</v>
      </c>
      <c r="J1895">
        <v>10</v>
      </c>
      <c r="K1895">
        <v>30</v>
      </c>
      <c r="L1895">
        <v>2022</v>
      </c>
      <c r="N1895" t="s">
        <v>5845</v>
      </c>
      <c r="O1895" t="s">
        <v>47</v>
      </c>
      <c r="P1895" t="s">
        <v>5846</v>
      </c>
    </row>
    <row r="1896" spans="1:16" x14ac:dyDescent="0.3">
      <c r="A1896" t="s">
        <v>6010</v>
      </c>
      <c r="C1896">
        <v>60</v>
      </c>
      <c r="D1896" t="s">
        <v>10</v>
      </c>
      <c r="F1896" s="43">
        <v>44893.395833333336</v>
      </c>
      <c r="G1896" s="43">
        <v>44893.4375</v>
      </c>
      <c r="H1896">
        <v>9</v>
      </c>
      <c r="I1896">
        <v>30</v>
      </c>
      <c r="J1896">
        <v>10</v>
      </c>
      <c r="K1896">
        <v>30</v>
      </c>
      <c r="L1896">
        <v>2022</v>
      </c>
      <c r="N1896" t="s">
        <v>47</v>
      </c>
      <c r="O1896" t="s">
        <v>47</v>
      </c>
      <c r="P1896" t="s">
        <v>6013</v>
      </c>
    </row>
    <row r="1897" spans="1:16" x14ac:dyDescent="0.3">
      <c r="A1897" t="s">
        <v>6014</v>
      </c>
      <c r="C1897">
        <v>60</v>
      </c>
      <c r="D1897" t="s">
        <v>10</v>
      </c>
      <c r="F1897" s="43">
        <v>44893.3125</v>
      </c>
      <c r="G1897" s="43">
        <v>44893.354166666664</v>
      </c>
      <c r="H1897">
        <v>7</v>
      </c>
      <c r="I1897">
        <v>30</v>
      </c>
      <c r="J1897">
        <v>8</v>
      </c>
      <c r="K1897">
        <v>30</v>
      </c>
      <c r="L1897">
        <v>2022</v>
      </c>
      <c r="N1897" t="s">
        <v>47</v>
      </c>
      <c r="O1897" t="s">
        <v>47</v>
      </c>
      <c r="P1897" t="s">
        <v>6015</v>
      </c>
    </row>
    <row r="1898" spans="1:16" x14ac:dyDescent="0.3">
      <c r="A1898" t="s">
        <v>5901</v>
      </c>
      <c r="C1898">
        <v>90</v>
      </c>
      <c r="D1898" t="s">
        <v>10</v>
      </c>
      <c r="F1898" s="43">
        <v>44893.208333333336</v>
      </c>
      <c r="G1898" s="43">
        <v>44893.270833333336</v>
      </c>
      <c r="H1898">
        <v>5</v>
      </c>
      <c r="I1898">
        <v>0</v>
      </c>
      <c r="J1898">
        <v>6</v>
      </c>
      <c r="K1898">
        <v>30</v>
      </c>
      <c r="L1898">
        <v>2022</v>
      </c>
      <c r="N1898" t="s">
        <v>47</v>
      </c>
      <c r="O1898" t="s">
        <v>47</v>
      </c>
      <c r="P1898" t="s">
        <v>6016</v>
      </c>
    </row>
    <row r="1899" spans="1:16" x14ac:dyDescent="0.3">
      <c r="A1899" t="s">
        <v>5897</v>
      </c>
      <c r="C1899">
        <v>75</v>
      </c>
      <c r="D1899" t="s">
        <v>10</v>
      </c>
      <c r="F1899" s="43">
        <v>44892.75</v>
      </c>
      <c r="G1899" s="43">
        <v>44892.802083333336</v>
      </c>
      <c r="H1899">
        <v>18</v>
      </c>
      <c r="I1899">
        <v>0</v>
      </c>
      <c r="J1899">
        <v>19</v>
      </c>
      <c r="K1899">
        <v>15</v>
      </c>
      <c r="L1899">
        <v>2022</v>
      </c>
      <c r="N1899" t="s">
        <v>47</v>
      </c>
      <c r="O1899" t="s">
        <v>47</v>
      </c>
      <c r="P1899" t="s">
        <v>6017</v>
      </c>
    </row>
    <row r="1900" spans="1:16" x14ac:dyDescent="0.3">
      <c r="A1900" t="s">
        <v>5897</v>
      </c>
      <c r="C1900">
        <v>37</v>
      </c>
      <c r="D1900" t="s">
        <v>10</v>
      </c>
      <c r="F1900" s="43">
        <v>44892.697916666664</v>
      </c>
      <c r="G1900" s="43">
        <v>44892.723611111112</v>
      </c>
      <c r="H1900">
        <v>16</v>
      </c>
      <c r="I1900">
        <v>45</v>
      </c>
      <c r="J1900">
        <v>17</v>
      </c>
      <c r="K1900">
        <v>22</v>
      </c>
      <c r="L1900">
        <v>2022</v>
      </c>
      <c r="N1900" t="s">
        <v>47</v>
      </c>
      <c r="O1900" t="s">
        <v>47</v>
      </c>
      <c r="P1900" t="s">
        <v>6018</v>
      </c>
    </row>
    <row r="1901" spans="1:16" x14ac:dyDescent="0.3">
      <c r="A1901" t="s">
        <v>5897</v>
      </c>
      <c r="C1901">
        <v>60</v>
      </c>
      <c r="D1901" t="s">
        <v>10</v>
      </c>
      <c r="F1901" s="43">
        <v>44892.625</v>
      </c>
      <c r="G1901" s="43">
        <v>44892.666666666664</v>
      </c>
      <c r="H1901">
        <v>15</v>
      </c>
      <c r="I1901">
        <v>0</v>
      </c>
      <c r="J1901">
        <v>16</v>
      </c>
      <c r="K1901">
        <v>0</v>
      </c>
      <c r="L1901">
        <v>2022</v>
      </c>
      <c r="N1901" t="s">
        <v>47</v>
      </c>
      <c r="O1901" t="s">
        <v>47</v>
      </c>
      <c r="P1901" t="s">
        <v>6019</v>
      </c>
    </row>
    <row r="1902" spans="1:16" x14ac:dyDescent="0.3">
      <c r="A1902" t="s">
        <v>5897</v>
      </c>
      <c r="C1902">
        <v>60</v>
      </c>
      <c r="D1902" t="s">
        <v>10</v>
      </c>
      <c r="F1902" s="43">
        <v>44892.541666666664</v>
      </c>
      <c r="G1902" s="43">
        <v>44892.583333333336</v>
      </c>
      <c r="H1902">
        <v>13</v>
      </c>
      <c r="I1902">
        <v>0</v>
      </c>
      <c r="J1902">
        <v>14</v>
      </c>
      <c r="K1902">
        <v>0</v>
      </c>
      <c r="L1902">
        <v>2022</v>
      </c>
      <c r="N1902" t="s">
        <v>47</v>
      </c>
      <c r="O1902" t="s">
        <v>47</v>
      </c>
      <c r="P1902" t="s">
        <v>6020</v>
      </c>
    </row>
    <row r="1903" spans="1:16" x14ac:dyDescent="0.3">
      <c r="A1903" t="s">
        <v>5897</v>
      </c>
      <c r="C1903">
        <v>60</v>
      </c>
      <c r="D1903" t="s">
        <v>10</v>
      </c>
      <c r="F1903" s="43">
        <v>44892.479166666664</v>
      </c>
      <c r="G1903" s="43">
        <v>44892.520833333336</v>
      </c>
      <c r="H1903">
        <v>11</v>
      </c>
      <c r="I1903">
        <v>30</v>
      </c>
      <c r="J1903">
        <v>12</v>
      </c>
      <c r="K1903">
        <v>30</v>
      </c>
      <c r="L1903">
        <v>2022</v>
      </c>
      <c r="N1903" t="s">
        <v>47</v>
      </c>
      <c r="O1903" t="s">
        <v>47</v>
      </c>
      <c r="P1903" t="s">
        <v>6021</v>
      </c>
    </row>
    <row r="1904" spans="1:16" x14ac:dyDescent="0.3">
      <c r="A1904" t="s">
        <v>5897</v>
      </c>
      <c r="C1904">
        <v>60</v>
      </c>
      <c r="D1904" t="s">
        <v>10</v>
      </c>
      <c r="F1904" s="43">
        <v>44891.416666666664</v>
      </c>
      <c r="G1904" s="43">
        <v>44891.458333333336</v>
      </c>
      <c r="H1904">
        <v>10</v>
      </c>
      <c r="I1904">
        <v>0</v>
      </c>
      <c r="J1904">
        <v>11</v>
      </c>
      <c r="K1904">
        <v>0</v>
      </c>
      <c r="L1904">
        <v>2022</v>
      </c>
      <c r="N1904" t="s">
        <v>47</v>
      </c>
      <c r="O1904" t="s">
        <v>47</v>
      </c>
      <c r="P1904" t="s">
        <v>6006</v>
      </c>
    </row>
    <row r="1905" spans="1:16" x14ac:dyDescent="0.3">
      <c r="A1905" t="s">
        <v>5897</v>
      </c>
      <c r="C1905">
        <v>60</v>
      </c>
      <c r="D1905" t="s">
        <v>10</v>
      </c>
      <c r="F1905" s="43">
        <v>44891.236111111109</v>
      </c>
      <c r="G1905" s="43">
        <v>44891.277777777781</v>
      </c>
      <c r="H1905">
        <v>5</v>
      </c>
      <c r="I1905">
        <v>40</v>
      </c>
      <c r="J1905">
        <v>6</v>
      </c>
      <c r="K1905">
        <v>40</v>
      </c>
      <c r="L1905">
        <v>2022</v>
      </c>
      <c r="N1905" t="s">
        <v>47</v>
      </c>
      <c r="O1905" t="s">
        <v>47</v>
      </c>
      <c r="P1905" t="s">
        <v>6007</v>
      </c>
    </row>
    <row r="1906" spans="1:16" x14ac:dyDescent="0.3">
      <c r="A1906" t="s">
        <v>5897</v>
      </c>
      <c r="C1906">
        <v>45</v>
      </c>
      <c r="D1906" t="s">
        <v>10</v>
      </c>
      <c r="F1906" s="43">
        <v>44890.770833333336</v>
      </c>
      <c r="G1906" s="43">
        <v>44890.802083333336</v>
      </c>
      <c r="H1906">
        <v>18</v>
      </c>
      <c r="I1906">
        <v>30</v>
      </c>
      <c r="J1906">
        <v>19</v>
      </c>
      <c r="K1906">
        <v>15</v>
      </c>
      <c r="L1906">
        <v>2022</v>
      </c>
      <c r="N1906" t="s">
        <v>47</v>
      </c>
      <c r="O1906" t="s">
        <v>47</v>
      </c>
      <c r="P1906" t="s">
        <v>6008</v>
      </c>
    </row>
    <row r="1907" spans="1:16" x14ac:dyDescent="0.3">
      <c r="A1907" t="s">
        <v>5897</v>
      </c>
      <c r="C1907">
        <v>30</v>
      </c>
      <c r="D1907" t="s">
        <v>10</v>
      </c>
      <c r="F1907" s="43">
        <v>44890.71875</v>
      </c>
      <c r="G1907" s="43">
        <v>44890.739583333336</v>
      </c>
      <c r="H1907">
        <v>17</v>
      </c>
      <c r="I1907">
        <v>15</v>
      </c>
      <c r="J1907">
        <v>17</v>
      </c>
      <c r="K1907">
        <v>45</v>
      </c>
      <c r="L1907">
        <v>2022</v>
      </c>
      <c r="N1907" t="s">
        <v>47</v>
      </c>
      <c r="O1907" t="s">
        <v>47</v>
      </c>
      <c r="P1907" t="s">
        <v>6009</v>
      </c>
    </row>
    <row r="1908" spans="1:16" x14ac:dyDescent="0.3">
      <c r="A1908" t="s">
        <v>6010</v>
      </c>
      <c r="C1908">
        <v>100</v>
      </c>
      <c r="D1908" t="s">
        <v>10</v>
      </c>
      <c r="F1908" s="43">
        <v>44890.625</v>
      </c>
      <c r="G1908" s="43">
        <v>44890.694444444445</v>
      </c>
      <c r="H1908">
        <v>15</v>
      </c>
      <c r="I1908">
        <v>0</v>
      </c>
      <c r="J1908">
        <v>16</v>
      </c>
      <c r="K1908">
        <v>40</v>
      </c>
      <c r="L1908">
        <v>2022</v>
      </c>
      <c r="N1908" t="s">
        <v>47</v>
      </c>
      <c r="O1908" t="s">
        <v>47</v>
      </c>
      <c r="P1908" t="s">
        <v>6011</v>
      </c>
    </row>
    <row r="1909" spans="1:16" x14ac:dyDescent="0.3">
      <c r="A1909" t="s">
        <v>5968</v>
      </c>
      <c r="C1909">
        <v>45</v>
      </c>
      <c r="D1909" t="s">
        <v>10</v>
      </c>
      <c r="F1909" s="43">
        <v>44890.458333333336</v>
      </c>
      <c r="G1909" s="43">
        <v>44890.489583333336</v>
      </c>
      <c r="H1909">
        <v>11</v>
      </c>
      <c r="I1909">
        <v>0</v>
      </c>
      <c r="J1909">
        <v>11</v>
      </c>
      <c r="K1909">
        <v>45</v>
      </c>
      <c r="L1909">
        <v>2022</v>
      </c>
      <c r="N1909" t="s">
        <v>5969</v>
      </c>
      <c r="O1909" t="s">
        <v>5970</v>
      </c>
      <c r="P1909" t="s">
        <v>5971</v>
      </c>
    </row>
    <row r="1910" spans="1:16" x14ac:dyDescent="0.3">
      <c r="A1910" t="s">
        <v>4733</v>
      </c>
      <c r="C1910">
        <v>30</v>
      </c>
      <c r="D1910" t="s">
        <v>10</v>
      </c>
      <c r="F1910" s="43">
        <v>44890.416666666664</v>
      </c>
      <c r="G1910" s="43">
        <v>44890.4375</v>
      </c>
      <c r="H1910">
        <v>10</v>
      </c>
      <c r="I1910">
        <v>0</v>
      </c>
      <c r="J1910">
        <v>10</v>
      </c>
      <c r="K1910">
        <v>30</v>
      </c>
      <c r="L1910">
        <v>2022</v>
      </c>
      <c r="N1910" t="s">
        <v>47</v>
      </c>
      <c r="O1910" t="s">
        <v>47</v>
      </c>
      <c r="P1910" t="s">
        <v>5994</v>
      </c>
    </row>
    <row r="1911" spans="1:16" x14ac:dyDescent="0.3">
      <c r="A1911" t="s">
        <v>7</v>
      </c>
      <c r="C1911">
        <v>30</v>
      </c>
      <c r="D1911" t="s">
        <v>10</v>
      </c>
      <c r="F1911" s="43">
        <v>44890.395833333336</v>
      </c>
      <c r="G1911" s="43">
        <v>44890.416666666664</v>
      </c>
      <c r="H1911">
        <v>9</v>
      </c>
      <c r="I1911">
        <v>30</v>
      </c>
      <c r="J1911">
        <v>10</v>
      </c>
      <c r="K1911">
        <v>0</v>
      </c>
      <c r="L1911">
        <v>2022</v>
      </c>
      <c r="N1911" t="s">
        <v>47</v>
      </c>
      <c r="O1911" t="s">
        <v>47</v>
      </c>
      <c r="P1911" t="s">
        <v>5995</v>
      </c>
    </row>
    <row r="1912" spans="1:16" x14ac:dyDescent="0.3">
      <c r="A1912" t="s">
        <v>5983</v>
      </c>
      <c r="C1912">
        <v>60</v>
      </c>
      <c r="D1912" t="s">
        <v>10</v>
      </c>
      <c r="E1912" t="s">
        <v>5342</v>
      </c>
      <c r="F1912" s="43">
        <v>44890.291666666664</v>
      </c>
      <c r="G1912" s="43">
        <v>44890.333333333336</v>
      </c>
      <c r="H1912">
        <v>7</v>
      </c>
      <c r="I1912">
        <v>0</v>
      </c>
      <c r="J1912">
        <v>8</v>
      </c>
      <c r="K1912">
        <v>0</v>
      </c>
      <c r="L1912">
        <v>2022</v>
      </c>
      <c r="N1912" t="s">
        <v>5984</v>
      </c>
      <c r="O1912" t="s">
        <v>47</v>
      </c>
      <c r="P1912" t="s">
        <v>5985</v>
      </c>
    </row>
    <row r="1913" spans="1:16" x14ac:dyDescent="0.3">
      <c r="A1913" t="s">
        <v>1222</v>
      </c>
      <c r="C1913">
        <v>45</v>
      </c>
      <c r="D1913" t="s">
        <v>10</v>
      </c>
      <c r="F1913" s="43">
        <v>44890.25</v>
      </c>
      <c r="G1913" s="43">
        <v>44890.28125</v>
      </c>
      <c r="H1913">
        <v>6</v>
      </c>
      <c r="I1913">
        <v>0</v>
      </c>
      <c r="J1913">
        <v>6</v>
      </c>
      <c r="K1913">
        <v>45</v>
      </c>
      <c r="L1913">
        <v>2022</v>
      </c>
      <c r="N1913" t="s">
        <v>47</v>
      </c>
      <c r="O1913" t="s">
        <v>47</v>
      </c>
      <c r="P1913" t="s">
        <v>5996</v>
      </c>
    </row>
    <row r="1914" spans="1:16" x14ac:dyDescent="0.3">
      <c r="A1914" t="s">
        <v>17</v>
      </c>
      <c r="C1914">
        <v>60</v>
      </c>
      <c r="D1914" t="s">
        <v>10</v>
      </c>
      <c r="F1914" s="43">
        <v>44890.208333333336</v>
      </c>
      <c r="G1914" s="43">
        <v>44890.25</v>
      </c>
      <c r="H1914">
        <v>5</v>
      </c>
      <c r="I1914">
        <v>0</v>
      </c>
      <c r="J1914">
        <v>6</v>
      </c>
      <c r="K1914">
        <v>0</v>
      </c>
      <c r="L1914">
        <v>2022</v>
      </c>
      <c r="N1914" t="s">
        <v>47</v>
      </c>
      <c r="O1914" t="s">
        <v>47</v>
      </c>
      <c r="P1914" t="s">
        <v>5997</v>
      </c>
    </row>
    <row r="1915" spans="1:16" x14ac:dyDescent="0.3">
      <c r="A1915" t="s">
        <v>6002</v>
      </c>
      <c r="C1915">
        <v>30</v>
      </c>
      <c r="D1915" t="s">
        <v>10</v>
      </c>
      <c r="F1915" s="43">
        <v>44889.760416666664</v>
      </c>
      <c r="G1915" s="43">
        <v>44889.78125</v>
      </c>
      <c r="H1915">
        <v>18</v>
      </c>
      <c r="I1915">
        <v>15</v>
      </c>
      <c r="J1915">
        <v>18</v>
      </c>
      <c r="K1915">
        <v>45</v>
      </c>
      <c r="L1915">
        <v>2022</v>
      </c>
      <c r="N1915" t="s">
        <v>47</v>
      </c>
      <c r="O1915" t="s">
        <v>47</v>
      </c>
      <c r="P1915" t="s">
        <v>6003</v>
      </c>
    </row>
    <row r="1916" spans="1:16" x14ac:dyDescent="0.3">
      <c r="A1916" t="s">
        <v>6004</v>
      </c>
      <c r="C1916">
        <v>50</v>
      </c>
      <c r="D1916" t="s">
        <v>10</v>
      </c>
      <c r="F1916" s="43">
        <v>44889.673611111109</v>
      </c>
      <c r="G1916" s="43">
        <v>44889.708333333336</v>
      </c>
      <c r="H1916">
        <v>16</v>
      </c>
      <c r="I1916">
        <v>10</v>
      </c>
      <c r="J1916">
        <v>17</v>
      </c>
      <c r="K1916">
        <v>0</v>
      </c>
      <c r="L1916">
        <v>2022</v>
      </c>
      <c r="N1916" t="s">
        <v>47</v>
      </c>
      <c r="O1916" t="s">
        <v>47</v>
      </c>
      <c r="P1916" t="s">
        <v>6005</v>
      </c>
    </row>
    <row r="1917" spans="1:16" x14ac:dyDescent="0.3">
      <c r="A1917" t="s">
        <v>5897</v>
      </c>
      <c r="C1917">
        <v>85</v>
      </c>
      <c r="D1917" t="s">
        <v>10</v>
      </c>
      <c r="F1917" s="43">
        <v>44889.59375</v>
      </c>
      <c r="G1917" s="43">
        <v>44889.652777777781</v>
      </c>
      <c r="H1917">
        <v>14</v>
      </c>
      <c r="I1917">
        <v>15</v>
      </c>
      <c r="J1917">
        <v>15</v>
      </c>
      <c r="K1917">
        <v>40</v>
      </c>
      <c r="L1917">
        <v>2022</v>
      </c>
      <c r="N1917" t="s">
        <v>47</v>
      </c>
      <c r="O1917" t="s">
        <v>47</v>
      </c>
      <c r="P1917" t="s">
        <v>5993</v>
      </c>
    </row>
    <row r="1918" spans="1:16" x14ac:dyDescent="0.3">
      <c r="A1918" t="s">
        <v>5897</v>
      </c>
      <c r="C1918">
        <v>30</v>
      </c>
      <c r="D1918" t="s">
        <v>10</v>
      </c>
      <c r="F1918" s="43">
        <v>44889.4375</v>
      </c>
      <c r="G1918" s="43">
        <v>44889.458333333336</v>
      </c>
      <c r="H1918">
        <v>10</v>
      </c>
      <c r="I1918">
        <v>30</v>
      </c>
      <c r="J1918">
        <v>11</v>
      </c>
      <c r="K1918">
        <v>0</v>
      </c>
      <c r="L1918">
        <v>2022</v>
      </c>
      <c r="N1918" t="s">
        <v>47</v>
      </c>
      <c r="O1918" t="s">
        <v>47</v>
      </c>
      <c r="P1918" t="s">
        <v>5986</v>
      </c>
    </row>
    <row r="1919" spans="1:16" x14ac:dyDescent="0.3">
      <c r="A1919" t="s">
        <v>5897</v>
      </c>
      <c r="C1919">
        <v>60</v>
      </c>
      <c r="D1919" t="s">
        <v>10</v>
      </c>
      <c r="F1919" s="43">
        <v>44889.375</v>
      </c>
      <c r="G1919" s="43">
        <v>44889.416666666664</v>
      </c>
      <c r="H1919">
        <v>9</v>
      </c>
      <c r="I1919">
        <v>0</v>
      </c>
      <c r="J1919">
        <v>10</v>
      </c>
      <c r="K1919">
        <v>0</v>
      </c>
      <c r="L1919">
        <v>2022</v>
      </c>
      <c r="N1919" t="s">
        <v>47</v>
      </c>
      <c r="O1919" t="s">
        <v>47</v>
      </c>
      <c r="P1919" t="s">
        <v>5987</v>
      </c>
    </row>
    <row r="1920" spans="1:16" x14ac:dyDescent="0.3">
      <c r="A1920" t="s">
        <v>5897</v>
      </c>
      <c r="C1920">
        <v>30</v>
      </c>
      <c r="D1920" t="s">
        <v>10</v>
      </c>
      <c r="F1920" s="43">
        <v>44889.270833333336</v>
      </c>
      <c r="G1920" s="43">
        <v>44889.291666666664</v>
      </c>
      <c r="H1920">
        <v>6</v>
      </c>
      <c r="I1920">
        <v>30</v>
      </c>
      <c r="J1920">
        <v>7</v>
      </c>
      <c r="K1920">
        <v>0</v>
      </c>
      <c r="L1920">
        <v>2022</v>
      </c>
      <c r="N1920" t="s">
        <v>47</v>
      </c>
      <c r="O1920" t="s">
        <v>47</v>
      </c>
      <c r="P1920" t="s">
        <v>5988</v>
      </c>
    </row>
    <row r="1921" spans="1:16" x14ac:dyDescent="0.3">
      <c r="A1921" t="s">
        <v>5989</v>
      </c>
      <c r="C1921">
        <v>75</v>
      </c>
      <c r="D1921" t="s">
        <v>10</v>
      </c>
      <c r="F1921" s="43">
        <v>44889.21875</v>
      </c>
      <c r="G1921" s="43">
        <v>44889.270833333336</v>
      </c>
      <c r="H1921">
        <v>5</v>
      </c>
      <c r="I1921">
        <v>15</v>
      </c>
      <c r="J1921">
        <v>6</v>
      </c>
      <c r="K1921">
        <v>30</v>
      </c>
      <c r="L1921">
        <v>2022</v>
      </c>
      <c r="N1921" t="s">
        <v>47</v>
      </c>
      <c r="O1921" t="s">
        <v>47</v>
      </c>
      <c r="P1921" t="s">
        <v>5990</v>
      </c>
    </row>
    <row r="1922" spans="1:16" x14ac:dyDescent="0.3">
      <c r="A1922" t="s">
        <v>7</v>
      </c>
      <c r="C1922">
        <v>30</v>
      </c>
      <c r="D1922" t="s">
        <v>10</v>
      </c>
      <c r="F1922" s="43">
        <v>44888.71875</v>
      </c>
      <c r="G1922" s="43">
        <v>44888.739583333336</v>
      </c>
      <c r="H1922">
        <v>17</v>
      </c>
      <c r="I1922">
        <v>15</v>
      </c>
      <c r="J1922">
        <v>17</v>
      </c>
      <c r="K1922">
        <v>45</v>
      </c>
      <c r="L1922">
        <v>2022</v>
      </c>
      <c r="N1922" t="s">
        <v>47</v>
      </c>
      <c r="O1922" t="s">
        <v>47</v>
      </c>
      <c r="P1922" t="s">
        <v>5991</v>
      </c>
    </row>
    <row r="1923" spans="1:16" x14ac:dyDescent="0.3">
      <c r="A1923" t="s">
        <v>5897</v>
      </c>
      <c r="C1923">
        <v>60</v>
      </c>
      <c r="D1923" t="s">
        <v>10</v>
      </c>
      <c r="F1923" s="43">
        <v>44888.645833333336</v>
      </c>
      <c r="G1923" s="43">
        <v>44888.6875</v>
      </c>
      <c r="H1923">
        <v>15</v>
      </c>
      <c r="I1923">
        <v>30</v>
      </c>
      <c r="J1923">
        <v>16</v>
      </c>
      <c r="K1923">
        <v>30</v>
      </c>
      <c r="L1923">
        <v>2022</v>
      </c>
      <c r="N1923" t="s">
        <v>47</v>
      </c>
      <c r="O1923" t="s">
        <v>47</v>
      </c>
      <c r="P1923" t="s">
        <v>5992</v>
      </c>
    </row>
    <row r="1924" spans="1:16" x14ac:dyDescent="0.3">
      <c r="A1924" t="s">
        <v>5897</v>
      </c>
      <c r="C1924">
        <v>15</v>
      </c>
      <c r="D1924" t="s">
        <v>10</v>
      </c>
      <c r="F1924" s="43">
        <v>44888.586805555555</v>
      </c>
      <c r="G1924" s="43">
        <v>44888.597222222219</v>
      </c>
      <c r="H1924">
        <v>14</v>
      </c>
      <c r="I1924">
        <v>5</v>
      </c>
      <c r="J1924">
        <v>14</v>
      </c>
      <c r="K1924">
        <v>20</v>
      </c>
      <c r="L1924">
        <v>2022</v>
      </c>
      <c r="N1924" t="s">
        <v>47</v>
      </c>
      <c r="O1924" t="s">
        <v>47</v>
      </c>
      <c r="P1924" t="s">
        <v>5982</v>
      </c>
    </row>
    <row r="1925" spans="1:16" x14ac:dyDescent="0.3">
      <c r="A1925" t="s">
        <v>5897</v>
      </c>
      <c r="C1925">
        <v>60</v>
      </c>
      <c r="D1925" t="s">
        <v>10</v>
      </c>
      <c r="F1925" s="43">
        <v>44888.541666666664</v>
      </c>
      <c r="G1925" s="43">
        <v>44888.583333333336</v>
      </c>
      <c r="H1925">
        <v>13</v>
      </c>
      <c r="I1925">
        <v>0</v>
      </c>
      <c r="J1925">
        <v>14</v>
      </c>
      <c r="K1925">
        <v>0</v>
      </c>
      <c r="L1925">
        <v>2022</v>
      </c>
      <c r="N1925" t="s">
        <v>47</v>
      </c>
      <c r="O1925" t="s">
        <v>47</v>
      </c>
      <c r="P1925" t="s">
        <v>5981</v>
      </c>
    </row>
    <row r="1926" spans="1:16" x14ac:dyDescent="0.3">
      <c r="A1926" t="s">
        <v>5948</v>
      </c>
      <c r="C1926">
        <v>45</v>
      </c>
      <c r="D1926" t="s">
        <v>10</v>
      </c>
      <c r="F1926" s="43">
        <v>44888.461805555555</v>
      </c>
      <c r="G1926" s="43">
        <v>44888.493055555555</v>
      </c>
      <c r="H1926">
        <v>11</v>
      </c>
      <c r="I1926">
        <v>5</v>
      </c>
      <c r="J1926">
        <v>11</v>
      </c>
      <c r="K1926">
        <v>50</v>
      </c>
      <c r="L1926">
        <v>2022</v>
      </c>
      <c r="N1926" t="s">
        <v>47</v>
      </c>
      <c r="O1926" t="s">
        <v>47</v>
      </c>
      <c r="P1926" t="s">
        <v>5959</v>
      </c>
    </row>
    <row r="1927" spans="1:16" x14ac:dyDescent="0.3">
      <c r="A1927" t="s">
        <v>5978</v>
      </c>
      <c r="C1927">
        <v>30</v>
      </c>
      <c r="D1927" t="s">
        <v>10</v>
      </c>
      <c r="E1927" t="s">
        <v>5</v>
      </c>
      <c r="F1927" s="43">
        <v>44888.416666666664</v>
      </c>
      <c r="G1927" s="43">
        <v>44888.4375</v>
      </c>
      <c r="H1927">
        <v>10</v>
      </c>
      <c r="I1927">
        <v>0</v>
      </c>
      <c r="J1927">
        <v>10</v>
      </c>
      <c r="K1927">
        <v>30</v>
      </c>
      <c r="L1927">
        <v>2022</v>
      </c>
      <c r="N1927" t="s">
        <v>5979</v>
      </c>
      <c r="O1927" t="s">
        <v>1781</v>
      </c>
      <c r="P1927" t="s">
        <v>5980</v>
      </c>
    </row>
    <row r="1928" spans="1:16" x14ac:dyDescent="0.3">
      <c r="A1928" t="s">
        <v>8</v>
      </c>
      <c r="C1928">
        <v>30</v>
      </c>
      <c r="D1928" t="s">
        <v>10</v>
      </c>
      <c r="F1928" s="43">
        <v>44888.354166666664</v>
      </c>
      <c r="G1928" s="43">
        <v>44888.375</v>
      </c>
      <c r="H1928">
        <v>8</v>
      </c>
      <c r="I1928">
        <v>30</v>
      </c>
      <c r="J1928">
        <v>9</v>
      </c>
      <c r="K1928">
        <v>0</v>
      </c>
      <c r="L1928">
        <v>2022</v>
      </c>
      <c r="N1928" t="s">
        <v>47</v>
      </c>
      <c r="O1928" t="s">
        <v>47</v>
      </c>
      <c r="P1928" t="s">
        <v>5960</v>
      </c>
    </row>
    <row r="1929" spans="1:16" x14ac:dyDescent="0.3">
      <c r="A1929" t="s">
        <v>17</v>
      </c>
      <c r="C1929">
        <v>35</v>
      </c>
      <c r="D1929" t="s">
        <v>10</v>
      </c>
      <c r="F1929" s="43">
        <v>44888.322916666664</v>
      </c>
      <c r="G1929" s="43">
        <v>44888.347222222219</v>
      </c>
      <c r="H1929">
        <v>7</v>
      </c>
      <c r="I1929">
        <v>45</v>
      </c>
      <c r="J1929">
        <v>8</v>
      </c>
      <c r="K1929">
        <v>20</v>
      </c>
      <c r="L1929">
        <v>2022</v>
      </c>
      <c r="N1929" t="s">
        <v>47</v>
      </c>
      <c r="O1929" t="s">
        <v>47</v>
      </c>
      <c r="P1929" t="s">
        <v>5961</v>
      </c>
    </row>
    <row r="1930" spans="1:16" x14ac:dyDescent="0.3">
      <c r="A1930" t="s">
        <v>8</v>
      </c>
      <c r="C1930">
        <v>30</v>
      </c>
      <c r="D1930" t="s">
        <v>10</v>
      </c>
      <c r="F1930" s="43">
        <v>44888.28125</v>
      </c>
      <c r="G1930" s="43">
        <v>44888.302083333336</v>
      </c>
      <c r="H1930">
        <v>6</v>
      </c>
      <c r="I1930">
        <v>45</v>
      </c>
      <c r="J1930">
        <v>7</v>
      </c>
      <c r="K1930">
        <v>15</v>
      </c>
      <c r="L1930">
        <v>2022</v>
      </c>
      <c r="N1930" t="s">
        <v>47</v>
      </c>
      <c r="O1930" t="s">
        <v>47</v>
      </c>
      <c r="P1930" t="s">
        <v>5962</v>
      </c>
    </row>
    <row r="1931" spans="1:16" x14ac:dyDescent="0.3">
      <c r="A1931" t="s">
        <v>5963</v>
      </c>
      <c r="C1931">
        <v>30</v>
      </c>
      <c r="D1931" t="s">
        <v>10</v>
      </c>
      <c r="F1931" s="43">
        <v>44888.25</v>
      </c>
      <c r="G1931" s="43">
        <v>44888.270833333336</v>
      </c>
      <c r="H1931">
        <v>6</v>
      </c>
      <c r="I1931">
        <v>0</v>
      </c>
      <c r="J1931">
        <v>6</v>
      </c>
      <c r="K1931">
        <v>30</v>
      </c>
      <c r="L1931">
        <v>2022</v>
      </c>
      <c r="N1931" t="s">
        <v>47</v>
      </c>
      <c r="O1931" t="s">
        <v>47</v>
      </c>
      <c r="P1931" t="s">
        <v>5964</v>
      </c>
    </row>
    <row r="1932" spans="1:16" x14ac:dyDescent="0.3">
      <c r="A1932" t="s">
        <v>5972</v>
      </c>
      <c r="C1932">
        <v>40</v>
      </c>
      <c r="D1932" t="s">
        <v>10</v>
      </c>
      <c r="F1932" s="43">
        <v>44887.760416666664</v>
      </c>
      <c r="G1932" s="43">
        <v>44887.788194444445</v>
      </c>
      <c r="H1932">
        <v>18</v>
      </c>
      <c r="I1932">
        <v>15</v>
      </c>
      <c r="J1932">
        <v>18</v>
      </c>
      <c r="K1932">
        <v>55</v>
      </c>
      <c r="L1932">
        <v>2022</v>
      </c>
      <c r="N1932" t="s">
        <v>47</v>
      </c>
      <c r="O1932" t="s">
        <v>47</v>
      </c>
      <c r="P1932" t="s">
        <v>5973</v>
      </c>
    </row>
    <row r="1933" spans="1:16" x14ac:dyDescent="0.3">
      <c r="A1933" t="s">
        <v>5948</v>
      </c>
      <c r="C1933">
        <v>70</v>
      </c>
      <c r="D1933" t="s">
        <v>10</v>
      </c>
      <c r="F1933" s="43">
        <v>44887.694444444445</v>
      </c>
      <c r="G1933" s="43">
        <v>44887.743055555555</v>
      </c>
      <c r="H1933">
        <v>16</v>
      </c>
      <c r="I1933">
        <v>40</v>
      </c>
      <c r="J1933">
        <v>17</v>
      </c>
      <c r="K1933">
        <v>50</v>
      </c>
      <c r="L1933">
        <v>2022</v>
      </c>
      <c r="N1933" t="s">
        <v>47</v>
      </c>
      <c r="O1933" t="s">
        <v>47</v>
      </c>
      <c r="P1933" t="s">
        <v>5974</v>
      </c>
    </row>
    <row r="1934" spans="1:16" x14ac:dyDescent="0.3">
      <c r="A1934" t="s">
        <v>5975</v>
      </c>
      <c r="C1934">
        <v>30</v>
      </c>
      <c r="D1934" t="s">
        <v>10</v>
      </c>
      <c r="F1934" s="43">
        <v>44887.666666666664</v>
      </c>
      <c r="G1934" s="43">
        <v>44887.6875</v>
      </c>
      <c r="H1934">
        <v>16</v>
      </c>
      <c r="I1934">
        <v>0</v>
      </c>
      <c r="J1934">
        <v>16</v>
      </c>
      <c r="K1934">
        <v>30</v>
      </c>
      <c r="L1934">
        <v>2022</v>
      </c>
      <c r="O1934" t="s">
        <v>47</v>
      </c>
      <c r="P1934" t="s">
        <v>5976</v>
      </c>
    </row>
    <row r="1935" spans="1:16" x14ac:dyDescent="0.3">
      <c r="A1935" t="s">
        <v>7</v>
      </c>
      <c r="C1935">
        <v>15</v>
      </c>
      <c r="D1935" t="s">
        <v>10</v>
      </c>
      <c r="F1935" s="43">
        <v>44887.645833333336</v>
      </c>
      <c r="G1935" s="43">
        <v>44887.65625</v>
      </c>
      <c r="H1935">
        <v>15</v>
      </c>
      <c r="I1935">
        <v>30</v>
      </c>
      <c r="J1935">
        <v>15</v>
      </c>
      <c r="K1935">
        <v>45</v>
      </c>
      <c r="L1935">
        <v>2022</v>
      </c>
      <c r="N1935" t="s">
        <v>47</v>
      </c>
      <c r="O1935" t="s">
        <v>47</v>
      </c>
      <c r="P1935" t="s">
        <v>5977</v>
      </c>
    </row>
    <row r="1936" spans="1:16" x14ac:dyDescent="0.3">
      <c r="A1936" t="s">
        <v>5816</v>
      </c>
      <c r="B1936" t="s">
        <v>20</v>
      </c>
      <c r="C1936">
        <v>30</v>
      </c>
      <c r="D1936" t="s">
        <v>10</v>
      </c>
      <c r="E1936" t="s">
        <v>501</v>
      </c>
      <c r="F1936" s="43">
        <v>44887.625</v>
      </c>
      <c r="G1936" s="43">
        <v>44887.645833333336</v>
      </c>
      <c r="H1936">
        <v>15</v>
      </c>
      <c r="I1936">
        <v>0</v>
      </c>
      <c r="J1936">
        <v>15</v>
      </c>
      <c r="K1936">
        <v>30</v>
      </c>
      <c r="L1936">
        <v>2022</v>
      </c>
      <c r="N1936" t="s">
        <v>5817</v>
      </c>
      <c r="O1936" t="s">
        <v>47</v>
      </c>
      <c r="P1936" t="s">
        <v>5818</v>
      </c>
    </row>
    <row r="1937" spans="1:16" x14ac:dyDescent="0.3">
      <c r="A1937" t="s">
        <v>5879</v>
      </c>
      <c r="B1937" t="s">
        <v>20</v>
      </c>
      <c r="C1937">
        <v>30</v>
      </c>
      <c r="D1937" t="s">
        <v>10</v>
      </c>
      <c r="E1937" t="s">
        <v>501</v>
      </c>
      <c r="F1937" s="43">
        <v>44887.583333333336</v>
      </c>
      <c r="G1937" s="43">
        <v>44887.604166666664</v>
      </c>
      <c r="H1937">
        <v>14</v>
      </c>
      <c r="I1937">
        <v>0</v>
      </c>
      <c r="J1937">
        <v>14</v>
      </c>
      <c r="K1937">
        <v>30</v>
      </c>
      <c r="L1937">
        <v>2022</v>
      </c>
      <c r="N1937" t="s">
        <v>5880</v>
      </c>
      <c r="O1937" t="s">
        <v>47</v>
      </c>
      <c r="P1937" t="s">
        <v>5881</v>
      </c>
    </row>
    <row r="1938" spans="1:16" x14ac:dyDescent="0.3">
      <c r="A1938" t="s">
        <v>5948</v>
      </c>
      <c r="C1938">
        <v>60</v>
      </c>
      <c r="D1938" t="s">
        <v>10</v>
      </c>
      <c r="F1938" s="43">
        <v>44887.53125</v>
      </c>
      <c r="G1938" s="43">
        <v>44887.572916666664</v>
      </c>
      <c r="H1938">
        <v>12</v>
      </c>
      <c r="I1938">
        <v>45</v>
      </c>
      <c r="J1938">
        <v>13</v>
      </c>
      <c r="K1938">
        <v>45</v>
      </c>
      <c r="L1938">
        <v>2022</v>
      </c>
      <c r="N1938" t="s">
        <v>47</v>
      </c>
      <c r="O1938" t="s">
        <v>47</v>
      </c>
      <c r="P1938" t="s">
        <v>5957</v>
      </c>
    </row>
    <row r="1939" spans="1:16" x14ac:dyDescent="0.3">
      <c r="A1939" t="s">
        <v>8</v>
      </c>
      <c r="C1939">
        <v>20</v>
      </c>
      <c r="D1939" t="s">
        <v>10</v>
      </c>
      <c r="F1939" s="43">
        <v>44887.506944444445</v>
      </c>
      <c r="G1939" s="43">
        <v>44887.520833333336</v>
      </c>
      <c r="H1939">
        <v>12</v>
      </c>
      <c r="I1939">
        <v>10</v>
      </c>
      <c r="J1939">
        <v>12</v>
      </c>
      <c r="K1939">
        <v>30</v>
      </c>
      <c r="L1939">
        <v>2022</v>
      </c>
      <c r="N1939" t="s">
        <v>47</v>
      </c>
      <c r="O1939" t="s">
        <v>47</v>
      </c>
      <c r="P1939" t="s">
        <v>5958</v>
      </c>
    </row>
    <row r="1940" spans="1:16" x14ac:dyDescent="0.3">
      <c r="A1940" t="s">
        <v>1222</v>
      </c>
      <c r="C1940">
        <v>30</v>
      </c>
      <c r="D1940" t="s">
        <v>10</v>
      </c>
      <c r="F1940" s="43">
        <v>44887.479166666664</v>
      </c>
      <c r="G1940" s="43">
        <v>44887.5</v>
      </c>
      <c r="H1940">
        <v>11</v>
      </c>
      <c r="I1940">
        <v>30</v>
      </c>
      <c r="J1940">
        <v>12</v>
      </c>
      <c r="K1940">
        <v>0</v>
      </c>
      <c r="L1940">
        <v>2022</v>
      </c>
      <c r="N1940" t="s">
        <v>47</v>
      </c>
      <c r="O1940" t="s">
        <v>47</v>
      </c>
      <c r="P1940" t="s">
        <v>5912</v>
      </c>
    </row>
    <row r="1941" spans="1:16" x14ac:dyDescent="0.3">
      <c r="A1941" t="s">
        <v>5928</v>
      </c>
      <c r="C1941">
        <v>30</v>
      </c>
      <c r="D1941" t="s">
        <v>10</v>
      </c>
      <c r="F1941" s="43">
        <v>44887.458333333336</v>
      </c>
      <c r="G1941" s="43">
        <v>44887.479166666664</v>
      </c>
      <c r="H1941">
        <v>11</v>
      </c>
      <c r="I1941">
        <v>0</v>
      </c>
      <c r="J1941">
        <v>11</v>
      </c>
      <c r="K1941">
        <v>30</v>
      </c>
      <c r="L1941">
        <v>2022</v>
      </c>
      <c r="N1941" t="s">
        <v>5929</v>
      </c>
      <c r="O1941" t="s">
        <v>5316</v>
      </c>
      <c r="P1941" t="s">
        <v>5930</v>
      </c>
    </row>
    <row r="1942" spans="1:16" x14ac:dyDescent="0.3">
      <c r="A1942" t="s">
        <v>8</v>
      </c>
      <c r="C1942">
        <v>30</v>
      </c>
      <c r="D1942" t="s">
        <v>10</v>
      </c>
      <c r="F1942" s="43">
        <v>44887.4375</v>
      </c>
      <c r="G1942" s="43">
        <v>44887.458333333336</v>
      </c>
      <c r="H1942">
        <v>10</v>
      </c>
      <c r="I1942">
        <v>30</v>
      </c>
      <c r="J1942">
        <v>11</v>
      </c>
      <c r="K1942">
        <v>0</v>
      </c>
      <c r="L1942">
        <v>2022</v>
      </c>
      <c r="N1942" t="s">
        <v>47</v>
      </c>
      <c r="O1942" t="s">
        <v>47</v>
      </c>
      <c r="P1942" t="s">
        <v>5913</v>
      </c>
    </row>
    <row r="1943" spans="1:16" x14ac:dyDescent="0.3">
      <c r="A1943" t="s">
        <v>5914</v>
      </c>
      <c r="C1943">
        <v>110</v>
      </c>
      <c r="D1943" t="s">
        <v>10</v>
      </c>
      <c r="F1943" s="43">
        <v>44887.333333333336</v>
      </c>
      <c r="G1943" s="43">
        <v>44887.409722222219</v>
      </c>
      <c r="H1943">
        <v>8</v>
      </c>
      <c r="I1943">
        <v>0</v>
      </c>
      <c r="J1943">
        <v>9</v>
      </c>
      <c r="K1943">
        <v>50</v>
      </c>
      <c r="L1943">
        <v>2022</v>
      </c>
      <c r="N1943" t="s">
        <v>47</v>
      </c>
      <c r="O1943" t="s">
        <v>47</v>
      </c>
      <c r="P1943" t="s">
        <v>5915</v>
      </c>
    </row>
    <row r="1944" spans="1:16" x14ac:dyDescent="0.3">
      <c r="A1944" t="s">
        <v>5914</v>
      </c>
      <c r="C1944">
        <v>30</v>
      </c>
      <c r="D1944" t="s">
        <v>10</v>
      </c>
      <c r="F1944" s="43">
        <v>44887.270833333336</v>
      </c>
      <c r="G1944" s="43">
        <v>44887.291666666664</v>
      </c>
      <c r="H1944">
        <v>6</v>
      </c>
      <c r="I1944">
        <v>30</v>
      </c>
      <c r="J1944">
        <v>7</v>
      </c>
      <c r="K1944">
        <v>0</v>
      </c>
      <c r="L1944">
        <v>2022</v>
      </c>
      <c r="N1944" t="s">
        <v>47</v>
      </c>
      <c r="O1944" t="s">
        <v>47</v>
      </c>
      <c r="P1944" t="s">
        <v>5916</v>
      </c>
    </row>
    <row r="1945" spans="1:16" x14ac:dyDescent="0.3">
      <c r="A1945" t="s">
        <v>5919</v>
      </c>
      <c r="C1945">
        <v>30</v>
      </c>
      <c r="D1945" t="s">
        <v>10</v>
      </c>
      <c r="E1945" t="s">
        <v>5342</v>
      </c>
      <c r="F1945" s="43">
        <v>44887.25</v>
      </c>
      <c r="G1945" s="43">
        <v>44887.270833333336</v>
      </c>
      <c r="H1945">
        <v>6</v>
      </c>
      <c r="I1945">
        <v>0</v>
      </c>
      <c r="J1945">
        <v>6</v>
      </c>
      <c r="K1945">
        <v>30</v>
      </c>
      <c r="L1945">
        <v>2022</v>
      </c>
      <c r="N1945" t="s">
        <v>5198</v>
      </c>
      <c r="O1945" t="s">
        <v>47</v>
      </c>
      <c r="P1945" t="s">
        <v>5920</v>
      </c>
    </row>
    <row r="1946" spans="1:16" x14ac:dyDescent="0.3">
      <c r="A1946" t="s">
        <v>5917</v>
      </c>
      <c r="C1946">
        <v>75</v>
      </c>
      <c r="D1946" t="s">
        <v>10</v>
      </c>
      <c r="F1946" s="43">
        <v>44886.75</v>
      </c>
      <c r="G1946" s="43">
        <v>44886.802083333336</v>
      </c>
      <c r="H1946">
        <v>18</v>
      </c>
      <c r="I1946">
        <v>0</v>
      </c>
      <c r="J1946">
        <v>19</v>
      </c>
      <c r="K1946">
        <v>15</v>
      </c>
      <c r="L1946">
        <v>2022</v>
      </c>
      <c r="N1946" t="s">
        <v>47</v>
      </c>
      <c r="O1946" t="s">
        <v>47</v>
      </c>
      <c r="P1946" t="s">
        <v>5918</v>
      </c>
    </row>
    <row r="1947" spans="1:16" x14ac:dyDescent="0.3">
      <c r="A1947" t="s">
        <v>5921</v>
      </c>
      <c r="C1947">
        <v>25</v>
      </c>
      <c r="D1947" t="s">
        <v>10</v>
      </c>
      <c r="F1947" s="43">
        <v>44886.6875</v>
      </c>
      <c r="G1947" s="43">
        <v>44886.704861111109</v>
      </c>
      <c r="H1947">
        <v>16</v>
      </c>
      <c r="I1947">
        <v>30</v>
      </c>
      <c r="J1947">
        <v>16</v>
      </c>
      <c r="K1947">
        <v>55</v>
      </c>
      <c r="L1947">
        <v>2022</v>
      </c>
      <c r="N1947" t="s">
        <v>47</v>
      </c>
      <c r="O1947" t="s">
        <v>47</v>
      </c>
      <c r="P1947" t="s">
        <v>5922</v>
      </c>
    </row>
    <row r="1948" spans="1:16" x14ac:dyDescent="0.3">
      <c r="A1948" t="s">
        <v>5857</v>
      </c>
      <c r="B1948" t="s">
        <v>20</v>
      </c>
      <c r="C1948">
        <v>30</v>
      </c>
      <c r="D1948" t="s">
        <v>10</v>
      </c>
      <c r="F1948" s="43">
        <v>44886.677083333336</v>
      </c>
      <c r="G1948" s="43">
        <v>44886.697916666664</v>
      </c>
      <c r="H1948">
        <v>16</v>
      </c>
      <c r="I1948">
        <v>15</v>
      </c>
      <c r="J1948">
        <v>16</v>
      </c>
      <c r="K1948">
        <v>45</v>
      </c>
      <c r="L1948">
        <v>2022</v>
      </c>
      <c r="N1948" t="s">
        <v>5858</v>
      </c>
      <c r="O1948" t="s">
        <v>5859</v>
      </c>
      <c r="P1948" t="s">
        <v>5860</v>
      </c>
    </row>
    <row r="1949" spans="1:16" x14ac:dyDescent="0.3">
      <c r="A1949" t="s">
        <v>9</v>
      </c>
      <c r="C1949">
        <v>30</v>
      </c>
      <c r="D1949" t="s">
        <v>10</v>
      </c>
      <c r="F1949" s="43">
        <v>44886.645833333336</v>
      </c>
      <c r="G1949" s="43">
        <v>44886.666666666664</v>
      </c>
      <c r="H1949">
        <v>15</v>
      </c>
      <c r="I1949">
        <v>30</v>
      </c>
      <c r="J1949">
        <v>16</v>
      </c>
      <c r="K1949">
        <v>0</v>
      </c>
      <c r="L1949">
        <v>2022</v>
      </c>
      <c r="N1949" t="s">
        <v>47</v>
      </c>
      <c r="O1949" t="s">
        <v>47</v>
      </c>
      <c r="P1949" t="s">
        <v>5923</v>
      </c>
    </row>
    <row r="1950" spans="1:16" x14ac:dyDescent="0.3">
      <c r="A1950" t="s">
        <v>8</v>
      </c>
      <c r="C1950">
        <v>30</v>
      </c>
      <c r="D1950" t="s">
        <v>10</v>
      </c>
      <c r="F1950" s="43">
        <v>44886.625</v>
      </c>
      <c r="G1950" s="43">
        <v>44886.645833333336</v>
      </c>
      <c r="H1950">
        <v>15</v>
      </c>
      <c r="I1950">
        <v>0</v>
      </c>
      <c r="J1950">
        <v>15</v>
      </c>
      <c r="K1950">
        <v>30</v>
      </c>
      <c r="L1950">
        <v>2022</v>
      </c>
      <c r="N1950" t="s">
        <v>47</v>
      </c>
      <c r="O1950" t="s">
        <v>47</v>
      </c>
      <c r="P1950" t="s">
        <v>5924</v>
      </c>
    </row>
    <row r="1951" spans="1:16" x14ac:dyDescent="0.3">
      <c r="A1951" t="s">
        <v>5750</v>
      </c>
      <c r="C1951">
        <v>15</v>
      </c>
      <c r="D1951" t="s">
        <v>10</v>
      </c>
      <c r="F1951" s="43">
        <v>44886.607638888891</v>
      </c>
      <c r="G1951" s="43">
        <v>44886.618055555555</v>
      </c>
      <c r="H1951">
        <v>14</v>
      </c>
      <c r="I1951">
        <v>35</v>
      </c>
      <c r="J1951">
        <v>14</v>
      </c>
      <c r="K1951">
        <v>50</v>
      </c>
      <c r="L1951">
        <v>2022</v>
      </c>
      <c r="N1951" t="s">
        <v>5751</v>
      </c>
      <c r="O1951" t="s">
        <v>3774</v>
      </c>
      <c r="P1951" t="s">
        <v>5752</v>
      </c>
    </row>
    <row r="1952" spans="1:16" x14ac:dyDescent="0.3">
      <c r="A1952" t="s">
        <v>8</v>
      </c>
      <c r="C1952">
        <v>30</v>
      </c>
      <c r="D1952" t="s">
        <v>10</v>
      </c>
      <c r="F1952" s="43">
        <v>44886.569444444445</v>
      </c>
      <c r="G1952" s="43">
        <v>44886.590277777781</v>
      </c>
      <c r="H1952">
        <v>13</v>
      </c>
      <c r="I1952">
        <v>40</v>
      </c>
      <c r="J1952">
        <v>14</v>
      </c>
      <c r="K1952">
        <v>10</v>
      </c>
      <c r="L1952">
        <v>2022</v>
      </c>
      <c r="N1952" t="s">
        <v>47</v>
      </c>
      <c r="O1952" t="s">
        <v>47</v>
      </c>
      <c r="P1952" t="s">
        <v>5925</v>
      </c>
    </row>
    <row r="1953" spans="1:16" x14ac:dyDescent="0.3">
      <c r="A1953" t="s">
        <v>5926</v>
      </c>
      <c r="C1953">
        <v>35</v>
      </c>
      <c r="D1953" t="s">
        <v>10</v>
      </c>
      <c r="F1953" s="43">
        <v>44886.510416666664</v>
      </c>
      <c r="G1953" s="43">
        <v>44886.534722222219</v>
      </c>
      <c r="H1953">
        <v>12</v>
      </c>
      <c r="I1953">
        <v>15</v>
      </c>
      <c r="J1953">
        <v>12</v>
      </c>
      <c r="K1953">
        <v>50</v>
      </c>
      <c r="L1953">
        <v>2022</v>
      </c>
      <c r="N1953" t="s">
        <v>47</v>
      </c>
      <c r="O1953" t="s">
        <v>47</v>
      </c>
      <c r="P1953" t="s">
        <v>5927</v>
      </c>
    </row>
    <row r="1954" spans="1:16" x14ac:dyDescent="0.3">
      <c r="A1954" t="s">
        <v>5332</v>
      </c>
      <c r="C1954">
        <v>30</v>
      </c>
      <c r="D1954" t="s">
        <v>10</v>
      </c>
      <c r="F1954" s="43">
        <v>44886.479166666664</v>
      </c>
      <c r="G1954" s="43">
        <v>44886.5</v>
      </c>
      <c r="H1954">
        <v>11</v>
      </c>
      <c r="I1954">
        <v>30</v>
      </c>
      <c r="J1954">
        <v>12</v>
      </c>
      <c r="K1954">
        <v>0</v>
      </c>
      <c r="L1954">
        <v>2022</v>
      </c>
      <c r="N1954" t="s">
        <v>47</v>
      </c>
      <c r="O1954" t="s">
        <v>47</v>
      </c>
      <c r="P1954" t="s">
        <v>5931</v>
      </c>
    </row>
    <row r="1955" spans="1:16" x14ac:dyDescent="0.3">
      <c r="A1955" t="s">
        <v>5933</v>
      </c>
      <c r="C1955">
        <v>30</v>
      </c>
      <c r="D1955" t="s">
        <v>10</v>
      </c>
      <c r="F1955" s="43">
        <v>44886.458333333336</v>
      </c>
      <c r="G1955" s="43">
        <v>44886.479166666664</v>
      </c>
      <c r="H1955">
        <v>11</v>
      </c>
      <c r="I1955">
        <v>0</v>
      </c>
      <c r="J1955">
        <v>11</v>
      </c>
      <c r="K1955">
        <v>30</v>
      </c>
      <c r="L1955">
        <v>2022</v>
      </c>
      <c r="N1955" t="s">
        <v>47</v>
      </c>
      <c r="O1955" t="s">
        <v>47</v>
      </c>
      <c r="P1955" t="s">
        <v>5934</v>
      </c>
    </row>
    <row r="1956" spans="1:16" x14ac:dyDescent="0.3">
      <c r="A1956" t="s">
        <v>8</v>
      </c>
      <c r="C1956">
        <v>30</v>
      </c>
      <c r="D1956" t="s">
        <v>10</v>
      </c>
      <c r="F1956" s="43">
        <v>44886.4375</v>
      </c>
      <c r="G1956" s="43">
        <v>44886.458333333336</v>
      </c>
      <c r="H1956">
        <v>10</v>
      </c>
      <c r="I1956">
        <v>30</v>
      </c>
      <c r="J1956">
        <v>11</v>
      </c>
      <c r="K1956">
        <v>0</v>
      </c>
      <c r="L1956">
        <v>2022</v>
      </c>
      <c r="N1956" t="s">
        <v>47</v>
      </c>
      <c r="O1956" t="s">
        <v>47</v>
      </c>
      <c r="P1956" t="s">
        <v>5932</v>
      </c>
    </row>
    <row r="1957" spans="1:16" x14ac:dyDescent="0.3">
      <c r="A1957" t="s">
        <v>1222</v>
      </c>
      <c r="C1957">
        <v>30</v>
      </c>
      <c r="D1957" t="s">
        <v>10</v>
      </c>
      <c r="F1957" s="43">
        <v>44886.416666666664</v>
      </c>
      <c r="G1957" s="43">
        <v>44886.4375</v>
      </c>
      <c r="H1957">
        <v>10</v>
      </c>
      <c r="I1957">
        <v>0</v>
      </c>
      <c r="J1957">
        <v>10</v>
      </c>
      <c r="K1957">
        <v>30</v>
      </c>
      <c r="L1957">
        <v>2022</v>
      </c>
      <c r="N1957" t="s">
        <v>47</v>
      </c>
      <c r="O1957" t="s">
        <v>47</v>
      </c>
      <c r="P1957" t="s">
        <v>5935</v>
      </c>
    </row>
    <row r="1958" spans="1:16" x14ac:dyDescent="0.3">
      <c r="A1958" t="s">
        <v>5882</v>
      </c>
      <c r="B1958" t="s">
        <v>20</v>
      </c>
      <c r="C1958">
        <v>30</v>
      </c>
      <c r="D1958" t="s">
        <v>10</v>
      </c>
      <c r="F1958" s="43">
        <v>44886.375</v>
      </c>
      <c r="G1958" s="43">
        <v>44886.395833333336</v>
      </c>
      <c r="H1958">
        <v>9</v>
      </c>
      <c r="I1958">
        <v>0</v>
      </c>
      <c r="J1958">
        <v>9</v>
      </c>
      <c r="K1958">
        <v>30</v>
      </c>
      <c r="L1958">
        <v>2022</v>
      </c>
      <c r="N1958" t="s">
        <v>5883</v>
      </c>
      <c r="O1958" t="s">
        <v>5884</v>
      </c>
      <c r="P1958" t="s">
        <v>5885</v>
      </c>
    </row>
    <row r="1959" spans="1:16" x14ac:dyDescent="0.3">
      <c r="A1959" t="s">
        <v>5936</v>
      </c>
      <c r="C1959">
        <v>15</v>
      </c>
      <c r="D1959" t="s">
        <v>10</v>
      </c>
      <c r="F1959" s="43">
        <v>44886.354166666664</v>
      </c>
      <c r="G1959" s="43">
        <v>44886.364583333336</v>
      </c>
      <c r="H1959">
        <v>8</v>
      </c>
      <c r="I1959">
        <v>30</v>
      </c>
      <c r="J1959">
        <v>8</v>
      </c>
      <c r="K1959">
        <v>45</v>
      </c>
      <c r="L1959">
        <v>2022</v>
      </c>
      <c r="N1959" t="s">
        <v>47</v>
      </c>
      <c r="O1959" t="s">
        <v>47</v>
      </c>
      <c r="P1959" t="s">
        <v>5937</v>
      </c>
    </row>
    <row r="1960" spans="1:16" x14ac:dyDescent="0.3">
      <c r="A1960" t="s">
        <v>5864</v>
      </c>
      <c r="B1960" t="s">
        <v>20</v>
      </c>
      <c r="C1960">
        <v>30</v>
      </c>
      <c r="D1960" t="s">
        <v>10</v>
      </c>
      <c r="F1960" s="43">
        <v>44886.333333333336</v>
      </c>
      <c r="G1960" s="43">
        <v>44886.354166666664</v>
      </c>
      <c r="H1960">
        <v>8</v>
      </c>
      <c r="I1960">
        <v>0</v>
      </c>
      <c r="J1960">
        <v>8</v>
      </c>
      <c r="K1960">
        <v>30</v>
      </c>
      <c r="L1960">
        <v>2022</v>
      </c>
      <c r="N1960" t="s">
        <v>5865</v>
      </c>
      <c r="O1960" t="s">
        <v>5866</v>
      </c>
      <c r="P1960" t="s">
        <v>5867</v>
      </c>
    </row>
    <row r="1961" spans="1:16" x14ac:dyDescent="0.3">
      <c r="A1961" t="s">
        <v>803</v>
      </c>
      <c r="C1961">
        <v>30</v>
      </c>
      <c r="D1961" t="s">
        <v>10</v>
      </c>
      <c r="E1961" t="s">
        <v>5</v>
      </c>
      <c r="F1961" s="43">
        <v>44886.291666666664</v>
      </c>
      <c r="G1961" s="43">
        <v>44886.3125</v>
      </c>
      <c r="H1961">
        <v>7</v>
      </c>
      <c r="I1961">
        <v>0</v>
      </c>
      <c r="J1961">
        <v>7</v>
      </c>
      <c r="K1961">
        <v>30</v>
      </c>
      <c r="L1961">
        <v>2022</v>
      </c>
      <c r="N1961" t="s">
        <v>1399</v>
      </c>
      <c r="O1961" t="s">
        <v>1241</v>
      </c>
      <c r="P1961" t="s">
        <v>5941</v>
      </c>
    </row>
    <row r="1962" spans="1:16" x14ac:dyDescent="0.3">
      <c r="A1962" t="s">
        <v>5938</v>
      </c>
      <c r="C1962">
        <v>60</v>
      </c>
      <c r="D1962" t="s">
        <v>10</v>
      </c>
      <c r="F1962" s="43">
        <v>44886.25</v>
      </c>
      <c r="G1962" s="43">
        <v>44886.291666666664</v>
      </c>
      <c r="H1962">
        <v>6</v>
      </c>
      <c r="I1962">
        <v>0</v>
      </c>
      <c r="J1962">
        <v>7</v>
      </c>
      <c r="K1962">
        <v>0</v>
      </c>
      <c r="L1962">
        <v>2022</v>
      </c>
      <c r="N1962" t="s">
        <v>47</v>
      </c>
      <c r="O1962" t="s">
        <v>47</v>
      </c>
      <c r="P1962" t="s">
        <v>5939</v>
      </c>
    </row>
    <row r="1963" spans="1:16" x14ac:dyDescent="0.3">
      <c r="A1963" t="s">
        <v>1222</v>
      </c>
      <c r="C1963">
        <v>30</v>
      </c>
      <c r="D1963" t="s">
        <v>10</v>
      </c>
      <c r="F1963" s="43">
        <v>44886.229166666664</v>
      </c>
      <c r="G1963" s="43">
        <v>44886.25</v>
      </c>
      <c r="H1963">
        <v>5</v>
      </c>
      <c r="I1963">
        <v>30</v>
      </c>
      <c r="J1963">
        <v>6</v>
      </c>
      <c r="K1963">
        <v>0</v>
      </c>
      <c r="L1963">
        <v>2022</v>
      </c>
      <c r="N1963" t="s">
        <v>47</v>
      </c>
      <c r="O1963" t="s">
        <v>47</v>
      </c>
      <c r="P1963" t="s">
        <v>5940</v>
      </c>
    </row>
    <row r="1964" spans="1:16" x14ac:dyDescent="0.3">
      <c r="A1964" t="s">
        <v>5917</v>
      </c>
      <c r="C1964">
        <v>60</v>
      </c>
      <c r="D1964" t="s">
        <v>10</v>
      </c>
      <c r="F1964" s="43">
        <v>44885.770833333336</v>
      </c>
      <c r="G1964" s="43">
        <v>44885.8125</v>
      </c>
      <c r="H1964">
        <v>18</v>
      </c>
      <c r="I1964">
        <v>30</v>
      </c>
      <c r="J1964">
        <v>19</v>
      </c>
      <c r="K1964">
        <v>30</v>
      </c>
      <c r="L1964">
        <v>2022</v>
      </c>
      <c r="N1964" t="s">
        <v>47</v>
      </c>
      <c r="O1964" t="s">
        <v>47</v>
      </c>
      <c r="P1964" t="s">
        <v>5942</v>
      </c>
    </row>
    <row r="1965" spans="1:16" x14ac:dyDescent="0.3">
      <c r="A1965" t="s">
        <v>5917</v>
      </c>
      <c r="C1965">
        <v>45</v>
      </c>
      <c r="D1965" t="s">
        <v>10</v>
      </c>
      <c r="F1965" s="43">
        <v>44885.715277777781</v>
      </c>
      <c r="G1965" s="43">
        <v>44885.746527777781</v>
      </c>
      <c r="H1965">
        <v>17</v>
      </c>
      <c r="I1965">
        <v>10</v>
      </c>
      <c r="J1965">
        <v>17</v>
      </c>
      <c r="K1965">
        <v>55</v>
      </c>
      <c r="L1965">
        <v>2022</v>
      </c>
      <c r="N1965" t="s">
        <v>47</v>
      </c>
      <c r="O1965" t="s">
        <v>47</v>
      </c>
      <c r="P1965" t="s">
        <v>5943</v>
      </c>
    </row>
    <row r="1966" spans="1:16" x14ac:dyDescent="0.3">
      <c r="A1966" t="s">
        <v>5944</v>
      </c>
      <c r="C1966">
        <v>45</v>
      </c>
      <c r="D1966" t="s">
        <v>10</v>
      </c>
      <c r="F1966" s="43">
        <v>44885.666666666664</v>
      </c>
      <c r="G1966" s="43">
        <v>44885.697916666664</v>
      </c>
      <c r="H1966">
        <v>16</v>
      </c>
      <c r="I1966">
        <v>0</v>
      </c>
      <c r="J1966">
        <v>16</v>
      </c>
      <c r="K1966">
        <v>45</v>
      </c>
      <c r="L1966">
        <v>2022</v>
      </c>
      <c r="N1966" t="s">
        <v>47</v>
      </c>
      <c r="O1966" t="s">
        <v>47</v>
      </c>
      <c r="P1966" t="s">
        <v>5945</v>
      </c>
    </row>
    <row r="1967" spans="1:16" x14ac:dyDescent="0.3">
      <c r="A1967" t="s">
        <v>5946</v>
      </c>
      <c r="C1967">
        <v>60</v>
      </c>
      <c r="D1967" t="s">
        <v>10</v>
      </c>
      <c r="F1967" s="43">
        <v>44885.583333333336</v>
      </c>
      <c r="G1967" s="43">
        <v>44885.625</v>
      </c>
      <c r="H1967">
        <v>14</v>
      </c>
      <c r="I1967">
        <v>0</v>
      </c>
      <c r="J1967">
        <v>15</v>
      </c>
      <c r="K1967">
        <v>0</v>
      </c>
      <c r="L1967">
        <v>2022</v>
      </c>
      <c r="N1967" t="s">
        <v>47</v>
      </c>
      <c r="O1967" t="s">
        <v>47</v>
      </c>
      <c r="P1967" t="s">
        <v>5947</v>
      </c>
    </row>
    <row r="1968" spans="1:16" x14ac:dyDescent="0.3">
      <c r="A1968" t="s">
        <v>5948</v>
      </c>
      <c r="C1968">
        <v>30</v>
      </c>
      <c r="D1968" t="s">
        <v>10</v>
      </c>
      <c r="F1968" s="43">
        <v>44885.5</v>
      </c>
      <c r="G1968" s="43">
        <v>44885.520833333336</v>
      </c>
      <c r="H1968">
        <v>12</v>
      </c>
      <c r="I1968">
        <v>0</v>
      </c>
      <c r="J1968">
        <v>12</v>
      </c>
      <c r="K1968">
        <v>30</v>
      </c>
      <c r="L1968">
        <v>2022</v>
      </c>
      <c r="N1968" t="s">
        <v>47</v>
      </c>
      <c r="O1968" t="s">
        <v>47</v>
      </c>
      <c r="P1968" t="s">
        <v>5949</v>
      </c>
    </row>
    <row r="1969" spans="1:16" x14ac:dyDescent="0.3">
      <c r="A1969" t="s">
        <v>5950</v>
      </c>
      <c r="C1969">
        <v>30</v>
      </c>
      <c r="D1969" t="s">
        <v>10</v>
      </c>
      <c r="F1969" s="43">
        <v>44885.364583333336</v>
      </c>
      <c r="G1969" s="43">
        <v>44885.385416666664</v>
      </c>
      <c r="H1969">
        <v>8</v>
      </c>
      <c r="I1969">
        <v>45</v>
      </c>
      <c r="J1969">
        <v>9</v>
      </c>
      <c r="K1969">
        <v>15</v>
      </c>
      <c r="L1969">
        <v>2022</v>
      </c>
      <c r="N1969" t="s">
        <v>47</v>
      </c>
      <c r="O1969" t="s">
        <v>47</v>
      </c>
      <c r="P1969" t="s">
        <v>5951</v>
      </c>
    </row>
    <row r="1970" spans="1:16" x14ac:dyDescent="0.3">
      <c r="A1970" t="s">
        <v>5952</v>
      </c>
      <c r="C1970">
        <v>30</v>
      </c>
      <c r="D1970" t="s">
        <v>10</v>
      </c>
      <c r="F1970" s="43">
        <v>44885.25</v>
      </c>
      <c r="G1970" s="43">
        <v>44885.270833333336</v>
      </c>
      <c r="H1970">
        <v>6</v>
      </c>
      <c r="I1970">
        <v>0</v>
      </c>
      <c r="J1970">
        <v>6</v>
      </c>
      <c r="K1970">
        <v>30</v>
      </c>
      <c r="L1970">
        <v>2022</v>
      </c>
      <c r="N1970" t="s">
        <v>47</v>
      </c>
      <c r="O1970" t="s">
        <v>47</v>
      </c>
      <c r="P1970" t="s">
        <v>5953</v>
      </c>
    </row>
    <row r="1971" spans="1:16" x14ac:dyDescent="0.3">
      <c r="A1971" t="s">
        <v>5950</v>
      </c>
      <c r="C1971">
        <v>30</v>
      </c>
      <c r="D1971" t="s">
        <v>10</v>
      </c>
      <c r="F1971" s="43">
        <v>44885.229166666664</v>
      </c>
      <c r="G1971" s="43">
        <v>44885.25</v>
      </c>
      <c r="H1971">
        <v>5</v>
      </c>
      <c r="I1971">
        <v>30</v>
      </c>
      <c r="J1971">
        <v>6</v>
      </c>
      <c r="K1971">
        <v>0</v>
      </c>
      <c r="L1971">
        <v>2022</v>
      </c>
      <c r="N1971" t="s">
        <v>47</v>
      </c>
      <c r="O1971" t="s">
        <v>47</v>
      </c>
      <c r="P1971" t="s">
        <v>5954</v>
      </c>
    </row>
    <row r="1972" spans="1:16" x14ac:dyDescent="0.3">
      <c r="A1972" t="s">
        <v>5875</v>
      </c>
      <c r="C1972">
        <v>60</v>
      </c>
      <c r="D1972" t="s">
        <v>10</v>
      </c>
      <c r="F1972" s="43">
        <v>44884.743055555555</v>
      </c>
      <c r="G1972" s="43">
        <v>44884.784722222219</v>
      </c>
      <c r="H1972">
        <v>17</v>
      </c>
      <c r="I1972">
        <v>50</v>
      </c>
      <c r="J1972">
        <v>18</v>
      </c>
      <c r="K1972">
        <v>50</v>
      </c>
      <c r="L1972">
        <v>2022</v>
      </c>
      <c r="N1972" t="s">
        <v>47</v>
      </c>
      <c r="O1972" t="s">
        <v>47</v>
      </c>
      <c r="P1972" t="s">
        <v>5955</v>
      </c>
    </row>
    <row r="1973" spans="1:16" x14ac:dyDescent="0.3">
      <c r="A1973" t="s">
        <v>5875</v>
      </c>
      <c r="C1973">
        <v>50</v>
      </c>
      <c r="D1973" t="s">
        <v>10</v>
      </c>
      <c r="F1973" s="43">
        <v>44884.645833333336</v>
      </c>
      <c r="G1973" s="43">
        <v>44884.680555555555</v>
      </c>
      <c r="H1973">
        <v>15</v>
      </c>
      <c r="I1973">
        <v>30</v>
      </c>
      <c r="J1973">
        <v>16</v>
      </c>
      <c r="K1973">
        <v>20</v>
      </c>
      <c r="L1973">
        <v>2022</v>
      </c>
      <c r="N1973" t="s">
        <v>47</v>
      </c>
      <c r="O1973" t="s">
        <v>47</v>
      </c>
      <c r="P1973" t="s">
        <v>5956</v>
      </c>
    </row>
    <row r="1974" spans="1:16" x14ac:dyDescent="0.3">
      <c r="A1974" t="s">
        <v>5875</v>
      </c>
      <c r="C1974">
        <v>30</v>
      </c>
      <c r="D1974" t="s">
        <v>10</v>
      </c>
      <c r="F1974" s="43">
        <v>44884.5625</v>
      </c>
      <c r="G1974" s="43">
        <v>44884.583333333336</v>
      </c>
      <c r="H1974">
        <v>13</v>
      </c>
      <c r="I1974">
        <v>30</v>
      </c>
      <c r="J1974">
        <v>14</v>
      </c>
      <c r="K1974">
        <v>0</v>
      </c>
      <c r="L1974">
        <v>2022</v>
      </c>
      <c r="N1974" t="s">
        <v>47</v>
      </c>
      <c r="O1974" t="s">
        <v>47</v>
      </c>
      <c r="P1974" t="s">
        <v>5911</v>
      </c>
    </row>
    <row r="1975" spans="1:16" x14ac:dyDescent="0.3">
      <c r="A1975" t="s">
        <v>5875</v>
      </c>
      <c r="C1975">
        <v>30</v>
      </c>
      <c r="D1975" t="s">
        <v>10</v>
      </c>
      <c r="F1975" s="43">
        <v>44884.489583333336</v>
      </c>
      <c r="G1975" s="43">
        <v>44884.510416666664</v>
      </c>
      <c r="H1975">
        <v>11</v>
      </c>
      <c r="I1975">
        <v>45</v>
      </c>
      <c r="J1975">
        <v>12</v>
      </c>
      <c r="K1975">
        <v>15</v>
      </c>
      <c r="L1975">
        <v>2022</v>
      </c>
      <c r="N1975" t="s">
        <v>47</v>
      </c>
      <c r="O1975" t="s">
        <v>47</v>
      </c>
      <c r="P1975" t="s">
        <v>5876</v>
      </c>
    </row>
    <row r="1976" spans="1:16" x14ac:dyDescent="0.3">
      <c r="A1976" t="s">
        <v>5877</v>
      </c>
      <c r="C1976">
        <v>60</v>
      </c>
      <c r="D1976" t="s">
        <v>10</v>
      </c>
      <c r="F1976" s="43">
        <v>44884.208333333336</v>
      </c>
      <c r="G1976" s="43">
        <v>44884.25</v>
      </c>
      <c r="H1976">
        <v>5</v>
      </c>
      <c r="I1976">
        <v>0</v>
      </c>
      <c r="J1976">
        <v>6</v>
      </c>
      <c r="K1976">
        <v>0</v>
      </c>
      <c r="L1976">
        <v>2022</v>
      </c>
      <c r="N1976" t="s">
        <v>47</v>
      </c>
      <c r="O1976" t="s">
        <v>47</v>
      </c>
      <c r="P1976" t="s">
        <v>5878</v>
      </c>
    </row>
    <row r="1977" spans="1:16" x14ac:dyDescent="0.3">
      <c r="A1977" t="s">
        <v>5895</v>
      </c>
      <c r="C1977">
        <v>30</v>
      </c>
      <c r="D1977" t="s">
        <v>10</v>
      </c>
      <c r="F1977" s="43">
        <v>44883.708333333336</v>
      </c>
      <c r="G1977" s="43">
        <v>44883.729166666664</v>
      </c>
      <c r="H1977">
        <v>17</v>
      </c>
      <c r="I1977">
        <v>0</v>
      </c>
      <c r="J1977">
        <v>17</v>
      </c>
      <c r="K1977">
        <v>30</v>
      </c>
      <c r="L1977">
        <v>2022</v>
      </c>
      <c r="N1977" t="s">
        <v>4365</v>
      </c>
      <c r="O1977" t="s">
        <v>783</v>
      </c>
      <c r="P1977" t="s">
        <v>5896</v>
      </c>
    </row>
    <row r="1978" spans="1:16" x14ac:dyDescent="0.3">
      <c r="A1978" t="s">
        <v>5886</v>
      </c>
      <c r="C1978">
        <v>30</v>
      </c>
      <c r="D1978" t="s">
        <v>10</v>
      </c>
      <c r="F1978" s="43">
        <v>44883.6875</v>
      </c>
      <c r="G1978" s="43">
        <v>44883.708333333336</v>
      </c>
      <c r="H1978">
        <v>16</v>
      </c>
      <c r="I1978">
        <v>30</v>
      </c>
      <c r="J1978">
        <v>17</v>
      </c>
      <c r="K1978">
        <v>0</v>
      </c>
      <c r="L1978">
        <v>2022</v>
      </c>
      <c r="N1978" t="s">
        <v>47</v>
      </c>
      <c r="O1978" t="s">
        <v>47</v>
      </c>
      <c r="P1978" t="s">
        <v>5887</v>
      </c>
    </row>
    <row r="1979" spans="1:16" x14ac:dyDescent="0.3">
      <c r="A1979" t="s">
        <v>7</v>
      </c>
      <c r="C1979">
        <v>30</v>
      </c>
      <c r="D1979" t="s">
        <v>10</v>
      </c>
      <c r="F1979" s="43">
        <v>44883.666666666664</v>
      </c>
      <c r="G1979" s="43">
        <v>44883.6875</v>
      </c>
      <c r="H1979">
        <v>16</v>
      </c>
      <c r="I1979">
        <v>0</v>
      </c>
      <c r="J1979">
        <v>16</v>
      </c>
      <c r="K1979">
        <v>30</v>
      </c>
      <c r="L1979">
        <v>2022</v>
      </c>
      <c r="N1979" t="s">
        <v>47</v>
      </c>
      <c r="O1979" t="s">
        <v>47</v>
      </c>
      <c r="P1979" t="s">
        <v>5888</v>
      </c>
    </row>
    <row r="1980" spans="1:16" x14ac:dyDescent="0.3">
      <c r="A1980" t="s">
        <v>5889</v>
      </c>
      <c r="C1980">
        <v>45</v>
      </c>
      <c r="D1980" t="s">
        <v>10</v>
      </c>
      <c r="F1980" s="43">
        <v>44883.625</v>
      </c>
      <c r="G1980" s="43">
        <v>44883.65625</v>
      </c>
      <c r="H1980">
        <v>15</v>
      </c>
      <c r="I1980">
        <v>0</v>
      </c>
      <c r="J1980">
        <v>15</v>
      </c>
      <c r="K1980">
        <v>45</v>
      </c>
      <c r="L1980">
        <v>2022</v>
      </c>
      <c r="N1980" t="s">
        <v>47</v>
      </c>
      <c r="O1980" t="s">
        <v>47</v>
      </c>
      <c r="P1980" t="s">
        <v>5890</v>
      </c>
    </row>
    <row r="1981" spans="1:16" x14ac:dyDescent="0.3">
      <c r="A1981" t="s">
        <v>5753</v>
      </c>
      <c r="B1981" t="s">
        <v>20</v>
      </c>
      <c r="C1981">
        <v>30</v>
      </c>
      <c r="D1981" t="s">
        <v>10</v>
      </c>
      <c r="E1981" t="s">
        <v>5754</v>
      </c>
      <c r="F1981" s="43">
        <v>44883.5625</v>
      </c>
      <c r="G1981" s="43">
        <v>44883.583333333336</v>
      </c>
      <c r="H1981">
        <v>13</v>
      </c>
      <c r="I1981">
        <v>30</v>
      </c>
      <c r="J1981">
        <v>14</v>
      </c>
      <c r="K1981">
        <v>0</v>
      </c>
      <c r="L1981">
        <v>2022</v>
      </c>
      <c r="N1981" t="s">
        <v>5755</v>
      </c>
      <c r="O1981" t="s">
        <v>5756</v>
      </c>
      <c r="P1981" t="s">
        <v>5757</v>
      </c>
    </row>
    <row r="1982" spans="1:16" x14ac:dyDescent="0.3">
      <c r="A1982" t="s">
        <v>5891</v>
      </c>
      <c r="C1982">
        <v>30</v>
      </c>
      <c r="D1982" t="s">
        <v>10</v>
      </c>
      <c r="E1982" t="s">
        <v>5892</v>
      </c>
      <c r="F1982" s="43">
        <v>44883.520833333336</v>
      </c>
      <c r="G1982" s="43">
        <v>44883.541666666664</v>
      </c>
      <c r="H1982">
        <v>12</v>
      </c>
      <c r="I1982">
        <v>30</v>
      </c>
      <c r="J1982">
        <v>13</v>
      </c>
      <c r="K1982">
        <v>0</v>
      </c>
      <c r="L1982">
        <v>2022</v>
      </c>
      <c r="N1982" t="s">
        <v>5893</v>
      </c>
      <c r="O1982" t="s">
        <v>48</v>
      </c>
      <c r="P1982" t="s">
        <v>5894</v>
      </c>
    </row>
    <row r="1983" spans="1:16" x14ac:dyDescent="0.3">
      <c r="A1983" t="s">
        <v>5741</v>
      </c>
      <c r="B1983" t="s">
        <v>5742</v>
      </c>
      <c r="C1983">
        <v>25</v>
      </c>
      <c r="D1983" t="s">
        <v>10</v>
      </c>
      <c r="E1983" t="s">
        <v>5743</v>
      </c>
      <c r="F1983" s="43">
        <v>44883.458333333336</v>
      </c>
      <c r="G1983" s="43">
        <v>44883.475694444445</v>
      </c>
      <c r="H1983">
        <v>11</v>
      </c>
      <c r="I1983">
        <v>0</v>
      </c>
      <c r="J1983">
        <v>11</v>
      </c>
      <c r="K1983">
        <v>25</v>
      </c>
      <c r="L1983">
        <v>2022</v>
      </c>
      <c r="N1983" t="s">
        <v>5744</v>
      </c>
      <c r="O1983" t="s">
        <v>5745</v>
      </c>
      <c r="P1983" t="s">
        <v>5746</v>
      </c>
    </row>
    <row r="1984" spans="1:16" x14ac:dyDescent="0.3">
      <c r="A1984" t="s">
        <v>5897</v>
      </c>
      <c r="C1984">
        <v>15</v>
      </c>
      <c r="D1984" t="s">
        <v>10</v>
      </c>
      <c r="F1984" s="43">
        <v>44883.3125</v>
      </c>
      <c r="G1984" s="43">
        <v>44883.322916666664</v>
      </c>
      <c r="H1984">
        <v>7</v>
      </c>
      <c r="I1984">
        <v>30</v>
      </c>
      <c r="J1984">
        <v>7</v>
      </c>
      <c r="K1984">
        <v>45</v>
      </c>
      <c r="L1984">
        <v>2022</v>
      </c>
      <c r="N1984" t="s">
        <v>47</v>
      </c>
      <c r="O1984" t="s">
        <v>47</v>
      </c>
      <c r="P1984" t="s">
        <v>5898</v>
      </c>
    </row>
    <row r="1985" spans="1:16" x14ac:dyDescent="0.3">
      <c r="A1985" t="s">
        <v>5779</v>
      </c>
      <c r="B1985" t="s">
        <v>20</v>
      </c>
      <c r="C1985">
        <v>30</v>
      </c>
      <c r="D1985" t="s">
        <v>10</v>
      </c>
      <c r="E1985" t="s">
        <v>5780</v>
      </c>
      <c r="F1985" s="43">
        <v>44883.291666666664</v>
      </c>
      <c r="G1985" s="43">
        <v>44883.3125</v>
      </c>
      <c r="H1985">
        <v>7</v>
      </c>
      <c r="I1985">
        <v>0</v>
      </c>
      <c r="J1985">
        <v>7</v>
      </c>
      <c r="K1985">
        <v>30</v>
      </c>
      <c r="L1985">
        <v>2022</v>
      </c>
      <c r="N1985" t="s">
        <v>5781</v>
      </c>
      <c r="O1985" t="s">
        <v>5782</v>
      </c>
      <c r="P1985" t="s">
        <v>5783</v>
      </c>
    </row>
    <row r="1986" spans="1:16" x14ac:dyDescent="0.3">
      <c r="A1986" t="s">
        <v>8</v>
      </c>
      <c r="C1986">
        <v>15</v>
      </c>
      <c r="D1986" t="s">
        <v>10</v>
      </c>
      <c r="F1986" s="43">
        <v>44883.270833333336</v>
      </c>
      <c r="G1986" s="43">
        <v>44883.28125</v>
      </c>
      <c r="H1986">
        <v>6</v>
      </c>
      <c r="I1986">
        <v>30</v>
      </c>
      <c r="J1986">
        <v>6</v>
      </c>
      <c r="K1986">
        <v>45</v>
      </c>
      <c r="L1986">
        <v>2022</v>
      </c>
      <c r="N1986" t="s">
        <v>47</v>
      </c>
      <c r="O1986" t="s">
        <v>47</v>
      </c>
      <c r="P1986" t="s">
        <v>5899</v>
      </c>
    </row>
    <row r="1987" spans="1:16" x14ac:dyDescent="0.3">
      <c r="A1987" t="s">
        <v>17</v>
      </c>
      <c r="C1987">
        <v>30</v>
      </c>
      <c r="D1987" t="s">
        <v>10</v>
      </c>
      <c r="F1987" s="43">
        <v>44883.25</v>
      </c>
      <c r="G1987" s="43">
        <v>44883.270833333336</v>
      </c>
      <c r="H1987">
        <v>6</v>
      </c>
      <c r="I1987">
        <v>0</v>
      </c>
      <c r="J1987">
        <v>6</v>
      </c>
      <c r="K1987">
        <v>30</v>
      </c>
      <c r="L1987">
        <v>2022</v>
      </c>
      <c r="N1987" t="s">
        <v>47</v>
      </c>
      <c r="O1987" t="s">
        <v>47</v>
      </c>
      <c r="P1987" t="s">
        <v>5900</v>
      </c>
    </row>
    <row r="1988" spans="1:16" x14ac:dyDescent="0.3">
      <c r="A1988" t="s">
        <v>5901</v>
      </c>
      <c r="C1988">
        <v>90</v>
      </c>
      <c r="D1988" t="s">
        <v>10</v>
      </c>
      <c r="F1988" s="43">
        <v>44883.1875</v>
      </c>
      <c r="G1988" s="43">
        <v>44883.25</v>
      </c>
      <c r="H1988">
        <v>4</v>
      </c>
      <c r="I1988">
        <v>30</v>
      </c>
      <c r="J1988">
        <v>6</v>
      </c>
      <c r="K1988">
        <v>0</v>
      </c>
      <c r="L1988">
        <v>2022</v>
      </c>
      <c r="N1988" t="s">
        <v>47</v>
      </c>
      <c r="O1988" t="s">
        <v>47</v>
      </c>
      <c r="P1988" t="s">
        <v>5902</v>
      </c>
    </row>
    <row r="1989" spans="1:16" x14ac:dyDescent="0.3">
      <c r="A1989" t="s">
        <v>5897</v>
      </c>
      <c r="C1989">
        <v>30</v>
      </c>
      <c r="D1989" t="s">
        <v>10</v>
      </c>
      <c r="F1989" s="43">
        <v>44882.739583333336</v>
      </c>
      <c r="G1989" s="43">
        <v>44882.760416666664</v>
      </c>
      <c r="H1989">
        <v>17</v>
      </c>
      <c r="I1989">
        <v>45</v>
      </c>
      <c r="J1989">
        <v>18</v>
      </c>
      <c r="K1989">
        <v>15</v>
      </c>
      <c r="L1989">
        <v>2022</v>
      </c>
      <c r="N1989" t="s">
        <v>47</v>
      </c>
      <c r="O1989" t="s">
        <v>47</v>
      </c>
      <c r="P1989" t="s">
        <v>5904</v>
      </c>
    </row>
    <row r="1990" spans="1:16" x14ac:dyDescent="0.3">
      <c r="A1990" t="s">
        <v>5897</v>
      </c>
      <c r="C1990">
        <v>75</v>
      </c>
      <c r="D1990" t="s">
        <v>10</v>
      </c>
      <c r="F1990" s="43">
        <v>44882.666666666664</v>
      </c>
      <c r="G1990" s="43">
        <v>44882.71875</v>
      </c>
      <c r="H1990">
        <v>16</v>
      </c>
      <c r="I1990">
        <v>0</v>
      </c>
      <c r="J1990">
        <v>17</v>
      </c>
      <c r="K1990">
        <v>15</v>
      </c>
      <c r="L1990">
        <v>2022</v>
      </c>
      <c r="N1990" t="s">
        <v>47</v>
      </c>
      <c r="O1990" t="s">
        <v>47</v>
      </c>
      <c r="P1990" t="s">
        <v>5905</v>
      </c>
    </row>
    <row r="1991" spans="1:16" x14ac:dyDescent="0.3">
      <c r="A1991" t="s">
        <v>5897</v>
      </c>
      <c r="C1991">
        <v>90</v>
      </c>
      <c r="D1991" t="s">
        <v>10</v>
      </c>
      <c r="F1991" s="43">
        <v>44882.583333333336</v>
      </c>
      <c r="G1991" s="43">
        <v>44882.645833333336</v>
      </c>
      <c r="H1991">
        <v>14</v>
      </c>
      <c r="I1991">
        <v>0</v>
      </c>
      <c r="J1991">
        <v>15</v>
      </c>
      <c r="K1991">
        <v>30</v>
      </c>
      <c r="L1991">
        <v>2022</v>
      </c>
      <c r="N1991" t="s">
        <v>47</v>
      </c>
      <c r="O1991" t="s">
        <v>47</v>
      </c>
      <c r="P1991" t="s">
        <v>5906</v>
      </c>
    </row>
    <row r="1992" spans="1:16" x14ac:dyDescent="0.3">
      <c r="A1992" t="s">
        <v>4452</v>
      </c>
      <c r="C1992">
        <v>45</v>
      </c>
      <c r="D1992" t="s">
        <v>10</v>
      </c>
      <c r="F1992" s="43">
        <v>44882.53125</v>
      </c>
      <c r="G1992" s="43">
        <v>44882.5625</v>
      </c>
      <c r="H1992">
        <v>12</v>
      </c>
      <c r="I1992">
        <v>45</v>
      </c>
      <c r="J1992">
        <v>13</v>
      </c>
      <c r="K1992">
        <v>30</v>
      </c>
      <c r="L1992">
        <v>2022</v>
      </c>
      <c r="N1992" t="s">
        <v>47</v>
      </c>
      <c r="O1992" t="s">
        <v>47</v>
      </c>
      <c r="P1992" t="s">
        <v>5853</v>
      </c>
    </row>
    <row r="1993" spans="1:16" x14ac:dyDescent="0.3">
      <c r="A1993" t="s">
        <v>1286</v>
      </c>
      <c r="B1993" t="s">
        <v>20</v>
      </c>
      <c r="C1993">
        <v>90</v>
      </c>
      <c r="D1993" t="s">
        <v>10</v>
      </c>
      <c r="E1993" t="s">
        <v>5335</v>
      </c>
      <c r="F1993" s="43">
        <v>44882.416666666664</v>
      </c>
      <c r="G1993" s="43">
        <v>44882.479166666664</v>
      </c>
      <c r="H1993">
        <v>10</v>
      </c>
      <c r="I1993">
        <v>0</v>
      </c>
      <c r="J1993">
        <v>11</v>
      </c>
      <c r="K1993">
        <v>30</v>
      </c>
      <c r="L1993">
        <v>2022</v>
      </c>
      <c r="N1993" t="s">
        <v>5336</v>
      </c>
      <c r="O1993" t="s">
        <v>1289</v>
      </c>
      <c r="P1993" t="s">
        <v>5337</v>
      </c>
    </row>
    <row r="1994" spans="1:16" x14ac:dyDescent="0.3">
      <c r="A1994" t="s">
        <v>2312</v>
      </c>
      <c r="C1994">
        <v>30</v>
      </c>
      <c r="D1994" t="s">
        <v>10</v>
      </c>
      <c r="F1994" s="43">
        <v>44882.395833333336</v>
      </c>
      <c r="G1994" s="43">
        <v>44882.416666666664</v>
      </c>
      <c r="H1994">
        <v>9</v>
      </c>
      <c r="I1994">
        <v>30</v>
      </c>
      <c r="J1994">
        <v>10</v>
      </c>
      <c r="K1994">
        <v>0</v>
      </c>
      <c r="L1994">
        <v>2022</v>
      </c>
      <c r="N1994" t="s">
        <v>47</v>
      </c>
      <c r="O1994" t="s">
        <v>47</v>
      </c>
      <c r="P1994" t="s">
        <v>5903</v>
      </c>
    </row>
    <row r="1995" spans="1:16" x14ac:dyDescent="0.3">
      <c r="A1995" t="s">
        <v>5854</v>
      </c>
      <c r="C1995">
        <v>20</v>
      </c>
      <c r="D1995" t="s">
        <v>10</v>
      </c>
      <c r="F1995" s="43">
        <v>44882.368055555555</v>
      </c>
      <c r="G1995" s="43">
        <v>44882.381944444445</v>
      </c>
      <c r="H1995">
        <v>8</v>
      </c>
      <c r="I1995">
        <v>50</v>
      </c>
      <c r="J1995">
        <v>9</v>
      </c>
      <c r="K1995">
        <v>10</v>
      </c>
      <c r="L1995">
        <v>2022</v>
      </c>
      <c r="N1995" t="s">
        <v>47</v>
      </c>
      <c r="O1995" t="s">
        <v>47</v>
      </c>
      <c r="P1995" t="s">
        <v>5855</v>
      </c>
    </row>
    <row r="1996" spans="1:16" x14ac:dyDescent="0.3">
      <c r="A1996" t="s">
        <v>1394</v>
      </c>
      <c r="C1996">
        <v>30</v>
      </c>
      <c r="D1996" t="s">
        <v>10</v>
      </c>
      <c r="F1996" s="43">
        <v>44882.333333333336</v>
      </c>
      <c r="G1996" s="43">
        <v>44882.354166666664</v>
      </c>
      <c r="H1996">
        <v>8</v>
      </c>
      <c r="I1996">
        <v>0</v>
      </c>
      <c r="J1996">
        <v>8</v>
      </c>
      <c r="K1996">
        <v>30</v>
      </c>
      <c r="L1996">
        <v>2022</v>
      </c>
      <c r="N1996" t="s">
        <v>47</v>
      </c>
      <c r="O1996" t="s">
        <v>47</v>
      </c>
      <c r="P1996" t="s">
        <v>5856</v>
      </c>
    </row>
    <row r="1997" spans="1:16" x14ac:dyDescent="0.3">
      <c r="A1997" t="s">
        <v>4342</v>
      </c>
      <c r="C1997">
        <v>15</v>
      </c>
      <c r="D1997" t="s">
        <v>10</v>
      </c>
      <c r="F1997" s="43">
        <v>44882.260416666664</v>
      </c>
      <c r="G1997" s="43">
        <v>44882.270833333336</v>
      </c>
      <c r="H1997">
        <v>6</v>
      </c>
      <c r="I1997">
        <v>15</v>
      </c>
      <c r="J1997">
        <v>6</v>
      </c>
      <c r="K1997">
        <v>30</v>
      </c>
      <c r="L1997">
        <v>2022</v>
      </c>
      <c r="N1997" t="s">
        <v>47</v>
      </c>
      <c r="O1997" t="s">
        <v>47</v>
      </c>
      <c r="P1997" t="s">
        <v>5861</v>
      </c>
    </row>
    <row r="1998" spans="1:16" x14ac:dyDescent="0.3">
      <c r="A1998" t="s">
        <v>1222</v>
      </c>
      <c r="C1998">
        <v>30</v>
      </c>
      <c r="D1998" t="s">
        <v>10</v>
      </c>
      <c r="F1998" s="43">
        <v>44882.239583333336</v>
      </c>
      <c r="G1998" s="43">
        <v>44882.260416666664</v>
      </c>
      <c r="H1998">
        <v>5</v>
      </c>
      <c r="I1998">
        <v>45</v>
      </c>
      <c r="J1998">
        <v>6</v>
      </c>
      <c r="K1998">
        <v>15</v>
      </c>
      <c r="L1998">
        <v>2022</v>
      </c>
      <c r="N1998" t="s">
        <v>47</v>
      </c>
      <c r="O1998" t="s">
        <v>47</v>
      </c>
      <c r="P1998" t="s">
        <v>5862</v>
      </c>
    </row>
    <row r="1999" spans="1:16" x14ac:dyDescent="0.3">
      <c r="A1999" t="s">
        <v>3313</v>
      </c>
      <c r="C1999">
        <v>45</v>
      </c>
      <c r="D1999" t="s">
        <v>10</v>
      </c>
      <c r="F1999" s="43">
        <v>44882.208333333336</v>
      </c>
      <c r="G1999" s="43">
        <v>44882.239583333336</v>
      </c>
      <c r="H1999">
        <v>5</v>
      </c>
      <c r="I1999">
        <v>0</v>
      </c>
      <c r="J1999">
        <v>5</v>
      </c>
      <c r="K1999">
        <v>45</v>
      </c>
      <c r="L1999">
        <v>2022</v>
      </c>
      <c r="N1999" t="s">
        <v>47</v>
      </c>
      <c r="O1999" t="s">
        <v>47</v>
      </c>
      <c r="P1999" t="s">
        <v>5863</v>
      </c>
    </row>
    <row r="2000" spans="1:16" x14ac:dyDescent="0.3">
      <c r="A2000" t="s">
        <v>8</v>
      </c>
      <c r="C2000">
        <v>30</v>
      </c>
      <c r="D2000" t="s">
        <v>10</v>
      </c>
      <c r="F2000" s="43">
        <v>44881.770833333336</v>
      </c>
      <c r="G2000" s="43">
        <v>44881.791666666664</v>
      </c>
      <c r="H2000">
        <v>18</v>
      </c>
      <c r="I2000">
        <v>30</v>
      </c>
      <c r="J2000">
        <v>19</v>
      </c>
      <c r="K2000">
        <v>0</v>
      </c>
      <c r="L2000">
        <v>2022</v>
      </c>
      <c r="N2000" t="s">
        <v>47</v>
      </c>
      <c r="O2000" t="s">
        <v>47</v>
      </c>
      <c r="P2000" t="s">
        <v>5868</v>
      </c>
    </row>
    <row r="2001" spans="1:16" x14ac:dyDescent="0.3">
      <c r="A2001" t="s">
        <v>903</v>
      </c>
      <c r="C2001">
        <v>30</v>
      </c>
      <c r="D2001" t="s">
        <v>10</v>
      </c>
      <c r="F2001" s="43">
        <v>44881.71875</v>
      </c>
      <c r="G2001" s="43">
        <v>44881.739583333336</v>
      </c>
      <c r="H2001">
        <v>17</v>
      </c>
      <c r="I2001">
        <v>15</v>
      </c>
      <c r="J2001">
        <v>17</v>
      </c>
      <c r="K2001">
        <v>45</v>
      </c>
      <c r="L2001">
        <v>2022</v>
      </c>
      <c r="N2001" t="s">
        <v>47</v>
      </c>
      <c r="O2001" t="s">
        <v>47</v>
      </c>
      <c r="P2001" t="s">
        <v>5869</v>
      </c>
    </row>
    <row r="2002" spans="1:16" x14ac:dyDescent="0.3">
      <c r="A2002" t="s">
        <v>5870</v>
      </c>
      <c r="C2002">
        <v>60</v>
      </c>
      <c r="D2002" t="s">
        <v>10</v>
      </c>
      <c r="F2002" s="43">
        <v>44881.65625</v>
      </c>
      <c r="G2002" s="43">
        <v>44881.697916666664</v>
      </c>
      <c r="H2002">
        <v>15</v>
      </c>
      <c r="I2002">
        <v>45</v>
      </c>
      <c r="J2002">
        <v>16</v>
      </c>
      <c r="K2002">
        <v>45</v>
      </c>
      <c r="L2002">
        <v>2022</v>
      </c>
      <c r="N2002" t="s">
        <v>47</v>
      </c>
      <c r="O2002" t="s">
        <v>47</v>
      </c>
      <c r="P2002" t="s">
        <v>5871</v>
      </c>
    </row>
    <row r="2003" spans="1:16" x14ac:dyDescent="0.3">
      <c r="A2003" t="s">
        <v>5872</v>
      </c>
      <c r="C2003">
        <v>30</v>
      </c>
      <c r="D2003" t="s">
        <v>10</v>
      </c>
      <c r="F2003" s="43">
        <v>44881.625</v>
      </c>
      <c r="G2003" s="43">
        <v>44881.645833333336</v>
      </c>
      <c r="H2003">
        <v>15</v>
      </c>
      <c r="I2003">
        <v>0</v>
      </c>
      <c r="J2003">
        <v>15</v>
      </c>
      <c r="K2003">
        <v>30</v>
      </c>
      <c r="L2003">
        <v>2022</v>
      </c>
      <c r="N2003" t="s">
        <v>47</v>
      </c>
      <c r="O2003" t="s">
        <v>47</v>
      </c>
      <c r="P2003" t="s">
        <v>5873</v>
      </c>
    </row>
    <row r="2004" spans="1:16" x14ac:dyDescent="0.3">
      <c r="A2004" t="s">
        <v>7</v>
      </c>
      <c r="C2004">
        <v>30</v>
      </c>
      <c r="D2004" t="s">
        <v>10</v>
      </c>
      <c r="F2004" s="43">
        <v>44881.604166666664</v>
      </c>
      <c r="G2004" s="43">
        <v>44881.625</v>
      </c>
      <c r="H2004">
        <v>14</v>
      </c>
      <c r="I2004">
        <v>30</v>
      </c>
      <c r="J2004">
        <v>15</v>
      </c>
      <c r="K2004">
        <v>0</v>
      </c>
      <c r="L2004">
        <v>2022</v>
      </c>
      <c r="N2004" t="s">
        <v>47</v>
      </c>
      <c r="O2004" t="s">
        <v>47</v>
      </c>
      <c r="P2004" t="s">
        <v>5874</v>
      </c>
    </row>
    <row r="2005" spans="1:16" x14ac:dyDescent="0.3">
      <c r="A2005" t="s">
        <v>5851</v>
      </c>
      <c r="C2005">
        <v>45</v>
      </c>
      <c r="D2005" t="s">
        <v>10</v>
      </c>
      <c r="F2005" s="43">
        <v>44881.572916666664</v>
      </c>
      <c r="G2005" s="43">
        <v>44881.604166666664</v>
      </c>
      <c r="H2005">
        <v>13</v>
      </c>
      <c r="I2005">
        <v>45</v>
      </c>
      <c r="J2005">
        <v>14</v>
      </c>
      <c r="K2005">
        <v>30</v>
      </c>
      <c r="L2005">
        <v>2022</v>
      </c>
      <c r="N2005" t="s">
        <v>47</v>
      </c>
      <c r="O2005" t="s">
        <v>47</v>
      </c>
      <c r="P2005" t="s">
        <v>5852</v>
      </c>
    </row>
    <row r="2006" spans="1:16" x14ac:dyDescent="0.3">
      <c r="A2006" t="s">
        <v>6</v>
      </c>
      <c r="C2006">
        <v>60</v>
      </c>
      <c r="D2006" t="s">
        <v>10</v>
      </c>
      <c r="F2006" s="43">
        <v>44881.5</v>
      </c>
      <c r="G2006" s="43">
        <v>44881.541666666664</v>
      </c>
      <c r="H2006">
        <v>12</v>
      </c>
      <c r="I2006">
        <v>0</v>
      </c>
      <c r="J2006">
        <v>13</v>
      </c>
      <c r="K2006">
        <v>0</v>
      </c>
      <c r="L2006">
        <v>2022</v>
      </c>
      <c r="N2006" t="s">
        <v>47</v>
      </c>
      <c r="O2006" t="s">
        <v>47</v>
      </c>
      <c r="P2006" t="s">
        <v>5843</v>
      </c>
    </row>
    <row r="2007" spans="1:16" x14ac:dyDescent="0.3">
      <c r="A2007" t="s">
        <v>5824</v>
      </c>
      <c r="B2007" t="s">
        <v>20</v>
      </c>
      <c r="C2007">
        <v>30</v>
      </c>
      <c r="D2007" t="s">
        <v>10</v>
      </c>
      <c r="E2007" t="s">
        <v>5825</v>
      </c>
      <c r="F2007" s="43">
        <v>44881.4375</v>
      </c>
      <c r="G2007" s="43">
        <v>44881.458333333336</v>
      </c>
      <c r="H2007">
        <v>10</v>
      </c>
      <c r="I2007">
        <v>30</v>
      </c>
      <c r="J2007">
        <v>11</v>
      </c>
      <c r="K2007">
        <v>0</v>
      </c>
      <c r="L2007">
        <v>2022</v>
      </c>
      <c r="N2007" t="s">
        <v>5826</v>
      </c>
      <c r="O2007" t="s">
        <v>48</v>
      </c>
      <c r="P2007" t="s">
        <v>5827</v>
      </c>
    </row>
    <row r="2008" spans="1:16" x14ac:dyDescent="0.3">
      <c r="A2008" t="s">
        <v>5801</v>
      </c>
      <c r="B2008" t="s">
        <v>20</v>
      </c>
      <c r="C2008">
        <v>40</v>
      </c>
      <c r="D2008" t="s">
        <v>10</v>
      </c>
      <c r="E2008" t="s">
        <v>5802</v>
      </c>
      <c r="F2008" s="43">
        <v>44881.395833333336</v>
      </c>
      <c r="G2008" s="43">
        <v>44881.423611111109</v>
      </c>
      <c r="H2008">
        <v>9</v>
      </c>
      <c r="I2008">
        <v>30</v>
      </c>
      <c r="J2008">
        <v>10</v>
      </c>
      <c r="K2008">
        <v>10</v>
      </c>
      <c r="L2008">
        <v>2022</v>
      </c>
      <c r="N2008" t="s">
        <v>5803</v>
      </c>
      <c r="O2008" t="s">
        <v>975</v>
      </c>
      <c r="P2008" t="s">
        <v>5804</v>
      </c>
    </row>
    <row r="2009" spans="1:16" x14ac:dyDescent="0.3">
      <c r="A2009" t="s">
        <v>8</v>
      </c>
      <c r="C2009">
        <v>60</v>
      </c>
      <c r="D2009" t="s">
        <v>10</v>
      </c>
      <c r="F2009" s="43">
        <v>44881.354166666664</v>
      </c>
      <c r="G2009" s="43">
        <v>44881.395833333336</v>
      </c>
      <c r="H2009">
        <v>8</v>
      </c>
      <c r="I2009">
        <v>30</v>
      </c>
      <c r="J2009">
        <v>9</v>
      </c>
      <c r="K2009">
        <v>30</v>
      </c>
      <c r="L2009">
        <v>2022</v>
      </c>
      <c r="N2009" t="s">
        <v>47</v>
      </c>
      <c r="O2009" t="s">
        <v>47</v>
      </c>
      <c r="P2009" t="s">
        <v>5847</v>
      </c>
    </row>
    <row r="2010" spans="1:16" x14ac:dyDescent="0.3">
      <c r="A2010" t="s">
        <v>8</v>
      </c>
      <c r="C2010">
        <v>90</v>
      </c>
      <c r="D2010" t="s">
        <v>10</v>
      </c>
      <c r="F2010" s="43">
        <v>44881.229166666664</v>
      </c>
      <c r="G2010" s="43">
        <v>44881.291666666664</v>
      </c>
      <c r="H2010">
        <v>5</v>
      </c>
      <c r="I2010">
        <v>30</v>
      </c>
      <c r="J2010">
        <v>7</v>
      </c>
      <c r="K2010">
        <v>0</v>
      </c>
      <c r="L2010">
        <v>2022</v>
      </c>
      <c r="N2010" t="s">
        <v>47</v>
      </c>
      <c r="O2010" t="s">
        <v>47</v>
      </c>
      <c r="P2010" t="s">
        <v>5848</v>
      </c>
    </row>
    <row r="2011" spans="1:16" x14ac:dyDescent="0.3">
      <c r="A2011" t="s">
        <v>2014</v>
      </c>
      <c r="C2011">
        <v>30</v>
      </c>
      <c r="D2011" t="s">
        <v>10</v>
      </c>
      <c r="F2011" s="43">
        <v>44881.114583333336</v>
      </c>
      <c r="G2011" s="43">
        <v>44881.135416666664</v>
      </c>
      <c r="H2011">
        <v>2</v>
      </c>
      <c r="I2011">
        <v>45</v>
      </c>
      <c r="J2011">
        <v>3</v>
      </c>
      <c r="K2011">
        <v>15</v>
      </c>
      <c r="L2011">
        <v>2022</v>
      </c>
      <c r="N2011" t="s">
        <v>47</v>
      </c>
      <c r="O2011" t="s">
        <v>47</v>
      </c>
      <c r="P2011" t="s">
        <v>5849</v>
      </c>
    </row>
    <row r="2012" spans="1:16" x14ac:dyDescent="0.3">
      <c r="A2012" t="s">
        <v>5834</v>
      </c>
      <c r="B2012" t="s">
        <v>109</v>
      </c>
      <c r="C2012">
        <v>60</v>
      </c>
      <c r="D2012" t="s">
        <v>10</v>
      </c>
      <c r="F2012" s="43">
        <v>44880.75</v>
      </c>
      <c r="G2012" s="43">
        <v>44880.791666666664</v>
      </c>
      <c r="H2012">
        <v>18</v>
      </c>
      <c r="I2012">
        <v>0</v>
      </c>
      <c r="J2012">
        <v>19</v>
      </c>
      <c r="K2012">
        <v>0</v>
      </c>
      <c r="L2012">
        <v>2022</v>
      </c>
      <c r="N2012" t="s">
        <v>47</v>
      </c>
      <c r="O2012" t="s">
        <v>47</v>
      </c>
      <c r="P2012" t="s">
        <v>5835</v>
      </c>
    </row>
    <row r="2013" spans="1:16" x14ac:dyDescent="0.3">
      <c r="A2013" t="s">
        <v>7</v>
      </c>
      <c r="C2013">
        <v>30</v>
      </c>
      <c r="D2013" t="s">
        <v>10</v>
      </c>
      <c r="F2013" s="43">
        <v>44880.708333333336</v>
      </c>
      <c r="G2013" s="43">
        <v>44880.729166666664</v>
      </c>
      <c r="H2013">
        <v>17</v>
      </c>
      <c r="I2013">
        <v>0</v>
      </c>
      <c r="J2013">
        <v>17</v>
      </c>
      <c r="K2013">
        <v>30</v>
      </c>
      <c r="L2013">
        <v>2022</v>
      </c>
      <c r="N2013" t="s">
        <v>47</v>
      </c>
      <c r="O2013" t="s">
        <v>47</v>
      </c>
      <c r="P2013" t="s">
        <v>5850</v>
      </c>
    </row>
    <row r="2014" spans="1:16" x14ac:dyDescent="0.3">
      <c r="A2014" t="s">
        <v>5813</v>
      </c>
      <c r="B2014" t="s">
        <v>20</v>
      </c>
      <c r="C2014">
        <v>30</v>
      </c>
      <c r="D2014" t="s">
        <v>10</v>
      </c>
      <c r="E2014" t="s">
        <v>501</v>
      </c>
      <c r="F2014" s="43">
        <v>44880.666666666664</v>
      </c>
      <c r="G2014" s="43">
        <v>44880.6875</v>
      </c>
      <c r="H2014">
        <v>16</v>
      </c>
      <c r="I2014">
        <v>0</v>
      </c>
      <c r="J2014">
        <v>16</v>
      </c>
      <c r="K2014">
        <v>30</v>
      </c>
      <c r="L2014">
        <v>2022</v>
      </c>
      <c r="N2014" t="s">
        <v>5814</v>
      </c>
      <c r="O2014" t="s">
        <v>47</v>
      </c>
      <c r="P2014" t="s">
        <v>5815</v>
      </c>
    </row>
    <row r="2015" spans="1:16" x14ac:dyDescent="0.3">
      <c r="A2015" t="s">
        <v>5841</v>
      </c>
      <c r="C2015">
        <v>75</v>
      </c>
      <c r="D2015" t="s">
        <v>10</v>
      </c>
      <c r="F2015" s="43">
        <v>44880.614583333336</v>
      </c>
      <c r="G2015" s="43">
        <v>44880.666666666664</v>
      </c>
      <c r="H2015">
        <v>14</v>
      </c>
      <c r="I2015">
        <v>45</v>
      </c>
      <c r="J2015">
        <v>16</v>
      </c>
      <c r="K2015">
        <v>0</v>
      </c>
      <c r="L2015">
        <v>2022</v>
      </c>
      <c r="N2015" t="s">
        <v>47</v>
      </c>
      <c r="O2015" t="s">
        <v>47</v>
      </c>
      <c r="P2015" t="s">
        <v>5842</v>
      </c>
    </row>
    <row r="2016" spans="1:16" x14ac:dyDescent="0.3">
      <c r="A2016" t="s">
        <v>5832</v>
      </c>
      <c r="B2016" t="s">
        <v>109</v>
      </c>
      <c r="C2016">
        <v>60</v>
      </c>
      <c r="D2016" t="s">
        <v>10</v>
      </c>
      <c r="F2016" s="43">
        <v>44880.5625</v>
      </c>
      <c r="G2016" s="43">
        <v>44880.604166666664</v>
      </c>
      <c r="H2016">
        <v>13</v>
      </c>
      <c r="I2016">
        <v>30</v>
      </c>
      <c r="J2016">
        <v>14</v>
      </c>
      <c r="K2016">
        <v>30</v>
      </c>
      <c r="L2016">
        <v>2022</v>
      </c>
      <c r="N2016" t="s">
        <v>47</v>
      </c>
      <c r="O2016" t="s">
        <v>47</v>
      </c>
      <c r="P2016" t="s">
        <v>5833</v>
      </c>
    </row>
    <row r="2017" spans="1:16" x14ac:dyDescent="0.3">
      <c r="A2017" t="s">
        <v>827</v>
      </c>
      <c r="C2017">
        <v>30</v>
      </c>
      <c r="D2017" t="s">
        <v>10</v>
      </c>
      <c r="F2017" s="43">
        <v>44880.479166666664</v>
      </c>
      <c r="G2017" s="43">
        <v>44880.5</v>
      </c>
      <c r="H2017">
        <v>11</v>
      </c>
      <c r="I2017">
        <v>30</v>
      </c>
      <c r="J2017">
        <v>12</v>
      </c>
      <c r="K2017">
        <v>0</v>
      </c>
      <c r="L2017">
        <v>2022</v>
      </c>
      <c r="N2017" t="s">
        <v>47</v>
      </c>
      <c r="O2017" t="s">
        <v>47</v>
      </c>
      <c r="P2017" t="s">
        <v>5840</v>
      </c>
    </row>
    <row r="2018" spans="1:16" x14ac:dyDescent="0.3">
      <c r="A2018" t="s">
        <v>5837</v>
      </c>
      <c r="C2018">
        <v>30</v>
      </c>
      <c r="D2018" t="s">
        <v>10</v>
      </c>
      <c r="E2018" t="s">
        <v>501</v>
      </c>
      <c r="F2018" s="43">
        <v>44880.458333333336</v>
      </c>
      <c r="G2018" s="43">
        <v>44880.479166666664</v>
      </c>
      <c r="H2018">
        <v>11</v>
      </c>
      <c r="I2018">
        <v>0</v>
      </c>
      <c r="J2018">
        <v>11</v>
      </c>
      <c r="K2018">
        <v>30</v>
      </c>
      <c r="L2018">
        <v>2022</v>
      </c>
      <c r="N2018" t="s">
        <v>5838</v>
      </c>
      <c r="O2018" t="s">
        <v>47</v>
      </c>
      <c r="P2018" t="s">
        <v>5839</v>
      </c>
    </row>
    <row r="2019" spans="1:16" x14ac:dyDescent="0.3">
      <c r="A2019" t="s">
        <v>5597</v>
      </c>
      <c r="B2019" t="s">
        <v>20</v>
      </c>
      <c r="C2019">
        <v>60</v>
      </c>
      <c r="D2019" t="s">
        <v>10</v>
      </c>
      <c r="E2019" t="s">
        <v>1599</v>
      </c>
      <c r="F2019" s="43">
        <v>44880.375</v>
      </c>
      <c r="G2019" s="43">
        <v>44880.416666666664</v>
      </c>
      <c r="H2019">
        <v>9</v>
      </c>
      <c r="I2019">
        <v>0</v>
      </c>
      <c r="J2019">
        <v>10</v>
      </c>
      <c r="K2019">
        <v>0</v>
      </c>
      <c r="L2019">
        <v>2022</v>
      </c>
      <c r="N2019" t="s">
        <v>5598</v>
      </c>
      <c r="O2019" t="s">
        <v>3640</v>
      </c>
      <c r="P2019" t="s">
        <v>5599</v>
      </c>
    </row>
    <row r="2020" spans="1:16" x14ac:dyDescent="0.3">
      <c r="A2020" t="s">
        <v>5828</v>
      </c>
      <c r="B2020" t="s">
        <v>6</v>
      </c>
      <c r="C2020">
        <v>60</v>
      </c>
      <c r="D2020" t="s">
        <v>10</v>
      </c>
      <c r="F2020" s="43">
        <v>44880.3125</v>
      </c>
      <c r="G2020" s="43">
        <v>44880.354166666664</v>
      </c>
      <c r="H2020">
        <v>7</v>
      </c>
      <c r="I2020">
        <v>30</v>
      </c>
      <c r="J2020">
        <v>8</v>
      </c>
      <c r="K2020">
        <v>30</v>
      </c>
      <c r="L2020">
        <v>2022</v>
      </c>
      <c r="N2020" t="s">
        <v>47</v>
      </c>
      <c r="O2020" t="s">
        <v>47</v>
      </c>
      <c r="P2020" t="s">
        <v>5829</v>
      </c>
    </row>
    <row r="2021" spans="1:16" x14ac:dyDescent="0.3">
      <c r="A2021" t="s">
        <v>5830</v>
      </c>
      <c r="B2021" t="s">
        <v>109</v>
      </c>
      <c r="C2021">
        <v>60</v>
      </c>
      <c r="D2021" t="s">
        <v>10</v>
      </c>
      <c r="F2021" s="43">
        <v>44880.229166666664</v>
      </c>
      <c r="G2021" s="43">
        <v>44880.270833333336</v>
      </c>
      <c r="H2021">
        <v>5</v>
      </c>
      <c r="I2021">
        <v>30</v>
      </c>
      <c r="J2021">
        <v>6</v>
      </c>
      <c r="K2021">
        <v>30</v>
      </c>
      <c r="L2021">
        <v>2022</v>
      </c>
      <c r="N2021" t="s">
        <v>47</v>
      </c>
      <c r="O2021" t="s">
        <v>47</v>
      </c>
      <c r="P2021" t="s">
        <v>5831</v>
      </c>
    </row>
    <row r="2022" spans="1:16" x14ac:dyDescent="0.3">
      <c r="A2022" t="s">
        <v>4519</v>
      </c>
      <c r="C2022">
        <v>60</v>
      </c>
      <c r="D2022" t="s">
        <v>10</v>
      </c>
      <c r="F2022" s="43">
        <v>44880.145833333336</v>
      </c>
      <c r="G2022" s="43">
        <v>44880.1875</v>
      </c>
      <c r="H2022">
        <v>3</v>
      </c>
      <c r="I2022">
        <v>30</v>
      </c>
      <c r="J2022">
        <v>4</v>
      </c>
      <c r="K2022">
        <v>30</v>
      </c>
      <c r="L2022">
        <v>2022</v>
      </c>
      <c r="N2022" t="s">
        <v>47</v>
      </c>
      <c r="O2022" t="s">
        <v>47</v>
      </c>
      <c r="P2022" t="s">
        <v>5836</v>
      </c>
    </row>
    <row r="2023" spans="1:16" x14ac:dyDescent="0.3">
      <c r="A2023" t="s">
        <v>4519</v>
      </c>
      <c r="C2023">
        <v>20</v>
      </c>
      <c r="D2023" t="s">
        <v>10</v>
      </c>
      <c r="F2023" s="43">
        <v>44879.8125</v>
      </c>
      <c r="G2023" s="43">
        <v>44879.826388888891</v>
      </c>
      <c r="H2023">
        <v>19</v>
      </c>
      <c r="I2023">
        <v>30</v>
      </c>
      <c r="J2023">
        <v>19</v>
      </c>
      <c r="K2023">
        <v>50</v>
      </c>
      <c r="L2023">
        <v>2022</v>
      </c>
      <c r="N2023" t="s">
        <v>47</v>
      </c>
      <c r="O2023" t="s">
        <v>47</v>
      </c>
      <c r="P2023" t="s">
        <v>5823</v>
      </c>
    </row>
    <row r="2024" spans="1:16" x14ac:dyDescent="0.3">
      <c r="A2024" t="s">
        <v>4519</v>
      </c>
      <c r="C2024">
        <v>60</v>
      </c>
      <c r="D2024" t="s">
        <v>10</v>
      </c>
      <c r="F2024" s="43">
        <v>44879.729166666664</v>
      </c>
      <c r="G2024" s="43">
        <v>44879.770833333336</v>
      </c>
      <c r="H2024">
        <v>17</v>
      </c>
      <c r="I2024">
        <v>30</v>
      </c>
      <c r="J2024">
        <v>18</v>
      </c>
      <c r="K2024">
        <v>30</v>
      </c>
      <c r="L2024">
        <v>2022</v>
      </c>
      <c r="N2024" t="s">
        <v>47</v>
      </c>
      <c r="O2024" t="s">
        <v>47</v>
      </c>
      <c r="P2024" t="s">
        <v>5822</v>
      </c>
    </row>
    <row r="2025" spans="1:16" x14ac:dyDescent="0.3">
      <c r="A2025" t="s">
        <v>9</v>
      </c>
      <c r="C2025">
        <v>30</v>
      </c>
      <c r="D2025" t="s">
        <v>10</v>
      </c>
      <c r="F2025" s="43">
        <v>44879.645833333336</v>
      </c>
      <c r="G2025" s="43">
        <v>44879.666666666664</v>
      </c>
      <c r="H2025">
        <v>15</v>
      </c>
      <c r="I2025">
        <v>30</v>
      </c>
      <c r="J2025">
        <v>16</v>
      </c>
      <c r="K2025">
        <v>0</v>
      </c>
      <c r="L2025">
        <v>2022</v>
      </c>
      <c r="N2025" t="s">
        <v>47</v>
      </c>
      <c r="O2025" t="s">
        <v>47</v>
      </c>
      <c r="P2025" t="s">
        <v>5821</v>
      </c>
    </row>
    <row r="2026" spans="1:16" x14ac:dyDescent="0.3">
      <c r="A2026" t="s">
        <v>4519</v>
      </c>
      <c r="C2026">
        <v>30</v>
      </c>
      <c r="D2026" t="s">
        <v>10</v>
      </c>
      <c r="F2026" s="43">
        <v>44879.625</v>
      </c>
      <c r="G2026" s="43">
        <v>44879.645833333336</v>
      </c>
      <c r="H2026">
        <v>15</v>
      </c>
      <c r="I2026">
        <v>0</v>
      </c>
      <c r="J2026">
        <v>15</v>
      </c>
      <c r="K2026">
        <v>30</v>
      </c>
      <c r="L2026">
        <v>2022</v>
      </c>
      <c r="N2026" t="s">
        <v>47</v>
      </c>
      <c r="O2026" t="s">
        <v>47</v>
      </c>
      <c r="P2026" t="s">
        <v>5820</v>
      </c>
    </row>
    <row r="2027" spans="1:16" x14ac:dyDescent="0.3">
      <c r="A2027" t="s">
        <v>8</v>
      </c>
      <c r="C2027">
        <v>80</v>
      </c>
      <c r="D2027" t="s">
        <v>10</v>
      </c>
      <c r="F2027" s="43">
        <v>44879.541666666664</v>
      </c>
      <c r="G2027" s="43">
        <v>44879.597222222219</v>
      </c>
      <c r="H2027">
        <v>13</v>
      </c>
      <c r="I2027">
        <v>0</v>
      </c>
      <c r="J2027">
        <v>14</v>
      </c>
      <c r="K2027">
        <v>20</v>
      </c>
      <c r="L2027">
        <v>2022</v>
      </c>
      <c r="N2027" t="s">
        <v>47</v>
      </c>
      <c r="O2027" t="s">
        <v>47</v>
      </c>
      <c r="P2027" t="s">
        <v>5819</v>
      </c>
    </row>
    <row r="2028" spans="1:16" x14ac:dyDescent="0.3">
      <c r="A2028" t="s">
        <v>5805</v>
      </c>
      <c r="C2028">
        <v>60</v>
      </c>
      <c r="D2028" t="s">
        <v>10</v>
      </c>
      <c r="F2028" s="43">
        <v>44879.465277777781</v>
      </c>
      <c r="G2028" s="43">
        <v>44879.506944444445</v>
      </c>
      <c r="H2028">
        <v>11</v>
      </c>
      <c r="I2028">
        <v>10</v>
      </c>
      <c r="J2028">
        <v>12</v>
      </c>
      <c r="K2028">
        <v>10</v>
      </c>
      <c r="L2028">
        <v>2022</v>
      </c>
      <c r="N2028" t="s">
        <v>47</v>
      </c>
      <c r="O2028" t="s">
        <v>47</v>
      </c>
      <c r="P2028" t="s">
        <v>5806</v>
      </c>
    </row>
    <row r="2029" spans="1:16" x14ac:dyDescent="0.3">
      <c r="A2029" t="s">
        <v>5811</v>
      </c>
      <c r="C2029">
        <v>30</v>
      </c>
      <c r="D2029" t="s">
        <v>10</v>
      </c>
      <c r="F2029" s="43">
        <v>44879.416666666664</v>
      </c>
      <c r="G2029" s="43">
        <v>44879.4375</v>
      </c>
      <c r="H2029">
        <v>10</v>
      </c>
      <c r="I2029">
        <v>0</v>
      </c>
      <c r="J2029">
        <v>10</v>
      </c>
      <c r="K2029">
        <v>30</v>
      </c>
      <c r="L2029">
        <v>2022</v>
      </c>
      <c r="N2029" t="s">
        <v>47</v>
      </c>
      <c r="O2029" t="s">
        <v>47</v>
      </c>
      <c r="P2029" t="s">
        <v>5812</v>
      </c>
    </row>
    <row r="2030" spans="1:16" x14ac:dyDescent="0.3">
      <c r="A2030" t="s">
        <v>5799</v>
      </c>
      <c r="B2030" t="s">
        <v>20</v>
      </c>
      <c r="C2030">
        <v>30</v>
      </c>
      <c r="D2030" t="s">
        <v>10</v>
      </c>
      <c r="E2030" t="s">
        <v>5</v>
      </c>
      <c r="F2030" s="43">
        <v>44879.395833333336</v>
      </c>
      <c r="G2030" s="43">
        <v>44879.416666666664</v>
      </c>
      <c r="H2030">
        <v>9</v>
      </c>
      <c r="I2030">
        <v>30</v>
      </c>
      <c r="J2030">
        <v>10</v>
      </c>
      <c r="K2030">
        <v>0</v>
      </c>
      <c r="L2030">
        <v>2022</v>
      </c>
      <c r="N2030" t="s">
        <v>1399</v>
      </c>
      <c r="O2030" t="s">
        <v>1241</v>
      </c>
      <c r="P2030" t="s">
        <v>5800</v>
      </c>
    </row>
    <row r="2031" spans="1:16" x14ac:dyDescent="0.3">
      <c r="A2031" t="s">
        <v>5705</v>
      </c>
      <c r="B2031" t="s">
        <v>20</v>
      </c>
      <c r="C2031">
        <v>60</v>
      </c>
      <c r="D2031" t="s">
        <v>10</v>
      </c>
      <c r="E2031" t="s">
        <v>5706</v>
      </c>
      <c r="F2031" s="43">
        <v>44879.354166666664</v>
      </c>
      <c r="G2031" s="43">
        <v>44879.395833333336</v>
      </c>
      <c r="H2031">
        <v>8</v>
      </c>
      <c r="I2031">
        <v>30</v>
      </c>
      <c r="J2031">
        <v>9</v>
      </c>
      <c r="K2031">
        <v>30</v>
      </c>
      <c r="L2031">
        <v>2022</v>
      </c>
      <c r="N2031" t="s">
        <v>5707</v>
      </c>
      <c r="O2031" t="s">
        <v>5708</v>
      </c>
      <c r="P2031" t="s">
        <v>5709</v>
      </c>
    </row>
    <row r="2032" spans="1:16" x14ac:dyDescent="0.3">
      <c r="A2032" t="s">
        <v>5808</v>
      </c>
      <c r="C2032">
        <v>30</v>
      </c>
      <c r="D2032" t="s">
        <v>10</v>
      </c>
      <c r="F2032" s="43">
        <v>44879.3125</v>
      </c>
      <c r="G2032" s="43">
        <v>44879.333333333336</v>
      </c>
      <c r="H2032">
        <v>7</v>
      </c>
      <c r="I2032">
        <v>30</v>
      </c>
      <c r="J2032">
        <v>8</v>
      </c>
      <c r="K2032">
        <v>0</v>
      </c>
      <c r="L2032">
        <v>2022</v>
      </c>
      <c r="N2032" t="s">
        <v>47</v>
      </c>
      <c r="O2032" t="s">
        <v>47</v>
      </c>
      <c r="P2032" t="s">
        <v>5809</v>
      </c>
    </row>
    <row r="2033" spans="1:16" x14ac:dyDescent="0.3">
      <c r="A2033" t="s">
        <v>1622</v>
      </c>
      <c r="C2033">
        <v>30</v>
      </c>
      <c r="D2033" t="s">
        <v>10</v>
      </c>
      <c r="F2033" s="43">
        <v>44879.291666666664</v>
      </c>
      <c r="G2033" s="43">
        <v>44879.3125</v>
      </c>
      <c r="H2033">
        <v>7</v>
      </c>
      <c r="I2033">
        <v>0</v>
      </c>
      <c r="J2033">
        <v>7</v>
      </c>
      <c r="K2033">
        <v>30</v>
      </c>
      <c r="L2033">
        <v>2022</v>
      </c>
      <c r="N2033" t="s">
        <v>47</v>
      </c>
      <c r="O2033" t="s">
        <v>47</v>
      </c>
      <c r="P2033" t="s">
        <v>5810</v>
      </c>
    </row>
    <row r="2034" spans="1:16" x14ac:dyDescent="0.3">
      <c r="A2034" t="s">
        <v>1622</v>
      </c>
      <c r="C2034">
        <v>30</v>
      </c>
      <c r="D2034" t="s">
        <v>10</v>
      </c>
      <c r="F2034" s="43">
        <v>44879.25</v>
      </c>
      <c r="G2034" s="43">
        <v>44879.270833333336</v>
      </c>
      <c r="H2034">
        <v>6</v>
      </c>
      <c r="I2034">
        <v>0</v>
      </c>
      <c r="J2034">
        <v>6</v>
      </c>
      <c r="K2034">
        <v>30</v>
      </c>
      <c r="L2034">
        <v>2022</v>
      </c>
      <c r="N2034" t="s">
        <v>47</v>
      </c>
      <c r="O2034" t="s">
        <v>47</v>
      </c>
      <c r="P2034" t="s">
        <v>5807</v>
      </c>
    </row>
    <row r="2035" spans="1:16" x14ac:dyDescent="0.3">
      <c r="A2035" t="s">
        <v>5796</v>
      </c>
      <c r="C2035">
        <v>60</v>
      </c>
      <c r="D2035" t="s">
        <v>10</v>
      </c>
      <c r="F2035" s="43">
        <v>44878.75</v>
      </c>
      <c r="G2035" s="43">
        <v>44878.791666666664</v>
      </c>
      <c r="H2035">
        <v>18</v>
      </c>
      <c r="I2035">
        <v>0</v>
      </c>
      <c r="J2035">
        <v>19</v>
      </c>
      <c r="K2035">
        <v>0</v>
      </c>
      <c r="L2035">
        <v>2022</v>
      </c>
      <c r="N2035" t="s">
        <v>47</v>
      </c>
      <c r="O2035" t="s">
        <v>47</v>
      </c>
      <c r="P2035" t="s">
        <v>5798</v>
      </c>
    </row>
    <row r="2036" spans="1:16" x14ac:dyDescent="0.3">
      <c r="A2036" t="s">
        <v>5796</v>
      </c>
      <c r="C2036">
        <v>90</v>
      </c>
      <c r="D2036" t="s">
        <v>10</v>
      </c>
      <c r="F2036" s="43">
        <v>44878.645833333336</v>
      </c>
      <c r="G2036" s="43">
        <v>44878.708333333336</v>
      </c>
      <c r="H2036">
        <v>15</v>
      </c>
      <c r="I2036">
        <v>30</v>
      </c>
      <c r="J2036">
        <v>17</v>
      </c>
      <c r="K2036">
        <v>0</v>
      </c>
      <c r="L2036">
        <v>2022</v>
      </c>
      <c r="N2036" t="s">
        <v>47</v>
      </c>
      <c r="O2036" t="s">
        <v>47</v>
      </c>
      <c r="P2036" t="s">
        <v>5797</v>
      </c>
    </row>
    <row r="2037" spans="1:16" x14ac:dyDescent="0.3">
      <c r="A2037" t="s">
        <v>5794</v>
      </c>
      <c r="C2037">
        <v>120</v>
      </c>
      <c r="D2037" t="s">
        <v>10</v>
      </c>
      <c r="F2037" s="43">
        <v>44877.625</v>
      </c>
      <c r="G2037" s="43">
        <v>44877.708333333336</v>
      </c>
      <c r="H2037">
        <v>15</v>
      </c>
      <c r="I2037">
        <v>0</v>
      </c>
      <c r="J2037">
        <v>17</v>
      </c>
      <c r="K2037">
        <v>0</v>
      </c>
      <c r="L2037">
        <v>2022</v>
      </c>
      <c r="N2037" t="s">
        <v>47</v>
      </c>
      <c r="O2037" t="s">
        <v>47</v>
      </c>
      <c r="P2037" t="s">
        <v>5795</v>
      </c>
    </row>
    <row r="2038" spans="1:16" x14ac:dyDescent="0.3">
      <c r="A2038" t="s">
        <v>5792</v>
      </c>
      <c r="C2038">
        <v>90</v>
      </c>
      <c r="D2038" t="s">
        <v>10</v>
      </c>
      <c r="F2038" s="43">
        <v>44877.416666666664</v>
      </c>
      <c r="G2038" s="43">
        <v>44877.479166666664</v>
      </c>
      <c r="H2038">
        <v>10</v>
      </c>
      <c r="I2038">
        <v>0</v>
      </c>
      <c r="J2038">
        <v>11</v>
      </c>
      <c r="K2038">
        <v>30</v>
      </c>
      <c r="L2038">
        <v>2022</v>
      </c>
      <c r="N2038" t="s">
        <v>47</v>
      </c>
      <c r="O2038" t="s">
        <v>47</v>
      </c>
      <c r="P2038" t="s">
        <v>5793</v>
      </c>
    </row>
    <row r="2039" spans="1:16" x14ac:dyDescent="0.3">
      <c r="A2039" t="s">
        <v>5776</v>
      </c>
      <c r="C2039">
        <v>30</v>
      </c>
      <c r="D2039" t="s">
        <v>10</v>
      </c>
      <c r="F2039" s="43">
        <v>44877.270833333336</v>
      </c>
      <c r="G2039" s="43">
        <v>44877.291666666664</v>
      </c>
      <c r="H2039">
        <v>6</v>
      </c>
      <c r="I2039">
        <v>30</v>
      </c>
      <c r="J2039">
        <v>7</v>
      </c>
      <c r="K2039">
        <v>0</v>
      </c>
      <c r="L2039">
        <v>2022</v>
      </c>
      <c r="N2039" t="s">
        <v>47</v>
      </c>
      <c r="O2039" t="s">
        <v>47</v>
      </c>
      <c r="P2039" t="s">
        <v>5777</v>
      </c>
    </row>
    <row r="2040" spans="1:16" x14ac:dyDescent="0.3">
      <c r="A2040" t="s">
        <v>2359</v>
      </c>
      <c r="C2040">
        <v>60</v>
      </c>
      <c r="D2040" t="s">
        <v>10</v>
      </c>
      <c r="F2040" s="43">
        <v>44877.197916666664</v>
      </c>
      <c r="G2040" s="43">
        <v>44877.239583333336</v>
      </c>
      <c r="H2040">
        <v>4</v>
      </c>
      <c r="I2040">
        <v>45</v>
      </c>
      <c r="J2040">
        <v>5</v>
      </c>
      <c r="K2040">
        <v>45</v>
      </c>
      <c r="L2040">
        <v>2022</v>
      </c>
      <c r="N2040" t="s">
        <v>47</v>
      </c>
      <c r="O2040" t="s">
        <v>47</v>
      </c>
      <c r="P2040" t="s">
        <v>5778</v>
      </c>
    </row>
    <row r="2041" spans="1:16" x14ac:dyDescent="0.3">
      <c r="A2041" t="s">
        <v>5785</v>
      </c>
      <c r="C2041">
        <v>60</v>
      </c>
      <c r="D2041" t="s">
        <v>10</v>
      </c>
      <c r="F2041" s="43">
        <v>44876.75</v>
      </c>
      <c r="G2041" s="43">
        <v>44876.791666666664</v>
      </c>
      <c r="H2041">
        <v>18</v>
      </c>
      <c r="I2041">
        <v>0</v>
      </c>
      <c r="J2041">
        <v>19</v>
      </c>
      <c r="K2041">
        <v>0</v>
      </c>
      <c r="L2041">
        <v>2022</v>
      </c>
      <c r="N2041" t="s">
        <v>47</v>
      </c>
      <c r="O2041" t="s">
        <v>47</v>
      </c>
      <c r="P2041" t="s">
        <v>5786</v>
      </c>
    </row>
    <row r="2042" spans="1:16" x14ac:dyDescent="0.3">
      <c r="A2042" t="s">
        <v>23</v>
      </c>
      <c r="C2042">
        <v>60</v>
      </c>
      <c r="D2042" t="s">
        <v>10</v>
      </c>
      <c r="F2042" s="43">
        <v>44876.6875</v>
      </c>
      <c r="G2042" s="43">
        <v>44876.729166666664</v>
      </c>
      <c r="H2042">
        <v>16</v>
      </c>
      <c r="I2042">
        <v>30</v>
      </c>
      <c r="J2042">
        <v>17</v>
      </c>
      <c r="K2042">
        <v>30</v>
      </c>
      <c r="L2042">
        <v>2022</v>
      </c>
      <c r="N2042" t="s">
        <v>47</v>
      </c>
      <c r="O2042" t="s">
        <v>47</v>
      </c>
      <c r="P2042" t="s">
        <v>5784</v>
      </c>
    </row>
    <row r="2043" spans="1:16" x14ac:dyDescent="0.3">
      <c r="A2043" t="s">
        <v>7</v>
      </c>
      <c r="C2043">
        <v>60</v>
      </c>
      <c r="D2043" t="s">
        <v>10</v>
      </c>
      <c r="F2043" s="43">
        <v>44876.604166666664</v>
      </c>
      <c r="G2043" s="43">
        <v>44876.645833333336</v>
      </c>
      <c r="H2043">
        <v>14</v>
      </c>
      <c r="I2043">
        <v>30</v>
      </c>
      <c r="J2043">
        <v>15</v>
      </c>
      <c r="K2043">
        <v>30</v>
      </c>
      <c r="L2043">
        <v>2022</v>
      </c>
      <c r="N2043" t="s">
        <v>47</v>
      </c>
      <c r="O2043" t="s">
        <v>47</v>
      </c>
      <c r="P2043" t="s">
        <v>5790</v>
      </c>
    </row>
    <row r="2044" spans="1:16" x14ac:dyDescent="0.3">
      <c r="A2044" t="s">
        <v>40</v>
      </c>
      <c r="C2044">
        <v>60</v>
      </c>
      <c r="D2044" t="s">
        <v>10</v>
      </c>
      <c r="F2044" s="43">
        <v>44876.5625</v>
      </c>
      <c r="G2044" s="43">
        <v>44876.604166666664</v>
      </c>
      <c r="H2044">
        <v>13</v>
      </c>
      <c r="I2044">
        <v>30</v>
      </c>
      <c r="J2044">
        <v>14</v>
      </c>
      <c r="K2044">
        <v>30</v>
      </c>
      <c r="L2044">
        <v>2022</v>
      </c>
      <c r="N2044" t="s">
        <v>47</v>
      </c>
      <c r="O2044" t="s">
        <v>47</v>
      </c>
      <c r="P2044" t="s">
        <v>5789</v>
      </c>
    </row>
    <row r="2045" spans="1:16" x14ac:dyDescent="0.3">
      <c r="A2045" t="s">
        <v>3112</v>
      </c>
      <c r="C2045">
        <v>30</v>
      </c>
      <c r="D2045" t="s">
        <v>10</v>
      </c>
      <c r="F2045" s="43">
        <v>44876.5</v>
      </c>
      <c r="G2045" s="43">
        <v>44876.520833333336</v>
      </c>
      <c r="H2045">
        <v>12</v>
      </c>
      <c r="I2045">
        <v>0</v>
      </c>
      <c r="J2045">
        <v>12</v>
      </c>
      <c r="K2045">
        <v>30</v>
      </c>
      <c r="L2045">
        <v>2022</v>
      </c>
      <c r="N2045" t="s">
        <v>47</v>
      </c>
      <c r="O2045" t="s">
        <v>47</v>
      </c>
      <c r="P2045" t="s">
        <v>5791</v>
      </c>
    </row>
    <row r="2046" spans="1:16" x14ac:dyDescent="0.3">
      <c r="A2046" t="s">
        <v>5536</v>
      </c>
      <c r="B2046" t="s">
        <v>20</v>
      </c>
      <c r="C2046">
        <v>60</v>
      </c>
      <c r="D2046" t="s">
        <v>10</v>
      </c>
      <c r="E2046" t="s">
        <v>501</v>
      </c>
      <c r="F2046" s="43">
        <v>44876.416666666664</v>
      </c>
      <c r="G2046" s="43">
        <v>44876.458333333336</v>
      </c>
      <c r="H2046">
        <v>10</v>
      </c>
      <c r="I2046">
        <v>0</v>
      </c>
      <c r="J2046">
        <v>11</v>
      </c>
      <c r="K2046">
        <v>0</v>
      </c>
      <c r="L2046">
        <v>2022</v>
      </c>
      <c r="N2046" t="s">
        <v>5685</v>
      </c>
      <c r="O2046" t="s">
        <v>47</v>
      </c>
      <c r="P2046" t="s">
        <v>5686</v>
      </c>
    </row>
    <row r="2047" spans="1:16" x14ac:dyDescent="0.3">
      <c r="A2047" t="s">
        <v>8</v>
      </c>
      <c r="C2047">
        <v>30</v>
      </c>
      <c r="D2047" t="s">
        <v>10</v>
      </c>
      <c r="F2047" s="43">
        <v>44876.395833333336</v>
      </c>
      <c r="G2047" s="43">
        <v>44876.416666666664</v>
      </c>
      <c r="H2047">
        <v>9</v>
      </c>
      <c r="I2047">
        <v>30</v>
      </c>
      <c r="J2047">
        <v>10</v>
      </c>
      <c r="K2047">
        <v>0</v>
      </c>
      <c r="L2047">
        <v>2022</v>
      </c>
      <c r="N2047" t="s">
        <v>47</v>
      </c>
      <c r="O2047" t="s">
        <v>47</v>
      </c>
      <c r="P2047" t="s">
        <v>5787</v>
      </c>
    </row>
    <row r="2048" spans="1:16" x14ac:dyDescent="0.3">
      <c r="A2048" t="s">
        <v>5769</v>
      </c>
      <c r="C2048">
        <v>90</v>
      </c>
      <c r="D2048" t="s">
        <v>10</v>
      </c>
      <c r="F2048" s="43">
        <v>44876.333333333336</v>
      </c>
      <c r="G2048" s="43">
        <v>44876.395833333336</v>
      </c>
      <c r="H2048">
        <v>8</v>
      </c>
      <c r="I2048">
        <v>0</v>
      </c>
      <c r="J2048">
        <v>9</v>
      </c>
      <c r="K2048">
        <v>30</v>
      </c>
      <c r="L2048">
        <v>2022</v>
      </c>
      <c r="N2048" t="s">
        <v>47</v>
      </c>
      <c r="O2048" t="s">
        <v>47</v>
      </c>
      <c r="P2048" t="s">
        <v>5788</v>
      </c>
    </row>
    <row r="2049" spans="1:16" x14ac:dyDescent="0.3">
      <c r="A2049" t="s">
        <v>2014</v>
      </c>
      <c r="C2049">
        <v>30</v>
      </c>
      <c r="D2049" t="s">
        <v>10</v>
      </c>
      <c r="F2049" s="1">
        <v>44876.28125</v>
      </c>
      <c r="G2049" s="1">
        <v>44876.302083333336</v>
      </c>
      <c r="H2049">
        <v>6</v>
      </c>
      <c r="I2049">
        <v>45</v>
      </c>
      <c r="J2049">
        <v>7</v>
      </c>
      <c r="K2049">
        <v>15</v>
      </c>
      <c r="L2049">
        <v>2022</v>
      </c>
      <c r="N2049" t="s">
        <v>47</v>
      </c>
      <c r="O2049" t="s">
        <v>47</v>
      </c>
      <c r="P2049" t="s">
        <v>5766</v>
      </c>
    </row>
    <row r="2050" spans="1:16" x14ac:dyDescent="0.3">
      <c r="A2050" t="s">
        <v>5767</v>
      </c>
      <c r="C2050">
        <v>45</v>
      </c>
      <c r="D2050" t="s">
        <v>10</v>
      </c>
      <c r="F2050" s="43">
        <v>44876.25</v>
      </c>
      <c r="G2050" s="43">
        <v>44876.28125</v>
      </c>
      <c r="H2050">
        <v>6</v>
      </c>
      <c r="I2050">
        <v>0</v>
      </c>
      <c r="J2050">
        <v>6</v>
      </c>
      <c r="K2050">
        <v>45</v>
      </c>
      <c r="L2050">
        <v>2022</v>
      </c>
      <c r="N2050" t="s">
        <v>47</v>
      </c>
      <c r="O2050" t="s">
        <v>47</v>
      </c>
      <c r="P2050" t="s">
        <v>5768</v>
      </c>
    </row>
    <row r="2051" spans="1:16" x14ac:dyDescent="0.3">
      <c r="A2051" t="s">
        <v>5769</v>
      </c>
      <c r="C2051">
        <v>60</v>
      </c>
      <c r="D2051" t="s">
        <v>10</v>
      </c>
      <c r="F2051" s="43">
        <v>44876.1875</v>
      </c>
      <c r="G2051" s="43">
        <v>44876.229166666664</v>
      </c>
      <c r="H2051">
        <v>4</v>
      </c>
      <c r="I2051">
        <v>30</v>
      </c>
      <c r="J2051">
        <v>5</v>
      </c>
      <c r="K2051">
        <v>30</v>
      </c>
      <c r="L2051">
        <v>2022</v>
      </c>
      <c r="N2051" t="s">
        <v>47</v>
      </c>
      <c r="O2051" t="s">
        <v>47</v>
      </c>
      <c r="P2051" t="s">
        <v>5770</v>
      </c>
    </row>
    <row r="2052" spans="1:16" x14ac:dyDescent="0.3">
      <c r="A2052" t="s">
        <v>2014</v>
      </c>
      <c r="C2052">
        <v>30</v>
      </c>
      <c r="D2052" t="s">
        <v>10</v>
      </c>
      <c r="F2052" s="43">
        <v>44875.791666666664</v>
      </c>
      <c r="G2052" s="43">
        <v>44875.8125</v>
      </c>
      <c r="H2052">
        <v>19</v>
      </c>
      <c r="I2052">
        <v>0</v>
      </c>
      <c r="J2052">
        <v>19</v>
      </c>
      <c r="K2052">
        <v>30</v>
      </c>
      <c r="L2052">
        <v>2022</v>
      </c>
      <c r="N2052" t="s">
        <v>47</v>
      </c>
      <c r="O2052" t="s">
        <v>47</v>
      </c>
      <c r="P2052" t="s">
        <v>5771</v>
      </c>
    </row>
    <row r="2053" spans="1:16" x14ac:dyDescent="0.3">
      <c r="A2053" t="s">
        <v>8</v>
      </c>
      <c r="C2053">
        <v>30</v>
      </c>
      <c r="D2053" t="s">
        <v>10</v>
      </c>
      <c r="F2053" s="43">
        <v>44875.75</v>
      </c>
      <c r="G2053" s="43">
        <v>44875.770833333336</v>
      </c>
      <c r="H2053">
        <v>18</v>
      </c>
      <c r="I2053">
        <v>0</v>
      </c>
      <c r="J2053">
        <v>18</v>
      </c>
      <c r="K2053">
        <v>30</v>
      </c>
      <c r="L2053">
        <v>2022</v>
      </c>
      <c r="N2053" t="s">
        <v>47</v>
      </c>
      <c r="O2053" t="s">
        <v>47</v>
      </c>
      <c r="P2053" t="s">
        <v>5772</v>
      </c>
    </row>
    <row r="2054" spans="1:16" x14ac:dyDescent="0.3">
      <c r="A2054" t="s">
        <v>5767</v>
      </c>
      <c r="C2054">
        <v>60</v>
      </c>
      <c r="D2054" t="s">
        <v>10</v>
      </c>
      <c r="F2054" s="43">
        <v>44875.701388888891</v>
      </c>
      <c r="G2054" s="43">
        <v>44875.743055555555</v>
      </c>
      <c r="H2054">
        <v>16</v>
      </c>
      <c r="I2054">
        <v>50</v>
      </c>
      <c r="J2054">
        <v>17</v>
      </c>
      <c r="K2054">
        <v>50</v>
      </c>
      <c r="L2054">
        <v>2022</v>
      </c>
      <c r="N2054" t="s">
        <v>47</v>
      </c>
      <c r="O2054" t="s">
        <v>47</v>
      </c>
      <c r="P2054" t="s">
        <v>5773</v>
      </c>
    </row>
    <row r="2055" spans="1:16" x14ac:dyDescent="0.3">
      <c r="A2055" t="s">
        <v>4452</v>
      </c>
      <c r="C2055">
        <v>20</v>
      </c>
      <c r="D2055" t="s">
        <v>10</v>
      </c>
      <c r="F2055" s="43">
        <v>44875.6875</v>
      </c>
      <c r="G2055" s="43">
        <v>44875.701388888891</v>
      </c>
      <c r="H2055">
        <v>16</v>
      </c>
      <c r="I2055">
        <v>30</v>
      </c>
      <c r="J2055">
        <v>16</v>
      </c>
      <c r="K2055">
        <v>50</v>
      </c>
      <c r="L2055">
        <v>2022</v>
      </c>
      <c r="N2055" t="s">
        <v>47</v>
      </c>
      <c r="O2055" t="s">
        <v>47</v>
      </c>
      <c r="P2055" t="s">
        <v>5774</v>
      </c>
    </row>
    <row r="2056" spans="1:16" x14ac:dyDescent="0.3">
      <c r="A2056" t="s">
        <v>5381</v>
      </c>
      <c r="B2056" t="s">
        <v>31</v>
      </c>
      <c r="C2056">
        <v>60</v>
      </c>
      <c r="D2056" t="s">
        <v>10</v>
      </c>
      <c r="F2056" s="43">
        <v>44875.604166666664</v>
      </c>
      <c r="G2056" s="43">
        <v>44875.645833333336</v>
      </c>
      <c r="H2056">
        <v>14</v>
      </c>
      <c r="I2056">
        <v>30</v>
      </c>
      <c r="J2056">
        <v>15</v>
      </c>
      <c r="K2056">
        <v>30</v>
      </c>
      <c r="L2056">
        <v>2022</v>
      </c>
      <c r="N2056" t="s">
        <v>47</v>
      </c>
      <c r="O2056" t="s">
        <v>47</v>
      </c>
      <c r="P2056" t="s">
        <v>5382</v>
      </c>
    </row>
    <row r="2057" spans="1:16" x14ac:dyDescent="0.3">
      <c r="A2057" t="s">
        <v>5767</v>
      </c>
      <c r="C2057">
        <v>70</v>
      </c>
      <c r="D2057" t="s">
        <v>10</v>
      </c>
      <c r="F2057" s="43">
        <v>44875.541666666664</v>
      </c>
      <c r="G2057" s="43">
        <v>44875.590277777781</v>
      </c>
      <c r="H2057">
        <v>13</v>
      </c>
      <c r="I2057">
        <v>0</v>
      </c>
      <c r="J2057">
        <v>14</v>
      </c>
      <c r="K2057">
        <v>10</v>
      </c>
      <c r="L2057">
        <v>2022</v>
      </c>
      <c r="N2057" t="s">
        <v>47</v>
      </c>
      <c r="O2057" t="s">
        <v>47</v>
      </c>
      <c r="P2057" t="s">
        <v>5775</v>
      </c>
    </row>
    <row r="2058" spans="1:16" x14ac:dyDescent="0.3">
      <c r="A2058" t="s">
        <v>9</v>
      </c>
      <c r="C2058">
        <v>30</v>
      </c>
      <c r="D2058" t="s">
        <v>10</v>
      </c>
      <c r="F2058" s="43">
        <v>44875.5</v>
      </c>
      <c r="G2058" s="43">
        <v>44875.520833333336</v>
      </c>
      <c r="H2058">
        <v>12</v>
      </c>
      <c r="I2058">
        <v>0</v>
      </c>
      <c r="J2058">
        <v>12</v>
      </c>
      <c r="K2058">
        <v>30</v>
      </c>
      <c r="L2058">
        <v>2022</v>
      </c>
      <c r="N2058" t="s">
        <v>47</v>
      </c>
      <c r="O2058" t="s">
        <v>47</v>
      </c>
      <c r="P2058" t="s">
        <v>5739</v>
      </c>
    </row>
    <row r="2059" spans="1:16" x14ac:dyDescent="0.3">
      <c r="A2059" t="s">
        <v>8</v>
      </c>
      <c r="C2059">
        <v>30</v>
      </c>
      <c r="D2059" t="s">
        <v>10</v>
      </c>
      <c r="F2059" s="43">
        <v>44875.479166666664</v>
      </c>
      <c r="G2059" s="43">
        <v>44875.5</v>
      </c>
      <c r="H2059">
        <v>11</v>
      </c>
      <c r="I2059">
        <v>30</v>
      </c>
      <c r="J2059">
        <v>12</v>
      </c>
      <c r="K2059">
        <v>0</v>
      </c>
      <c r="L2059">
        <v>2022</v>
      </c>
      <c r="N2059" t="s">
        <v>47</v>
      </c>
      <c r="O2059" t="s">
        <v>47</v>
      </c>
      <c r="P2059" t="s">
        <v>5740</v>
      </c>
    </row>
    <row r="2060" spans="1:16" x14ac:dyDescent="0.3">
      <c r="A2060" t="s">
        <v>5747</v>
      </c>
      <c r="B2060" t="s">
        <v>20</v>
      </c>
      <c r="C2060">
        <v>60</v>
      </c>
      <c r="D2060" t="s">
        <v>10</v>
      </c>
      <c r="F2060" s="43">
        <v>44875.416666666664</v>
      </c>
      <c r="G2060" s="43">
        <v>44875.458333333336</v>
      </c>
      <c r="H2060">
        <v>10</v>
      </c>
      <c r="I2060">
        <v>0</v>
      </c>
      <c r="J2060">
        <v>11</v>
      </c>
      <c r="K2060">
        <v>0</v>
      </c>
      <c r="L2060">
        <v>2022</v>
      </c>
      <c r="N2060" t="s">
        <v>47</v>
      </c>
      <c r="O2060" t="s">
        <v>47</v>
      </c>
      <c r="P2060" t="s">
        <v>5748</v>
      </c>
    </row>
    <row r="2061" spans="1:16" x14ac:dyDescent="0.3">
      <c r="A2061" t="s">
        <v>8</v>
      </c>
      <c r="C2061">
        <v>60</v>
      </c>
      <c r="D2061" t="s">
        <v>10</v>
      </c>
      <c r="F2061" s="43">
        <v>44875.361111111109</v>
      </c>
      <c r="G2061" s="43">
        <v>44875.402777777781</v>
      </c>
      <c r="H2061">
        <v>8</v>
      </c>
      <c r="I2061">
        <v>40</v>
      </c>
      <c r="J2061">
        <v>9</v>
      </c>
      <c r="K2061">
        <v>40</v>
      </c>
      <c r="L2061">
        <v>2022</v>
      </c>
      <c r="N2061" t="s">
        <v>47</v>
      </c>
      <c r="O2061" t="s">
        <v>47</v>
      </c>
      <c r="P2061" t="s">
        <v>5749</v>
      </c>
    </row>
    <row r="2062" spans="1:16" x14ac:dyDescent="0.3">
      <c r="A2062" t="s">
        <v>5481</v>
      </c>
      <c r="B2062" t="s">
        <v>20</v>
      </c>
      <c r="C2062">
        <v>30</v>
      </c>
      <c r="D2062" t="s">
        <v>10</v>
      </c>
      <c r="E2062" t="s">
        <v>5</v>
      </c>
      <c r="F2062" s="43">
        <v>44875.3125</v>
      </c>
      <c r="G2062" s="43">
        <v>44875.333333333336</v>
      </c>
      <c r="H2062">
        <v>7</v>
      </c>
      <c r="I2062">
        <v>30</v>
      </c>
      <c r="J2062">
        <v>8</v>
      </c>
      <c r="K2062">
        <v>0</v>
      </c>
      <c r="L2062">
        <v>2022</v>
      </c>
      <c r="N2062" t="s">
        <v>5762</v>
      </c>
      <c r="O2062" t="s">
        <v>5483</v>
      </c>
      <c r="P2062" t="s">
        <v>5763</v>
      </c>
    </row>
    <row r="2063" spans="1:16" x14ac:dyDescent="0.3">
      <c r="A2063" t="s">
        <v>4454</v>
      </c>
      <c r="C2063">
        <v>30</v>
      </c>
      <c r="D2063" t="s">
        <v>10</v>
      </c>
      <c r="F2063" s="43">
        <v>44875.270833333336</v>
      </c>
      <c r="G2063" s="43">
        <v>44875.291666666664</v>
      </c>
      <c r="H2063">
        <v>6</v>
      </c>
      <c r="I2063">
        <v>30</v>
      </c>
      <c r="J2063">
        <v>7</v>
      </c>
      <c r="K2063">
        <v>0</v>
      </c>
      <c r="L2063">
        <v>2022</v>
      </c>
      <c r="N2063" t="s">
        <v>47</v>
      </c>
      <c r="O2063" t="s">
        <v>47</v>
      </c>
      <c r="P2063" t="s">
        <v>5758</v>
      </c>
    </row>
    <row r="2064" spans="1:16" x14ac:dyDescent="0.3">
      <c r="A2064" t="s">
        <v>2014</v>
      </c>
      <c r="C2064">
        <v>20</v>
      </c>
      <c r="D2064" t="s">
        <v>10</v>
      </c>
      <c r="F2064" s="43">
        <v>44875.239583333336</v>
      </c>
      <c r="G2064" s="43">
        <v>44875.253472222219</v>
      </c>
      <c r="H2064">
        <v>5</v>
      </c>
      <c r="I2064">
        <v>45</v>
      </c>
      <c r="J2064">
        <v>6</v>
      </c>
      <c r="K2064">
        <v>5</v>
      </c>
      <c r="L2064">
        <v>2022</v>
      </c>
      <c r="N2064" t="s">
        <v>47</v>
      </c>
      <c r="O2064" t="s">
        <v>47</v>
      </c>
      <c r="P2064" t="s">
        <v>5759</v>
      </c>
    </row>
    <row r="2065" spans="1:16" x14ac:dyDescent="0.3">
      <c r="A2065" t="s">
        <v>17</v>
      </c>
      <c r="C2065">
        <v>30</v>
      </c>
      <c r="D2065" t="s">
        <v>10</v>
      </c>
      <c r="F2065" s="43">
        <v>44875.21875</v>
      </c>
      <c r="G2065" s="43">
        <v>44875.239583333336</v>
      </c>
      <c r="H2065">
        <v>5</v>
      </c>
      <c r="I2065">
        <v>15</v>
      </c>
      <c r="J2065">
        <v>5</v>
      </c>
      <c r="K2065">
        <v>45</v>
      </c>
      <c r="L2065">
        <v>2022</v>
      </c>
      <c r="N2065" t="s">
        <v>47</v>
      </c>
      <c r="O2065" t="s">
        <v>47</v>
      </c>
      <c r="P2065" t="s">
        <v>5761</v>
      </c>
    </row>
    <row r="2066" spans="1:16" x14ac:dyDescent="0.3">
      <c r="A2066" t="s">
        <v>8</v>
      </c>
      <c r="C2066">
        <v>30</v>
      </c>
      <c r="D2066" t="s">
        <v>10</v>
      </c>
      <c r="F2066" s="43">
        <v>44875.197916666664</v>
      </c>
      <c r="G2066" s="43">
        <v>44875.21875</v>
      </c>
      <c r="H2066">
        <v>4</v>
      </c>
      <c r="I2066">
        <v>45</v>
      </c>
      <c r="J2066">
        <v>5</v>
      </c>
      <c r="K2066">
        <v>15</v>
      </c>
      <c r="L2066">
        <v>2022</v>
      </c>
      <c r="N2066" t="s">
        <v>47</v>
      </c>
      <c r="O2066" t="s">
        <v>47</v>
      </c>
      <c r="P2066" t="s">
        <v>5760</v>
      </c>
    </row>
    <row r="2067" spans="1:16" x14ac:dyDescent="0.3">
      <c r="A2067" t="s">
        <v>5536</v>
      </c>
      <c r="B2067" t="s">
        <v>20</v>
      </c>
      <c r="C2067">
        <v>60</v>
      </c>
      <c r="D2067" t="s">
        <v>10</v>
      </c>
      <c r="E2067" t="s">
        <v>501</v>
      </c>
      <c r="F2067" s="43">
        <v>44874.75</v>
      </c>
      <c r="G2067" s="43">
        <v>44874.791666666664</v>
      </c>
      <c r="H2067">
        <v>18</v>
      </c>
      <c r="I2067">
        <v>0</v>
      </c>
      <c r="J2067">
        <v>19</v>
      </c>
      <c r="K2067">
        <v>0</v>
      </c>
      <c r="L2067">
        <v>2022</v>
      </c>
      <c r="N2067" t="s">
        <v>5648</v>
      </c>
      <c r="O2067" t="s">
        <v>47</v>
      </c>
      <c r="P2067" t="s">
        <v>5649</v>
      </c>
    </row>
    <row r="2068" spans="1:16" x14ac:dyDescent="0.3">
      <c r="A2068" t="s">
        <v>8</v>
      </c>
      <c r="C2068">
        <v>60</v>
      </c>
      <c r="D2068" t="s">
        <v>10</v>
      </c>
      <c r="F2068" s="43">
        <v>44874.666666666664</v>
      </c>
      <c r="G2068" s="43">
        <v>44874.708333333336</v>
      </c>
      <c r="H2068">
        <v>16</v>
      </c>
      <c r="I2068">
        <v>0</v>
      </c>
      <c r="J2068">
        <v>17</v>
      </c>
      <c r="K2068">
        <v>0</v>
      </c>
      <c r="L2068">
        <v>2022</v>
      </c>
      <c r="N2068" t="s">
        <v>47</v>
      </c>
      <c r="O2068" t="s">
        <v>47</v>
      </c>
      <c r="P2068" t="s">
        <v>5738</v>
      </c>
    </row>
    <row r="2069" spans="1:16" x14ac:dyDescent="0.3">
      <c r="A2069" t="s">
        <v>5159</v>
      </c>
      <c r="B2069" t="s">
        <v>20</v>
      </c>
      <c r="C2069">
        <v>30</v>
      </c>
      <c r="D2069" t="s">
        <v>10</v>
      </c>
      <c r="E2069" t="s">
        <v>501</v>
      </c>
      <c r="F2069" s="43">
        <v>44874.645833333336</v>
      </c>
      <c r="G2069" s="43">
        <v>44874.666666666664</v>
      </c>
      <c r="H2069">
        <v>15</v>
      </c>
      <c r="I2069">
        <v>30</v>
      </c>
      <c r="J2069">
        <v>16</v>
      </c>
      <c r="K2069">
        <v>0</v>
      </c>
      <c r="L2069">
        <v>2022</v>
      </c>
      <c r="N2069" t="s">
        <v>5697</v>
      </c>
      <c r="O2069" t="s">
        <v>47</v>
      </c>
      <c r="P2069" t="s">
        <v>5698</v>
      </c>
    </row>
    <row r="2070" spans="1:16" x14ac:dyDescent="0.3">
      <c r="A2070" t="s">
        <v>7</v>
      </c>
      <c r="C2070">
        <v>30</v>
      </c>
      <c r="D2070" t="s">
        <v>10</v>
      </c>
      <c r="F2070" s="43">
        <v>44874.604166666664</v>
      </c>
      <c r="G2070" s="43">
        <v>44874.625</v>
      </c>
      <c r="H2070">
        <v>14</v>
      </c>
      <c r="I2070">
        <v>30</v>
      </c>
      <c r="J2070">
        <v>15</v>
      </c>
      <c r="K2070">
        <v>0</v>
      </c>
      <c r="L2070">
        <v>2022</v>
      </c>
      <c r="N2070" t="s">
        <v>47</v>
      </c>
      <c r="O2070" t="s">
        <v>47</v>
      </c>
      <c r="P2070" t="s">
        <v>5736</v>
      </c>
    </row>
    <row r="2071" spans="1:16" x14ac:dyDescent="0.3">
      <c r="A2071" t="s">
        <v>7</v>
      </c>
      <c r="C2071">
        <v>30</v>
      </c>
      <c r="D2071" t="s">
        <v>10</v>
      </c>
      <c r="F2071" s="43">
        <v>44874.604166666664</v>
      </c>
      <c r="G2071" s="43">
        <v>44874.625</v>
      </c>
      <c r="H2071">
        <v>14</v>
      </c>
      <c r="I2071">
        <v>30</v>
      </c>
      <c r="J2071">
        <v>15</v>
      </c>
      <c r="K2071">
        <v>0</v>
      </c>
      <c r="L2071">
        <v>2022</v>
      </c>
      <c r="N2071" t="s">
        <v>47</v>
      </c>
      <c r="O2071" t="s">
        <v>47</v>
      </c>
      <c r="P2071" t="s">
        <v>5737</v>
      </c>
    </row>
    <row r="2072" spans="1:16" x14ac:dyDescent="0.3">
      <c r="A2072" t="s">
        <v>24</v>
      </c>
      <c r="C2072">
        <v>30</v>
      </c>
      <c r="D2072" t="s">
        <v>10</v>
      </c>
      <c r="F2072" s="43">
        <v>44874.583333333336</v>
      </c>
      <c r="G2072" s="43">
        <v>44874.604166666664</v>
      </c>
      <c r="H2072">
        <v>14</v>
      </c>
      <c r="I2072">
        <v>0</v>
      </c>
      <c r="J2072">
        <v>14</v>
      </c>
      <c r="K2072">
        <v>30</v>
      </c>
      <c r="L2072">
        <v>2022</v>
      </c>
      <c r="N2072" t="s">
        <v>47</v>
      </c>
      <c r="O2072" t="s">
        <v>47</v>
      </c>
      <c r="P2072" t="s">
        <v>5713</v>
      </c>
    </row>
    <row r="2073" spans="1:16" x14ac:dyDescent="0.3">
      <c r="A2073" t="s">
        <v>4454</v>
      </c>
      <c r="C2073">
        <v>45</v>
      </c>
      <c r="D2073" t="s">
        <v>10</v>
      </c>
      <c r="F2073" s="43">
        <v>44874.541666666664</v>
      </c>
      <c r="G2073" s="43">
        <v>44874.572916666664</v>
      </c>
      <c r="H2073">
        <v>13</v>
      </c>
      <c r="I2073">
        <v>0</v>
      </c>
      <c r="J2073">
        <v>13</v>
      </c>
      <c r="K2073">
        <v>45</v>
      </c>
      <c r="L2073">
        <v>2022</v>
      </c>
      <c r="N2073" t="s">
        <v>47</v>
      </c>
      <c r="O2073" t="s">
        <v>47</v>
      </c>
      <c r="P2073" t="s">
        <v>5735</v>
      </c>
    </row>
    <row r="2074" spans="1:16" x14ac:dyDescent="0.3">
      <c r="A2074" t="s">
        <v>5731</v>
      </c>
      <c r="C2074">
        <v>60</v>
      </c>
      <c r="D2074" t="s">
        <v>10</v>
      </c>
      <c r="F2074" s="43">
        <v>44874.479166666664</v>
      </c>
      <c r="G2074" s="43">
        <v>44874.520833333336</v>
      </c>
      <c r="H2074">
        <v>11</v>
      </c>
      <c r="I2074">
        <v>30</v>
      </c>
      <c r="J2074">
        <v>12</v>
      </c>
      <c r="K2074">
        <v>30</v>
      </c>
      <c r="L2074">
        <v>2022</v>
      </c>
      <c r="N2074" t="s">
        <v>47</v>
      </c>
      <c r="O2074" t="s">
        <v>47</v>
      </c>
      <c r="P2074" t="s">
        <v>5732</v>
      </c>
    </row>
    <row r="2075" spans="1:16" x14ac:dyDescent="0.3">
      <c r="A2075" t="s">
        <v>2014</v>
      </c>
      <c r="C2075">
        <v>20</v>
      </c>
      <c r="D2075" t="s">
        <v>10</v>
      </c>
      <c r="F2075" s="43">
        <v>44874.458333333336</v>
      </c>
      <c r="G2075" s="43">
        <v>44874.472222222219</v>
      </c>
      <c r="H2075">
        <v>11</v>
      </c>
      <c r="I2075">
        <v>0</v>
      </c>
      <c r="J2075">
        <v>11</v>
      </c>
      <c r="K2075">
        <v>20</v>
      </c>
      <c r="L2075">
        <v>2022</v>
      </c>
      <c r="N2075" t="s">
        <v>47</v>
      </c>
      <c r="O2075" t="s">
        <v>47</v>
      </c>
      <c r="P2075" t="s">
        <v>5711</v>
      </c>
    </row>
    <row r="2076" spans="1:16" x14ac:dyDescent="0.3">
      <c r="A2076" t="s">
        <v>8</v>
      </c>
      <c r="C2076">
        <v>15</v>
      </c>
      <c r="D2076" t="s">
        <v>10</v>
      </c>
      <c r="F2076" s="43">
        <v>44874.4375</v>
      </c>
      <c r="G2076" s="43">
        <v>44874.447916666664</v>
      </c>
      <c r="H2076">
        <v>10</v>
      </c>
      <c r="I2076">
        <v>30</v>
      </c>
      <c r="J2076">
        <v>10</v>
      </c>
      <c r="K2076">
        <v>45</v>
      </c>
      <c r="L2076">
        <v>2022</v>
      </c>
      <c r="N2076" t="s">
        <v>47</v>
      </c>
      <c r="O2076" t="s">
        <v>47</v>
      </c>
      <c r="P2076" t="s">
        <v>5712</v>
      </c>
    </row>
    <row r="2077" spans="1:16" x14ac:dyDescent="0.3">
      <c r="A2077" t="s">
        <v>5720</v>
      </c>
      <c r="C2077">
        <v>30</v>
      </c>
      <c r="D2077" t="s">
        <v>10</v>
      </c>
      <c r="E2077" t="s">
        <v>5721</v>
      </c>
      <c r="F2077" s="43">
        <v>44874.416666666664</v>
      </c>
      <c r="G2077" s="43">
        <v>44874.4375</v>
      </c>
      <c r="H2077">
        <v>10</v>
      </c>
      <c r="I2077">
        <v>0</v>
      </c>
      <c r="J2077">
        <v>10</v>
      </c>
      <c r="K2077">
        <v>30</v>
      </c>
      <c r="L2077">
        <v>2022</v>
      </c>
      <c r="N2077" t="s">
        <v>1153</v>
      </c>
      <c r="O2077" t="s">
        <v>48</v>
      </c>
      <c r="P2077" t="s">
        <v>5722</v>
      </c>
    </row>
    <row r="2078" spans="1:16" x14ac:dyDescent="0.3">
      <c r="A2078" t="s">
        <v>5714</v>
      </c>
      <c r="C2078">
        <v>45</v>
      </c>
      <c r="D2078" t="s">
        <v>10</v>
      </c>
      <c r="F2078" s="43">
        <v>44874.364583333336</v>
      </c>
      <c r="G2078" s="43">
        <v>44874.395833333336</v>
      </c>
      <c r="H2078">
        <v>8</v>
      </c>
      <c r="I2078">
        <v>45</v>
      </c>
      <c r="J2078">
        <v>9</v>
      </c>
      <c r="K2078">
        <v>30</v>
      </c>
      <c r="L2078">
        <v>2022</v>
      </c>
      <c r="N2078" t="s">
        <v>47</v>
      </c>
      <c r="O2078" t="s">
        <v>47</v>
      </c>
      <c r="P2078" t="s">
        <v>5715</v>
      </c>
    </row>
    <row r="2079" spans="1:16" x14ac:dyDescent="0.3">
      <c r="A2079" t="s">
        <v>4729</v>
      </c>
      <c r="C2079">
        <v>40</v>
      </c>
      <c r="D2079" t="s">
        <v>10</v>
      </c>
      <c r="E2079" t="s">
        <v>5718</v>
      </c>
      <c r="F2079" s="43">
        <v>44874.333333333336</v>
      </c>
      <c r="G2079" s="43">
        <v>44874.361111111109</v>
      </c>
      <c r="H2079">
        <v>8</v>
      </c>
      <c r="I2079">
        <v>0</v>
      </c>
      <c r="J2079">
        <v>8</v>
      </c>
      <c r="K2079">
        <v>40</v>
      </c>
      <c r="L2079">
        <v>2022</v>
      </c>
      <c r="N2079" t="s">
        <v>974</v>
      </c>
      <c r="O2079" t="s">
        <v>975</v>
      </c>
      <c r="P2079" t="s">
        <v>5719</v>
      </c>
    </row>
    <row r="2080" spans="1:16" x14ac:dyDescent="0.3">
      <c r="A2080" t="s">
        <v>1222</v>
      </c>
      <c r="C2080">
        <v>30</v>
      </c>
      <c r="D2080" t="s">
        <v>10</v>
      </c>
      <c r="F2080" s="43">
        <v>44874.291666666664</v>
      </c>
      <c r="G2080" s="43">
        <v>44874.3125</v>
      </c>
      <c r="H2080">
        <v>7</v>
      </c>
      <c r="I2080">
        <v>0</v>
      </c>
      <c r="J2080">
        <v>7</v>
      </c>
      <c r="K2080">
        <v>30</v>
      </c>
      <c r="L2080">
        <v>2022</v>
      </c>
      <c r="N2080" t="s">
        <v>47</v>
      </c>
      <c r="O2080" t="s">
        <v>47</v>
      </c>
      <c r="P2080" t="s">
        <v>5716</v>
      </c>
    </row>
    <row r="2081" spans="1:16" x14ac:dyDescent="0.3">
      <c r="A2081" t="s">
        <v>4590</v>
      </c>
      <c r="C2081">
        <v>75</v>
      </c>
      <c r="D2081" t="s">
        <v>10</v>
      </c>
      <c r="F2081" s="43">
        <v>44874.21875</v>
      </c>
      <c r="G2081" s="43">
        <v>44874.270833333336</v>
      </c>
      <c r="H2081">
        <v>5</v>
      </c>
      <c r="I2081">
        <v>15</v>
      </c>
      <c r="J2081">
        <v>6</v>
      </c>
      <c r="K2081">
        <v>30</v>
      </c>
      <c r="L2081">
        <v>2022</v>
      </c>
      <c r="N2081" t="s">
        <v>47</v>
      </c>
      <c r="O2081" t="s">
        <v>47</v>
      </c>
      <c r="P2081" t="s">
        <v>5717</v>
      </c>
    </row>
    <row r="2082" spans="1:16" x14ac:dyDescent="0.3">
      <c r="A2082" t="s">
        <v>2014</v>
      </c>
      <c r="C2082">
        <v>30</v>
      </c>
      <c r="D2082" t="s">
        <v>10</v>
      </c>
      <c r="F2082" s="43">
        <v>44873.8125</v>
      </c>
      <c r="G2082" s="43">
        <v>44873.833333333336</v>
      </c>
      <c r="H2082">
        <v>19</v>
      </c>
      <c r="I2082">
        <v>30</v>
      </c>
      <c r="J2082">
        <v>20</v>
      </c>
      <c r="K2082">
        <v>0</v>
      </c>
      <c r="L2082">
        <v>2022</v>
      </c>
      <c r="N2082" t="s">
        <v>47</v>
      </c>
      <c r="O2082" t="s">
        <v>47</v>
      </c>
      <c r="P2082" t="s">
        <v>5723</v>
      </c>
    </row>
    <row r="2083" spans="1:16" x14ac:dyDescent="0.3">
      <c r="A2083" t="s">
        <v>4452</v>
      </c>
      <c r="C2083">
        <v>30</v>
      </c>
      <c r="D2083" t="s">
        <v>10</v>
      </c>
      <c r="F2083" s="43">
        <v>44873.791666666664</v>
      </c>
      <c r="G2083" s="43">
        <v>44873.8125</v>
      </c>
      <c r="H2083">
        <v>19</v>
      </c>
      <c r="I2083">
        <v>0</v>
      </c>
      <c r="J2083">
        <v>19</v>
      </c>
      <c r="K2083">
        <v>30</v>
      </c>
      <c r="L2083">
        <v>2022</v>
      </c>
      <c r="N2083" t="s">
        <v>47</v>
      </c>
      <c r="O2083" t="s">
        <v>47</v>
      </c>
      <c r="P2083" t="s">
        <v>5724</v>
      </c>
    </row>
    <row r="2084" spans="1:16" x14ac:dyDescent="0.3">
      <c r="A2084" t="s">
        <v>5725</v>
      </c>
      <c r="C2084">
        <v>30</v>
      </c>
      <c r="D2084" t="s">
        <v>10</v>
      </c>
      <c r="F2084" s="43">
        <v>44873.729166666664</v>
      </c>
      <c r="G2084" s="43">
        <v>44873.75</v>
      </c>
      <c r="H2084">
        <v>17</v>
      </c>
      <c r="I2084">
        <v>30</v>
      </c>
      <c r="J2084">
        <v>18</v>
      </c>
      <c r="K2084">
        <v>0</v>
      </c>
      <c r="L2084">
        <v>2022</v>
      </c>
      <c r="N2084" t="s">
        <v>47</v>
      </c>
      <c r="O2084" t="s">
        <v>47</v>
      </c>
      <c r="P2084" t="s">
        <v>5726</v>
      </c>
    </row>
    <row r="2085" spans="1:16" x14ac:dyDescent="0.3">
      <c r="A2085" t="s">
        <v>5725</v>
      </c>
      <c r="C2085">
        <v>30</v>
      </c>
      <c r="D2085" t="s">
        <v>10</v>
      </c>
      <c r="F2085" s="43">
        <v>44873.6875</v>
      </c>
      <c r="G2085" s="43">
        <v>44873.708333333336</v>
      </c>
      <c r="H2085">
        <v>16</v>
      </c>
      <c r="I2085">
        <v>30</v>
      </c>
      <c r="J2085">
        <v>17</v>
      </c>
      <c r="K2085">
        <v>0</v>
      </c>
      <c r="L2085">
        <v>2022</v>
      </c>
      <c r="N2085" t="s">
        <v>47</v>
      </c>
      <c r="O2085" t="s">
        <v>47</v>
      </c>
      <c r="P2085" t="s">
        <v>5727</v>
      </c>
    </row>
    <row r="2086" spans="1:16" x14ac:dyDescent="0.3">
      <c r="A2086" t="s">
        <v>7</v>
      </c>
      <c r="C2086">
        <v>30</v>
      </c>
      <c r="D2086" t="s">
        <v>10</v>
      </c>
      <c r="F2086" s="43">
        <v>44873.666666666664</v>
      </c>
      <c r="G2086" s="43">
        <v>44873.6875</v>
      </c>
      <c r="H2086">
        <v>16</v>
      </c>
      <c r="I2086">
        <v>0</v>
      </c>
      <c r="J2086">
        <v>16</v>
      </c>
      <c r="K2086">
        <v>30</v>
      </c>
      <c r="L2086">
        <v>2022</v>
      </c>
      <c r="N2086" t="s">
        <v>47</v>
      </c>
      <c r="O2086" t="s">
        <v>47</v>
      </c>
      <c r="P2086" t="s">
        <v>5728</v>
      </c>
    </row>
    <row r="2087" spans="1:16" x14ac:dyDescent="0.3">
      <c r="A2087" t="s">
        <v>5725</v>
      </c>
      <c r="C2087">
        <v>75</v>
      </c>
      <c r="D2087" t="s">
        <v>10</v>
      </c>
      <c r="F2087" s="43">
        <v>44873.614583333336</v>
      </c>
      <c r="G2087" s="43">
        <v>44873.666666666664</v>
      </c>
      <c r="H2087">
        <v>14</v>
      </c>
      <c r="I2087">
        <v>45</v>
      </c>
      <c r="J2087">
        <v>16</v>
      </c>
      <c r="K2087">
        <v>0</v>
      </c>
      <c r="L2087">
        <v>2022</v>
      </c>
      <c r="N2087" t="s">
        <v>47</v>
      </c>
      <c r="O2087" t="s">
        <v>47</v>
      </c>
      <c r="P2087" t="s">
        <v>5729</v>
      </c>
    </row>
    <row r="2088" spans="1:16" x14ac:dyDescent="0.3">
      <c r="A2088" t="s">
        <v>1394</v>
      </c>
      <c r="C2088">
        <v>40</v>
      </c>
      <c r="D2088" t="s">
        <v>10</v>
      </c>
      <c r="F2088" s="43">
        <v>44873.583333333336</v>
      </c>
      <c r="G2088" s="43">
        <v>44873.611111111109</v>
      </c>
      <c r="H2088">
        <v>14</v>
      </c>
      <c r="I2088">
        <v>0</v>
      </c>
      <c r="J2088">
        <v>14</v>
      </c>
      <c r="K2088">
        <v>40</v>
      </c>
      <c r="L2088">
        <v>2022</v>
      </c>
      <c r="N2088" t="s">
        <v>47</v>
      </c>
      <c r="O2088" t="s">
        <v>47</v>
      </c>
      <c r="P2088" t="s">
        <v>5730</v>
      </c>
    </row>
    <row r="2089" spans="1:16" x14ac:dyDescent="0.3">
      <c r="A2089" t="s">
        <v>8</v>
      </c>
      <c r="C2089">
        <v>60</v>
      </c>
      <c r="D2089" t="s">
        <v>10</v>
      </c>
      <c r="F2089" s="43">
        <v>44873.520833333336</v>
      </c>
      <c r="G2089" s="43">
        <v>44873.5625</v>
      </c>
      <c r="H2089">
        <v>12</v>
      </c>
      <c r="I2089">
        <v>30</v>
      </c>
      <c r="J2089">
        <v>13</v>
      </c>
      <c r="K2089">
        <v>30</v>
      </c>
      <c r="L2089">
        <v>2022</v>
      </c>
      <c r="N2089" t="s">
        <v>47</v>
      </c>
      <c r="O2089" t="s">
        <v>47</v>
      </c>
      <c r="P2089" t="s">
        <v>5710</v>
      </c>
    </row>
    <row r="2090" spans="1:16" x14ac:dyDescent="0.3">
      <c r="A2090" t="s">
        <v>5693</v>
      </c>
      <c r="C2090">
        <v>75</v>
      </c>
      <c r="D2090" t="s">
        <v>10</v>
      </c>
      <c r="F2090" s="1">
        <v>44873.447916666664</v>
      </c>
      <c r="G2090" s="1">
        <v>44873.5</v>
      </c>
      <c r="H2090">
        <v>10</v>
      </c>
      <c r="I2090">
        <v>45</v>
      </c>
      <c r="J2090">
        <v>12</v>
      </c>
      <c r="K2090">
        <v>0</v>
      </c>
      <c r="L2090">
        <v>2022</v>
      </c>
      <c r="N2090" t="s">
        <v>47</v>
      </c>
      <c r="O2090" t="s">
        <v>47</v>
      </c>
      <c r="P2090" t="s">
        <v>5694</v>
      </c>
    </row>
    <row r="2091" spans="1:16" x14ac:dyDescent="0.3">
      <c r="A2091" t="s">
        <v>4454</v>
      </c>
      <c r="C2091">
        <v>45</v>
      </c>
      <c r="D2091" t="s">
        <v>10</v>
      </c>
      <c r="F2091" s="43">
        <v>44873.416666666664</v>
      </c>
      <c r="G2091" s="43">
        <v>44873.447916666664</v>
      </c>
      <c r="H2091">
        <v>10</v>
      </c>
      <c r="I2091">
        <v>0</v>
      </c>
      <c r="J2091">
        <v>10</v>
      </c>
      <c r="K2091">
        <v>45</v>
      </c>
      <c r="L2091">
        <v>2022</v>
      </c>
      <c r="N2091" t="s">
        <v>47</v>
      </c>
      <c r="O2091" t="s">
        <v>47</v>
      </c>
      <c r="P2091" t="s">
        <v>5695</v>
      </c>
    </row>
    <row r="2092" spans="1:16" x14ac:dyDescent="0.3">
      <c r="A2092" t="s">
        <v>2145</v>
      </c>
      <c r="C2092">
        <v>20</v>
      </c>
      <c r="D2092" t="s">
        <v>10</v>
      </c>
      <c r="F2092" s="43">
        <v>44873.388888888891</v>
      </c>
      <c r="G2092" s="43">
        <v>44873.402777777781</v>
      </c>
      <c r="H2092">
        <v>9</v>
      </c>
      <c r="I2092">
        <v>20</v>
      </c>
      <c r="J2092">
        <v>9</v>
      </c>
      <c r="K2092">
        <v>40</v>
      </c>
      <c r="L2092">
        <v>2022</v>
      </c>
      <c r="N2092" t="s">
        <v>47</v>
      </c>
      <c r="O2092" t="s">
        <v>47</v>
      </c>
      <c r="P2092" t="s">
        <v>5696</v>
      </c>
    </row>
    <row r="2093" spans="1:16" x14ac:dyDescent="0.3">
      <c r="A2093" t="s">
        <v>5699</v>
      </c>
      <c r="C2093">
        <v>30</v>
      </c>
      <c r="D2093" t="s">
        <v>10</v>
      </c>
      <c r="F2093" s="43">
        <v>44873.368055555555</v>
      </c>
      <c r="G2093" s="43">
        <v>44873.388888888891</v>
      </c>
      <c r="H2093">
        <v>8</v>
      </c>
      <c r="I2093">
        <v>50</v>
      </c>
      <c r="J2093">
        <v>9</v>
      </c>
      <c r="K2093">
        <v>20</v>
      </c>
      <c r="L2093">
        <v>2022</v>
      </c>
      <c r="N2093" t="s">
        <v>47</v>
      </c>
      <c r="O2093" t="s">
        <v>47</v>
      </c>
      <c r="P2093" t="s">
        <v>5700</v>
      </c>
    </row>
    <row r="2094" spans="1:16" x14ac:dyDescent="0.3">
      <c r="A2094" t="s">
        <v>17</v>
      </c>
      <c r="C2094">
        <v>30</v>
      </c>
      <c r="D2094" t="s">
        <v>10</v>
      </c>
      <c r="F2094" s="43">
        <v>44873.291666666664</v>
      </c>
      <c r="G2094" s="43">
        <v>44873.3125</v>
      </c>
      <c r="H2094">
        <v>7</v>
      </c>
      <c r="I2094">
        <v>0</v>
      </c>
      <c r="J2094">
        <v>7</v>
      </c>
      <c r="K2094">
        <v>30</v>
      </c>
      <c r="L2094">
        <v>2022</v>
      </c>
      <c r="N2094" t="s">
        <v>47</v>
      </c>
      <c r="O2094" t="s">
        <v>47</v>
      </c>
      <c r="P2094" t="s">
        <v>5701</v>
      </c>
    </row>
    <row r="2095" spans="1:16" x14ac:dyDescent="0.3">
      <c r="A2095" t="s">
        <v>4454</v>
      </c>
      <c r="C2095">
        <v>30</v>
      </c>
      <c r="D2095" t="s">
        <v>10</v>
      </c>
      <c r="F2095" s="43">
        <v>44873.270833333336</v>
      </c>
      <c r="G2095" s="43">
        <v>44873.291666666664</v>
      </c>
      <c r="H2095">
        <v>6</v>
      </c>
      <c r="I2095">
        <v>30</v>
      </c>
      <c r="J2095">
        <v>7</v>
      </c>
      <c r="K2095">
        <v>0</v>
      </c>
      <c r="L2095">
        <v>2022</v>
      </c>
      <c r="N2095" t="s">
        <v>47</v>
      </c>
      <c r="O2095" t="s">
        <v>47</v>
      </c>
      <c r="P2095" t="s">
        <v>5702</v>
      </c>
    </row>
    <row r="2096" spans="1:16" x14ac:dyDescent="0.3">
      <c r="A2096" t="s">
        <v>5703</v>
      </c>
      <c r="C2096">
        <v>45</v>
      </c>
      <c r="D2096" t="s">
        <v>10</v>
      </c>
      <c r="F2096" s="43">
        <v>44873.197916666664</v>
      </c>
      <c r="G2096" s="43">
        <v>44873.229166666664</v>
      </c>
      <c r="H2096">
        <v>4</v>
      </c>
      <c r="I2096">
        <v>45</v>
      </c>
      <c r="J2096">
        <v>5</v>
      </c>
      <c r="K2096">
        <v>30</v>
      </c>
      <c r="L2096">
        <v>2022</v>
      </c>
      <c r="N2096" t="s">
        <v>47</v>
      </c>
      <c r="O2096" t="s">
        <v>47</v>
      </c>
      <c r="P2096" t="s">
        <v>5704</v>
      </c>
    </row>
    <row r="2097" spans="1:16" x14ac:dyDescent="0.3">
      <c r="A2097" t="s">
        <v>4519</v>
      </c>
      <c r="C2097">
        <v>55</v>
      </c>
      <c r="D2097" t="s">
        <v>10</v>
      </c>
      <c r="F2097" s="43">
        <v>44872.722222222219</v>
      </c>
      <c r="G2097" s="43">
        <v>44872.760416666664</v>
      </c>
      <c r="H2097">
        <v>17</v>
      </c>
      <c r="I2097">
        <v>20</v>
      </c>
      <c r="J2097">
        <v>18</v>
      </c>
      <c r="K2097">
        <v>15</v>
      </c>
      <c r="L2097">
        <v>2022</v>
      </c>
      <c r="N2097" t="s">
        <v>47</v>
      </c>
      <c r="O2097" t="s">
        <v>47</v>
      </c>
      <c r="P2097" t="s">
        <v>5692</v>
      </c>
    </row>
    <row r="2098" spans="1:16" x14ac:dyDescent="0.3">
      <c r="A2098" t="s">
        <v>7</v>
      </c>
      <c r="C2098">
        <v>30</v>
      </c>
      <c r="D2098" t="s">
        <v>10</v>
      </c>
      <c r="F2098" s="43">
        <v>44872.6875</v>
      </c>
      <c r="G2098" s="43">
        <v>44872.708333333336</v>
      </c>
      <c r="H2098">
        <v>16</v>
      </c>
      <c r="I2098">
        <v>30</v>
      </c>
      <c r="J2098">
        <v>17</v>
      </c>
      <c r="K2098">
        <v>0</v>
      </c>
      <c r="L2098">
        <v>2022</v>
      </c>
      <c r="N2098" t="s">
        <v>47</v>
      </c>
      <c r="O2098" t="s">
        <v>47</v>
      </c>
      <c r="P2098" t="s">
        <v>5691</v>
      </c>
    </row>
    <row r="2099" spans="1:16" x14ac:dyDescent="0.3">
      <c r="A2099" t="s">
        <v>4454</v>
      </c>
      <c r="C2099">
        <v>30</v>
      </c>
      <c r="D2099" t="s">
        <v>10</v>
      </c>
      <c r="F2099" s="43">
        <v>44872.59375</v>
      </c>
      <c r="G2099" s="43">
        <v>44872.614583333336</v>
      </c>
      <c r="H2099">
        <v>14</v>
      </c>
      <c r="I2099">
        <v>15</v>
      </c>
      <c r="J2099">
        <v>14</v>
      </c>
      <c r="K2099">
        <v>45</v>
      </c>
      <c r="L2099">
        <v>2022</v>
      </c>
      <c r="N2099" t="s">
        <v>47</v>
      </c>
      <c r="O2099" t="s">
        <v>47</v>
      </c>
      <c r="P2099" t="s">
        <v>5690</v>
      </c>
    </row>
    <row r="2100" spans="1:16" x14ac:dyDescent="0.3">
      <c r="A2100" t="s">
        <v>4519</v>
      </c>
      <c r="C2100">
        <v>30</v>
      </c>
      <c r="D2100" t="s">
        <v>10</v>
      </c>
      <c r="F2100" s="43">
        <v>44872.572916666664</v>
      </c>
      <c r="G2100" s="43">
        <v>44872.59375</v>
      </c>
      <c r="H2100">
        <v>13</v>
      </c>
      <c r="I2100">
        <v>45</v>
      </c>
      <c r="J2100">
        <v>14</v>
      </c>
      <c r="K2100">
        <v>15</v>
      </c>
      <c r="L2100">
        <v>2022</v>
      </c>
      <c r="N2100" t="s">
        <v>47</v>
      </c>
      <c r="O2100" t="s">
        <v>47</v>
      </c>
      <c r="P2100" t="s">
        <v>5689</v>
      </c>
    </row>
    <row r="2101" spans="1:16" x14ac:dyDescent="0.3">
      <c r="A2101" t="s">
        <v>5687</v>
      </c>
      <c r="C2101">
        <v>45</v>
      </c>
      <c r="D2101" t="s">
        <v>10</v>
      </c>
      <c r="F2101" s="43">
        <v>44872.541666666664</v>
      </c>
      <c r="G2101" s="43">
        <v>44872.572916666664</v>
      </c>
      <c r="H2101">
        <v>13</v>
      </c>
      <c r="I2101">
        <v>0</v>
      </c>
      <c r="J2101">
        <v>13</v>
      </c>
      <c r="K2101">
        <v>45</v>
      </c>
      <c r="L2101">
        <v>2022</v>
      </c>
      <c r="N2101" t="s">
        <v>47</v>
      </c>
      <c r="O2101" t="s">
        <v>47</v>
      </c>
      <c r="P2101" t="s">
        <v>5688</v>
      </c>
    </row>
    <row r="2102" spans="1:16" x14ac:dyDescent="0.3">
      <c r="A2102" t="s">
        <v>5600</v>
      </c>
      <c r="B2102" t="s">
        <v>20</v>
      </c>
      <c r="C2102">
        <v>45</v>
      </c>
      <c r="D2102" t="s">
        <v>10</v>
      </c>
      <c r="E2102" t="s">
        <v>5</v>
      </c>
      <c r="F2102" s="43">
        <v>44872.479166666664</v>
      </c>
      <c r="G2102" s="43">
        <v>44872.510416666664</v>
      </c>
      <c r="H2102">
        <v>11</v>
      </c>
      <c r="I2102">
        <v>30</v>
      </c>
      <c r="J2102">
        <v>12</v>
      </c>
      <c r="K2102">
        <v>15</v>
      </c>
      <c r="L2102">
        <v>2022</v>
      </c>
      <c r="N2102" t="s">
        <v>5608</v>
      </c>
      <c r="O2102" t="s">
        <v>956</v>
      </c>
      <c r="P2102" t="s">
        <v>5609</v>
      </c>
    </row>
    <row r="2103" spans="1:16" x14ac:dyDescent="0.3">
      <c r="A2103" t="s">
        <v>416</v>
      </c>
      <c r="B2103" t="s">
        <v>20</v>
      </c>
      <c r="C2103">
        <v>30</v>
      </c>
      <c r="D2103" t="s">
        <v>10</v>
      </c>
      <c r="E2103" t="s">
        <v>501</v>
      </c>
      <c r="F2103" s="43">
        <v>44872.458333333336</v>
      </c>
      <c r="G2103" s="43">
        <v>44872.479166666664</v>
      </c>
      <c r="H2103">
        <v>11</v>
      </c>
      <c r="I2103">
        <v>0</v>
      </c>
      <c r="J2103">
        <v>11</v>
      </c>
      <c r="K2103">
        <v>30</v>
      </c>
      <c r="L2103">
        <v>2022</v>
      </c>
      <c r="N2103" t="s">
        <v>5650</v>
      </c>
      <c r="O2103" t="s">
        <v>47</v>
      </c>
      <c r="P2103" t="s">
        <v>5651</v>
      </c>
    </row>
    <row r="2104" spans="1:16" x14ac:dyDescent="0.3">
      <c r="A2104" t="s">
        <v>17</v>
      </c>
      <c r="C2104">
        <v>15</v>
      </c>
      <c r="D2104" t="s">
        <v>10</v>
      </c>
      <c r="F2104" s="43">
        <v>44872.4375</v>
      </c>
      <c r="G2104" s="43">
        <v>44872.447916666664</v>
      </c>
      <c r="H2104">
        <v>10</v>
      </c>
      <c r="I2104">
        <v>30</v>
      </c>
      <c r="J2104">
        <v>10</v>
      </c>
      <c r="K2104">
        <v>45</v>
      </c>
      <c r="L2104">
        <v>2022</v>
      </c>
      <c r="N2104" t="s">
        <v>47</v>
      </c>
      <c r="O2104" t="s">
        <v>47</v>
      </c>
      <c r="P2104" t="s">
        <v>5684</v>
      </c>
    </row>
    <row r="2105" spans="1:16" x14ac:dyDescent="0.3">
      <c r="A2105" t="s">
        <v>5481</v>
      </c>
      <c r="B2105" t="s">
        <v>20</v>
      </c>
      <c r="C2105">
        <v>30</v>
      </c>
      <c r="D2105" t="s">
        <v>10</v>
      </c>
      <c r="E2105" t="s">
        <v>5</v>
      </c>
      <c r="F2105" s="43">
        <v>44872.416666666664</v>
      </c>
      <c r="G2105" s="43">
        <v>44872.4375</v>
      </c>
      <c r="H2105">
        <v>10</v>
      </c>
      <c r="I2105">
        <v>0</v>
      </c>
      <c r="J2105">
        <v>10</v>
      </c>
      <c r="K2105">
        <v>30</v>
      </c>
      <c r="L2105">
        <v>2022</v>
      </c>
      <c r="N2105" t="s">
        <v>5482</v>
      </c>
      <c r="O2105" t="s">
        <v>5483</v>
      </c>
      <c r="P2105" t="s">
        <v>5484</v>
      </c>
    </row>
    <row r="2106" spans="1:16" x14ac:dyDescent="0.3">
      <c r="A2106" t="s">
        <v>4214</v>
      </c>
      <c r="C2106">
        <v>45</v>
      </c>
      <c r="D2106" t="s">
        <v>10</v>
      </c>
      <c r="F2106" s="43">
        <v>44872.364583333336</v>
      </c>
      <c r="G2106" s="43">
        <v>44872.395833333336</v>
      </c>
      <c r="H2106">
        <v>8</v>
      </c>
      <c r="I2106">
        <v>45</v>
      </c>
      <c r="J2106">
        <v>9</v>
      </c>
      <c r="K2106">
        <v>30</v>
      </c>
      <c r="L2106">
        <v>2022</v>
      </c>
      <c r="N2106" t="s">
        <v>47</v>
      </c>
      <c r="O2106" t="s">
        <v>47</v>
      </c>
      <c r="P2106" t="s">
        <v>5683</v>
      </c>
    </row>
    <row r="2107" spans="1:16" x14ac:dyDescent="0.3">
      <c r="A2107" t="s">
        <v>1222</v>
      </c>
      <c r="C2107">
        <v>30</v>
      </c>
      <c r="D2107" t="s">
        <v>10</v>
      </c>
      <c r="F2107" s="43">
        <v>44872.34375</v>
      </c>
      <c r="G2107" s="43">
        <v>44872.364583333336</v>
      </c>
      <c r="H2107">
        <v>8</v>
      </c>
      <c r="I2107">
        <v>15</v>
      </c>
      <c r="J2107">
        <v>8</v>
      </c>
      <c r="K2107">
        <v>45</v>
      </c>
      <c r="L2107">
        <v>2022</v>
      </c>
      <c r="N2107" t="s">
        <v>47</v>
      </c>
      <c r="O2107" t="s">
        <v>47</v>
      </c>
      <c r="P2107" t="s">
        <v>5673</v>
      </c>
    </row>
    <row r="2108" spans="1:16" x14ac:dyDescent="0.3">
      <c r="A2108" t="s">
        <v>5674</v>
      </c>
      <c r="C2108">
        <v>15</v>
      </c>
      <c r="D2108" t="s">
        <v>10</v>
      </c>
      <c r="F2108" s="43">
        <v>44872.3125</v>
      </c>
      <c r="G2108" s="43">
        <v>44872.322916666664</v>
      </c>
      <c r="H2108">
        <v>7</v>
      </c>
      <c r="I2108">
        <v>30</v>
      </c>
      <c r="J2108">
        <v>7</v>
      </c>
      <c r="K2108">
        <v>45</v>
      </c>
      <c r="L2108">
        <v>2022</v>
      </c>
      <c r="N2108" t="s">
        <v>47</v>
      </c>
      <c r="O2108" t="s">
        <v>47</v>
      </c>
      <c r="P2108" t="s">
        <v>5675</v>
      </c>
    </row>
    <row r="2109" spans="1:16" x14ac:dyDescent="0.3">
      <c r="A2109" t="s">
        <v>4454</v>
      </c>
      <c r="C2109">
        <v>46</v>
      </c>
      <c r="D2109" t="s">
        <v>10</v>
      </c>
      <c r="F2109" s="43">
        <v>44872.270833333336</v>
      </c>
      <c r="G2109" s="43">
        <v>44872.302777777775</v>
      </c>
      <c r="H2109">
        <v>6</v>
      </c>
      <c r="I2109">
        <v>30</v>
      </c>
      <c r="J2109">
        <v>7</v>
      </c>
      <c r="K2109">
        <v>16</v>
      </c>
      <c r="L2109">
        <v>2022</v>
      </c>
      <c r="N2109" t="s">
        <v>47</v>
      </c>
      <c r="O2109" t="s">
        <v>47</v>
      </c>
      <c r="P2109" t="s">
        <v>5676</v>
      </c>
    </row>
    <row r="2110" spans="1:16" x14ac:dyDescent="0.3">
      <c r="A2110" t="s">
        <v>5677</v>
      </c>
      <c r="C2110">
        <v>60</v>
      </c>
      <c r="D2110" t="s">
        <v>10</v>
      </c>
      <c r="F2110" s="43">
        <v>44872.1875</v>
      </c>
      <c r="G2110" s="43">
        <v>44872.229166666664</v>
      </c>
      <c r="H2110">
        <v>4</v>
      </c>
      <c r="I2110">
        <v>30</v>
      </c>
      <c r="J2110">
        <v>5</v>
      </c>
      <c r="K2110">
        <v>30</v>
      </c>
      <c r="L2110">
        <v>2022</v>
      </c>
      <c r="N2110" t="s">
        <v>47</v>
      </c>
      <c r="O2110" t="s">
        <v>47</v>
      </c>
      <c r="P2110" t="s">
        <v>5678</v>
      </c>
    </row>
    <row r="2111" spans="1:16" x14ac:dyDescent="0.3">
      <c r="A2111" t="s">
        <v>1011</v>
      </c>
      <c r="C2111">
        <v>45</v>
      </c>
      <c r="D2111" t="s">
        <v>10</v>
      </c>
      <c r="F2111" s="43">
        <v>44871.75</v>
      </c>
      <c r="G2111" s="43">
        <v>44871.78125</v>
      </c>
      <c r="H2111">
        <v>18</v>
      </c>
      <c r="I2111">
        <v>0</v>
      </c>
      <c r="J2111">
        <v>18</v>
      </c>
      <c r="K2111">
        <v>45</v>
      </c>
      <c r="L2111">
        <v>2022</v>
      </c>
      <c r="N2111" t="s">
        <v>47</v>
      </c>
      <c r="O2111" t="s">
        <v>47</v>
      </c>
      <c r="P2111" t="s">
        <v>5679</v>
      </c>
    </row>
    <row r="2112" spans="1:16" x14ac:dyDescent="0.3">
      <c r="A2112" t="s">
        <v>5680</v>
      </c>
      <c r="C2112">
        <v>60</v>
      </c>
      <c r="D2112" t="s">
        <v>10</v>
      </c>
      <c r="F2112" s="43">
        <v>44871.666666666664</v>
      </c>
      <c r="G2112" s="43">
        <v>44871.708333333336</v>
      </c>
      <c r="H2112">
        <v>16</v>
      </c>
      <c r="I2112">
        <v>0</v>
      </c>
      <c r="J2112">
        <v>17</v>
      </c>
      <c r="K2112">
        <v>0</v>
      </c>
      <c r="L2112">
        <v>2022</v>
      </c>
      <c r="N2112" t="s">
        <v>47</v>
      </c>
      <c r="O2112" t="s">
        <v>47</v>
      </c>
      <c r="P2112" t="s">
        <v>5681</v>
      </c>
    </row>
    <row r="2113" spans="1:16" x14ac:dyDescent="0.3">
      <c r="A2113" t="s">
        <v>4454</v>
      </c>
      <c r="C2113">
        <v>55</v>
      </c>
      <c r="D2113" t="s">
        <v>10</v>
      </c>
      <c r="F2113" s="43">
        <v>44871.59375</v>
      </c>
      <c r="G2113" s="43">
        <v>44871.631944444445</v>
      </c>
      <c r="H2113">
        <v>14</v>
      </c>
      <c r="I2113">
        <v>15</v>
      </c>
      <c r="J2113">
        <v>15</v>
      </c>
      <c r="K2113">
        <v>10</v>
      </c>
      <c r="L2113">
        <v>2022</v>
      </c>
      <c r="N2113" t="s">
        <v>47</v>
      </c>
      <c r="O2113" t="s">
        <v>47</v>
      </c>
      <c r="P2113" t="s">
        <v>5682</v>
      </c>
    </row>
    <row r="2114" spans="1:16" x14ac:dyDescent="0.3">
      <c r="A2114" t="s">
        <v>5670</v>
      </c>
      <c r="C2114">
        <v>23</v>
      </c>
      <c r="D2114" t="s">
        <v>10</v>
      </c>
      <c r="F2114" s="43">
        <v>44871.541666666664</v>
      </c>
      <c r="G2114" s="43">
        <v>44871.557638888888</v>
      </c>
      <c r="H2114">
        <v>13</v>
      </c>
      <c r="I2114">
        <v>0</v>
      </c>
      <c r="J2114">
        <v>13</v>
      </c>
      <c r="K2114">
        <v>23</v>
      </c>
      <c r="L2114">
        <v>2022</v>
      </c>
      <c r="N2114" t="s">
        <v>47</v>
      </c>
      <c r="O2114" t="s">
        <v>47</v>
      </c>
      <c r="P2114" t="s">
        <v>5672</v>
      </c>
    </row>
    <row r="2115" spans="1:16" x14ac:dyDescent="0.3">
      <c r="A2115" t="s">
        <v>5670</v>
      </c>
      <c r="C2115">
        <v>45</v>
      </c>
      <c r="D2115" t="s">
        <v>10</v>
      </c>
      <c r="F2115" s="43">
        <v>44871.5</v>
      </c>
      <c r="G2115" s="43">
        <v>44871.53125</v>
      </c>
      <c r="H2115">
        <v>12</v>
      </c>
      <c r="I2115">
        <v>0</v>
      </c>
      <c r="J2115">
        <v>12</v>
      </c>
      <c r="K2115">
        <v>45</v>
      </c>
      <c r="L2115">
        <v>2022</v>
      </c>
      <c r="N2115" t="s">
        <v>47</v>
      </c>
      <c r="O2115" t="s">
        <v>47</v>
      </c>
      <c r="P2115" t="s">
        <v>5671</v>
      </c>
    </row>
    <row r="2116" spans="1:16" x14ac:dyDescent="0.3">
      <c r="A2116" t="s">
        <v>5668</v>
      </c>
      <c r="C2116">
        <v>45</v>
      </c>
      <c r="D2116" t="s">
        <v>10</v>
      </c>
      <c r="F2116" s="43">
        <v>44871.4375</v>
      </c>
      <c r="G2116" s="43">
        <v>44871.46875</v>
      </c>
      <c r="H2116">
        <v>10</v>
      </c>
      <c r="I2116">
        <v>30</v>
      </c>
      <c r="J2116">
        <v>11</v>
      </c>
      <c r="K2116">
        <v>15</v>
      </c>
      <c r="L2116">
        <v>2022</v>
      </c>
      <c r="N2116" t="s">
        <v>47</v>
      </c>
      <c r="O2116" t="s">
        <v>47</v>
      </c>
      <c r="P2116" t="s">
        <v>5669</v>
      </c>
    </row>
    <row r="2117" spans="1:16" x14ac:dyDescent="0.3">
      <c r="A2117" t="s">
        <v>4865</v>
      </c>
      <c r="C2117">
        <v>45</v>
      </c>
      <c r="D2117" t="s">
        <v>10</v>
      </c>
      <c r="F2117" s="43">
        <v>44871.229166666664</v>
      </c>
      <c r="G2117" s="43">
        <v>44871.260416666664</v>
      </c>
      <c r="H2117">
        <v>5</v>
      </c>
      <c r="I2117">
        <v>30</v>
      </c>
      <c r="J2117">
        <v>6</v>
      </c>
      <c r="K2117">
        <v>15</v>
      </c>
      <c r="L2117">
        <v>2022</v>
      </c>
      <c r="N2117" t="s">
        <v>47</v>
      </c>
      <c r="O2117" t="s">
        <v>47</v>
      </c>
      <c r="P2117" t="s">
        <v>5667</v>
      </c>
    </row>
    <row r="2118" spans="1:16" x14ac:dyDescent="0.3">
      <c r="A2118" t="s">
        <v>1394</v>
      </c>
      <c r="C2118">
        <v>30</v>
      </c>
      <c r="D2118" t="s">
        <v>10</v>
      </c>
      <c r="F2118" s="43">
        <v>44870.5625</v>
      </c>
      <c r="G2118" s="43">
        <v>44870.583333333336</v>
      </c>
      <c r="H2118">
        <v>13</v>
      </c>
      <c r="I2118">
        <v>30</v>
      </c>
      <c r="J2118">
        <v>14</v>
      </c>
      <c r="K2118">
        <v>0</v>
      </c>
      <c r="L2118">
        <v>2022</v>
      </c>
      <c r="N2118" t="s">
        <v>47</v>
      </c>
      <c r="O2118" t="s">
        <v>47</v>
      </c>
      <c r="P2118" t="s">
        <v>5666</v>
      </c>
    </row>
    <row r="2119" spans="1:16" x14ac:dyDescent="0.3">
      <c r="A2119" t="s">
        <v>5654</v>
      </c>
      <c r="C2119">
        <v>60</v>
      </c>
      <c r="D2119" t="s">
        <v>10</v>
      </c>
      <c r="F2119" s="43">
        <v>44870.5</v>
      </c>
      <c r="G2119" s="43">
        <v>44870.541666666664</v>
      </c>
      <c r="H2119">
        <v>12</v>
      </c>
      <c r="I2119">
        <v>0</v>
      </c>
      <c r="J2119">
        <v>13</v>
      </c>
      <c r="K2119">
        <v>0</v>
      </c>
      <c r="L2119">
        <v>2022</v>
      </c>
      <c r="N2119" t="s">
        <v>47</v>
      </c>
      <c r="O2119" t="s">
        <v>47</v>
      </c>
      <c r="P2119" t="s">
        <v>5655</v>
      </c>
    </row>
    <row r="2120" spans="1:16" x14ac:dyDescent="0.3">
      <c r="A2120" t="s">
        <v>5656</v>
      </c>
      <c r="C2120">
        <v>45</v>
      </c>
      <c r="D2120" t="s">
        <v>10</v>
      </c>
      <c r="F2120" s="43">
        <v>44870.447916666664</v>
      </c>
      <c r="G2120" s="43">
        <v>44870.479166666664</v>
      </c>
      <c r="H2120">
        <v>10</v>
      </c>
      <c r="I2120">
        <v>45</v>
      </c>
      <c r="J2120">
        <v>11</v>
      </c>
      <c r="K2120">
        <v>30</v>
      </c>
      <c r="L2120">
        <v>2022</v>
      </c>
      <c r="N2120" t="s">
        <v>47</v>
      </c>
      <c r="O2120" t="s">
        <v>47</v>
      </c>
      <c r="P2120" t="s">
        <v>5657</v>
      </c>
    </row>
    <row r="2121" spans="1:16" x14ac:dyDescent="0.3">
      <c r="A2121" t="s">
        <v>5658</v>
      </c>
      <c r="C2121">
        <v>45</v>
      </c>
      <c r="D2121" t="s">
        <v>10</v>
      </c>
      <c r="F2121" s="43">
        <v>44870.364583333336</v>
      </c>
      <c r="G2121" s="43">
        <v>44870.395833333336</v>
      </c>
      <c r="H2121">
        <v>8</v>
      </c>
      <c r="I2121">
        <v>45</v>
      </c>
      <c r="J2121">
        <v>9</v>
      </c>
      <c r="K2121">
        <v>30</v>
      </c>
      <c r="L2121">
        <v>2022</v>
      </c>
      <c r="N2121" t="s">
        <v>47</v>
      </c>
      <c r="O2121" t="s">
        <v>47</v>
      </c>
      <c r="P2121" t="s">
        <v>5659</v>
      </c>
    </row>
    <row r="2122" spans="1:16" x14ac:dyDescent="0.3">
      <c r="A2122" t="s">
        <v>5660</v>
      </c>
      <c r="C2122">
        <v>30</v>
      </c>
      <c r="D2122" t="s">
        <v>10</v>
      </c>
      <c r="F2122" s="43">
        <v>44869.833333333336</v>
      </c>
      <c r="G2122" s="43">
        <v>44869.854166666664</v>
      </c>
      <c r="H2122">
        <v>20</v>
      </c>
      <c r="I2122">
        <v>0</v>
      </c>
      <c r="J2122">
        <v>20</v>
      </c>
      <c r="K2122">
        <v>30</v>
      </c>
      <c r="L2122">
        <v>2022</v>
      </c>
      <c r="N2122" t="s">
        <v>47</v>
      </c>
      <c r="O2122" t="s">
        <v>47</v>
      </c>
      <c r="P2122" t="s">
        <v>5661</v>
      </c>
    </row>
    <row r="2123" spans="1:16" x14ac:dyDescent="0.3">
      <c r="A2123" t="s">
        <v>5662</v>
      </c>
      <c r="C2123">
        <v>60</v>
      </c>
      <c r="D2123" t="s">
        <v>10</v>
      </c>
      <c r="F2123" s="43">
        <v>44869.75</v>
      </c>
      <c r="G2123" s="43">
        <v>44869.791666666664</v>
      </c>
      <c r="H2123">
        <v>18</v>
      </c>
      <c r="I2123">
        <v>0</v>
      </c>
      <c r="J2123">
        <v>19</v>
      </c>
      <c r="K2123">
        <v>0</v>
      </c>
      <c r="L2123">
        <v>2022</v>
      </c>
      <c r="N2123" t="s">
        <v>47</v>
      </c>
      <c r="O2123" t="s">
        <v>47</v>
      </c>
      <c r="P2123" t="s">
        <v>5663</v>
      </c>
    </row>
    <row r="2124" spans="1:16" x14ac:dyDescent="0.3">
      <c r="A2124" t="s">
        <v>4452</v>
      </c>
      <c r="C2124">
        <v>20</v>
      </c>
      <c r="D2124" t="s">
        <v>10</v>
      </c>
      <c r="F2124" s="43">
        <v>44869.708333333336</v>
      </c>
      <c r="G2124" s="43">
        <v>44869.722222222219</v>
      </c>
      <c r="H2124">
        <v>17</v>
      </c>
      <c r="I2124">
        <v>0</v>
      </c>
      <c r="J2124">
        <v>17</v>
      </c>
      <c r="K2124">
        <v>20</v>
      </c>
      <c r="L2124">
        <v>2022</v>
      </c>
      <c r="N2124" t="s">
        <v>47</v>
      </c>
      <c r="O2124" t="s">
        <v>47</v>
      </c>
      <c r="P2124" t="s">
        <v>5664</v>
      </c>
    </row>
    <row r="2125" spans="1:16" x14ac:dyDescent="0.3">
      <c r="A2125" t="s">
        <v>8</v>
      </c>
      <c r="C2125">
        <v>45</v>
      </c>
      <c r="D2125" t="s">
        <v>10</v>
      </c>
      <c r="F2125" s="43">
        <v>44869.666666666664</v>
      </c>
      <c r="G2125" s="43">
        <v>44869.697916666664</v>
      </c>
      <c r="H2125">
        <v>16</v>
      </c>
      <c r="I2125">
        <v>0</v>
      </c>
      <c r="J2125">
        <v>16</v>
      </c>
      <c r="K2125">
        <v>45</v>
      </c>
      <c r="L2125">
        <v>2022</v>
      </c>
      <c r="N2125" t="s">
        <v>47</v>
      </c>
      <c r="O2125" t="s">
        <v>47</v>
      </c>
      <c r="P2125" t="s">
        <v>5665</v>
      </c>
    </row>
    <row r="2126" spans="1:16" x14ac:dyDescent="0.3">
      <c r="A2126" t="s">
        <v>5652</v>
      </c>
      <c r="C2126">
        <v>82</v>
      </c>
      <c r="D2126" t="s">
        <v>10</v>
      </c>
      <c r="F2126" s="1">
        <v>44869.541666666664</v>
      </c>
      <c r="G2126" s="1">
        <v>44869.598611111112</v>
      </c>
      <c r="H2126">
        <v>13</v>
      </c>
      <c r="I2126">
        <v>0</v>
      </c>
      <c r="J2126">
        <v>14</v>
      </c>
      <c r="K2126">
        <v>22</v>
      </c>
      <c r="L2126">
        <v>2022</v>
      </c>
      <c r="N2126" t="s">
        <v>47</v>
      </c>
      <c r="O2126" t="s">
        <v>47</v>
      </c>
      <c r="P2126" t="s">
        <v>5653</v>
      </c>
    </row>
    <row r="2127" spans="1:16" x14ac:dyDescent="0.3">
      <c r="A2127" t="s">
        <v>5636</v>
      </c>
      <c r="C2127">
        <v>30</v>
      </c>
      <c r="D2127" t="s">
        <v>10</v>
      </c>
      <c r="E2127" t="s">
        <v>21</v>
      </c>
      <c r="F2127" s="43">
        <v>44869.5</v>
      </c>
      <c r="G2127" s="43">
        <v>44869.520833333336</v>
      </c>
      <c r="H2127">
        <v>12</v>
      </c>
      <c r="I2127">
        <v>0</v>
      </c>
      <c r="J2127">
        <v>12</v>
      </c>
      <c r="K2127">
        <v>30</v>
      </c>
      <c r="L2127">
        <v>2022</v>
      </c>
      <c r="N2127" t="s">
        <v>55</v>
      </c>
      <c r="O2127" t="s">
        <v>50</v>
      </c>
      <c r="P2127" t="s">
        <v>5637</v>
      </c>
    </row>
    <row r="2128" spans="1:16" x14ac:dyDescent="0.3">
      <c r="A2128" t="s">
        <v>5634</v>
      </c>
      <c r="C2128">
        <v>30</v>
      </c>
      <c r="D2128" t="s">
        <v>10</v>
      </c>
      <c r="F2128" s="43">
        <v>44869.479166666664</v>
      </c>
      <c r="G2128" s="43">
        <v>44869.5</v>
      </c>
      <c r="H2128">
        <v>11</v>
      </c>
      <c r="I2128">
        <v>30</v>
      </c>
      <c r="J2128">
        <v>12</v>
      </c>
      <c r="K2128">
        <v>0</v>
      </c>
      <c r="L2128">
        <v>2022</v>
      </c>
      <c r="N2128" t="s">
        <v>47</v>
      </c>
      <c r="O2128" t="s">
        <v>47</v>
      </c>
      <c r="P2128" t="s">
        <v>5635</v>
      </c>
    </row>
    <row r="2129" spans="1:16" x14ac:dyDescent="0.3">
      <c r="A2129" t="s">
        <v>5640</v>
      </c>
      <c r="C2129">
        <v>45</v>
      </c>
      <c r="D2129" t="s">
        <v>10</v>
      </c>
      <c r="E2129" t="s">
        <v>501</v>
      </c>
      <c r="F2129" s="43">
        <v>44869.385416666664</v>
      </c>
      <c r="G2129" s="43">
        <v>44869.416666666664</v>
      </c>
      <c r="H2129">
        <v>9</v>
      </c>
      <c r="I2129">
        <v>15</v>
      </c>
      <c r="J2129">
        <v>10</v>
      </c>
      <c r="K2129">
        <v>0</v>
      </c>
      <c r="L2129">
        <v>2022</v>
      </c>
      <c r="N2129" t="s">
        <v>5641</v>
      </c>
      <c r="O2129" t="s">
        <v>47</v>
      </c>
      <c r="P2129" t="s">
        <v>5642</v>
      </c>
    </row>
    <row r="2130" spans="1:16" x14ac:dyDescent="0.3">
      <c r="A2130" t="s">
        <v>5541</v>
      </c>
      <c r="C2130">
        <v>30</v>
      </c>
      <c r="D2130" t="s">
        <v>10</v>
      </c>
      <c r="E2130" t="s">
        <v>5542</v>
      </c>
      <c r="F2130" s="43">
        <v>44869.354166666664</v>
      </c>
      <c r="G2130" s="43">
        <v>44869.375</v>
      </c>
      <c r="H2130">
        <v>8</v>
      </c>
      <c r="I2130">
        <v>30</v>
      </c>
      <c r="J2130">
        <v>9</v>
      </c>
      <c r="K2130">
        <v>0</v>
      </c>
      <c r="L2130">
        <v>2022</v>
      </c>
      <c r="N2130" t="s">
        <v>5543</v>
      </c>
      <c r="O2130" t="s">
        <v>48</v>
      </c>
      <c r="P2130" t="s">
        <v>5544</v>
      </c>
    </row>
    <row r="2131" spans="1:16" x14ac:dyDescent="0.3">
      <c r="A2131" t="s">
        <v>5638</v>
      </c>
      <c r="C2131">
        <v>80</v>
      </c>
      <c r="D2131" t="s">
        <v>10</v>
      </c>
      <c r="F2131" s="43">
        <v>44869.229166666664</v>
      </c>
      <c r="G2131" s="43">
        <v>44869.284722222219</v>
      </c>
      <c r="H2131">
        <v>5</v>
      </c>
      <c r="I2131">
        <v>30</v>
      </c>
      <c r="J2131">
        <v>6</v>
      </c>
      <c r="K2131">
        <v>50</v>
      </c>
      <c r="L2131">
        <v>2022</v>
      </c>
      <c r="N2131" t="s">
        <v>47</v>
      </c>
      <c r="O2131" t="s">
        <v>47</v>
      </c>
      <c r="P2131" t="s">
        <v>5639</v>
      </c>
    </row>
    <row r="2132" spans="1:16" x14ac:dyDescent="0.3">
      <c r="A2132" t="s">
        <v>5610</v>
      </c>
      <c r="C2132">
        <v>60</v>
      </c>
      <c r="D2132" t="s">
        <v>256</v>
      </c>
      <c r="E2132" t="s">
        <v>501</v>
      </c>
      <c r="F2132" s="43">
        <v>44869</v>
      </c>
      <c r="G2132" s="43">
        <v>45037</v>
      </c>
      <c r="H2132">
        <v>9</v>
      </c>
      <c r="I2132">
        <v>0</v>
      </c>
      <c r="J2132">
        <v>10</v>
      </c>
      <c r="K2132">
        <v>0</v>
      </c>
      <c r="L2132">
        <v>2022</v>
      </c>
      <c r="N2132" t="s">
        <v>5611</v>
      </c>
      <c r="O2132" t="s">
        <v>47</v>
      </c>
      <c r="P2132" t="s">
        <v>5612</v>
      </c>
    </row>
    <row r="2133" spans="1:16" x14ac:dyDescent="0.3">
      <c r="A2133" t="s">
        <v>5643</v>
      </c>
      <c r="C2133">
        <v>30</v>
      </c>
      <c r="D2133" t="s">
        <v>10</v>
      </c>
      <c r="F2133" s="43">
        <v>44868.798611111109</v>
      </c>
      <c r="G2133" s="43">
        <v>44868.819444444445</v>
      </c>
      <c r="H2133">
        <v>19</v>
      </c>
      <c r="I2133">
        <v>10</v>
      </c>
      <c r="J2133">
        <v>19</v>
      </c>
      <c r="K2133">
        <v>40</v>
      </c>
      <c r="L2133">
        <v>2022</v>
      </c>
      <c r="N2133" t="s">
        <v>47</v>
      </c>
      <c r="O2133" t="s">
        <v>47</v>
      </c>
      <c r="P2133" t="s">
        <v>5644</v>
      </c>
    </row>
    <row r="2134" spans="1:16" x14ac:dyDescent="0.3">
      <c r="A2134" t="s">
        <v>5645</v>
      </c>
      <c r="C2134">
        <v>30</v>
      </c>
      <c r="D2134" t="s">
        <v>10</v>
      </c>
      <c r="F2134" s="43">
        <v>44868.729166666664</v>
      </c>
      <c r="G2134" s="43">
        <v>44868.75</v>
      </c>
      <c r="H2134">
        <v>17</v>
      </c>
      <c r="I2134">
        <v>30</v>
      </c>
      <c r="J2134">
        <v>18</v>
      </c>
      <c r="K2134">
        <v>0</v>
      </c>
      <c r="L2134">
        <v>2022</v>
      </c>
      <c r="O2134" t="s">
        <v>47</v>
      </c>
      <c r="P2134" t="s">
        <v>5646</v>
      </c>
    </row>
    <row r="2135" spans="1:16" x14ac:dyDescent="0.3">
      <c r="A2135" t="s">
        <v>8</v>
      </c>
      <c r="C2135">
        <v>30</v>
      </c>
      <c r="D2135" t="s">
        <v>10</v>
      </c>
      <c r="F2135" s="43">
        <v>44868.729166666664</v>
      </c>
      <c r="G2135" s="43">
        <v>44868.75</v>
      </c>
      <c r="H2135">
        <v>17</v>
      </c>
      <c r="I2135">
        <v>30</v>
      </c>
      <c r="J2135">
        <v>18</v>
      </c>
      <c r="K2135">
        <v>0</v>
      </c>
      <c r="L2135">
        <v>2022</v>
      </c>
      <c r="N2135" t="s">
        <v>47</v>
      </c>
      <c r="O2135" t="s">
        <v>47</v>
      </c>
      <c r="P2135" t="s">
        <v>5647</v>
      </c>
    </row>
    <row r="2136" spans="1:16" x14ac:dyDescent="0.3">
      <c r="A2136" t="s">
        <v>4220</v>
      </c>
      <c r="C2136">
        <v>30</v>
      </c>
      <c r="D2136" t="s">
        <v>10</v>
      </c>
      <c r="F2136" s="43">
        <v>44868.6875</v>
      </c>
      <c r="G2136" s="43">
        <v>44868.708333333336</v>
      </c>
      <c r="H2136">
        <v>16</v>
      </c>
      <c r="I2136">
        <v>30</v>
      </c>
      <c r="J2136">
        <v>17</v>
      </c>
      <c r="K2136">
        <v>0</v>
      </c>
      <c r="L2136">
        <v>2022</v>
      </c>
      <c r="N2136" t="s">
        <v>47</v>
      </c>
      <c r="O2136" t="s">
        <v>47</v>
      </c>
      <c r="P2136" t="s">
        <v>5632</v>
      </c>
    </row>
    <row r="2137" spans="1:16" x14ac:dyDescent="0.3">
      <c r="A2137" t="s">
        <v>8</v>
      </c>
      <c r="C2137">
        <v>30</v>
      </c>
      <c r="D2137" t="s">
        <v>10</v>
      </c>
      <c r="F2137" s="43">
        <v>44868.645833333336</v>
      </c>
      <c r="G2137" s="43">
        <v>44868.666666666664</v>
      </c>
      <c r="H2137">
        <v>15</v>
      </c>
      <c r="I2137">
        <v>30</v>
      </c>
      <c r="J2137">
        <v>16</v>
      </c>
      <c r="K2137">
        <v>0</v>
      </c>
      <c r="L2137">
        <v>2022</v>
      </c>
      <c r="N2137" t="s">
        <v>47</v>
      </c>
      <c r="O2137" t="s">
        <v>47</v>
      </c>
      <c r="P2137" t="s">
        <v>5633</v>
      </c>
    </row>
    <row r="2138" spans="1:16" x14ac:dyDescent="0.3">
      <c r="A2138" t="s">
        <v>7</v>
      </c>
      <c r="C2138">
        <v>30</v>
      </c>
      <c r="D2138" t="s">
        <v>10</v>
      </c>
      <c r="F2138" s="43">
        <v>44868.583333333336</v>
      </c>
      <c r="G2138" s="43">
        <v>44868.604166666664</v>
      </c>
      <c r="H2138">
        <v>14</v>
      </c>
      <c r="I2138">
        <v>0</v>
      </c>
      <c r="J2138">
        <v>14</v>
      </c>
      <c r="K2138">
        <v>30</v>
      </c>
      <c r="L2138">
        <v>2022</v>
      </c>
      <c r="N2138" t="s">
        <v>47</v>
      </c>
      <c r="O2138" t="s">
        <v>47</v>
      </c>
      <c r="P2138" t="s">
        <v>5630</v>
      </c>
    </row>
    <row r="2139" spans="1:16" x14ac:dyDescent="0.3">
      <c r="A2139" t="s">
        <v>17</v>
      </c>
      <c r="C2139">
        <v>30</v>
      </c>
      <c r="D2139" t="s">
        <v>10</v>
      </c>
      <c r="F2139" s="43">
        <v>44868.5625</v>
      </c>
      <c r="G2139" s="43">
        <v>44868.583333333336</v>
      </c>
      <c r="H2139">
        <v>13</v>
      </c>
      <c r="I2139">
        <v>30</v>
      </c>
      <c r="J2139">
        <v>14</v>
      </c>
      <c r="K2139">
        <v>0</v>
      </c>
      <c r="L2139">
        <v>2022</v>
      </c>
      <c r="N2139" t="s">
        <v>47</v>
      </c>
      <c r="O2139" t="s">
        <v>47</v>
      </c>
      <c r="P2139" t="s">
        <v>5631</v>
      </c>
    </row>
    <row r="2140" spans="1:16" x14ac:dyDescent="0.3">
      <c r="A2140" t="s">
        <v>5623</v>
      </c>
      <c r="C2140">
        <v>30</v>
      </c>
      <c r="D2140" t="s">
        <v>10</v>
      </c>
      <c r="F2140" s="43">
        <v>44868.527777777781</v>
      </c>
      <c r="G2140" s="43">
        <v>44868.548611111109</v>
      </c>
      <c r="H2140">
        <v>12</v>
      </c>
      <c r="I2140">
        <v>40</v>
      </c>
      <c r="J2140">
        <v>13</v>
      </c>
      <c r="K2140">
        <v>10</v>
      </c>
      <c r="L2140">
        <v>2022</v>
      </c>
      <c r="N2140" t="s">
        <v>47</v>
      </c>
      <c r="O2140" t="s">
        <v>47</v>
      </c>
      <c r="P2140" t="s">
        <v>5624</v>
      </c>
    </row>
    <row r="2141" spans="1:16" x14ac:dyDescent="0.3">
      <c r="A2141" t="s">
        <v>5619</v>
      </c>
      <c r="C2141">
        <v>10</v>
      </c>
      <c r="D2141" t="s">
        <v>10</v>
      </c>
      <c r="F2141" s="43">
        <v>44868.520833333336</v>
      </c>
      <c r="G2141" s="43">
        <v>44868.527777777781</v>
      </c>
      <c r="H2141">
        <v>12</v>
      </c>
      <c r="I2141">
        <v>30</v>
      </c>
      <c r="J2141">
        <v>12</v>
      </c>
      <c r="K2141">
        <v>40</v>
      </c>
      <c r="L2141">
        <v>2022</v>
      </c>
      <c r="N2141" t="s">
        <v>47</v>
      </c>
      <c r="O2141" t="s">
        <v>47</v>
      </c>
      <c r="P2141" t="s">
        <v>5620</v>
      </c>
    </row>
    <row r="2142" spans="1:16" x14ac:dyDescent="0.3">
      <c r="A2142" t="s">
        <v>5621</v>
      </c>
      <c r="C2142">
        <v>60</v>
      </c>
      <c r="D2142" t="s">
        <v>10</v>
      </c>
      <c r="F2142" s="43">
        <v>44868.458333333336</v>
      </c>
      <c r="G2142" s="43">
        <v>44868.5</v>
      </c>
      <c r="H2142">
        <v>11</v>
      </c>
      <c r="I2142">
        <v>0</v>
      </c>
      <c r="J2142">
        <v>12</v>
      </c>
      <c r="K2142">
        <v>0</v>
      </c>
      <c r="L2142">
        <v>2022</v>
      </c>
      <c r="N2142" t="s">
        <v>47</v>
      </c>
      <c r="O2142" t="s">
        <v>47</v>
      </c>
      <c r="P2142" t="s">
        <v>5622</v>
      </c>
    </row>
    <row r="2143" spans="1:16" x14ac:dyDescent="0.3">
      <c r="A2143" t="s">
        <v>5379</v>
      </c>
      <c r="B2143" t="s">
        <v>20</v>
      </c>
      <c r="C2143">
        <v>30</v>
      </c>
      <c r="D2143" t="s">
        <v>10</v>
      </c>
      <c r="E2143" t="s">
        <v>501</v>
      </c>
      <c r="F2143" s="43">
        <v>44868.416666666664</v>
      </c>
      <c r="G2143" s="43">
        <v>44868.4375</v>
      </c>
      <c r="H2143">
        <v>10</v>
      </c>
      <c r="I2143">
        <v>0</v>
      </c>
      <c r="J2143">
        <v>10</v>
      </c>
      <c r="K2143">
        <v>30</v>
      </c>
      <c r="L2143">
        <v>2022</v>
      </c>
      <c r="N2143" t="s">
        <v>5086</v>
      </c>
      <c r="O2143" t="s">
        <v>47</v>
      </c>
      <c r="P2143" t="s">
        <v>5380</v>
      </c>
    </row>
    <row r="2144" spans="1:16" x14ac:dyDescent="0.3">
      <c r="A2144" t="s">
        <v>8</v>
      </c>
      <c r="C2144">
        <v>30</v>
      </c>
      <c r="D2144" t="s">
        <v>10</v>
      </c>
      <c r="F2144" s="43">
        <v>44868.375</v>
      </c>
      <c r="G2144" s="43">
        <v>44868.395833333336</v>
      </c>
      <c r="H2144">
        <v>9</v>
      </c>
      <c r="I2144">
        <v>0</v>
      </c>
      <c r="J2144">
        <v>9</v>
      </c>
      <c r="K2144">
        <v>30</v>
      </c>
      <c r="L2144">
        <v>2022</v>
      </c>
      <c r="N2144" t="s">
        <v>47</v>
      </c>
      <c r="O2144" t="s">
        <v>47</v>
      </c>
      <c r="P2144" t="s">
        <v>5618</v>
      </c>
    </row>
    <row r="2145" spans="1:16" x14ac:dyDescent="0.3">
      <c r="A2145" t="s">
        <v>5603</v>
      </c>
      <c r="C2145">
        <v>30</v>
      </c>
      <c r="D2145" t="s">
        <v>10</v>
      </c>
      <c r="F2145" s="43">
        <v>44868.361111111109</v>
      </c>
      <c r="G2145" s="43">
        <v>44868.381944444445</v>
      </c>
      <c r="H2145">
        <v>8</v>
      </c>
      <c r="I2145">
        <v>40</v>
      </c>
      <c r="J2145">
        <v>9</v>
      </c>
      <c r="K2145">
        <v>10</v>
      </c>
      <c r="L2145">
        <v>2022</v>
      </c>
      <c r="N2145" t="s">
        <v>47</v>
      </c>
      <c r="O2145" t="s">
        <v>47</v>
      </c>
      <c r="P2145" t="s">
        <v>5604</v>
      </c>
    </row>
    <row r="2146" spans="1:16" x14ac:dyDescent="0.3">
      <c r="A2146" t="s">
        <v>5605</v>
      </c>
      <c r="C2146">
        <v>30</v>
      </c>
      <c r="D2146" t="s">
        <v>10</v>
      </c>
      <c r="F2146" s="1">
        <v>44868.333333333336</v>
      </c>
      <c r="G2146" s="1">
        <v>44868.354166666664</v>
      </c>
      <c r="H2146">
        <v>8</v>
      </c>
      <c r="I2146">
        <v>0</v>
      </c>
      <c r="J2146">
        <v>8</v>
      </c>
      <c r="K2146">
        <v>30</v>
      </c>
      <c r="L2146">
        <v>2022</v>
      </c>
      <c r="N2146" t="s">
        <v>47</v>
      </c>
      <c r="O2146" t="s">
        <v>47</v>
      </c>
      <c r="P2146" t="s">
        <v>5606</v>
      </c>
    </row>
    <row r="2147" spans="1:16" x14ac:dyDescent="0.3">
      <c r="A2147" t="s">
        <v>8</v>
      </c>
      <c r="C2147">
        <v>60</v>
      </c>
      <c r="D2147" t="s">
        <v>10</v>
      </c>
      <c r="F2147" s="43">
        <v>44868.25</v>
      </c>
      <c r="G2147" s="43">
        <v>44868.291666666664</v>
      </c>
      <c r="H2147">
        <v>6</v>
      </c>
      <c r="I2147">
        <v>0</v>
      </c>
      <c r="J2147">
        <v>7</v>
      </c>
      <c r="K2147">
        <v>0</v>
      </c>
      <c r="L2147">
        <v>2022</v>
      </c>
      <c r="N2147" t="s">
        <v>47</v>
      </c>
      <c r="O2147" t="s">
        <v>47</v>
      </c>
      <c r="P2147" t="s">
        <v>5607</v>
      </c>
    </row>
    <row r="2148" spans="1:16" x14ac:dyDescent="0.3">
      <c r="A2148" t="s">
        <v>5613</v>
      </c>
      <c r="C2148">
        <v>40</v>
      </c>
      <c r="D2148" t="s">
        <v>10</v>
      </c>
      <c r="F2148" s="43">
        <v>44867.791666666664</v>
      </c>
      <c r="G2148" s="43">
        <v>44867.819444444445</v>
      </c>
      <c r="H2148">
        <v>19</v>
      </c>
      <c r="I2148">
        <v>0</v>
      </c>
      <c r="J2148">
        <v>19</v>
      </c>
      <c r="K2148">
        <v>40</v>
      </c>
      <c r="L2148">
        <v>2022</v>
      </c>
      <c r="N2148" t="s">
        <v>47</v>
      </c>
      <c r="O2148" t="s">
        <v>47</v>
      </c>
      <c r="P2148" t="s">
        <v>5614</v>
      </c>
    </row>
    <row r="2149" spans="1:16" x14ac:dyDescent="0.3">
      <c r="A2149" t="s">
        <v>5563</v>
      </c>
      <c r="B2149" t="s">
        <v>20</v>
      </c>
      <c r="C2149">
        <v>25</v>
      </c>
      <c r="D2149" t="s">
        <v>10</v>
      </c>
      <c r="F2149" s="43">
        <v>44867.75</v>
      </c>
      <c r="G2149" s="43">
        <v>44867.767361111109</v>
      </c>
      <c r="H2149">
        <v>18</v>
      </c>
      <c r="I2149">
        <v>0</v>
      </c>
      <c r="J2149">
        <v>18</v>
      </c>
      <c r="K2149">
        <v>25</v>
      </c>
      <c r="L2149">
        <v>2022</v>
      </c>
      <c r="N2149" t="s">
        <v>5564</v>
      </c>
      <c r="O2149" t="s">
        <v>5565</v>
      </c>
      <c r="P2149" t="s">
        <v>5566</v>
      </c>
    </row>
    <row r="2150" spans="1:16" x14ac:dyDescent="0.3">
      <c r="A2150" t="s">
        <v>5615</v>
      </c>
      <c r="C2150">
        <v>30</v>
      </c>
      <c r="D2150" t="s">
        <v>10</v>
      </c>
      <c r="F2150" s="43">
        <v>44867.729166666664</v>
      </c>
      <c r="G2150" s="43">
        <v>44867.75</v>
      </c>
      <c r="H2150">
        <v>17</v>
      </c>
      <c r="I2150">
        <v>30</v>
      </c>
      <c r="J2150">
        <v>18</v>
      </c>
      <c r="K2150">
        <v>0</v>
      </c>
      <c r="L2150">
        <v>2022</v>
      </c>
      <c r="N2150" t="s">
        <v>47</v>
      </c>
      <c r="O2150" t="s">
        <v>47</v>
      </c>
      <c r="P2150" t="s">
        <v>5616</v>
      </c>
    </row>
    <row r="2151" spans="1:16" x14ac:dyDescent="0.3">
      <c r="A2151" t="s">
        <v>7</v>
      </c>
      <c r="C2151">
        <v>20</v>
      </c>
      <c r="D2151" t="s">
        <v>10</v>
      </c>
      <c r="F2151" s="43">
        <v>44867.694444444445</v>
      </c>
      <c r="G2151" s="43">
        <v>44867.708333333336</v>
      </c>
      <c r="H2151">
        <v>16</v>
      </c>
      <c r="I2151">
        <v>40</v>
      </c>
      <c r="J2151">
        <v>17</v>
      </c>
      <c r="K2151">
        <v>0</v>
      </c>
      <c r="L2151">
        <v>2022</v>
      </c>
      <c r="N2151" t="s">
        <v>47</v>
      </c>
      <c r="O2151" t="s">
        <v>47</v>
      </c>
      <c r="P2151" t="s">
        <v>5617</v>
      </c>
    </row>
    <row r="2152" spans="1:16" x14ac:dyDescent="0.3">
      <c r="A2152" t="s">
        <v>8</v>
      </c>
      <c r="C2152">
        <v>30</v>
      </c>
      <c r="D2152" t="s">
        <v>10</v>
      </c>
      <c r="F2152" s="43">
        <v>44867.645833333336</v>
      </c>
      <c r="G2152" s="43">
        <v>44867.666666666664</v>
      </c>
      <c r="H2152">
        <v>15</v>
      </c>
      <c r="I2152">
        <v>30</v>
      </c>
      <c r="J2152">
        <v>16</v>
      </c>
      <c r="K2152">
        <v>0</v>
      </c>
      <c r="L2152">
        <v>2022</v>
      </c>
      <c r="N2152" t="s">
        <v>47</v>
      </c>
      <c r="O2152" t="s">
        <v>47</v>
      </c>
      <c r="P2152" t="s">
        <v>5602</v>
      </c>
    </row>
    <row r="2153" spans="1:16" x14ac:dyDescent="0.3">
      <c r="A2153" t="s">
        <v>5497</v>
      </c>
      <c r="B2153" t="s">
        <v>20</v>
      </c>
      <c r="C2153">
        <v>30</v>
      </c>
      <c r="D2153" t="s">
        <v>10</v>
      </c>
      <c r="E2153" t="s">
        <v>5</v>
      </c>
      <c r="F2153" s="43">
        <v>44867.625</v>
      </c>
      <c r="G2153" s="43">
        <v>44867.645833333336</v>
      </c>
      <c r="H2153">
        <v>15</v>
      </c>
      <c r="I2153">
        <v>0</v>
      </c>
      <c r="J2153">
        <v>15</v>
      </c>
      <c r="K2153">
        <v>30</v>
      </c>
      <c r="L2153">
        <v>2022</v>
      </c>
      <c r="N2153" t="s">
        <v>5498</v>
      </c>
      <c r="O2153" t="s">
        <v>5499</v>
      </c>
      <c r="P2153" t="s">
        <v>5500</v>
      </c>
    </row>
    <row r="2154" spans="1:16" x14ac:dyDescent="0.3">
      <c r="A2154" t="s">
        <v>5586</v>
      </c>
      <c r="C2154">
        <v>30</v>
      </c>
      <c r="D2154" t="s">
        <v>10</v>
      </c>
      <c r="E2154" t="s">
        <v>3902</v>
      </c>
      <c r="F2154" s="43">
        <v>44867.583333333336</v>
      </c>
      <c r="G2154" s="43">
        <v>44867.604166666664</v>
      </c>
      <c r="H2154">
        <v>14</v>
      </c>
      <c r="I2154">
        <v>0</v>
      </c>
      <c r="J2154">
        <v>14</v>
      </c>
      <c r="K2154">
        <v>30</v>
      </c>
      <c r="L2154">
        <v>2022</v>
      </c>
      <c r="N2154" t="s">
        <v>5587</v>
      </c>
      <c r="O2154" t="s">
        <v>5588</v>
      </c>
      <c r="P2154" t="s">
        <v>5589</v>
      </c>
    </row>
    <row r="2155" spans="1:16" x14ac:dyDescent="0.3">
      <c r="A2155" t="s">
        <v>5536</v>
      </c>
      <c r="B2155" t="s">
        <v>20</v>
      </c>
      <c r="C2155">
        <v>60</v>
      </c>
      <c r="D2155" t="s">
        <v>10</v>
      </c>
      <c r="E2155" t="s">
        <v>501</v>
      </c>
      <c r="F2155" s="1">
        <v>44867.541666666664</v>
      </c>
      <c r="G2155" s="1">
        <v>44867.583333333336</v>
      </c>
      <c r="H2155">
        <v>13</v>
      </c>
      <c r="I2155">
        <v>0</v>
      </c>
      <c r="J2155">
        <v>14</v>
      </c>
      <c r="K2155">
        <v>0</v>
      </c>
      <c r="L2155">
        <v>2022</v>
      </c>
      <c r="N2155" t="s">
        <v>5537</v>
      </c>
      <c r="O2155" t="s">
        <v>47</v>
      </c>
      <c r="P2155" t="s">
        <v>5538</v>
      </c>
    </row>
    <row r="2156" spans="1:16" x14ac:dyDescent="0.3">
      <c r="A2156" t="s">
        <v>5579</v>
      </c>
      <c r="C2156">
        <v>30</v>
      </c>
      <c r="D2156" t="s">
        <v>10</v>
      </c>
      <c r="F2156" s="43">
        <v>44867.5</v>
      </c>
      <c r="G2156" s="43">
        <v>44867.520833333336</v>
      </c>
      <c r="H2156">
        <v>12</v>
      </c>
      <c r="I2156">
        <v>0</v>
      </c>
      <c r="J2156">
        <v>12</v>
      </c>
      <c r="K2156">
        <v>30</v>
      </c>
      <c r="L2156">
        <v>2022</v>
      </c>
      <c r="N2156" t="s">
        <v>47</v>
      </c>
      <c r="O2156" t="s">
        <v>47</v>
      </c>
      <c r="P2156" t="s">
        <v>5585</v>
      </c>
    </row>
    <row r="2157" spans="1:16" x14ac:dyDescent="0.3">
      <c r="A2157" t="s">
        <v>5489</v>
      </c>
      <c r="B2157" t="s">
        <v>20</v>
      </c>
      <c r="C2157">
        <v>60</v>
      </c>
      <c r="D2157" t="s">
        <v>10</v>
      </c>
      <c r="F2157" s="43">
        <v>44867.458333333336</v>
      </c>
      <c r="G2157" s="43">
        <v>44867.5</v>
      </c>
      <c r="H2157">
        <v>11</v>
      </c>
      <c r="I2157">
        <v>0</v>
      </c>
      <c r="J2157">
        <v>12</v>
      </c>
      <c r="K2157">
        <v>0</v>
      </c>
      <c r="L2157">
        <v>2022</v>
      </c>
      <c r="N2157" t="s">
        <v>5490</v>
      </c>
      <c r="O2157" t="s">
        <v>783</v>
      </c>
      <c r="P2157" t="s">
        <v>5491</v>
      </c>
    </row>
    <row r="2158" spans="1:16" x14ac:dyDescent="0.3">
      <c r="A2158" t="s">
        <v>5583</v>
      </c>
      <c r="C2158">
        <v>30</v>
      </c>
      <c r="D2158" t="s">
        <v>10</v>
      </c>
      <c r="F2158" s="43">
        <v>44867.4375</v>
      </c>
      <c r="G2158" s="43">
        <v>44867.458333333336</v>
      </c>
      <c r="H2158">
        <v>10</v>
      </c>
      <c r="I2158">
        <v>30</v>
      </c>
      <c r="J2158">
        <v>11</v>
      </c>
      <c r="K2158">
        <v>0</v>
      </c>
      <c r="L2158">
        <v>2022</v>
      </c>
      <c r="N2158" t="s">
        <v>47</v>
      </c>
      <c r="O2158" t="s">
        <v>47</v>
      </c>
      <c r="P2158" t="s">
        <v>5584</v>
      </c>
    </row>
    <row r="2159" spans="1:16" x14ac:dyDescent="0.3">
      <c r="A2159" t="s">
        <v>5600</v>
      </c>
      <c r="B2159" t="s">
        <v>20</v>
      </c>
      <c r="C2159">
        <v>30</v>
      </c>
      <c r="D2159" t="s">
        <v>10</v>
      </c>
      <c r="E2159" t="s">
        <v>5</v>
      </c>
      <c r="F2159" s="43">
        <v>44867.395833333336</v>
      </c>
      <c r="G2159" s="43">
        <v>44867.416666666664</v>
      </c>
      <c r="H2159">
        <v>9</v>
      </c>
      <c r="I2159">
        <v>30</v>
      </c>
      <c r="J2159">
        <v>10</v>
      </c>
      <c r="K2159">
        <v>0</v>
      </c>
      <c r="L2159">
        <v>2022</v>
      </c>
      <c r="N2159" t="s">
        <v>955</v>
      </c>
      <c r="O2159" t="s">
        <v>956</v>
      </c>
      <c r="P2159" t="s">
        <v>5601</v>
      </c>
    </row>
    <row r="2160" spans="1:16" x14ac:dyDescent="0.3">
      <c r="A2160" t="s">
        <v>8</v>
      </c>
      <c r="C2160">
        <v>60</v>
      </c>
      <c r="D2160" t="s">
        <v>10</v>
      </c>
      <c r="F2160" s="43">
        <v>44867.333333333336</v>
      </c>
      <c r="G2160" s="43">
        <v>44867.375</v>
      </c>
      <c r="H2160">
        <v>8</v>
      </c>
      <c r="I2160">
        <v>0</v>
      </c>
      <c r="J2160">
        <v>9</v>
      </c>
      <c r="K2160">
        <v>0</v>
      </c>
      <c r="L2160">
        <v>2022</v>
      </c>
      <c r="N2160" t="s">
        <v>47</v>
      </c>
      <c r="O2160" t="s">
        <v>47</v>
      </c>
      <c r="P2160" t="s">
        <v>5590</v>
      </c>
    </row>
    <row r="2161" spans="1:16" x14ac:dyDescent="0.3">
      <c r="A2161" t="s">
        <v>5356</v>
      </c>
      <c r="C2161">
        <v>60</v>
      </c>
      <c r="D2161" t="s">
        <v>10</v>
      </c>
      <c r="F2161" s="43">
        <v>44867.229166666664</v>
      </c>
      <c r="G2161" s="43">
        <v>44867.270833333336</v>
      </c>
      <c r="H2161">
        <v>5</v>
      </c>
      <c r="I2161">
        <v>30</v>
      </c>
      <c r="J2161">
        <v>6</v>
      </c>
      <c r="K2161">
        <v>30</v>
      </c>
      <c r="L2161">
        <v>2022</v>
      </c>
      <c r="N2161" t="s">
        <v>47</v>
      </c>
      <c r="O2161" t="s">
        <v>47</v>
      </c>
      <c r="P2161" t="s">
        <v>5591</v>
      </c>
    </row>
    <row r="2162" spans="1:16" x14ac:dyDescent="0.3">
      <c r="A2162" t="s">
        <v>4214</v>
      </c>
      <c r="C2162">
        <v>60</v>
      </c>
      <c r="D2162" t="s">
        <v>10</v>
      </c>
      <c r="F2162" s="43">
        <v>44867.1875</v>
      </c>
      <c r="G2162" s="43">
        <v>44867.229166666664</v>
      </c>
      <c r="H2162">
        <v>4</v>
      </c>
      <c r="I2162">
        <v>30</v>
      </c>
      <c r="J2162">
        <v>5</v>
      </c>
      <c r="K2162">
        <v>30</v>
      </c>
      <c r="L2162">
        <v>2022</v>
      </c>
      <c r="N2162" t="s">
        <v>47</v>
      </c>
      <c r="O2162" t="s">
        <v>47</v>
      </c>
      <c r="P2162" t="s">
        <v>5592</v>
      </c>
    </row>
    <row r="2163" spans="1:16" x14ac:dyDescent="0.3">
      <c r="A2163" t="s">
        <v>8</v>
      </c>
      <c r="C2163">
        <v>20</v>
      </c>
      <c r="D2163" t="s">
        <v>10</v>
      </c>
      <c r="F2163" s="43">
        <v>44866.8125</v>
      </c>
      <c r="G2163" s="43">
        <v>44866.826388888891</v>
      </c>
      <c r="H2163">
        <v>19</v>
      </c>
      <c r="I2163">
        <v>30</v>
      </c>
      <c r="J2163">
        <v>19</v>
      </c>
      <c r="K2163">
        <v>50</v>
      </c>
      <c r="L2163">
        <v>2022</v>
      </c>
      <c r="N2163" t="s">
        <v>47</v>
      </c>
      <c r="O2163" t="s">
        <v>47</v>
      </c>
      <c r="P2163" t="s">
        <v>5593</v>
      </c>
    </row>
    <row r="2164" spans="1:16" x14ac:dyDescent="0.3">
      <c r="A2164" t="s">
        <v>8</v>
      </c>
      <c r="C2164">
        <v>30</v>
      </c>
      <c r="D2164" t="s">
        <v>10</v>
      </c>
      <c r="F2164" s="43">
        <v>44866.784722222219</v>
      </c>
      <c r="G2164" s="43">
        <v>44866.805555555555</v>
      </c>
      <c r="H2164">
        <v>18</v>
      </c>
      <c r="I2164">
        <v>50</v>
      </c>
      <c r="J2164">
        <v>19</v>
      </c>
      <c r="K2164">
        <v>20</v>
      </c>
      <c r="L2164">
        <v>2022</v>
      </c>
      <c r="N2164" t="s">
        <v>47</v>
      </c>
      <c r="O2164" t="s">
        <v>47</v>
      </c>
      <c r="P2164" t="s">
        <v>5594</v>
      </c>
    </row>
    <row r="2165" spans="1:16" x14ac:dyDescent="0.3">
      <c r="A2165" t="s">
        <v>5595</v>
      </c>
      <c r="C2165">
        <v>30</v>
      </c>
      <c r="D2165" t="s">
        <v>10</v>
      </c>
      <c r="F2165" s="43">
        <v>44866.75</v>
      </c>
      <c r="G2165" s="43">
        <v>44866.770833333336</v>
      </c>
      <c r="H2165">
        <v>18</v>
      </c>
      <c r="I2165">
        <v>0</v>
      </c>
      <c r="J2165">
        <v>18</v>
      </c>
      <c r="K2165">
        <v>30</v>
      </c>
      <c r="L2165">
        <v>2022</v>
      </c>
      <c r="N2165" t="s">
        <v>47</v>
      </c>
      <c r="O2165" t="s">
        <v>47</v>
      </c>
      <c r="P2165" t="s">
        <v>5596</v>
      </c>
    </row>
    <row r="2166" spans="1:16" x14ac:dyDescent="0.3">
      <c r="A2166" t="s">
        <v>9</v>
      </c>
      <c r="C2166">
        <v>30</v>
      </c>
      <c r="D2166" t="s">
        <v>10</v>
      </c>
      <c r="F2166" s="43">
        <v>44866.708333333336</v>
      </c>
      <c r="G2166" s="43">
        <v>44866.729166666664</v>
      </c>
      <c r="H2166">
        <v>17</v>
      </c>
      <c r="I2166">
        <v>0</v>
      </c>
      <c r="J2166">
        <v>17</v>
      </c>
      <c r="K2166">
        <v>30</v>
      </c>
      <c r="L2166">
        <v>2022</v>
      </c>
      <c r="N2166" t="s">
        <v>47</v>
      </c>
      <c r="O2166" t="s">
        <v>47</v>
      </c>
      <c r="P2166" t="s">
        <v>5582</v>
      </c>
    </row>
    <row r="2167" spans="1:16" x14ac:dyDescent="0.3">
      <c r="A2167" t="s">
        <v>5579</v>
      </c>
      <c r="C2167">
        <v>45</v>
      </c>
      <c r="D2167" t="s">
        <v>10</v>
      </c>
      <c r="F2167" s="43">
        <v>44866.677083333336</v>
      </c>
      <c r="G2167" s="43">
        <v>44866.708333333336</v>
      </c>
      <c r="H2167">
        <v>16</v>
      </c>
      <c r="I2167">
        <v>15</v>
      </c>
      <c r="J2167">
        <v>17</v>
      </c>
      <c r="K2167">
        <v>0</v>
      </c>
      <c r="L2167">
        <v>2022</v>
      </c>
      <c r="N2167" t="s">
        <v>47</v>
      </c>
      <c r="O2167" t="s">
        <v>47</v>
      </c>
      <c r="P2167" t="s">
        <v>5580</v>
      </c>
    </row>
    <row r="2168" spans="1:16" x14ac:dyDescent="0.3">
      <c r="A2168" t="s">
        <v>5560</v>
      </c>
      <c r="B2168" t="s">
        <v>20</v>
      </c>
      <c r="C2168">
        <v>15</v>
      </c>
      <c r="D2168" t="s">
        <v>10</v>
      </c>
      <c r="E2168" t="s">
        <v>3441</v>
      </c>
      <c r="F2168" s="43">
        <v>44866.666666666664</v>
      </c>
      <c r="G2168" s="43">
        <v>44866.677083333336</v>
      </c>
      <c r="H2168">
        <v>16</v>
      </c>
      <c r="I2168">
        <v>0</v>
      </c>
      <c r="J2168">
        <v>16</v>
      </c>
      <c r="K2168">
        <v>15</v>
      </c>
      <c r="L2168">
        <v>2022</v>
      </c>
      <c r="N2168" t="s">
        <v>1063</v>
      </c>
      <c r="O2168" t="s">
        <v>916</v>
      </c>
      <c r="P2168" t="s">
        <v>5561</v>
      </c>
    </row>
    <row r="2169" spans="1:16" x14ac:dyDescent="0.3">
      <c r="A2169" t="s">
        <v>8</v>
      </c>
      <c r="C2169">
        <v>30</v>
      </c>
      <c r="D2169" t="s">
        <v>10</v>
      </c>
      <c r="F2169" s="43">
        <v>44866.645833333336</v>
      </c>
      <c r="G2169" s="43">
        <v>44866.666666666664</v>
      </c>
      <c r="H2169">
        <v>15</v>
      </c>
      <c r="I2169">
        <v>30</v>
      </c>
      <c r="J2169">
        <v>16</v>
      </c>
      <c r="K2169">
        <v>0</v>
      </c>
      <c r="L2169">
        <v>2022</v>
      </c>
      <c r="N2169" t="s">
        <v>47</v>
      </c>
      <c r="O2169" t="s">
        <v>47</v>
      </c>
      <c r="P2169" t="s">
        <v>5581</v>
      </c>
    </row>
    <row r="2170" spans="1:16" x14ac:dyDescent="0.3">
      <c r="A2170" t="s">
        <v>5567</v>
      </c>
      <c r="C2170">
        <v>30</v>
      </c>
      <c r="D2170" t="s">
        <v>10</v>
      </c>
      <c r="F2170" s="43">
        <v>44866.604166666664</v>
      </c>
      <c r="G2170" s="43">
        <v>44866.625</v>
      </c>
      <c r="H2170">
        <v>14</v>
      </c>
      <c r="I2170">
        <v>30</v>
      </c>
      <c r="J2170">
        <v>15</v>
      </c>
      <c r="K2170">
        <v>0</v>
      </c>
      <c r="L2170">
        <v>2022</v>
      </c>
      <c r="N2170" t="s">
        <v>5568</v>
      </c>
      <c r="O2170" t="s">
        <v>5569</v>
      </c>
      <c r="P2170" t="s">
        <v>5570</v>
      </c>
    </row>
    <row r="2171" spans="1:16" x14ac:dyDescent="0.3">
      <c r="A2171" t="s">
        <v>8</v>
      </c>
      <c r="C2171">
        <v>60</v>
      </c>
      <c r="D2171" t="s">
        <v>10</v>
      </c>
      <c r="F2171" s="43">
        <v>44866.5625</v>
      </c>
      <c r="G2171" s="43">
        <v>44866.604166666664</v>
      </c>
      <c r="H2171">
        <v>13</v>
      </c>
      <c r="I2171">
        <v>30</v>
      </c>
      <c r="J2171">
        <v>14</v>
      </c>
      <c r="K2171">
        <v>30</v>
      </c>
      <c r="L2171">
        <v>2022</v>
      </c>
      <c r="N2171" t="s">
        <v>47</v>
      </c>
      <c r="O2171" t="s">
        <v>47</v>
      </c>
      <c r="P2171" t="s">
        <v>5575</v>
      </c>
    </row>
    <row r="2172" spans="1:16" x14ac:dyDescent="0.3">
      <c r="A2172" t="s">
        <v>5449</v>
      </c>
      <c r="B2172" t="s">
        <v>20</v>
      </c>
      <c r="C2172">
        <v>30</v>
      </c>
      <c r="D2172" t="s">
        <v>10</v>
      </c>
      <c r="E2172" t="s">
        <v>5450</v>
      </c>
      <c r="F2172" s="43">
        <v>44866.541666666664</v>
      </c>
      <c r="G2172" s="43">
        <v>44866.5625</v>
      </c>
      <c r="H2172">
        <v>13</v>
      </c>
      <c r="I2172">
        <v>0</v>
      </c>
      <c r="J2172">
        <v>13</v>
      </c>
      <c r="K2172">
        <v>30</v>
      </c>
      <c r="L2172">
        <v>2022</v>
      </c>
      <c r="N2172" t="s">
        <v>5451</v>
      </c>
      <c r="O2172" t="s">
        <v>5452</v>
      </c>
      <c r="P2172" t="s">
        <v>5453</v>
      </c>
    </row>
    <row r="2173" spans="1:16" x14ac:dyDescent="0.3">
      <c r="A2173" t="s">
        <v>5428</v>
      </c>
      <c r="B2173" t="s">
        <v>20</v>
      </c>
      <c r="C2173">
        <v>50</v>
      </c>
      <c r="D2173" t="s">
        <v>10</v>
      </c>
      <c r="F2173" s="43">
        <v>44866.5</v>
      </c>
      <c r="G2173" s="43">
        <v>44866.534722222219</v>
      </c>
      <c r="H2173">
        <v>12</v>
      </c>
      <c r="I2173">
        <v>0</v>
      </c>
      <c r="J2173">
        <v>12</v>
      </c>
      <c r="K2173">
        <v>50</v>
      </c>
      <c r="L2173">
        <v>2022</v>
      </c>
      <c r="N2173" t="s">
        <v>5429</v>
      </c>
      <c r="O2173" t="s">
        <v>49</v>
      </c>
      <c r="P2173" t="s">
        <v>5430</v>
      </c>
    </row>
    <row r="2174" spans="1:16" x14ac:dyDescent="0.3">
      <c r="A2174" t="s">
        <v>5576</v>
      </c>
      <c r="C2174">
        <v>90</v>
      </c>
      <c r="D2174" t="s">
        <v>10</v>
      </c>
      <c r="F2174" s="43">
        <v>44866.416666666664</v>
      </c>
      <c r="G2174" s="43">
        <v>44866.479166666664</v>
      </c>
      <c r="H2174">
        <v>10</v>
      </c>
      <c r="I2174">
        <v>0</v>
      </c>
      <c r="J2174">
        <v>11</v>
      </c>
      <c r="K2174">
        <v>30</v>
      </c>
      <c r="L2174">
        <v>2022</v>
      </c>
      <c r="N2174" t="s">
        <v>47</v>
      </c>
      <c r="O2174" t="s">
        <v>47</v>
      </c>
      <c r="P2174" t="s">
        <v>5577</v>
      </c>
    </row>
    <row r="2175" spans="1:16" x14ac:dyDescent="0.3">
      <c r="A2175" t="s">
        <v>23</v>
      </c>
      <c r="C2175">
        <v>30</v>
      </c>
      <c r="D2175" t="s">
        <v>10</v>
      </c>
      <c r="F2175" s="43">
        <v>44866.395833333336</v>
      </c>
      <c r="G2175" s="43">
        <v>44866.416666666664</v>
      </c>
      <c r="H2175">
        <v>9</v>
      </c>
      <c r="I2175">
        <v>30</v>
      </c>
      <c r="J2175">
        <v>10</v>
      </c>
      <c r="K2175">
        <v>0</v>
      </c>
      <c r="L2175">
        <v>2022</v>
      </c>
      <c r="N2175" t="s">
        <v>47</v>
      </c>
      <c r="O2175" t="s">
        <v>47</v>
      </c>
      <c r="P2175" t="s">
        <v>5578</v>
      </c>
    </row>
    <row r="2176" spans="1:16" x14ac:dyDescent="0.3">
      <c r="A2176" t="s">
        <v>8</v>
      </c>
      <c r="C2176">
        <v>20</v>
      </c>
      <c r="D2176" t="s">
        <v>10</v>
      </c>
      <c r="F2176" s="43">
        <v>44866.375</v>
      </c>
      <c r="G2176" s="43">
        <v>44866.388888888891</v>
      </c>
      <c r="H2176">
        <v>9</v>
      </c>
      <c r="I2176">
        <v>0</v>
      </c>
      <c r="J2176">
        <v>9</v>
      </c>
      <c r="K2176">
        <v>20</v>
      </c>
      <c r="L2176">
        <v>2022</v>
      </c>
      <c r="N2176" t="s">
        <v>47</v>
      </c>
      <c r="O2176" t="s">
        <v>47</v>
      </c>
      <c r="P2176" t="s">
        <v>5571</v>
      </c>
    </row>
    <row r="2177" spans="1:16" x14ac:dyDescent="0.3">
      <c r="A2177" t="s">
        <v>74</v>
      </c>
      <c r="C2177">
        <v>15</v>
      </c>
      <c r="D2177" t="s">
        <v>10</v>
      </c>
      <c r="F2177" s="43">
        <v>44866.364583333336</v>
      </c>
      <c r="G2177" s="43">
        <v>44866.375</v>
      </c>
      <c r="H2177">
        <v>8</v>
      </c>
      <c r="I2177">
        <v>45</v>
      </c>
      <c r="J2177">
        <v>9</v>
      </c>
      <c r="K2177">
        <v>0</v>
      </c>
      <c r="L2177">
        <v>2022</v>
      </c>
      <c r="N2177" t="s">
        <v>75</v>
      </c>
      <c r="O2177" t="s">
        <v>49</v>
      </c>
      <c r="P2177" t="s">
        <v>5573</v>
      </c>
    </row>
    <row r="2178" spans="1:16" x14ac:dyDescent="0.3">
      <c r="A2178" t="s">
        <v>8</v>
      </c>
      <c r="C2178">
        <v>30</v>
      </c>
      <c r="D2178" t="s">
        <v>10</v>
      </c>
      <c r="F2178" s="43">
        <v>44866.34375</v>
      </c>
      <c r="G2178" s="43">
        <v>44866.364583333336</v>
      </c>
      <c r="H2178">
        <v>8</v>
      </c>
      <c r="I2178">
        <v>15</v>
      </c>
      <c r="J2178">
        <v>8</v>
      </c>
      <c r="K2178">
        <v>45</v>
      </c>
      <c r="L2178">
        <v>2022</v>
      </c>
      <c r="N2178" t="s">
        <v>47</v>
      </c>
      <c r="O2178" t="s">
        <v>47</v>
      </c>
      <c r="P2178" t="s">
        <v>5572</v>
      </c>
    </row>
    <row r="2179" spans="1:16" x14ac:dyDescent="0.3">
      <c r="A2179" t="s">
        <v>8</v>
      </c>
      <c r="C2179">
        <v>40</v>
      </c>
      <c r="D2179" t="s">
        <v>10</v>
      </c>
      <c r="F2179" s="43">
        <v>44866.3125</v>
      </c>
      <c r="G2179" s="43">
        <v>44866.340277777781</v>
      </c>
      <c r="H2179">
        <v>7</v>
      </c>
      <c r="I2179">
        <v>30</v>
      </c>
      <c r="J2179">
        <v>8</v>
      </c>
      <c r="K2179">
        <v>10</v>
      </c>
      <c r="L2179">
        <v>2022</v>
      </c>
      <c r="N2179" t="s">
        <v>47</v>
      </c>
      <c r="O2179" t="s">
        <v>47</v>
      </c>
      <c r="P2179" t="s">
        <v>5574</v>
      </c>
    </row>
    <row r="2180" spans="1:16" x14ac:dyDescent="0.3">
      <c r="A2180" t="s">
        <v>8</v>
      </c>
      <c r="C2180">
        <v>60</v>
      </c>
      <c r="D2180" t="s">
        <v>10</v>
      </c>
      <c r="F2180" s="43">
        <v>44866.229166666664</v>
      </c>
      <c r="G2180" s="43">
        <v>44866.270833333336</v>
      </c>
      <c r="H2180">
        <v>5</v>
      </c>
      <c r="I2180">
        <v>30</v>
      </c>
      <c r="J2180">
        <v>6</v>
      </c>
      <c r="K2180">
        <v>30</v>
      </c>
      <c r="L2180">
        <v>2022</v>
      </c>
      <c r="N2180" t="s">
        <v>47</v>
      </c>
      <c r="O2180" t="s">
        <v>47</v>
      </c>
      <c r="P2180" t="s">
        <v>5556</v>
      </c>
    </row>
    <row r="2181" spans="1:16" x14ac:dyDescent="0.3">
      <c r="A2181" t="s">
        <v>3582</v>
      </c>
      <c r="B2181" t="s">
        <v>6</v>
      </c>
      <c r="C2181">
        <v>30</v>
      </c>
      <c r="D2181" t="s">
        <v>256</v>
      </c>
      <c r="E2181" t="s">
        <v>3583</v>
      </c>
      <c r="F2181" s="43">
        <v>44866</v>
      </c>
      <c r="G2181" s="43">
        <v>949997.9993055556</v>
      </c>
      <c r="H2181">
        <v>9</v>
      </c>
      <c r="I2181">
        <v>0</v>
      </c>
      <c r="J2181">
        <v>9</v>
      </c>
      <c r="K2181">
        <v>30</v>
      </c>
      <c r="L2181">
        <v>2022</v>
      </c>
      <c r="N2181" t="s">
        <v>3584</v>
      </c>
      <c r="O2181" t="s">
        <v>47</v>
      </c>
      <c r="P2181" t="s">
        <v>3585</v>
      </c>
    </row>
    <row r="2182" spans="1:16" x14ac:dyDescent="0.3">
      <c r="A2182" t="s">
        <v>1011</v>
      </c>
      <c r="C2182">
        <v>60</v>
      </c>
      <c r="D2182" t="s">
        <v>10</v>
      </c>
      <c r="E2182" s="47"/>
      <c r="F2182" s="43">
        <v>44865.770833333336</v>
      </c>
      <c r="G2182" s="43">
        <v>44865.8125</v>
      </c>
      <c r="H2182">
        <v>18</v>
      </c>
      <c r="I2182">
        <v>30</v>
      </c>
      <c r="J2182">
        <v>19</v>
      </c>
      <c r="K2182">
        <v>30</v>
      </c>
      <c r="L2182">
        <v>2022</v>
      </c>
      <c r="N2182" t="s">
        <v>47</v>
      </c>
      <c r="O2182" t="s">
        <v>47</v>
      </c>
      <c r="P2182" t="s">
        <v>5557</v>
      </c>
    </row>
    <row r="2183" spans="1:16" x14ac:dyDescent="0.3">
      <c r="A2183" t="s">
        <v>5558</v>
      </c>
      <c r="C2183">
        <v>120</v>
      </c>
      <c r="D2183" t="s">
        <v>10</v>
      </c>
      <c r="F2183" s="43">
        <v>44865.6875</v>
      </c>
      <c r="G2183" s="43">
        <v>44865.770833333336</v>
      </c>
      <c r="H2183">
        <v>16</v>
      </c>
      <c r="I2183">
        <v>30</v>
      </c>
      <c r="J2183">
        <v>18</v>
      </c>
      <c r="K2183">
        <v>30</v>
      </c>
      <c r="L2183">
        <v>2022</v>
      </c>
      <c r="N2183" t="s">
        <v>47</v>
      </c>
      <c r="O2183" t="s">
        <v>47</v>
      </c>
      <c r="P2183" t="s">
        <v>5559</v>
      </c>
    </row>
    <row r="2184" spans="1:16" x14ac:dyDescent="0.3">
      <c r="A2184" t="s">
        <v>8</v>
      </c>
      <c r="C2184">
        <v>60</v>
      </c>
      <c r="D2184" t="s">
        <v>10</v>
      </c>
      <c r="F2184" s="43">
        <v>44865.645833333336</v>
      </c>
      <c r="G2184" s="43">
        <v>44865.6875</v>
      </c>
      <c r="H2184">
        <v>15</v>
      </c>
      <c r="I2184">
        <v>30</v>
      </c>
      <c r="J2184">
        <v>16</v>
      </c>
      <c r="K2184">
        <v>30</v>
      </c>
      <c r="L2184">
        <v>2022</v>
      </c>
      <c r="N2184" t="s">
        <v>47</v>
      </c>
      <c r="O2184" t="s">
        <v>47</v>
      </c>
      <c r="P2184" t="s">
        <v>5562</v>
      </c>
    </row>
    <row r="2185" spans="1:16" x14ac:dyDescent="0.3">
      <c r="A2185" t="s">
        <v>4321</v>
      </c>
      <c r="C2185">
        <v>90</v>
      </c>
      <c r="D2185" t="s">
        <v>10</v>
      </c>
      <c r="F2185" s="43">
        <v>44865.5625</v>
      </c>
      <c r="G2185" s="43">
        <v>44865.625</v>
      </c>
      <c r="H2185">
        <v>13</v>
      </c>
      <c r="I2185">
        <v>30</v>
      </c>
      <c r="J2185">
        <v>15</v>
      </c>
      <c r="K2185">
        <v>0</v>
      </c>
      <c r="L2185">
        <v>2022</v>
      </c>
      <c r="N2185" t="s">
        <v>47</v>
      </c>
      <c r="O2185" t="s">
        <v>47</v>
      </c>
      <c r="P2185" t="s">
        <v>5555</v>
      </c>
    </row>
    <row r="2186" spans="1:16" x14ac:dyDescent="0.3">
      <c r="A2186" t="s">
        <v>4321</v>
      </c>
      <c r="C2186">
        <v>30</v>
      </c>
      <c r="D2186" t="s">
        <v>10</v>
      </c>
      <c r="F2186" s="43">
        <v>44865.5</v>
      </c>
      <c r="G2186" s="43">
        <v>44865.520833333336</v>
      </c>
      <c r="H2186">
        <v>12</v>
      </c>
      <c r="I2186">
        <v>0</v>
      </c>
      <c r="J2186">
        <v>12</v>
      </c>
      <c r="K2186">
        <v>30</v>
      </c>
      <c r="L2186">
        <v>2022</v>
      </c>
      <c r="N2186" t="s">
        <v>47</v>
      </c>
      <c r="O2186" t="s">
        <v>47</v>
      </c>
      <c r="P2186" t="s">
        <v>5539</v>
      </c>
    </row>
    <row r="2187" spans="1:16" x14ac:dyDescent="0.3">
      <c r="A2187" t="s">
        <v>8</v>
      </c>
      <c r="C2187">
        <v>30</v>
      </c>
      <c r="D2187" t="s">
        <v>10</v>
      </c>
      <c r="F2187" s="43">
        <v>44865.479166666664</v>
      </c>
      <c r="G2187" s="43">
        <v>44865.5</v>
      </c>
      <c r="H2187">
        <v>11</v>
      </c>
      <c r="I2187">
        <v>30</v>
      </c>
      <c r="J2187">
        <v>12</v>
      </c>
      <c r="K2187">
        <v>0</v>
      </c>
      <c r="L2187">
        <v>2022</v>
      </c>
      <c r="N2187" t="s">
        <v>47</v>
      </c>
      <c r="O2187" t="s">
        <v>47</v>
      </c>
      <c r="P2187" t="s">
        <v>5540</v>
      </c>
    </row>
    <row r="2188" spans="1:16" x14ac:dyDescent="0.3">
      <c r="A2188" t="s">
        <v>5511</v>
      </c>
      <c r="B2188" t="s">
        <v>20</v>
      </c>
      <c r="C2188">
        <v>60</v>
      </c>
      <c r="D2188" t="s">
        <v>10</v>
      </c>
      <c r="F2188" s="43">
        <v>44865.4375</v>
      </c>
      <c r="G2188" s="43">
        <v>44865.479166666664</v>
      </c>
      <c r="H2188">
        <v>10</v>
      </c>
      <c r="I2188">
        <v>30</v>
      </c>
      <c r="J2188">
        <v>11</v>
      </c>
      <c r="K2188">
        <v>30</v>
      </c>
      <c r="L2188">
        <v>2022</v>
      </c>
      <c r="N2188" t="s">
        <v>5512</v>
      </c>
      <c r="O2188" t="s">
        <v>783</v>
      </c>
      <c r="P2188" t="s">
        <v>5513</v>
      </c>
    </row>
    <row r="2189" spans="1:16" x14ac:dyDescent="0.3">
      <c r="A2189" t="s">
        <v>4321</v>
      </c>
      <c r="C2189">
        <v>30</v>
      </c>
      <c r="D2189" t="s">
        <v>10</v>
      </c>
      <c r="F2189" s="43">
        <v>44865.416666666664</v>
      </c>
      <c r="G2189" s="43">
        <v>44865.4375</v>
      </c>
      <c r="H2189">
        <v>10</v>
      </c>
      <c r="I2189">
        <v>0</v>
      </c>
      <c r="J2189">
        <v>10</v>
      </c>
      <c r="K2189">
        <v>30</v>
      </c>
      <c r="L2189">
        <v>2022</v>
      </c>
      <c r="N2189" t="s">
        <v>47</v>
      </c>
      <c r="O2189" t="s">
        <v>47</v>
      </c>
      <c r="P2189" t="s">
        <v>5545</v>
      </c>
    </row>
    <row r="2190" spans="1:16" x14ac:dyDescent="0.3">
      <c r="A2190" t="s">
        <v>4321</v>
      </c>
      <c r="C2190">
        <v>45</v>
      </c>
      <c r="D2190" t="s">
        <v>10</v>
      </c>
      <c r="F2190" s="43">
        <v>44865.34375</v>
      </c>
      <c r="G2190" s="43">
        <v>44865.375</v>
      </c>
      <c r="H2190">
        <v>8</v>
      </c>
      <c r="I2190">
        <v>15</v>
      </c>
      <c r="J2190">
        <v>9</v>
      </c>
      <c r="K2190">
        <v>0</v>
      </c>
      <c r="L2190">
        <v>2022</v>
      </c>
      <c r="N2190" t="s">
        <v>47</v>
      </c>
      <c r="O2190" t="s">
        <v>47</v>
      </c>
      <c r="P2190" t="s">
        <v>5546</v>
      </c>
    </row>
    <row r="2191" spans="1:16" x14ac:dyDescent="0.3">
      <c r="A2191" t="s">
        <v>892</v>
      </c>
      <c r="C2191">
        <v>30</v>
      </c>
      <c r="D2191" t="s">
        <v>10</v>
      </c>
      <c r="F2191" s="43">
        <v>44865.3125</v>
      </c>
      <c r="G2191" s="43">
        <v>44865.333333333336</v>
      </c>
      <c r="H2191">
        <v>7</v>
      </c>
      <c r="I2191">
        <v>30</v>
      </c>
      <c r="J2191">
        <v>8</v>
      </c>
      <c r="K2191">
        <v>0</v>
      </c>
      <c r="L2191">
        <v>2022</v>
      </c>
      <c r="N2191" t="s">
        <v>47</v>
      </c>
      <c r="O2191" t="s">
        <v>47</v>
      </c>
      <c r="P2191" t="s">
        <v>5547</v>
      </c>
    </row>
    <row r="2192" spans="1:16" x14ac:dyDescent="0.3">
      <c r="A2192" t="s">
        <v>5477</v>
      </c>
      <c r="B2192" t="s">
        <v>20</v>
      </c>
      <c r="C2192">
        <v>30</v>
      </c>
      <c r="D2192" t="s">
        <v>10</v>
      </c>
      <c r="E2192" t="s">
        <v>5</v>
      </c>
      <c r="F2192" s="43">
        <v>44865.291666666664</v>
      </c>
      <c r="G2192" s="43">
        <v>44865.3125</v>
      </c>
      <c r="H2192">
        <v>7</v>
      </c>
      <c r="I2192">
        <v>0</v>
      </c>
      <c r="J2192">
        <v>7</v>
      </c>
      <c r="K2192">
        <v>30</v>
      </c>
      <c r="L2192">
        <v>2022</v>
      </c>
      <c r="N2192" t="s">
        <v>5478</v>
      </c>
      <c r="O2192" t="s">
        <v>5479</v>
      </c>
      <c r="P2192" t="s">
        <v>5480</v>
      </c>
    </row>
    <row r="2193" spans="1:16" x14ac:dyDescent="0.3">
      <c r="A2193" t="s">
        <v>4321</v>
      </c>
      <c r="C2193">
        <v>30</v>
      </c>
      <c r="D2193" t="s">
        <v>10</v>
      </c>
      <c r="F2193" s="43">
        <v>44865.270833333336</v>
      </c>
      <c r="G2193" s="43">
        <v>44865.291666666664</v>
      </c>
      <c r="H2193">
        <v>6</v>
      </c>
      <c r="I2193">
        <v>30</v>
      </c>
      <c r="J2193">
        <v>7</v>
      </c>
      <c r="K2193">
        <v>0</v>
      </c>
      <c r="L2193">
        <v>2022</v>
      </c>
      <c r="N2193" t="s">
        <v>47</v>
      </c>
      <c r="O2193" t="s">
        <v>47</v>
      </c>
      <c r="P2193" t="s">
        <v>5548</v>
      </c>
    </row>
    <row r="2194" spans="1:16" x14ac:dyDescent="0.3">
      <c r="A2194" t="s">
        <v>4321</v>
      </c>
      <c r="C2194">
        <v>80</v>
      </c>
      <c r="D2194" t="s">
        <v>10</v>
      </c>
      <c r="F2194" s="43">
        <v>44865.1875</v>
      </c>
      <c r="G2194" s="43">
        <v>44865.243055555555</v>
      </c>
      <c r="H2194">
        <v>4</v>
      </c>
      <c r="I2194">
        <v>30</v>
      </c>
      <c r="J2194">
        <v>5</v>
      </c>
      <c r="K2194">
        <v>50</v>
      </c>
      <c r="L2194">
        <v>2022</v>
      </c>
      <c r="N2194" t="s">
        <v>47</v>
      </c>
      <c r="O2194" t="s">
        <v>47</v>
      </c>
      <c r="P2194" t="s">
        <v>5549</v>
      </c>
    </row>
    <row r="2195" spans="1:16" x14ac:dyDescent="0.3">
      <c r="A2195" t="s">
        <v>4321</v>
      </c>
      <c r="C2195">
        <v>60</v>
      </c>
      <c r="D2195" t="s">
        <v>10</v>
      </c>
      <c r="F2195" s="43">
        <v>44864.75</v>
      </c>
      <c r="G2195" s="43">
        <v>44864.791666666664</v>
      </c>
      <c r="H2195">
        <v>18</v>
      </c>
      <c r="I2195">
        <v>0</v>
      </c>
      <c r="J2195">
        <v>19</v>
      </c>
      <c r="K2195">
        <v>0</v>
      </c>
      <c r="L2195">
        <v>2022</v>
      </c>
      <c r="N2195" t="s">
        <v>47</v>
      </c>
      <c r="O2195" t="s">
        <v>47</v>
      </c>
      <c r="P2195" t="s">
        <v>5550</v>
      </c>
    </row>
    <row r="2196" spans="1:16" x14ac:dyDescent="0.3">
      <c r="A2196" t="s">
        <v>5551</v>
      </c>
      <c r="C2196">
        <v>35</v>
      </c>
      <c r="D2196" t="s">
        <v>10</v>
      </c>
      <c r="F2196" s="43">
        <v>44864.673611111109</v>
      </c>
      <c r="G2196" s="43">
        <v>44864.697916666664</v>
      </c>
      <c r="H2196">
        <v>16</v>
      </c>
      <c r="I2196">
        <v>10</v>
      </c>
      <c r="J2196">
        <v>16</v>
      </c>
      <c r="K2196">
        <v>45</v>
      </c>
      <c r="L2196">
        <v>2022</v>
      </c>
      <c r="N2196" t="s">
        <v>47</v>
      </c>
      <c r="O2196" t="s">
        <v>47</v>
      </c>
      <c r="P2196" t="s">
        <v>5552</v>
      </c>
    </row>
    <row r="2197" spans="1:16" x14ac:dyDescent="0.3">
      <c r="A2197" t="s">
        <v>5553</v>
      </c>
      <c r="C2197">
        <v>50</v>
      </c>
      <c r="D2197" t="s">
        <v>10</v>
      </c>
      <c r="F2197" s="43">
        <v>44864.625</v>
      </c>
      <c r="G2197" s="43">
        <v>44864.659722222219</v>
      </c>
      <c r="H2197">
        <v>15</v>
      </c>
      <c r="I2197">
        <v>0</v>
      </c>
      <c r="J2197">
        <v>15</v>
      </c>
      <c r="K2197">
        <v>50</v>
      </c>
      <c r="L2197">
        <v>2022</v>
      </c>
      <c r="N2197" t="s">
        <v>47</v>
      </c>
      <c r="O2197" t="s">
        <v>47</v>
      </c>
      <c r="P2197" t="s">
        <v>5554</v>
      </c>
    </row>
    <row r="2198" spans="1:16" x14ac:dyDescent="0.3">
      <c r="A2198" t="s">
        <v>4321</v>
      </c>
      <c r="C2198">
        <v>60</v>
      </c>
      <c r="D2198" t="s">
        <v>10</v>
      </c>
      <c r="F2198" s="43">
        <v>44864.541666666664</v>
      </c>
      <c r="G2198" s="43">
        <v>44864.583333333336</v>
      </c>
      <c r="H2198">
        <v>13</v>
      </c>
      <c r="I2198">
        <v>0</v>
      </c>
      <c r="J2198">
        <v>14</v>
      </c>
      <c r="K2198">
        <v>0</v>
      </c>
      <c r="L2198">
        <v>2022</v>
      </c>
      <c r="N2198" t="s">
        <v>47</v>
      </c>
      <c r="O2198" t="s">
        <v>47</v>
      </c>
      <c r="P2198" t="s">
        <v>5535</v>
      </c>
    </row>
    <row r="2199" spans="1:16" x14ac:dyDescent="0.3">
      <c r="A2199" t="s">
        <v>4321</v>
      </c>
      <c r="C2199">
        <v>70</v>
      </c>
      <c r="D2199" t="s">
        <v>10</v>
      </c>
      <c r="F2199" s="43">
        <v>44864.479166666664</v>
      </c>
      <c r="G2199" s="43">
        <v>44864.527777777781</v>
      </c>
      <c r="H2199">
        <v>11</v>
      </c>
      <c r="I2199">
        <v>30</v>
      </c>
      <c r="J2199">
        <v>12</v>
      </c>
      <c r="K2199">
        <v>40</v>
      </c>
      <c r="L2199">
        <v>2022</v>
      </c>
      <c r="N2199" t="s">
        <v>47</v>
      </c>
      <c r="O2199" t="s">
        <v>47</v>
      </c>
      <c r="P2199" t="s">
        <v>5534</v>
      </c>
    </row>
    <row r="2200" spans="1:16" x14ac:dyDescent="0.3">
      <c r="A2200" t="s">
        <v>4321</v>
      </c>
      <c r="C2200">
        <v>105</v>
      </c>
      <c r="D2200" t="s">
        <v>10</v>
      </c>
      <c r="F2200" s="43">
        <v>44864.364583333336</v>
      </c>
      <c r="G2200" s="43">
        <v>44864.4375</v>
      </c>
      <c r="H2200">
        <v>8</v>
      </c>
      <c r="I2200">
        <v>45</v>
      </c>
      <c r="J2200">
        <v>10</v>
      </c>
      <c r="K2200">
        <v>30</v>
      </c>
      <c r="L2200">
        <v>2022</v>
      </c>
      <c r="N2200" t="s">
        <v>47</v>
      </c>
      <c r="O2200" t="s">
        <v>47</v>
      </c>
      <c r="P2200" t="s">
        <v>5531</v>
      </c>
    </row>
    <row r="2201" spans="1:16" x14ac:dyDescent="0.3">
      <c r="A2201" t="s">
        <v>4321</v>
      </c>
      <c r="C2201">
        <v>75</v>
      </c>
      <c r="D2201" t="s">
        <v>10</v>
      </c>
      <c r="F2201" s="43">
        <v>44864.229166666664</v>
      </c>
      <c r="G2201" s="43">
        <v>44864.28125</v>
      </c>
      <c r="H2201">
        <v>5</v>
      </c>
      <c r="I2201">
        <v>30</v>
      </c>
      <c r="J2201">
        <v>6</v>
      </c>
      <c r="K2201">
        <v>45</v>
      </c>
      <c r="L2201">
        <v>2022</v>
      </c>
      <c r="N2201" t="s">
        <v>47</v>
      </c>
      <c r="O2201" t="s">
        <v>47</v>
      </c>
      <c r="P2201" t="s">
        <v>5532</v>
      </c>
    </row>
    <row r="2202" spans="1:16" x14ac:dyDescent="0.3">
      <c r="A2202" t="s">
        <v>4321</v>
      </c>
      <c r="C2202">
        <v>60</v>
      </c>
      <c r="D2202" t="s">
        <v>10</v>
      </c>
      <c r="F2202" s="43">
        <v>44863.760416666664</v>
      </c>
      <c r="G2202" s="43">
        <v>44863.802083333336</v>
      </c>
      <c r="H2202">
        <v>18</v>
      </c>
      <c r="I2202">
        <v>15</v>
      </c>
      <c r="J2202">
        <v>19</v>
      </c>
      <c r="K2202">
        <v>15</v>
      </c>
      <c r="L2202">
        <v>2022</v>
      </c>
      <c r="N2202" t="s">
        <v>47</v>
      </c>
      <c r="O2202" t="s">
        <v>47</v>
      </c>
      <c r="P2202" t="s">
        <v>5533</v>
      </c>
    </row>
    <row r="2203" spans="1:16" x14ac:dyDescent="0.3">
      <c r="A2203" t="s">
        <v>5529</v>
      </c>
      <c r="C2203">
        <v>75</v>
      </c>
      <c r="D2203" t="s">
        <v>10</v>
      </c>
      <c r="F2203" s="43">
        <v>44863.666666666664</v>
      </c>
      <c r="G2203" s="43">
        <v>44863.71875</v>
      </c>
      <c r="H2203">
        <v>16</v>
      </c>
      <c r="I2203">
        <v>0</v>
      </c>
      <c r="J2203">
        <v>17</v>
      </c>
      <c r="K2203">
        <v>15</v>
      </c>
      <c r="L2203">
        <v>2022</v>
      </c>
      <c r="N2203" t="s">
        <v>47</v>
      </c>
      <c r="O2203" t="s">
        <v>47</v>
      </c>
      <c r="P2203" t="s">
        <v>5530</v>
      </c>
    </row>
    <row r="2204" spans="1:16" x14ac:dyDescent="0.3">
      <c r="A2204" t="s">
        <v>5527</v>
      </c>
      <c r="C2204">
        <v>40</v>
      </c>
      <c r="D2204" t="s">
        <v>10</v>
      </c>
      <c r="F2204" s="43">
        <v>44863.625</v>
      </c>
      <c r="G2204" s="43">
        <v>44863.652777777781</v>
      </c>
      <c r="H2204">
        <v>15</v>
      </c>
      <c r="I2204">
        <v>0</v>
      </c>
      <c r="J2204">
        <v>15</v>
      </c>
      <c r="K2204">
        <v>40</v>
      </c>
      <c r="L2204">
        <v>2022</v>
      </c>
      <c r="N2204" t="s">
        <v>47</v>
      </c>
      <c r="O2204" t="s">
        <v>47</v>
      </c>
      <c r="P2204" t="s">
        <v>5528</v>
      </c>
    </row>
    <row r="2205" spans="1:16" x14ac:dyDescent="0.3">
      <c r="A2205" t="s">
        <v>4321</v>
      </c>
      <c r="C2205">
        <v>30</v>
      </c>
      <c r="D2205" t="s">
        <v>10</v>
      </c>
      <c r="F2205" s="43">
        <v>44863.583333333336</v>
      </c>
      <c r="G2205" s="43">
        <v>44863.604166666664</v>
      </c>
      <c r="H2205">
        <v>14</v>
      </c>
      <c r="I2205">
        <v>0</v>
      </c>
      <c r="J2205">
        <v>14</v>
      </c>
      <c r="K2205">
        <v>30</v>
      </c>
      <c r="L2205">
        <v>2022</v>
      </c>
      <c r="N2205" t="s">
        <v>47</v>
      </c>
      <c r="O2205" t="s">
        <v>47</v>
      </c>
      <c r="P2205" t="s">
        <v>5526</v>
      </c>
    </row>
    <row r="2206" spans="1:16" x14ac:dyDescent="0.3">
      <c r="A2206" t="s">
        <v>5524</v>
      </c>
      <c r="C2206">
        <v>30</v>
      </c>
      <c r="D2206" t="s">
        <v>10</v>
      </c>
      <c r="F2206" s="43">
        <v>44863.5625</v>
      </c>
      <c r="G2206" s="43">
        <v>44863.583333333336</v>
      </c>
      <c r="H2206">
        <v>13</v>
      </c>
      <c r="I2206">
        <v>30</v>
      </c>
      <c r="J2206">
        <v>14</v>
      </c>
      <c r="K2206">
        <v>0</v>
      </c>
      <c r="L2206">
        <v>2022</v>
      </c>
      <c r="N2206" t="s">
        <v>47</v>
      </c>
      <c r="O2206" t="s">
        <v>47</v>
      </c>
      <c r="P2206" t="s">
        <v>5525</v>
      </c>
    </row>
    <row r="2207" spans="1:16" x14ac:dyDescent="0.3">
      <c r="A2207" t="s">
        <v>5522</v>
      </c>
      <c r="C2207">
        <v>30</v>
      </c>
      <c r="D2207" t="s">
        <v>10</v>
      </c>
      <c r="F2207" s="43">
        <v>44863.520833333336</v>
      </c>
      <c r="G2207" s="43">
        <v>44863.541666666664</v>
      </c>
      <c r="H2207">
        <v>12</v>
      </c>
      <c r="I2207">
        <v>30</v>
      </c>
      <c r="J2207">
        <v>13</v>
      </c>
      <c r="K2207">
        <v>0</v>
      </c>
      <c r="L2207">
        <v>2022</v>
      </c>
      <c r="N2207" t="s">
        <v>47</v>
      </c>
      <c r="O2207" t="s">
        <v>47</v>
      </c>
      <c r="P2207" t="s">
        <v>5523</v>
      </c>
    </row>
    <row r="2208" spans="1:16" x14ac:dyDescent="0.3">
      <c r="A2208" t="s">
        <v>5514</v>
      </c>
      <c r="C2208">
        <v>75</v>
      </c>
      <c r="D2208" t="s">
        <v>10</v>
      </c>
      <c r="F2208" s="43">
        <v>44863.208333333336</v>
      </c>
      <c r="G2208" s="43">
        <v>44863.260416666664</v>
      </c>
      <c r="H2208">
        <v>5</v>
      </c>
      <c r="I2208">
        <v>0</v>
      </c>
      <c r="J2208">
        <v>6</v>
      </c>
      <c r="K2208">
        <v>15</v>
      </c>
      <c r="L2208">
        <v>2022</v>
      </c>
      <c r="N2208" t="s">
        <v>47</v>
      </c>
      <c r="O2208" t="s">
        <v>47</v>
      </c>
      <c r="P2208" t="s">
        <v>5515</v>
      </c>
    </row>
    <row r="2209" spans="1:16" x14ac:dyDescent="0.3">
      <c r="A2209" t="s">
        <v>5516</v>
      </c>
      <c r="C2209">
        <v>40</v>
      </c>
      <c r="D2209" t="s">
        <v>10</v>
      </c>
      <c r="F2209" s="43">
        <v>44862.708333333336</v>
      </c>
      <c r="G2209" s="43">
        <v>44862.736111111109</v>
      </c>
      <c r="H2209">
        <v>17</v>
      </c>
      <c r="I2209">
        <v>0</v>
      </c>
      <c r="J2209">
        <v>17</v>
      </c>
      <c r="K2209">
        <v>40</v>
      </c>
      <c r="L2209">
        <v>2022</v>
      </c>
      <c r="N2209" t="s">
        <v>47</v>
      </c>
      <c r="O2209" t="s">
        <v>47</v>
      </c>
      <c r="P2209" t="s">
        <v>5517</v>
      </c>
    </row>
    <row r="2210" spans="1:16" x14ac:dyDescent="0.3">
      <c r="A2210" t="s">
        <v>7</v>
      </c>
      <c r="C2210">
        <v>30</v>
      </c>
      <c r="D2210" t="s">
        <v>10</v>
      </c>
      <c r="F2210" s="43">
        <v>44862.625</v>
      </c>
      <c r="G2210" s="43">
        <v>44862.645833333336</v>
      </c>
      <c r="H2210">
        <v>15</v>
      </c>
      <c r="I2210">
        <v>0</v>
      </c>
      <c r="J2210">
        <v>15</v>
      </c>
      <c r="K2210">
        <v>30</v>
      </c>
      <c r="L2210">
        <v>2022</v>
      </c>
      <c r="N2210" t="s">
        <v>47</v>
      </c>
      <c r="O2210" t="s">
        <v>47</v>
      </c>
      <c r="P2210" t="s">
        <v>5521</v>
      </c>
    </row>
    <row r="2211" spans="1:16" x14ac:dyDescent="0.3">
      <c r="A2211" t="s">
        <v>5468</v>
      </c>
      <c r="B2211" t="s">
        <v>20</v>
      </c>
      <c r="C2211">
        <v>60</v>
      </c>
      <c r="D2211" t="s">
        <v>10</v>
      </c>
      <c r="E2211" t="s">
        <v>501</v>
      </c>
      <c r="F2211" s="43">
        <v>44862.583333333336</v>
      </c>
      <c r="G2211" s="43">
        <v>44862.625</v>
      </c>
      <c r="H2211">
        <v>14</v>
      </c>
      <c r="I2211">
        <v>0</v>
      </c>
      <c r="J2211">
        <v>15</v>
      </c>
      <c r="K2211">
        <v>0</v>
      </c>
      <c r="L2211">
        <v>2022</v>
      </c>
      <c r="N2211" t="s">
        <v>5469</v>
      </c>
      <c r="O2211" t="s">
        <v>47</v>
      </c>
      <c r="P2211" t="s">
        <v>5470</v>
      </c>
    </row>
    <row r="2212" spans="1:16" x14ac:dyDescent="0.3">
      <c r="A2212" t="s">
        <v>5519</v>
      </c>
      <c r="C2212">
        <v>120</v>
      </c>
      <c r="D2212" t="s">
        <v>10</v>
      </c>
      <c r="F2212" s="43">
        <v>44862.5</v>
      </c>
      <c r="G2212" s="43">
        <v>44862.583333333336</v>
      </c>
      <c r="H2212">
        <v>12</v>
      </c>
      <c r="I2212">
        <v>0</v>
      </c>
      <c r="J2212">
        <v>14</v>
      </c>
      <c r="K2212">
        <v>0</v>
      </c>
      <c r="L2212">
        <v>2022</v>
      </c>
      <c r="N2212" t="s">
        <v>47</v>
      </c>
      <c r="O2212" t="s">
        <v>47</v>
      </c>
      <c r="P2212" t="s">
        <v>5520</v>
      </c>
    </row>
    <row r="2213" spans="1:16" x14ac:dyDescent="0.3">
      <c r="A2213" t="s">
        <v>5506</v>
      </c>
      <c r="C2213">
        <v>30</v>
      </c>
      <c r="D2213" t="s">
        <v>10</v>
      </c>
      <c r="E2213" t="s">
        <v>501</v>
      </c>
      <c r="F2213" s="43">
        <v>44862.458333333336</v>
      </c>
      <c r="G2213" s="43">
        <v>44862.479166666664</v>
      </c>
      <c r="H2213">
        <v>11</v>
      </c>
      <c r="I2213">
        <v>0</v>
      </c>
      <c r="J2213">
        <v>11</v>
      </c>
      <c r="K2213">
        <v>30</v>
      </c>
      <c r="L2213">
        <v>2022</v>
      </c>
      <c r="N2213" t="s">
        <v>5507</v>
      </c>
      <c r="O2213" t="s">
        <v>47</v>
      </c>
      <c r="P2213" t="s">
        <v>5508</v>
      </c>
    </row>
    <row r="2214" spans="1:16" x14ac:dyDescent="0.3">
      <c r="A2214" t="s">
        <v>8</v>
      </c>
      <c r="C2214">
        <v>30</v>
      </c>
      <c r="D2214" t="s">
        <v>10</v>
      </c>
      <c r="F2214" s="43">
        <v>44862.4375</v>
      </c>
      <c r="G2214" s="43">
        <v>44862.458333333336</v>
      </c>
      <c r="H2214">
        <v>10</v>
      </c>
      <c r="I2214">
        <v>30</v>
      </c>
      <c r="J2214">
        <v>11</v>
      </c>
      <c r="K2214">
        <v>0</v>
      </c>
      <c r="L2214">
        <v>2022</v>
      </c>
      <c r="N2214" t="s">
        <v>47</v>
      </c>
      <c r="O2214" t="s">
        <v>47</v>
      </c>
      <c r="P2214" t="s">
        <v>5518</v>
      </c>
    </row>
    <row r="2215" spans="1:16" x14ac:dyDescent="0.3">
      <c r="A2215" t="s">
        <v>17</v>
      </c>
      <c r="C2215">
        <v>15</v>
      </c>
      <c r="D2215" t="s">
        <v>10</v>
      </c>
      <c r="F2215" s="43">
        <v>44862.416666666664</v>
      </c>
      <c r="G2215" s="43">
        <v>44862.427083333336</v>
      </c>
      <c r="H2215">
        <v>10</v>
      </c>
      <c r="I2215">
        <v>0</v>
      </c>
      <c r="J2215">
        <v>10</v>
      </c>
      <c r="K2215">
        <v>15</v>
      </c>
      <c r="L2215">
        <v>2022</v>
      </c>
      <c r="N2215" t="s">
        <v>47</v>
      </c>
      <c r="O2215" t="s">
        <v>47</v>
      </c>
      <c r="P2215" t="s">
        <v>5495</v>
      </c>
    </row>
    <row r="2216" spans="1:16" x14ac:dyDescent="0.3">
      <c r="A2216" t="s">
        <v>8</v>
      </c>
      <c r="C2216">
        <v>60</v>
      </c>
      <c r="D2216" t="s">
        <v>10</v>
      </c>
      <c r="F2216" s="43">
        <v>44862.333333333336</v>
      </c>
      <c r="G2216" s="43">
        <v>44862.375</v>
      </c>
      <c r="H2216">
        <v>8</v>
      </c>
      <c r="I2216">
        <v>0</v>
      </c>
      <c r="J2216">
        <v>9</v>
      </c>
      <c r="K2216">
        <v>0</v>
      </c>
      <c r="L2216">
        <v>2022</v>
      </c>
      <c r="N2216" t="s">
        <v>47</v>
      </c>
      <c r="O2216" t="s">
        <v>47</v>
      </c>
      <c r="P2216" t="s">
        <v>5496</v>
      </c>
    </row>
    <row r="2217" spans="1:16" x14ac:dyDescent="0.3">
      <c r="A2217" t="s">
        <v>5501</v>
      </c>
      <c r="C2217">
        <v>75</v>
      </c>
      <c r="D2217" t="s">
        <v>10</v>
      </c>
      <c r="F2217" s="43">
        <v>44862.260416666664</v>
      </c>
      <c r="G2217" s="43">
        <v>44862.3125</v>
      </c>
      <c r="H2217">
        <v>6</v>
      </c>
      <c r="I2217">
        <v>15</v>
      </c>
      <c r="J2217">
        <v>7</v>
      </c>
      <c r="K2217">
        <v>30</v>
      </c>
      <c r="L2217">
        <v>2022</v>
      </c>
      <c r="N2217" t="s">
        <v>47</v>
      </c>
      <c r="O2217" t="s">
        <v>47</v>
      </c>
      <c r="P2217" t="s">
        <v>5502</v>
      </c>
    </row>
    <row r="2218" spans="1:16" x14ac:dyDescent="0.3">
      <c r="A2218" t="s">
        <v>5501</v>
      </c>
      <c r="C2218">
        <v>60</v>
      </c>
      <c r="D2218" t="s">
        <v>10</v>
      </c>
      <c r="F2218" s="43">
        <v>44862.1875</v>
      </c>
      <c r="G2218" s="43">
        <v>44862.229166666664</v>
      </c>
      <c r="H2218">
        <v>4</v>
      </c>
      <c r="I2218">
        <v>30</v>
      </c>
      <c r="J2218">
        <v>5</v>
      </c>
      <c r="K2218">
        <v>30</v>
      </c>
      <c r="L2218">
        <v>2022</v>
      </c>
      <c r="N2218" t="s">
        <v>47</v>
      </c>
      <c r="O2218" t="s">
        <v>47</v>
      </c>
      <c r="P2218" t="s">
        <v>5503</v>
      </c>
    </row>
    <row r="2219" spans="1:16" x14ac:dyDescent="0.3">
      <c r="A2219" t="s">
        <v>5504</v>
      </c>
      <c r="C2219">
        <v>45</v>
      </c>
      <c r="D2219" t="s">
        <v>10</v>
      </c>
      <c r="F2219" s="43">
        <v>44862.166666666664</v>
      </c>
      <c r="G2219" s="43">
        <v>44862.197916666664</v>
      </c>
      <c r="H2219">
        <v>4</v>
      </c>
      <c r="I2219">
        <v>0</v>
      </c>
      <c r="J2219">
        <v>4</v>
      </c>
      <c r="K2219">
        <v>45</v>
      </c>
      <c r="L2219">
        <v>2022</v>
      </c>
      <c r="N2219" t="s">
        <v>47</v>
      </c>
      <c r="O2219" t="s">
        <v>47</v>
      </c>
      <c r="P2219" t="s">
        <v>5505</v>
      </c>
    </row>
    <row r="2220" spans="1:16" x14ac:dyDescent="0.3">
      <c r="A2220" t="s">
        <v>5509</v>
      </c>
      <c r="C2220">
        <v>30</v>
      </c>
      <c r="D2220" t="s">
        <v>10</v>
      </c>
      <c r="F2220" s="43">
        <v>44861.791666666664</v>
      </c>
      <c r="G2220" s="43">
        <v>44861.8125</v>
      </c>
      <c r="H2220">
        <v>19</v>
      </c>
      <c r="I2220">
        <v>0</v>
      </c>
      <c r="J2220">
        <v>19</v>
      </c>
      <c r="K2220">
        <v>30</v>
      </c>
      <c r="L2220">
        <v>2022</v>
      </c>
      <c r="N2220" t="s">
        <v>47</v>
      </c>
      <c r="O2220" t="s">
        <v>47</v>
      </c>
      <c r="P2220" t="s">
        <v>5510</v>
      </c>
    </row>
    <row r="2221" spans="1:16" x14ac:dyDescent="0.3">
      <c r="A2221" t="s">
        <v>5493</v>
      </c>
      <c r="C2221">
        <v>30</v>
      </c>
      <c r="D2221" t="s">
        <v>10</v>
      </c>
      <c r="F2221" s="43">
        <v>44861.75</v>
      </c>
      <c r="G2221" s="43">
        <v>44861.770833333336</v>
      </c>
      <c r="H2221">
        <v>18</v>
      </c>
      <c r="I2221">
        <v>0</v>
      </c>
      <c r="J2221">
        <v>18</v>
      </c>
      <c r="K2221">
        <v>30</v>
      </c>
      <c r="L2221">
        <v>2022</v>
      </c>
      <c r="N2221" t="s">
        <v>47</v>
      </c>
      <c r="O2221" t="s">
        <v>47</v>
      </c>
      <c r="P2221" t="s">
        <v>5494</v>
      </c>
    </row>
    <row r="2222" spans="1:16" x14ac:dyDescent="0.3">
      <c r="A2222" t="s">
        <v>4946</v>
      </c>
      <c r="C2222">
        <v>15</v>
      </c>
      <c r="D2222" t="s">
        <v>10</v>
      </c>
      <c r="F2222" s="43">
        <v>44861.6875</v>
      </c>
      <c r="G2222" s="43">
        <v>44861.697916666664</v>
      </c>
      <c r="H2222">
        <v>16</v>
      </c>
      <c r="I2222">
        <v>30</v>
      </c>
      <c r="J2222">
        <v>16</v>
      </c>
      <c r="K2222">
        <v>45</v>
      </c>
      <c r="L2222">
        <v>2022</v>
      </c>
      <c r="N2222" t="s">
        <v>47</v>
      </c>
      <c r="O2222" t="s">
        <v>47</v>
      </c>
      <c r="P2222" t="s">
        <v>5492</v>
      </c>
    </row>
    <row r="2223" spans="1:16" x14ac:dyDescent="0.3">
      <c r="A2223" t="s">
        <v>4454</v>
      </c>
      <c r="C2223">
        <v>60</v>
      </c>
      <c r="D2223" t="s">
        <v>10</v>
      </c>
      <c r="F2223" s="43">
        <v>44861.625</v>
      </c>
      <c r="G2223" s="43">
        <v>44861.666666666664</v>
      </c>
      <c r="H2223">
        <v>15</v>
      </c>
      <c r="I2223">
        <v>0</v>
      </c>
      <c r="J2223">
        <v>16</v>
      </c>
      <c r="K2223">
        <v>0</v>
      </c>
      <c r="L2223">
        <v>2022</v>
      </c>
      <c r="N2223" t="s">
        <v>47</v>
      </c>
      <c r="O2223" t="s">
        <v>47</v>
      </c>
      <c r="P2223" t="s">
        <v>5488</v>
      </c>
    </row>
    <row r="2224" spans="1:16" x14ac:dyDescent="0.3">
      <c r="A2224" t="s">
        <v>4452</v>
      </c>
      <c r="C2224">
        <v>30</v>
      </c>
      <c r="D2224" t="s">
        <v>10</v>
      </c>
      <c r="F2224" s="43">
        <v>44861.604166666664</v>
      </c>
      <c r="G2224" s="43">
        <v>44861.625</v>
      </c>
      <c r="H2224">
        <v>14</v>
      </c>
      <c r="I2224">
        <v>30</v>
      </c>
      <c r="J2224">
        <v>15</v>
      </c>
      <c r="K2224">
        <v>0</v>
      </c>
      <c r="L2224">
        <v>2022</v>
      </c>
      <c r="N2224" t="s">
        <v>47</v>
      </c>
      <c r="O2224" t="s">
        <v>47</v>
      </c>
      <c r="P2224" t="s">
        <v>5487</v>
      </c>
    </row>
    <row r="2225" spans="1:16" x14ac:dyDescent="0.3">
      <c r="A2225" t="s">
        <v>5466</v>
      </c>
      <c r="C2225">
        <v>30</v>
      </c>
      <c r="D2225" t="s">
        <v>10</v>
      </c>
      <c r="F2225" s="43">
        <v>44861.583333333336</v>
      </c>
      <c r="G2225" s="43">
        <v>44861.604166666664</v>
      </c>
      <c r="H2225">
        <v>14</v>
      </c>
      <c r="I2225">
        <v>0</v>
      </c>
      <c r="J2225">
        <v>14</v>
      </c>
      <c r="K2225">
        <v>30</v>
      </c>
      <c r="L2225">
        <v>2022</v>
      </c>
      <c r="N2225" t="s">
        <v>4365</v>
      </c>
      <c r="O2225" t="s">
        <v>783</v>
      </c>
      <c r="P2225" t="s">
        <v>5467</v>
      </c>
    </row>
    <row r="2226" spans="1:16" x14ac:dyDescent="0.3">
      <c r="A2226" t="s">
        <v>4454</v>
      </c>
      <c r="C2226">
        <v>20</v>
      </c>
      <c r="D2226" t="s">
        <v>10</v>
      </c>
      <c r="F2226" s="43">
        <v>44861.569444444445</v>
      </c>
      <c r="G2226" s="43">
        <v>44861.583333333336</v>
      </c>
      <c r="H2226">
        <v>13</v>
      </c>
      <c r="I2226">
        <v>40</v>
      </c>
      <c r="J2226">
        <v>14</v>
      </c>
      <c r="K2226">
        <v>0</v>
      </c>
      <c r="L2226">
        <v>2022</v>
      </c>
      <c r="N2226" t="s">
        <v>47</v>
      </c>
      <c r="O2226" t="s">
        <v>47</v>
      </c>
      <c r="P2226" t="s">
        <v>5486</v>
      </c>
    </row>
    <row r="2227" spans="1:16" x14ac:dyDescent="0.3">
      <c r="A2227" t="s">
        <v>5425</v>
      </c>
      <c r="C2227">
        <v>40</v>
      </c>
      <c r="D2227" t="s">
        <v>10</v>
      </c>
      <c r="E2227" t="s">
        <v>5426</v>
      </c>
      <c r="F2227" s="43">
        <v>44861.520833333336</v>
      </c>
      <c r="G2227" s="43">
        <v>44861.548611111109</v>
      </c>
      <c r="H2227">
        <v>12</v>
      </c>
      <c r="I2227">
        <v>30</v>
      </c>
      <c r="J2227">
        <v>13</v>
      </c>
      <c r="K2227">
        <v>10</v>
      </c>
      <c r="L2227">
        <v>2022</v>
      </c>
      <c r="N2227" t="s">
        <v>4539</v>
      </c>
      <c r="O2227" t="s">
        <v>975</v>
      </c>
      <c r="P2227" t="s">
        <v>5427</v>
      </c>
    </row>
    <row r="2228" spans="1:16" x14ac:dyDescent="0.3">
      <c r="A2228" t="s">
        <v>4454</v>
      </c>
      <c r="C2228">
        <v>50</v>
      </c>
      <c r="D2228" t="s">
        <v>10</v>
      </c>
      <c r="F2228" s="43">
        <v>44861.479166666664</v>
      </c>
      <c r="G2228" s="43">
        <v>44861.513888888891</v>
      </c>
      <c r="H2228">
        <v>11</v>
      </c>
      <c r="I2228">
        <v>30</v>
      </c>
      <c r="J2228">
        <v>12</v>
      </c>
      <c r="K2228">
        <v>20</v>
      </c>
      <c r="L2228">
        <v>2022</v>
      </c>
      <c r="N2228" t="s">
        <v>47</v>
      </c>
      <c r="O2228" t="s">
        <v>47</v>
      </c>
      <c r="P2228" t="s">
        <v>5485</v>
      </c>
    </row>
    <row r="2229" spans="1:16" x14ac:dyDescent="0.3">
      <c r="A2229" t="s">
        <v>5463</v>
      </c>
      <c r="C2229">
        <v>45</v>
      </c>
      <c r="D2229" t="s">
        <v>10</v>
      </c>
      <c r="F2229" s="43">
        <v>44861.447916666664</v>
      </c>
      <c r="G2229" s="43">
        <v>44861.479166666664</v>
      </c>
      <c r="H2229">
        <v>10</v>
      </c>
      <c r="I2229">
        <v>45</v>
      </c>
      <c r="J2229">
        <v>11</v>
      </c>
      <c r="K2229">
        <v>30</v>
      </c>
      <c r="L2229">
        <v>2022</v>
      </c>
      <c r="N2229" t="s">
        <v>47</v>
      </c>
      <c r="O2229" t="s">
        <v>47</v>
      </c>
      <c r="P2229" t="s">
        <v>5464</v>
      </c>
    </row>
    <row r="2230" spans="1:16" x14ac:dyDescent="0.3">
      <c r="A2230" t="s">
        <v>5397</v>
      </c>
      <c r="C2230">
        <v>30</v>
      </c>
      <c r="D2230" t="s">
        <v>10</v>
      </c>
      <c r="E2230" t="s">
        <v>5</v>
      </c>
      <c r="F2230" s="43">
        <v>44861.416666666664</v>
      </c>
      <c r="G2230" s="43">
        <v>44861.4375</v>
      </c>
      <c r="H2230">
        <v>10</v>
      </c>
      <c r="I2230">
        <v>0</v>
      </c>
      <c r="J2230">
        <v>10</v>
      </c>
      <c r="K2230">
        <v>30</v>
      </c>
      <c r="L2230">
        <v>2022</v>
      </c>
      <c r="N2230" t="s">
        <v>5398</v>
      </c>
      <c r="O2230" t="s">
        <v>3566</v>
      </c>
      <c r="P2230" t="s">
        <v>5399</v>
      </c>
    </row>
    <row r="2231" spans="1:16" x14ac:dyDescent="0.3">
      <c r="A2231" t="s">
        <v>4454</v>
      </c>
      <c r="C2231">
        <v>45</v>
      </c>
      <c r="D2231" t="s">
        <v>10</v>
      </c>
      <c r="F2231" s="43">
        <v>44861.375</v>
      </c>
      <c r="G2231" s="43">
        <v>44861.40625</v>
      </c>
      <c r="H2231">
        <v>9</v>
      </c>
      <c r="I2231">
        <v>0</v>
      </c>
      <c r="J2231">
        <v>9</v>
      </c>
      <c r="K2231">
        <v>45</v>
      </c>
      <c r="L2231">
        <v>2022</v>
      </c>
      <c r="N2231" t="s">
        <v>47</v>
      </c>
      <c r="O2231" t="s">
        <v>47</v>
      </c>
      <c r="P2231" t="s">
        <v>5465</v>
      </c>
    </row>
    <row r="2232" spans="1:16" x14ac:dyDescent="0.3">
      <c r="A2232" t="s">
        <v>5456</v>
      </c>
      <c r="B2232" t="s">
        <v>20</v>
      </c>
      <c r="C2232">
        <v>15</v>
      </c>
      <c r="D2232" t="s">
        <v>10</v>
      </c>
      <c r="E2232" t="s">
        <v>5</v>
      </c>
      <c r="F2232" s="1">
        <v>44861.364583333336</v>
      </c>
      <c r="G2232" s="1">
        <v>44861.375</v>
      </c>
      <c r="H2232">
        <v>8</v>
      </c>
      <c r="I2232">
        <v>45</v>
      </c>
      <c r="J2232">
        <v>9</v>
      </c>
      <c r="K2232">
        <v>0</v>
      </c>
      <c r="L2232">
        <v>2022</v>
      </c>
      <c r="N2232" t="s">
        <v>5457</v>
      </c>
      <c r="O2232" t="s">
        <v>3566</v>
      </c>
      <c r="P2232" t="s">
        <v>5458</v>
      </c>
    </row>
    <row r="2233" spans="1:16" x14ac:dyDescent="0.3">
      <c r="A2233" t="s">
        <v>1266</v>
      </c>
      <c r="C2233">
        <v>30</v>
      </c>
      <c r="D2233" t="s">
        <v>10</v>
      </c>
      <c r="E2233" t="s">
        <v>5</v>
      </c>
      <c r="F2233" s="43">
        <v>44861.333333333336</v>
      </c>
      <c r="G2233" s="43">
        <v>44861.354166666664</v>
      </c>
      <c r="H2233">
        <v>8</v>
      </c>
      <c r="I2233">
        <v>0</v>
      </c>
      <c r="J2233">
        <v>8</v>
      </c>
      <c r="K2233">
        <v>30</v>
      </c>
      <c r="L2233">
        <v>2022</v>
      </c>
      <c r="N2233" t="s">
        <v>805</v>
      </c>
      <c r="O2233" t="s">
        <v>806</v>
      </c>
      <c r="P2233" t="s">
        <v>5442</v>
      </c>
    </row>
    <row r="2234" spans="1:16" x14ac:dyDescent="0.3">
      <c r="A2234" t="s">
        <v>4454</v>
      </c>
      <c r="C2234">
        <v>30</v>
      </c>
      <c r="D2234" t="s">
        <v>10</v>
      </c>
      <c r="F2234" s="43">
        <v>44861.3125</v>
      </c>
      <c r="G2234" s="43">
        <v>44861.333333333336</v>
      </c>
      <c r="H2234">
        <v>7</v>
      </c>
      <c r="I2234">
        <v>30</v>
      </c>
      <c r="J2234">
        <v>8</v>
      </c>
      <c r="K2234">
        <v>0</v>
      </c>
      <c r="L2234">
        <v>2022</v>
      </c>
      <c r="N2234" t="s">
        <v>47</v>
      </c>
      <c r="O2234" t="s">
        <v>47</v>
      </c>
      <c r="P2234" t="s">
        <v>5471</v>
      </c>
    </row>
    <row r="2235" spans="1:16" x14ac:dyDescent="0.3">
      <c r="A2235" t="s">
        <v>4454</v>
      </c>
      <c r="C2235">
        <v>30</v>
      </c>
      <c r="D2235" t="s">
        <v>10</v>
      </c>
      <c r="F2235" s="43">
        <v>44861.270833333336</v>
      </c>
      <c r="G2235" s="43">
        <v>44861.291666666664</v>
      </c>
      <c r="H2235">
        <v>6</v>
      </c>
      <c r="I2235">
        <v>30</v>
      </c>
      <c r="J2235">
        <v>7</v>
      </c>
      <c r="K2235">
        <v>0</v>
      </c>
      <c r="L2235">
        <v>2022</v>
      </c>
      <c r="N2235" t="s">
        <v>47</v>
      </c>
      <c r="O2235" t="s">
        <v>47</v>
      </c>
      <c r="P2235" t="s">
        <v>5472</v>
      </c>
    </row>
    <row r="2236" spans="1:16" x14ac:dyDescent="0.3">
      <c r="A2236" t="s">
        <v>5473</v>
      </c>
      <c r="C2236">
        <v>30</v>
      </c>
      <c r="D2236" t="s">
        <v>10</v>
      </c>
      <c r="F2236" s="43">
        <v>44861.229166666664</v>
      </c>
      <c r="G2236" s="43">
        <v>44861.25</v>
      </c>
      <c r="H2236">
        <v>5</v>
      </c>
      <c r="I2236">
        <v>30</v>
      </c>
      <c r="J2236">
        <v>6</v>
      </c>
      <c r="K2236">
        <v>0</v>
      </c>
      <c r="L2236">
        <v>2022</v>
      </c>
      <c r="N2236" t="s">
        <v>47</v>
      </c>
      <c r="O2236" t="s">
        <v>47</v>
      </c>
      <c r="P2236" t="s">
        <v>5474</v>
      </c>
    </row>
    <row r="2237" spans="1:16" x14ac:dyDescent="0.3">
      <c r="A2237" t="s">
        <v>5475</v>
      </c>
      <c r="C2237">
        <v>30</v>
      </c>
      <c r="D2237" t="s">
        <v>10</v>
      </c>
      <c r="F2237" s="43">
        <v>44861.208333333336</v>
      </c>
      <c r="G2237" s="43">
        <v>44861.229166666664</v>
      </c>
      <c r="H2237">
        <v>5</v>
      </c>
      <c r="I2237">
        <v>0</v>
      </c>
      <c r="J2237">
        <v>5</v>
      </c>
      <c r="K2237">
        <v>30</v>
      </c>
      <c r="L2237">
        <v>2022</v>
      </c>
      <c r="N2237" t="s">
        <v>47</v>
      </c>
      <c r="O2237" t="s">
        <v>47</v>
      </c>
      <c r="P2237" t="s">
        <v>5476</v>
      </c>
    </row>
    <row r="2238" spans="1:16" x14ac:dyDescent="0.3">
      <c r="A2238" t="s">
        <v>4926</v>
      </c>
      <c r="C2238">
        <v>15</v>
      </c>
      <c r="D2238" t="s">
        <v>10</v>
      </c>
      <c r="F2238" s="43">
        <v>44860.791666666664</v>
      </c>
      <c r="G2238" s="43">
        <v>44860.802083333336</v>
      </c>
      <c r="H2238">
        <v>19</v>
      </c>
      <c r="I2238">
        <v>0</v>
      </c>
      <c r="J2238">
        <v>19</v>
      </c>
      <c r="K2238">
        <v>15</v>
      </c>
      <c r="L2238">
        <v>2022</v>
      </c>
      <c r="N2238" t="s">
        <v>47</v>
      </c>
      <c r="O2238" t="s">
        <v>47</v>
      </c>
      <c r="P2238" t="s">
        <v>5462</v>
      </c>
    </row>
    <row r="2239" spans="1:16" x14ac:dyDescent="0.3">
      <c r="A2239" t="s">
        <v>7</v>
      </c>
      <c r="C2239">
        <v>30</v>
      </c>
      <c r="D2239" t="s">
        <v>10</v>
      </c>
      <c r="F2239" s="43">
        <v>44860.729166666664</v>
      </c>
      <c r="G2239" s="43">
        <v>44860.75</v>
      </c>
      <c r="H2239">
        <v>17</v>
      </c>
      <c r="I2239">
        <v>30</v>
      </c>
      <c r="J2239">
        <v>18</v>
      </c>
      <c r="K2239">
        <v>0</v>
      </c>
      <c r="L2239">
        <v>2022</v>
      </c>
      <c r="N2239" t="s">
        <v>47</v>
      </c>
      <c r="O2239" t="s">
        <v>47</v>
      </c>
      <c r="P2239" t="s">
        <v>5461</v>
      </c>
    </row>
    <row r="2240" spans="1:16" x14ac:dyDescent="0.3">
      <c r="A2240" t="s">
        <v>4454</v>
      </c>
      <c r="C2240">
        <v>45</v>
      </c>
      <c r="D2240" t="s">
        <v>10</v>
      </c>
      <c r="F2240" s="43">
        <v>44860.6875</v>
      </c>
      <c r="G2240" s="43">
        <v>44860.71875</v>
      </c>
      <c r="H2240">
        <v>16</v>
      </c>
      <c r="I2240">
        <v>30</v>
      </c>
      <c r="J2240">
        <v>17</v>
      </c>
      <c r="K2240">
        <v>15</v>
      </c>
      <c r="L2240">
        <v>2022</v>
      </c>
      <c r="N2240" t="s">
        <v>47</v>
      </c>
      <c r="O2240" t="s">
        <v>47</v>
      </c>
      <c r="P2240" t="s">
        <v>5460</v>
      </c>
    </row>
    <row r="2241" spans="1:16" x14ac:dyDescent="0.3">
      <c r="A2241" t="s">
        <v>8</v>
      </c>
      <c r="C2241">
        <v>30</v>
      </c>
      <c r="D2241" t="s">
        <v>10</v>
      </c>
      <c r="F2241" s="43">
        <v>44860.645833333336</v>
      </c>
      <c r="G2241" s="43">
        <v>44860.666666666664</v>
      </c>
      <c r="H2241">
        <v>15</v>
      </c>
      <c r="I2241">
        <v>30</v>
      </c>
      <c r="J2241">
        <v>16</v>
      </c>
      <c r="K2241">
        <v>0</v>
      </c>
      <c r="L2241">
        <v>2022</v>
      </c>
      <c r="N2241" t="s">
        <v>47</v>
      </c>
      <c r="O2241" t="s">
        <v>47</v>
      </c>
      <c r="P2241" t="s">
        <v>5459</v>
      </c>
    </row>
    <row r="2242" spans="1:16" x14ac:dyDescent="0.3">
      <c r="A2242" t="s">
        <v>5454</v>
      </c>
      <c r="C2242">
        <v>60</v>
      </c>
      <c r="D2242" t="s">
        <v>10</v>
      </c>
      <c r="F2242" s="43">
        <v>44860.5625</v>
      </c>
      <c r="G2242" s="43">
        <v>44860.604166666664</v>
      </c>
      <c r="H2242">
        <v>13</v>
      </c>
      <c r="I2242">
        <v>30</v>
      </c>
      <c r="J2242">
        <v>14</v>
      </c>
      <c r="K2242">
        <v>30</v>
      </c>
      <c r="L2242">
        <v>2022</v>
      </c>
      <c r="N2242" t="s">
        <v>47</v>
      </c>
      <c r="O2242" t="s">
        <v>47</v>
      </c>
      <c r="P2242" t="s">
        <v>5455</v>
      </c>
    </row>
    <row r="2243" spans="1:16" x14ac:dyDescent="0.3">
      <c r="A2243" t="s">
        <v>5417</v>
      </c>
      <c r="B2243" t="s">
        <v>20</v>
      </c>
      <c r="C2243">
        <v>60</v>
      </c>
      <c r="D2243" t="s">
        <v>10</v>
      </c>
      <c r="F2243" s="43">
        <v>44860.479166666664</v>
      </c>
      <c r="G2243" s="43">
        <v>44860.520833333336</v>
      </c>
      <c r="H2243">
        <v>11</v>
      </c>
      <c r="I2243">
        <v>30</v>
      </c>
      <c r="J2243">
        <v>12</v>
      </c>
      <c r="K2243">
        <v>30</v>
      </c>
      <c r="L2243">
        <v>2022</v>
      </c>
      <c r="N2243" t="s">
        <v>5418</v>
      </c>
      <c r="O2243" t="s">
        <v>1129</v>
      </c>
      <c r="P2243" t="s">
        <v>5419</v>
      </c>
    </row>
    <row r="2244" spans="1:16" x14ac:dyDescent="0.3">
      <c r="A2244" t="s">
        <v>5447</v>
      </c>
      <c r="C2244">
        <v>60</v>
      </c>
      <c r="D2244" t="s">
        <v>10</v>
      </c>
      <c r="F2244" s="43">
        <v>44860.4375</v>
      </c>
      <c r="G2244" s="43">
        <v>44860.479166666664</v>
      </c>
      <c r="H2244">
        <v>10</v>
      </c>
      <c r="I2244">
        <v>30</v>
      </c>
      <c r="J2244">
        <v>11</v>
      </c>
      <c r="K2244">
        <v>30</v>
      </c>
      <c r="L2244">
        <v>2022</v>
      </c>
      <c r="N2244" t="s">
        <v>47</v>
      </c>
      <c r="O2244" t="s">
        <v>47</v>
      </c>
      <c r="P2244" t="s">
        <v>5448</v>
      </c>
    </row>
    <row r="2245" spans="1:16" x14ac:dyDescent="0.3">
      <c r="A2245" t="s">
        <v>5445</v>
      </c>
      <c r="C2245">
        <v>30</v>
      </c>
      <c r="D2245" t="s">
        <v>10</v>
      </c>
      <c r="F2245" s="43">
        <v>44860.416666666664</v>
      </c>
      <c r="G2245" s="43">
        <v>44860.4375</v>
      </c>
      <c r="H2245">
        <v>10</v>
      </c>
      <c r="I2245">
        <v>0</v>
      </c>
      <c r="J2245">
        <v>10</v>
      </c>
      <c r="K2245">
        <v>30</v>
      </c>
      <c r="L2245">
        <v>2022</v>
      </c>
      <c r="N2245" t="s">
        <v>47</v>
      </c>
      <c r="O2245" t="s">
        <v>47</v>
      </c>
      <c r="P2245" t="s">
        <v>5446</v>
      </c>
    </row>
    <row r="2246" spans="1:16" x14ac:dyDescent="0.3">
      <c r="A2246" t="s">
        <v>5443</v>
      </c>
      <c r="C2246">
        <v>30</v>
      </c>
      <c r="D2246" t="s">
        <v>10</v>
      </c>
      <c r="F2246" s="43">
        <v>44860.395833333336</v>
      </c>
      <c r="G2246" s="43">
        <v>44860.416666666664</v>
      </c>
      <c r="H2246">
        <v>9</v>
      </c>
      <c r="I2246">
        <v>30</v>
      </c>
      <c r="J2246">
        <v>10</v>
      </c>
      <c r="K2246">
        <v>0</v>
      </c>
      <c r="L2246">
        <v>2022</v>
      </c>
      <c r="N2246" t="s">
        <v>47</v>
      </c>
      <c r="O2246" t="s">
        <v>47</v>
      </c>
      <c r="P2246" t="s">
        <v>5444</v>
      </c>
    </row>
    <row r="2247" spans="1:16" x14ac:dyDescent="0.3">
      <c r="A2247" t="s">
        <v>5438</v>
      </c>
      <c r="C2247">
        <v>30</v>
      </c>
      <c r="D2247" t="s">
        <v>10</v>
      </c>
      <c r="E2247" t="s">
        <v>5439</v>
      </c>
      <c r="F2247" s="43">
        <v>44860.354166666664</v>
      </c>
      <c r="G2247" s="43">
        <v>44860.375</v>
      </c>
      <c r="H2247">
        <v>8</v>
      </c>
      <c r="I2247">
        <v>30</v>
      </c>
      <c r="J2247">
        <v>9</v>
      </c>
      <c r="K2247">
        <v>0</v>
      </c>
      <c r="L2247">
        <v>2022</v>
      </c>
      <c r="N2247" t="s">
        <v>5440</v>
      </c>
      <c r="O2247" t="s">
        <v>5316</v>
      </c>
      <c r="P2247" t="s">
        <v>5441</v>
      </c>
    </row>
    <row r="2248" spans="1:16" x14ac:dyDescent="0.3">
      <c r="A2248" t="s">
        <v>5305</v>
      </c>
      <c r="B2248" t="s">
        <v>20</v>
      </c>
      <c r="C2248">
        <v>60</v>
      </c>
      <c r="D2248" t="s">
        <v>10</v>
      </c>
      <c r="F2248" s="43">
        <v>44860.333333333336</v>
      </c>
      <c r="G2248" s="43">
        <v>44860.375</v>
      </c>
      <c r="H2248">
        <v>8</v>
      </c>
      <c r="I2248">
        <v>0</v>
      </c>
      <c r="J2248">
        <v>9</v>
      </c>
      <c r="K2248">
        <v>0</v>
      </c>
      <c r="L2248">
        <v>2022</v>
      </c>
      <c r="N2248" t="s">
        <v>5306</v>
      </c>
      <c r="O2248" t="s">
        <v>783</v>
      </c>
      <c r="P2248" t="s">
        <v>5307</v>
      </c>
    </row>
    <row r="2249" spans="1:16" x14ac:dyDescent="0.3">
      <c r="A2249" t="s">
        <v>5431</v>
      </c>
      <c r="C2249">
        <v>30</v>
      </c>
      <c r="D2249" t="s">
        <v>10</v>
      </c>
      <c r="F2249" s="43">
        <v>44860.322916666664</v>
      </c>
      <c r="G2249" s="43">
        <v>44860.34375</v>
      </c>
      <c r="H2249">
        <v>7</v>
      </c>
      <c r="I2249">
        <v>45</v>
      </c>
      <c r="J2249">
        <v>8</v>
      </c>
      <c r="K2249">
        <v>15</v>
      </c>
      <c r="L2249">
        <v>2022</v>
      </c>
      <c r="N2249" t="s">
        <v>47</v>
      </c>
      <c r="O2249" t="s">
        <v>47</v>
      </c>
      <c r="P2249" t="s">
        <v>5432</v>
      </c>
    </row>
    <row r="2250" spans="1:16" x14ac:dyDescent="0.3">
      <c r="A2250" t="s">
        <v>5433</v>
      </c>
      <c r="C2250">
        <v>15</v>
      </c>
      <c r="D2250" t="s">
        <v>10</v>
      </c>
      <c r="F2250" s="43">
        <v>44860.25</v>
      </c>
      <c r="G2250" s="43">
        <v>44860.260416666664</v>
      </c>
      <c r="H2250">
        <v>6</v>
      </c>
      <c r="I2250">
        <v>0</v>
      </c>
      <c r="J2250">
        <v>6</v>
      </c>
      <c r="K2250">
        <v>15</v>
      </c>
      <c r="L2250">
        <v>2022</v>
      </c>
      <c r="N2250" t="s">
        <v>47</v>
      </c>
      <c r="O2250" t="s">
        <v>47</v>
      </c>
      <c r="P2250" t="s">
        <v>5434</v>
      </c>
    </row>
    <row r="2251" spans="1:16" x14ac:dyDescent="0.3">
      <c r="A2251" t="s">
        <v>5308</v>
      </c>
      <c r="C2251">
        <v>60</v>
      </c>
      <c r="D2251" t="s">
        <v>10</v>
      </c>
      <c r="F2251" s="43">
        <v>44860.166666666664</v>
      </c>
      <c r="G2251" s="43">
        <v>44860.208333333336</v>
      </c>
      <c r="H2251">
        <v>4</v>
      </c>
      <c r="I2251">
        <v>0</v>
      </c>
      <c r="J2251">
        <v>5</v>
      </c>
      <c r="K2251">
        <v>0</v>
      </c>
      <c r="L2251">
        <v>2022</v>
      </c>
      <c r="N2251" t="s">
        <v>47</v>
      </c>
      <c r="O2251" t="s">
        <v>47</v>
      </c>
      <c r="P2251" t="s">
        <v>5435</v>
      </c>
    </row>
    <row r="2252" spans="1:16" x14ac:dyDescent="0.3">
      <c r="A2252" t="s">
        <v>5436</v>
      </c>
      <c r="C2252">
        <v>180</v>
      </c>
      <c r="D2252" t="s">
        <v>10</v>
      </c>
      <c r="F2252" s="43">
        <v>44859.6875</v>
      </c>
      <c r="G2252" s="43">
        <v>44859.8125</v>
      </c>
      <c r="H2252">
        <v>16</v>
      </c>
      <c r="I2252">
        <v>30</v>
      </c>
      <c r="J2252">
        <v>19</v>
      </c>
      <c r="K2252">
        <v>30</v>
      </c>
      <c r="L2252">
        <v>2022</v>
      </c>
      <c r="N2252" t="s">
        <v>47</v>
      </c>
      <c r="O2252" t="s">
        <v>47</v>
      </c>
      <c r="P2252" t="s">
        <v>5437</v>
      </c>
    </row>
    <row r="2253" spans="1:16" x14ac:dyDescent="0.3">
      <c r="A2253" t="s">
        <v>7</v>
      </c>
      <c r="C2253">
        <v>30</v>
      </c>
      <c r="D2253" t="s">
        <v>10</v>
      </c>
      <c r="F2253" s="43">
        <v>44859.666666666664</v>
      </c>
      <c r="G2253" s="43">
        <v>44859.6875</v>
      </c>
      <c r="H2253">
        <v>16</v>
      </c>
      <c r="I2253">
        <v>0</v>
      </c>
      <c r="J2253">
        <v>16</v>
      </c>
      <c r="K2253">
        <v>30</v>
      </c>
      <c r="L2253">
        <v>2022</v>
      </c>
      <c r="N2253" t="s">
        <v>47</v>
      </c>
      <c r="O2253" t="s">
        <v>47</v>
      </c>
      <c r="P2253" t="s">
        <v>5424</v>
      </c>
    </row>
    <row r="2254" spans="1:16" x14ac:dyDescent="0.3">
      <c r="A2254" t="s">
        <v>5407</v>
      </c>
      <c r="C2254">
        <v>30</v>
      </c>
      <c r="D2254" t="s">
        <v>10</v>
      </c>
      <c r="F2254" s="43">
        <v>44859.645833333336</v>
      </c>
      <c r="G2254" s="43">
        <v>44859.666666666664</v>
      </c>
      <c r="H2254">
        <v>15</v>
      </c>
      <c r="I2254">
        <v>30</v>
      </c>
      <c r="J2254">
        <v>16</v>
      </c>
      <c r="K2254">
        <v>0</v>
      </c>
      <c r="L2254">
        <v>2022</v>
      </c>
      <c r="N2254" t="s">
        <v>4365</v>
      </c>
      <c r="O2254" t="s">
        <v>783</v>
      </c>
      <c r="P2254" t="s">
        <v>5408</v>
      </c>
    </row>
    <row r="2255" spans="1:16" x14ac:dyDescent="0.3">
      <c r="A2255" t="s">
        <v>5422</v>
      </c>
      <c r="C2255">
        <v>50</v>
      </c>
      <c r="D2255" t="s">
        <v>10</v>
      </c>
      <c r="F2255" s="43">
        <v>44859.583333333336</v>
      </c>
      <c r="G2255" s="43">
        <v>44859.618055555555</v>
      </c>
      <c r="H2255">
        <v>14</v>
      </c>
      <c r="I2255">
        <v>0</v>
      </c>
      <c r="J2255">
        <v>14</v>
      </c>
      <c r="K2255">
        <v>50</v>
      </c>
      <c r="L2255">
        <v>2022</v>
      </c>
      <c r="N2255" t="s">
        <v>47</v>
      </c>
      <c r="O2255" t="s">
        <v>47</v>
      </c>
      <c r="P2255" t="s">
        <v>5423</v>
      </c>
    </row>
    <row r="2256" spans="1:16" x14ac:dyDescent="0.3">
      <c r="A2256" t="s">
        <v>5420</v>
      </c>
      <c r="C2256">
        <v>30</v>
      </c>
      <c r="D2256" t="s">
        <v>10</v>
      </c>
      <c r="F2256" s="43">
        <v>44859.5625</v>
      </c>
      <c r="G2256" s="43">
        <v>44859.583333333336</v>
      </c>
      <c r="H2256">
        <v>13</v>
      </c>
      <c r="I2256">
        <v>30</v>
      </c>
      <c r="J2256">
        <v>14</v>
      </c>
      <c r="K2256">
        <v>0</v>
      </c>
      <c r="L2256">
        <v>2022</v>
      </c>
      <c r="N2256" t="s">
        <v>47</v>
      </c>
      <c r="O2256" t="s">
        <v>47</v>
      </c>
      <c r="P2256" t="s">
        <v>5421</v>
      </c>
    </row>
    <row r="2257" spans="1:16" x14ac:dyDescent="0.3">
      <c r="A2257" t="s">
        <v>17</v>
      </c>
      <c r="C2257">
        <v>30</v>
      </c>
      <c r="D2257" t="s">
        <v>10</v>
      </c>
      <c r="F2257" s="43">
        <v>44859.520833333336</v>
      </c>
      <c r="G2257" s="43">
        <v>44859.541666666664</v>
      </c>
      <c r="H2257">
        <v>12</v>
      </c>
      <c r="I2257">
        <v>30</v>
      </c>
      <c r="J2257">
        <v>13</v>
      </c>
      <c r="K2257">
        <v>0</v>
      </c>
      <c r="L2257">
        <v>2022</v>
      </c>
      <c r="N2257" t="s">
        <v>47</v>
      </c>
      <c r="O2257" t="s">
        <v>47</v>
      </c>
      <c r="P2257" t="s">
        <v>5416</v>
      </c>
    </row>
    <row r="2258" spans="1:16" x14ac:dyDescent="0.3">
      <c r="A2258" t="s">
        <v>5405</v>
      </c>
      <c r="C2258">
        <v>30</v>
      </c>
      <c r="D2258" t="s">
        <v>10</v>
      </c>
      <c r="F2258" s="43">
        <v>44859.5</v>
      </c>
      <c r="G2258" s="43">
        <v>44859.520833333336</v>
      </c>
      <c r="H2258">
        <v>12</v>
      </c>
      <c r="I2258">
        <v>0</v>
      </c>
      <c r="J2258">
        <v>12</v>
      </c>
      <c r="K2258">
        <v>30</v>
      </c>
      <c r="L2258">
        <v>2022</v>
      </c>
      <c r="N2258" t="s">
        <v>47</v>
      </c>
      <c r="O2258" t="s">
        <v>47</v>
      </c>
      <c r="P2258" t="s">
        <v>5406</v>
      </c>
    </row>
    <row r="2259" spans="1:16" x14ac:dyDescent="0.3">
      <c r="A2259" t="s">
        <v>3626</v>
      </c>
      <c r="C2259">
        <v>30</v>
      </c>
      <c r="D2259" t="s">
        <v>10</v>
      </c>
      <c r="E2259" t="s">
        <v>501</v>
      </c>
      <c r="F2259" s="43">
        <v>44859.479166666664</v>
      </c>
      <c r="G2259" s="43">
        <v>44859.5</v>
      </c>
      <c r="H2259">
        <v>11</v>
      </c>
      <c r="I2259">
        <v>30</v>
      </c>
      <c r="J2259">
        <v>12</v>
      </c>
      <c r="K2259">
        <v>0</v>
      </c>
      <c r="L2259">
        <v>2022</v>
      </c>
      <c r="N2259" t="s">
        <v>519</v>
      </c>
      <c r="O2259" t="s">
        <v>47</v>
      </c>
      <c r="P2259" t="s">
        <v>5391</v>
      </c>
    </row>
    <row r="2260" spans="1:16" x14ac:dyDescent="0.3">
      <c r="A2260" t="s">
        <v>5409</v>
      </c>
      <c r="C2260">
        <v>30</v>
      </c>
      <c r="D2260" t="s">
        <v>10</v>
      </c>
      <c r="F2260" s="43">
        <v>44859.4375</v>
      </c>
      <c r="G2260" s="43">
        <v>44859.458333333336</v>
      </c>
      <c r="H2260">
        <v>10</v>
      </c>
      <c r="I2260">
        <v>30</v>
      </c>
      <c r="J2260">
        <v>11</v>
      </c>
      <c r="K2260">
        <v>0</v>
      </c>
      <c r="L2260">
        <v>2022</v>
      </c>
      <c r="N2260" t="s">
        <v>47</v>
      </c>
      <c r="O2260" t="s">
        <v>47</v>
      </c>
      <c r="P2260" t="s">
        <v>5410</v>
      </c>
    </row>
    <row r="2261" spans="1:16" x14ac:dyDescent="0.3">
      <c r="A2261" t="s">
        <v>5351</v>
      </c>
      <c r="B2261" t="s">
        <v>20</v>
      </c>
      <c r="C2261">
        <v>30</v>
      </c>
      <c r="D2261" t="s">
        <v>10</v>
      </c>
      <c r="E2261" t="s">
        <v>5</v>
      </c>
      <c r="F2261" s="43">
        <v>44859.416666666664</v>
      </c>
      <c r="G2261" s="43">
        <v>44859.4375</v>
      </c>
      <c r="H2261">
        <v>10</v>
      </c>
      <c r="I2261">
        <v>0</v>
      </c>
      <c r="J2261">
        <v>10</v>
      </c>
      <c r="K2261">
        <v>30</v>
      </c>
      <c r="L2261">
        <v>2022</v>
      </c>
      <c r="N2261" t="s">
        <v>5352</v>
      </c>
      <c r="O2261" t="s">
        <v>3566</v>
      </c>
      <c r="P2261" t="s">
        <v>5353</v>
      </c>
    </row>
    <row r="2262" spans="1:16" x14ac:dyDescent="0.3">
      <c r="A2262" t="s">
        <v>5385</v>
      </c>
      <c r="B2262" t="s">
        <v>20</v>
      </c>
      <c r="C2262">
        <v>30</v>
      </c>
      <c r="D2262" t="s">
        <v>10</v>
      </c>
      <c r="E2262" t="s">
        <v>5386</v>
      </c>
      <c r="F2262" s="43">
        <v>44859.395833333336</v>
      </c>
      <c r="G2262" s="43">
        <v>44859.416666666664</v>
      </c>
      <c r="H2262">
        <v>9</v>
      </c>
      <c r="I2262">
        <v>30</v>
      </c>
      <c r="J2262">
        <v>10</v>
      </c>
      <c r="K2262">
        <v>0</v>
      </c>
      <c r="L2262">
        <v>2022</v>
      </c>
      <c r="N2262" t="s">
        <v>5387</v>
      </c>
      <c r="O2262" t="s">
        <v>48</v>
      </c>
      <c r="P2262" t="s">
        <v>5388</v>
      </c>
    </row>
    <row r="2263" spans="1:16" ht="57.6" x14ac:dyDescent="0.3">
      <c r="A2263" t="s">
        <v>5348</v>
      </c>
      <c r="C2263">
        <v>30</v>
      </c>
      <c r="D2263" t="s">
        <v>10</v>
      </c>
      <c r="E2263" s="44" t="s">
        <v>21</v>
      </c>
      <c r="F2263" s="43">
        <v>44859.375</v>
      </c>
      <c r="G2263" s="43">
        <v>44859.395833333336</v>
      </c>
      <c r="H2263">
        <v>9</v>
      </c>
      <c r="I2263">
        <v>0</v>
      </c>
      <c r="J2263">
        <v>9</v>
      </c>
      <c r="K2263">
        <v>30</v>
      </c>
      <c r="L2263">
        <v>2022</v>
      </c>
      <c r="N2263" t="s">
        <v>5349</v>
      </c>
      <c r="O2263" t="s">
        <v>50</v>
      </c>
      <c r="P2263" t="s">
        <v>5350</v>
      </c>
    </row>
    <row r="2264" spans="1:16" x14ac:dyDescent="0.3">
      <c r="A2264" t="s">
        <v>7</v>
      </c>
      <c r="C2264">
        <v>30</v>
      </c>
      <c r="D2264" t="s">
        <v>10</v>
      </c>
      <c r="F2264" s="43">
        <v>44859.333333333336</v>
      </c>
      <c r="G2264" s="43">
        <v>44859.354166666664</v>
      </c>
      <c r="H2264">
        <v>8</v>
      </c>
      <c r="I2264">
        <v>0</v>
      </c>
      <c r="J2264">
        <v>8</v>
      </c>
      <c r="K2264">
        <v>30</v>
      </c>
      <c r="L2264">
        <v>2022</v>
      </c>
      <c r="N2264" t="s">
        <v>47</v>
      </c>
      <c r="O2264" t="s">
        <v>47</v>
      </c>
      <c r="P2264" t="s">
        <v>5411</v>
      </c>
    </row>
    <row r="2265" spans="1:16" x14ac:dyDescent="0.3">
      <c r="A2265" t="s">
        <v>8</v>
      </c>
      <c r="C2265">
        <v>105</v>
      </c>
      <c r="D2265" t="s">
        <v>10</v>
      </c>
      <c r="F2265" s="43">
        <v>44859.21875</v>
      </c>
      <c r="G2265" s="43">
        <v>44859.291666666664</v>
      </c>
      <c r="H2265">
        <v>5</v>
      </c>
      <c r="I2265">
        <v>15</v>
      </c>
      <c r="J2265">
        <v>7</v>
      </c>
      <c r="K2265">
        <v>0</v>
      </c>
      <c r="L2265">
        <v>2022</v>
      </c>
      <c r="N2265" t="s">
        <v>47</v>
      </c>
      <c r="O2265" t="s">
        <v>47</v>
      </c>
      <c r="P2265" t="s">
        <v>5412</v>
      </c>
    </row>
    <row r="2266" spans="1:16" x14ac:dyDescent="0.3">
      <c r="A2266" t="s">
        <v>4577</v>
      </c>
      <c r="C2266">
        <v>20</v>
      </c>
      <c r="D2266" t="s">
        <v>10</v>
      </c>
      <c r="F2266" s="43">
        <v>44858.8125</v>
      </c>
      <c r="G2266" s="43">
        <v>44858.826388888891</v>
      </c>
      <c r="H2266">
        <v>19</v>
      </c>
      <c r="I2266">
        <v>30</v>
      </c>
      <c r="J2266">
        <v>19</v>
      </c>
      <c r="K2266">
        <v>50</v>
      </c>
      <c r="L2266">
        <v>2022</v>
      </c>
      <c r="N2266" t="s">
        <v>47</v>
      </c>
      <c r="O2266" t="s">
        <v>47</v>
      </c>
      <c r="P2266" t="s">
        <v>5413</v>
      </c>
    </row>
    <row r="2267" spans="1:16" x14ac:dyDescent="0.3">
      <c r="A2267" t="s">
        <v>5414</v>
      </c>
      <c r="C2267">
        <v>30</v>
      </c>
      <c r="D2267" t="s">
        <v>10</v>
      </c>
      <c r="F2267" s="43">
        <v>44858.791666666664</v>
      </c>
      <c r="G2267" s="43">
        <v>44858.8125</v>
      </c>
      <c r="H2267">
        <v>19</v>
      </c>
      <c r="I2267">
        <v>0</v>
      </c>
      <c r="J2267">
        <v>19</v>
      </c>
      <c r="K2267">
        <v>30</v>
      </c>
      <c r="L2267">
        <v>2022</v>
      </c>
      <c r="N2267" t="s">
        <v>47</v>
      </c>
      <c r="O2267" t="s">
        <v>47</v>
      </c>
      <c r="P2267" t="s">
        <v>5415</v>
      </c>
    </row>
    <row r="2268" spans="1:16" x14ac:dyDescent="0.3">
      <c r="A2268" t="s">
        <v>4454</v>
      </c>
      <c r="C2268">
        <v>30</v>
      </c>
      <c r="D2268" t="s">
        <v>10</v>
      </c>
      <c r="F2268" s="43">
        <v>44858.729166666664</v>
      </c>
      <c r="G2268" s="43">
        <v>44858.75</v>
      </c>
      <c r="H2268">
        <v>17</v>
      </c>
      <c r="I2268">
        <v>30</v>
      </c>
      <c r="J2268">
        <v>18</v>
      </c>
      <c r="K2268">
        <v>0</v>
      </c>
      <c r="L2268">
        <v>2022</v>
      </c>
      <c r="N2268" t="s">
        <v>47</v>
      </c>
      <c r="O2268" t="s">
        <v>47</v>
      </c>
      <c r="P2268" t="s">
        <v>5404</v>
      </c>
    </row>
    <row r="2269" spans="1:16" x14ac:dyDescent="0.3">
      <c r="A2269" t="s">
        <v>4946</v>
      </c>
      <c r="C2269">
        <v>15</v>
      </c>
      <c r="D2269" t="s">
        <v>10</v>
      </c>
      <c r="F2269" s="43">
        <v>44858.6875</v>
      </c>
      <c r="G2269" s="43">
        <v>44858.697916666664</v>
      </c>
      <c r="H2269">
        <v>16</v>
      </c>
      <c r="I2269">
        <v>30</v>
      </c>
      <c r="J2269">
        <v>16</v>
      </c>
      <c r="K2269">
        <v>45</v>
      </c>
      <c r="L2269">
        <v>2022</v>
      </c>
      <c r="N2269" t="s">
        <v>47</v>
      </c>
      <c r="O2269" t="s">
        <v>47</v>
      </c>
      <c r="P2269" t="s">
        <v>5403</v>
      </c>
    </row>
    <row r="2270" spans="1:16" x14ac:dyDescent="0.3">
      <c r="A2270" t="s">
        <v>8</v>
      </c>
      <c r="C2270">
        <v>15</v>
      </c>
      <c r="D2270" t="s">
        <v>10</v>
      </c>
      <c r="F2270" s="43">
        <v>44858.625</v>
      </c>
      <c r="G2270" s="43">
        <v>44858.635416666664</v>
      </c>
      <c r="H2270">
        <v>15</v>
      </c>
      <c r="I2270">
        <v>0</v>
      </c>
      <c r="J2270">
        <v>15</v>
      </c>
      <c r="K2270">
        <v>15</v>
      </c>
      <c r="L2270">
        <v>2022</v>
      </c>
      <c r="N2270" t="s">
        <v>47</v>
      </c>
      <c r="O2270" t="s">
        <v>47</v>
      </c>
      <c r="P2270" t="s">
        <v>5402</v>
      </c>
    </row>
    <row r="2271" spans="1:16" x14ac:dyDescent="0.3">
      <c r="A2271" t="s">
        <v>9</v>
      </c>
      <c r="C2271">
        <v>20</v>
      </c>
      <c r="D2271" t="s">
        <v>10</v>
      </c>
      <c r="F2271" s="43">
        <v>44858.604166666664</v>
      </c>
      <c r="G2271" s="43">
        <v>44858.618055555555</v>
      </c>
      <c r="H2271">
        <v>14</v>
      </c>
      <c r="I2271">
        <v>30</v>
      </c>
      <c r="J2271">
        <v>14</v>
      </c>
      <c r="K2271">
        <v>50</v>
      </c>
      <c r="L2271">
        <v>2022</v>
      </c>
      <c r="N2271" t="s">
        <v>47</v>
      </c>
      <c r="O2271" t="s">
        <v>47</v>
      </c>
      <c r="P2271" t="s">
        <v>5401</v>
      </c>
    </row>
    <row r="2272" spans="1:16" x14ac:dyDescent="0.3">
      <c r="A2272" t="s">
        <v>4519</v>
      </c>
      <c r="C2272">
        <v>30</v>
      </c>
      <c r="D2272" t="s">
        <v>10</v>
      </c>
      <c r="F2272" s="43">
        <v>44858.583333333336</v>
      </c>
      <c r="G2272" s="43">
        <v>44858.604166666664</v>
      </c>
      <c r="H2272">
        <v>14</v>
      </c>
      <c r="I2272">
        <v>0</v>
      </c>
      <c r="J2272">
        <v>14</v>
      </c>
      <c r="K2272">
        <v>30</v>
      </c>
      <c r="L2272">
        <v>2022</v>
      </c>
      <c r="N2272" t="s">
        <v>47</v>
      </c>
      <c r="O2272" t="s">
        <v>47</v>
      </c>
      <c r="P2272" t="s">
        <v>5400</v>
      </c>
    </row>
    <row r="2273" spans="1:16" x14ac:dyDescent="0.3">
      <c r="A2273" t="s">
        <v>8</v>
      </c>
      <c r="C2273">
        <v>60</v>
      </c>
      <c r="D2273" t="s">
        <v>10</v>
      </c>
      <c r="F2273" s="43">
        <v>44858.541666666664</v>
      </c>
      <c r="G2273" s="43">
        <v>44858.583333333336</v>
      </c>
      <c r="H2273">
        <v>13</v>
      </c>
      <c r="I2273">
        <v>0</v>
      </c>
      <c r="J2273">
        <v>14</v>
      </c>
      <c r="K2273">
        <v>0</v>
      </c>
      <c r="L2273">
        <v>2022</v>
      </c>
      <c r="N2273" t="s">
        <v>47</v>
      </c>
      <c r="O2273" t="s">
        <v>47</v>
      </c>
      <c r="P2273" t="s">
        <v>5378</v>
      </c>
    </row>
    <row r="2274" spans="1:16" x14ac:dyDescent="0.3">
      <c r="A2274" t="s">
        <v>4922</v>
      </c>
      <c r="B2274" t="s">
        <v>20</v>
      </c>
      <c r="C2274">
        <v>60</v>
      </c>
      <c r="D2274" t="s">
        <v>10</v>
      </c>
      <c r="E2274" t="s">
        <v>5</v>
      </c>
      <c r="F2274" s="43">
        <v>44858.458333333336</v>
      </c>
      <c r="G2274" s="43">
        <v>44858.5</v>
      </c>
      <c r="H2274">
        <v>11</v>
      </c>
      <c r="I2274">
        <v>0</v>
      </c>
      <c r="J2274">
        <v>12</v>
      </c>
      <c r="K2274">
        <v>0</v>
      </c>
      <c r="L2274">
        <v>2022</v>
      </c>
      <c r="N2274" t="s">
        <v>5055</v>
      </c>
      <c r="O2274" t="s">
        <v>5056</v>
      </c>
      <c r="P2274" t="s">
        <v>5057</v>
      </c>
    </row>
    <row r="2275" spans="1:16" x14ac:dyDescent="0.3">
      <c r="A2275" t="s">
        <v>8</v>
      </c>
      <c r="C2275">
        <v>60</v>
      </c>
      <c r="D2275" t="s">
        <v>10</v>
      </c>
      <c r="F2275" s="43">
        <v>44858.416666666664</v>
      </c>
      <c r="G2275" s="43">
        <v>44858.458333333336</v>
      </c>
      <c r="H2275">
        <v>10</v>
      </c>
      <c r="I2275">
        <v>0</v>
      </c>
      <c r="J2275">
        <v>11</v>
      </c>
      <c r="K2275">
        <v>0</v>
      </c>
      <c r="L2275">
        <v>2022</v>
      </c>
      <c r="N2275" t="s">
        <v>47</v>
      </c>
      <c r="O2275" t="s">
        <v>47</v>
      </c>
      <c r="P2275" t="s">
        <v>5383</v>
      </c>
    </row>
    <row r="2276" spans="1:16" x14ac:dyDescent="0.3">
      <c r="A2276" t="s">
        <v>4452</v>
      </c>
      <c r="C2276">
        <v>30</v>
      </c>
      <c r="D2276" t="s">
        <v>10</v>
      </c>
      <c r="F2276" s="43">
        <v>44858.395833333336</v>
      </c>
      <c r="G2276" s="43">
        <v>44858.416666666664</v>
      </c>
      <c r="H2276">
        <v>9</v>
      </c>
      <c r="I2276">
        <v>30</v>
      </c>
      <c r="J2276">
        <v>10</v>
      </c>
      <c r="K2276">
        <v>0</v>
      </c>
      <c r="L2276">
        <v>2022</v>
      </c>
      <c r="N2276" t="s">
        <v>47</v>
      </c>
      <c r="O2276" t="s">
        <v>47</v>
      </c>
      <c r="P2276" t="s">
        <v>5384</v>
      </c>
    </row>
    <row r="2277" spans="1:16" x14ac:dyDescent="0.3">
      <c r="A2277" t="s">
        <v>5296</v>
      </c>
      <c r="B2277" t="s">
        <v>20</v>
      </c>
      <c r="C2277">
        <v>25</v>
      </c>
      <c r="D2277" t="s">
        <v>10</v>
      </c>
      <c r="F2277" s="43">
        <v>44858.375</v>
      </c>
      <c r="G2277" s="43">
        <v>44858.392361111109</v>
      </c>
      <c r="H2277">
        <v>9</v>
      </c>
      <c r="I2277">
        <v>0</v>
      </c>
      <c r="J2277">
        <v>9</v>
      </c>
      <c r="K2277">
        <v>25</v>
      </c>
      <c r="L2277">
        <v>2022</v>
      </c>
      <c r="N2277" t="s">
        <v>75</v>
      </c>
      <c r="O2277" t="s">
        <v>49</v>
      </c>
      <c r="P2277" t="s">
        <v>5297</v>
      </c>
    </row>
    <row r="2278" spans="1:16" x14ac:dyDescent="0.3">
      <c r="A2278" t="s">
        <v>1222</v>
      </c>
      <c r="C2278">
        <v>30</v>
      </c>
      <c r="D2278" t="s">
        <v>10</v>
      </c>
      <c r="F2278" s="43">
        <v>44858.333333333336</v>
      </c>
      <c r="G2278" s="43">
        <v>44858.354166666664</v>
      </c>
      <c r="H2278">
        <v>8</v>
      </c>
      <c r="I2278">
        <v>0</v>
      </c>
      <c r="J2278">
        <v>8</v>
      </c>
      <c r="K2278">
        <v>30</v>
      </c>
      <c r="L2278">
        <v>2022</v>
      </c>
      <c r="N2278" t="s">
        <v>47</v>
      </c>
      <c r="O2278" t="s">
        <v>47</v>
      </c>
      <c r="P2278" t="s">
        <v>5389</v>
      </c>
    </row>
    <row r="2279" spans="1:16" x14ac:dyDescent="0.3">
      <c r="A2279" t="s">
        <v>17</v>
      </c>
      <c r="C2279">
        <v>30</v>
      </c>
      <c r="D2279" t="s">
        <v>10</v>
      </c>
      <c r="F2279" s="43">
        <v>44858.3125</v>
      </c>
      <c r="G2279" s="43">
        <v>44858.333333333336</v>
      </c>
      <c r="H2279">
        <v>7</v>
      </c>
      <c r="I2279">
        <v>30</v>
      </c>
      <c r="J2279">
        <v>8</v>
      </c>
      <c r="K2279">
        <v>0</v>
      </c>
      <c r="L2279">
        <v>2022</v>
      </c>
      <c r="N2279" t="s">
        <v>47</v>
      </c>
      <c r="O2279" t="s">
        <v>47</v>
      </c>
      <c r="P2279" t="s">
        <v>5390</v>
      </c>
    </row>
    <row r="2280" spans="1:16" x14ac:dyDescent="0.3">
      <c r="A2280" t="s">
        <v>8</v>
      </c>
      <c r="C2280">
        <v>60</v>
      </c>
      <c r="D2280" t="s">
        <v>10</v>
      </c>
      <c r="F2280" s="43">
        <v>44858.229166666664</v>
      </c>
      <c r="G2280" s="43">
        <v>44858.270833333336</v>
      </c>
      <c r="H2280">
        <v>5</v>
      </c>
      <c r="I2280">
        <v>30</v>
      </c>
      <c r="J2280">
        <v>6</v>
      </c>
      <c r="K2280">
        <v>30</v>
      </c>
      <c r="L2280">
        <v>2022</v>
      </c>
      <c r="N2280" t="s">
        <v>47</v>
      </c>
      <c r="O2280" t="s">
        <v>47</v>
      </c>
      <c r="P2280" t="s">
        <v>5392</v>
      </c>
    </row>
    <row r="2281" spans="1:16" x14ac:dyDescent="0.3">
      <c r="A2281" t="s">
        <v>5393</v>
      </c>
      <c r="C2281">
        <v>40</v>
      </c>
      <c r="D2281" t="s">
        <v>10</v>
      </c>
      <c r="F2281" s="43">
        <v>44857.784722222219</v>
      </c>
      <c r="G2281" s="43">
        <v>44857.8125</v>
      </c>
      <c r="H2281">
        <v>18</v>
      </c>
      <c r="I2281">
        <v>50</v>
      </c>
      <c r="J2281">
        <v>19</v>
      </c>
      <c r="K2281">
        <v>30</v>
      </c>
      <c r="L2281">
        <v>2022</v>
      </c>
      <c r="N2281" t="s">
        <v>47</v>
      </c>
      <c r="O2281" t="s">
        <v>47</v>
      </c>
      <c r="P2281" t="s">
        <v>5394</v>
      </c>
    </row>
    <row r="2282" spans="1:16" x14ac:dyDescent="0.3">
      <c r="A2282" t="s">
        <v>4214</v>
      </c>
      <c r="C2282">
        <v>40</v>
      </c>
      <c r="D2282" t="s">
        <v>10</v>
      </c>
      <c r="F2282" s="43">
        <v>44857.715277777781</v>
      </c>
      <c r="G2282" s="43">
        <v>44857.743055555555</v>
      </c>
      <c r="H2282">
        <v>17</v>
      </c>
      <c r="I2282">
        <v>10</v>
      </c>
      <c r="J2282">
        <v>17</v>
      </c>
      <c r="K2282">
        <v>50</v>
      </c>
      <c r="L2282">
        <v>2022</v>
      </c>
      <c r="N2282" t="s">
        <v>47</v>
      </c>
      <c r="O2282" t="s">
        <v>47</v>
      </c>
      <c r="P2282" t="s">
        <v>5395</v>
      </c>
    </row>
    <row r="2283" spans="1:16" x14ac:dyDescent="0.3">
      <c r="A2283" t="s">
        <v>5366</v>
      </c>
      <c r="C2283">
        <v>45</v>
      </c>
      <c r="D2283" t="s">
        <v>10</v>
      </c>
      <c r="F2283" s="43">
        <v>44857.65625</v>
      </c>
      <c r="G2283" s="43">
        <v>44857.6875</v>
      </c>
      <c r="H2283">
        <v>15</v>
      </c>
      <c r="I2283">
        <v>45</v>
      </c>
      <c r="J2283">
        <v>16</v>
      </c>
      <c r="K2283">
        <v>30</v>
      </c>
      <c r="L2283">
        <v>2022</v>
      </c>
      <c r="N2283" t="s">
        <v>47</v>
      </c>
      <c r="O2283" t="s">
        <v>47</v>
      </c>
      <c r="P2283" t="s">
        <v>5396</v>
      </c>
    </row>
    <row r="2284" spans="1:16" x14ac:dyDescent="0.3">
      <c r="A2284" t="s">
        <v>5376</v>
      </c>
      <c r="C2284">
        <v>30</v>
      </c>
      <c r="D2284" t="s">
        <v>10</v>
      </c>
      <c r="F2284" s="43">
        <v>44857.604166666664</v>
      </c>
      <c r="G2284" s="43">
        <v>44857.625</v>
      </c>
      <c r="H2284">
        <v>14</v>
      </c>
      <c r="I2284">
        <v>30</v>
      </c>
      <c r="J2284">
        <v>15</v>
      </c>
      <c r="K2284">
        <v>0</v>
      </c>
      <c r="L2284">
        <v>2022</v>
      </c>
      <c r="N2284" t="s">
        <v>47</v>
      </c>
      <c r="O2284" t="s">
        <v>47</v>
      </c>
      <c r="P2284" t="s">
        <v>5377</v>
      </c>
    </row>
    <row r="2285" spans="1:16" x14ac:dyDescent="0.3">
      <c r="A2285" t="s">
        <v>5278</v>
      </c>
      <c r="C2285">
        <v>20</v>
      </c>
      <c r="D2285" t="s">
        <v>10</v>
      </c>
      <c r="F2285" s="43">
        <v>44857.576388888891</v>
      </c>
      <c r="G2285" s="43">
        <v>44857.590277777781</v>
      </c>
      <c r="H2285">
        <v>13</v>
      </c>
      <c r="I2285">
        <v>50</v>
      </c>
      <c r="J2285">
        <v>14</v>
      </c>
      <c r="K2285">
        <v>10</v>
      </c>
      <c r="L2285">
        <v>2022</v>
      </c>
      <c r="N2285" t="s">
        <v>47</v>
      </c>
      <c r="O2285" t="s">
        <v>47</v>
      </c>
      <c r="P2285" t="s">
        <v>5375</v>
      </c>
    </row>
    <row r="2286" spans="1:16" x14ac:dyDescent="0.3">
      <c r="A2286" t="s">
        <v>5278</v>
      </c>
      <c r="C2286">
        <v>40</v>
      </c>
      <c r="D2286" t="s">
        <v>10</v>
      </c>
      <c r="F2286" s="43">
        <v>44857.520833333336</v>
      </c>
      <c r="G2286" s="43">
        <v>44857.548611111109</v>
      </c>
      <c r="H2286">
        <v>12</v>
      </c>
      <c r="I2286">
        <v>30</v>
      </c>
      <c r="J2286">
        <v>13</v>
      </c>
      <c r="K2286">
        <v>10</v>
      </c>
      <c r="L2286">
        <v>2022</v>
      </c>
      <c r="N2286" t="s">
        <v>47</v>
      </c>
      <c r="O2286" t="s">
        <v>47</v>
      </c>
      <c r="P2286" t="s">
        <v>5374</v>
      </c>
    </row>
    <row r="2287" spans="1:16" x14ac:dyDescent="0.3">
      <c r="A2287" t="s">
        <v>5372</v>
      </c>
      <c r="C2287">
        <v>120</v>
      </c>
      <c r="D2287" t="s">
        <v>10</v>
      </c>
      <c r="F2287" s="43">
        <v>44857.375</v>
      </c>
      <c r="G2287" s="43">
        <v>44857.458333333336</v>
      </c>
      <c r="H2287">
        <v>9</v>
      </c>
      <c r="I2287">
        <v>0</v>
      </c>
      <c r="J2287">
        <v>11</v>
      </c>
      <c r="K2287">
        <v>0</v>
      </c>
      <c r="L2287">
        <v>2022</v>
      </c>
      <c r="N2287" t="s">
        <v>47</v>
      </c>
      <c r="O2287" t="s">
        <v>47</v>
      </c>
      <c r="P2287" t="s">
        <v>5373</v>
      </c>
    </row>
    <row r="2288" spans="1:16" x14ac:dyDescent="0.3">
      <c r="A2288" t="s">
        <v>5368</v>
      </c>
      <c r="C2288">
        <v>30</v>
      </c>
      <c r="D2288" t="s">
        <v>10</v>
      </c>
      <c r="F2288" s="43">
        <v>44856.833333333336</v>
      </c>
      <c r="G2288" s="43">
        <v>44856.854166666664</v>
      </c>
      <c r="H2288">
        <v>20</v>
      </c>
      <c r="I2288">
        <v>0</v>
      </c>
      <c r="J2288">
        <v>20</v>
      </c>
      <c r="K2288">
        <v>30</v>
      </c>
      <c r="L2288">
        <v>2022</v>
      </c>
      <c r="N2288" t="s">
        <v>47</v>
      </c>
      <c r="O2288" t="s">
        <v>47</v>
      </c>
      <c r="P2288" t="s">
        <v>5369</v>
      </c>
    </row>
    <row r="2289" spans="1:16" x14ac:dyDescent="0.3">
      <c r="A2289" t="s">
        <v>5366</v>
      </c>
      <c r="C2289">
        <v>30</v>
      </c>
      <c r="D2289" t="s">
        <v>10</v>
      </c>
      <c r="F2289" s="43">
        <v>44856.677083333336</v>
      </c>
      <c r="G2289" s="43">
        <v>44856.697916666664</v>
      </c>
      <c r="H2289">
        <v>16</v>
      </c>
      <c r="I2289">
        <v>15</v>
      </c>
      <c r="J2289">
        <v>16</v>
      </c>
      <c r="K2289">
        <v>45</v>
      </c>
      <c r="L2289">
        <v>2022</v>
      </c>
      <c r="N2289" t="s">
        <v>47</v>
      </c>
      <c r="O2289" t="s">
        <v>47</v>
      </c>
      <c r="P2289" t="s">
        <v>5367</v>
      </c>
    </row>
    <row r="2290" spans="1:16" x14ac:dyDescent="0.3">
      <c r="A2290" t="s">
        <v>1394</v>
      </c>
      <c r="C2290">
        <v>40</v>
      </c>
      <c r="D2290" t="s">
        <v>10</v>
      </c>
      <c r="F2290" s="43">
        <v>44856.625</v>
      </c>
      <c r="G2290" s="43">
        <v>44856.652777777781</v>
      </c>
      <c r="H2290">
        <v>15</v>
      </c>
      <c r="I2290">
        <v>0</v>
      </c>
      <c r="J2290">
        <v>15</v>
      </c>
      <c r="K2290">
        <v>40</v>
      </c>
      <c r="L2290">
        <v>2022</v>
      </c>
      <c r="N2290" t="s">
        <v>47</v>
      </c>
      <c r="O2290" t="s">
        <v>47</v>
      </c>
      <c r="P2290" t="s">
        <v>5365</v>
      </c>
    </row>
    <row r="2291" spans="1:16" x14ac:dyDescent="0.3">
      <c r="A2291" t="s">
        <v>40</v>
      </c>
      <c r="C2291">
        <v>30</v>
      </c>
      <c r="D2291" t="s">
        <v>10</v>
      </c>
      <c r="F2291" s="43">
        <v>44856.583333333336</v>
      </c>
      <c r="G2291" s="43">
        <v>44856.604166666664</v>
      </c>
      <c r="H2291">
        <v>14</v>
      </c>
      <c r="I2291">
        <v>0</v>
      </c>
      <c r="J2291">
        <v>14</v>
      </c>
      <c r="K2291">
        <v>30</v>
      </c>
      <c r="L2291">
        <v>2022</v>
      </c>
      <c r="N2291" t="s">
        <v>47</v>
      </c>
      <c r="O2291" t="s">
        <v>47</v>
      </c>
      <c r="P2291" t="s">
        <v>5364</v>
      </c>
    </row>
    <row r="2292" spans="1:16" x14ac:dyDescent="0.3">
      <c r="A2292" t="s">
        <v>40</v>
      </c>
      <c r="C2292">
        <v>105</v>
      </c>
      <c r="D2292" t="s">
        <v>10</v>
      </c>
      <c r="F2292" s="43">
        <v>44856.5</v>
      </c>
      <c r="G2292" s="43">
        <v>44856.572916666664</v>
      </c>
      <c r="H2292">
        <v>12</v>
      </c>
      <c r="I2292">
        <v>0</v>
      </c>
      <c r="J2292">
        <v>13</v>
      </c>
      <c r="K2292">
        <v>45</v>
      </c>
      <c r="L2292">
        <v>2022</v>
      </c>
      <c r="N2292" t="s">
        <v>47</v>
      </c>
      <c r="O2292" t="s">
        <v>47</v>
      </c>
      <c r="P2292" t="s">
        <v>5363</v>
      </c>
    </row>
    <row r="2293" spans="1:16" x14ac:dyDescent="0.3">
      <c r="A2293" t="s">
        <v>5370</v>
      </c>
      <c r="C2293">
        <v>20</v>
      </c>
      <c r="D2293" t="s">
        <v>10</v>
      </c>
      <c r="F2293" s="43">
        <v>44856.333333333336</v>
      </c>
      <c r="G2293" s="43">
        <v>44856.347222222219</v>
      </c>
      <c r="H2293">
        <v>8</v>
      </c>
      <c r="I2293">
        <v>0</v>
      </c>
      <c r="J2293">
        <v>8</v>
      </c>
      <c r="K2293">
        <v>20</v>
      </c>
      <c r="L2293">
        <v>2022</v>
      </c>
      <c r="N2293" t="s">
        <v>47</v>
      </c>
      <c r="O2293" t="s">
        <v>47</v>
      </c>
      <c r="P2293" t="s">
        <v>5371</v>
      </c>
    </row>
    <row r="2294" spans="1:16" x14ac:dyDescent="0.3">
      <c r="A2294" t="s">
        <v>5361</v>
      </c>
      <c r="C2294">
        <v>30</v>
      </c>
      <c r="D2294" t="s">
        <v>10</v>
      </c>
      <c r="F2294" s="43">
        <v>44856.270833333336</v>
      </c>
      <c r="G2294" s="43">
        <v>44856.291666666664</v>
      </c>
      <c r="H2294">
        <v>6</v>
      </c>
      <c r="I2294">
        <v>30</v>
      </c>
      <c r="J2294">
        <v>7</v>
      </c>
      <c r="K2294">
        <v>0</v>
      </c>
      <c r="L2294">
        <v>2022</v>
      </c>
      <c r="N2294" t="s">
        <v>47</v>
      </c>
      <c r="O2294" t="s">
        <v>47</v>
      </c>
      <c r="P2294" t="s">
        <v>5362</v>
      </c>
    </row>
    <row r="2295" spans="1:16" x14ac:dyDescent="0.3">
      <c r="A2295" t="s">
        <v>1394</v>
      </c>
      <c r="C2295">
        <v>30</v>
      </c>
      <c r="D2295" t="s">
        <v>10</v>
      </c>
      <c r="F2295" s="43">
        <v>44856.25</v>
      </c>
      <c r="G2295" s="43">
        <v>44856.270833333336</v>
      </c>
      <c r="H2295">
        <v>6</v>
      </c>
      <c r="I2295">
        <v>0</v>
      </c>
      <c r="J2295">
        <v>6</v>
      </c>
      <c r="K2295">
        <v>30</v>
      </c>
      <c r="L2295">
        <v>2022</v>
      </c>
      <c r="N2295" t="s">
        <v>47</v>
      </c>
      <c r="O2295" t="s">
        <v>47</v>
      </c>
      <c r="P2295" t="s">
        <v>5360</v>
      </c>
    </row>
    <row r="2296" spans="1:16" x14ac:dyDescent="0.3">
      <c r="A2296" t="s">
        <v>1394</v>
      </c>
      <c r="C2296">
        <v>20</v>
      </c>
      <c r="D2296" t="s">
        <v>10</v>
      </c>
      <c r="F2296" s="43">
        <v>44855.847222222219</v>
      </c>
      <c r="G2296" s="43">
        <v>44855.861111111109</v>
      </c>
      <c r="H2296">
        <v>20</v>
      </c>
      <c r="I2296">
        <v>20</v>
      </c>
      <c r="J2296">
        <v>20</v>
      </c>
      <c r="K2296">
        <v>40</v>
      </c>
      <c r="L2296">
        <v>2022</v>
      </c>
      <c r="N2296" t="s">
        <v>47</v>
      </c>
      <c r="O2296" t="s">
        <v>47</v>
      </c>
      <c r="P2296" t="s">
        <v>5359</v>
      </c>
    </row>
    <row r="2297" spans="1:16" x14ac:dyDescent="0.3">
      <c r="A2297" t="s">
        <v>4519</v>
      </c>
      <c r="C2297">
        <v>40</v>
      </c>
      <c r="D2297" t="s">
        <v>10</v>
      </c>
      <c r="F2297" s="43">
        <v>44855.75</v>
      </c>
      <c r="G2297" s="43">
        <v>44855.777777777781</v>
      </c>
      <c r="H2297">
        <v>18</v>
      </c>
      <c r="I2297">
        <v>0</v>
      </c>
      <c r="J2297">
        <v>18</v>
      </c>
      <c r="K2297">
        <v>40</v>
      </c>
      <c r="L2297">
        <v>2022</v>
      </c>
      <c r="N2297" t="s">
        <v>47</v>
      </c>
      <c r="O2297" t="s">
        <v>47</v>
      </c>
      <c r="P2297" t="s">
        <v>5358</v>
      </c>
    </row>
    <row r="2298" spans="1:16" x14ac:dyDescent="0.3">
      <c r="A2298" t="s">
        <v>5356</v>
      </c>
      <c r="C2298">
        <v>25</v>
      </c>
      <c r="D2298" t="s">
        <v>10</v>
      </c>
      <c r="F2298" s="1">
        <v>44855.65625</v>
      </c>
      <c r="G2298" s="1">
        <v>44855.673611111109</v>
      </c>
      <c r="H2298">
        <v>15</v>
      </c>
      <c r="I2298">
        <v>45</v>
      </c>
      <c r="J2298">
        <v>16</v>
      </c>
      <c r="K2298">
        <v>10</v>
      </c>
      <c r="L2298">
        <v>2022</v>
      </c>
      <c r="N2298" t="s">
        <v>47</v>
      </c>
      <c r="O2298" t="s">
        <v>47</v>
      </c>
      <c r="P2298" t="s">
        <v>5357</v>
      </c>
    </row>
    <row r="2299" spans="1:16" x14ac:dyDescent="0.3">
      <c r="A2299" t="s">
        <v>7</v>
      </c>
      <c r="C2299">
        <v>30</v>
      </c>
      <c r="D2299" t="s">
        <v>10</v>
      </c>
      <c r="F2299" s="43">
        <v>44855.625</v>
      </c>
      <c r="G2299" s="43">
        <v>44855.645833333336</v>
      </c>
      <c r="H2299">
        <v>15</v>
      </c>
      <c r="I2299">
        <v>0</v>
      </c>
      <c r="J2299">
        <v>15</v>
      </c>
      <c r="K2299">
        <v>30</v>
      </c>
      <c r="L2299">
        <v>2022</v>
      </c>
      <c r="N2299" t="s">
        <v>47</v>
      </c>
      <c r="O2299" t="s">
        <v>47</v>
      </c>
      <c r="P2299" t="s">
        <v>5355</v>
      </c>
    </row>
    <row r="2300" spans="1:16" x14ac:dyDescent="0.3">
      <c r="A2300" t="s">
        <v>8</v>
      </c>
      <c r="C2300">
        <v>30</v>
      </c>
      <c r="D2300" t="s">
        <v>10</v>
      </c>
      <c r="F2300" s="43">
        <v>44855.569444444445</v>
      </c>
      <c r="G2300" s="43">
        <v>44855.590277777781</v>
      </c>
      <c r="H2300">
        <v>13</v>
      </c>
      <c r="I2300">
        <v>40</v>
      </c>
      <c r="J2300">
        <v>14</v>
      </c>
      <c r="K2300">
        <v>10</v>
      </c>
      <c r="L2300">
        <v>2022</v>
      </c>
      <c r="N2300" t="s">
        <v>47</v>
      </c>
      <c r="O2300" t="s">
        <v>47</v>
      </c>
      <c r="P2300" t="s">
        <v>5354</v>
      </c>
    </row>
    <row r="2301" spans="1:16" x14ac:dyDescent="0.3">
      <c r="A2301" t="s">
        <v>1222</v>
      </c>
      <c r="C2301">
        <v>30</v>
      </c>
      <c r="D2301" t="s">
        <v>10</v>
      </c>
      <c r="F2301" s="43">
        <v>44855.541666666664</v>
      </c>
      <c r="G2301" s="43">
        <v>44855.5625</v>
      </c>
      <c r="H2301">
        <v>13</v>
      </c>
      <c r="I2301">
        <v>0</v>
      </c>
      <c r="J2301">
        <v>13</v>
      </c>
      <c r="K2301">
        <v>30</v>
      </c>
      <c r="L2301">
        <v>2022</v>
      </c>
      <c r="N2301" t="s">
        <v>47</v>
      </c>
      <c r="O2301" t="s">
        <v>47</v>
      </c>
      <c r="P2301" t="s">
        <v>5347</v>
      </c>
    </row>
    <row r="2302" spans="1:16" x14ac:dyDescent="0.3">
      <c r="A2302" t="s">
        <v>17</v>
      </c>
      <c r="C2302">
        <v>30</v>
      </c>
      <c r="D2302" t="s">
        <v>10</v>
      </c>
      <c r="F2302" s="43">
        <v>44855.5</v>
      </c>
      <c r="G2302" s="43">
        <v>44855.520833333336</v>
      </c>
      <c r="H2302">
        <v>12</v>
      </c>
      <c r="I2302">
        <v>0</v>
      </c>
      <c r="J2302">
        <v>12</v>
      </c>
      <c r="K2302">
        <v>30</v>
      </c>
      <c r="L2302">
        <v>2022</v>
      </c>
      <c r="N2302" t="s">
        <v>47</v>
      </c>
      <c r="O2302" t="s">
        <v>47</v>
      </c>
      <c r="P2302" t="s">
        <v>5331</v>
      </c>
    </row>
    <row r="2303" spans="1:16" x14ac:dyDescent="0.3">
      <c r="A2303" t="s">
        <v>5314</v>
      </c>
      <c r="C2303">
        <v>60</v>
      </c>
      <c r="D2303" t="s">
        <v>10</v>
      </c>
      <c r="F2303" s="43">
        <v>44855.458333333336</v>
      </c>
      <c r="G2303" s="43">
        <v>44855.5</v>
      </c>
      <c r="H2303">
        <v>11</v>
      </c>
      <c r="I2303">
        <v>0</v>
      </c>
      <c r="J2303">
        <v>12</v>
      </c>
      <c r="K2303">
        <v>0</v>
      </c>
      <c r="L2303">
        <v>2022</v>
      </c>
      <c r="N2303" t="s">
        <v>5315</v>
      </c>
      <c r="O2303" t="s">
        <v>5316</v>
      </c>
      <c r="P2303" t="s">
        <v>5317</v>
      </c>
    </row>
    <row r="2304" spans="1:16" x14ac:dyDescent="0.3">
      <c r="A2304" t="s">
        <v>5339</v>
      </c>
      <c r="C2304">
        <v>60</v>
      </c>
      <c r="D2304" t="s">
        <v>10</v>
      </c>
      <c r="E2304" t="s">
        <v>501</v>
      </c>
      <c r="F2304" s="43">
        <v>44855.416666666664</v>
      </c>
      <c r="G2304" s="43">
        <v>44855.458333333336</v>
      </c>
      <c r="H2304">
        <v>10</v>
      </c>
      <c r="I2304">
        <v>0</v>
      </c>
      <c r="J2304">
        <v>11</v>
      </c>
      <c r="K2304">
        <v>0</v>
      </c>
      <c r="L2304">
        <v>2022</v>
      </c>
      <c r="N2304" t="s">
        <v>5340</v>
      </c>
      <c r="O2304" t="s">
        <v>47</v>
      </c>
      <c r="P2304" t="s">
        <v>5341</v>
      </c>
    </row>
    <row r="2305" spans="1:16" x14ac:dyDescent="0.3">
      <c r="A2305" t="s">
        <v>5332</v>
      </c>
      <c r="C2305">
        <v>30</v>
      </c>
      <c r="D2305" t="s">
        <v>10</v>
      </c>
      <c r="F2305" s="43">
        <v>44855.354166666664</v>
      </c>
      <c r="G2305" s="43">
        <v>44855.375</v>
      </c>
      <c r="H2305">
        <v>8</v>
      </c>
      <c r="I2305">
        <v>30</v>
      </c>
      <c r="J2305">
        <v>9</v>
      </c>
      <c r="K2305">
        <v>0</v>
      </c>
      <c r="L2305">
        <v>2022</v>
      </c>
      <c r="N2305" t="s">
        <v>47</v>
      </c>
      <c r="O2305" t="s">
        <v>47</v>
      </c>
      <c r="P2305" t="s">
        <v>5333</v>
      </c>
    </row>
    <row r="2306" spans="1:16" x14ac:dyDescent="0.3">
      <c r="A2306" t="s">
        <v>3706</v>
      </c>
      <c r="C2306">
        <v>30</v>
      </c>
      <c r="D2306" t="s">
        <v>10</v>
      </c>
      <c r="E2306" t="s">
        <v>5342</v>
      </c>
      <c r="F2306" s="43">
        <v>44855.3125</v>
      </c>
      <c r="G2306" s="43">
        <v>44855.333333333336</v>
      </c>
      <c r="H2306">
        <v>7</v>
      </c>
      <c r="I2306">
        <v>30</v>
      </c>
      <c r="J2306">
        <v>8</v>
      </c>
      <c r="K2306">
        <v>0</v>
      </c>
      <c r="L2306">
        <v>2022</v>
      </c>
      <c r="N2306" t="s">
        <v>629</v>
      </c>
      <c r="O2306" t="s">
        <v>47</v>
      </c>
      <c r="P2306" t="s">
        <v>5343</v>
      </c>
    </row>
    <row r="2307" spans="1:16" x14ac:dyDescent="0.3">
      <c r="A2307" t="s">
        <v>5332</v>
      </c>
      <c r="C2307">
        <v>60</v>
      </c>
      <c r="D2307" t="s">
        <v>10</v>
      </c>
      <c r="F2307" s="43">
        <v>44855.25</v>
      </c>
      <c r="G2307" s="43">
        <v>44855.291666666664</v>
      </c>
      <c r="H2307">
        <v>6</v>
      </c>
      <c r="I2307">
        <v>0</v>
      </c>
      <c r="J2307">
        <v>7</v>
      </c>
      <c r="K2307">
        <v>0</v>
      </c>
      <c r="L2307">
        <v>2022</v>
      </c>
      <c r="N2307" t="s">
        <v>47</v>
      </c>
      <c r="O2307" t="s">
        <v>47</v>
      </c>
      <c r="P2307" t="s">
        <v>5334</v>
      </c>
    </row>
    <row r="2308" spans="1:16" x14ac:dyDescent="0.3">
      <c r="A2308" t="s">
        <v>5332</v>
      </c>
      <c r="C2308">
        <v>75</v>
      </c>
      <c r="D2308" t="s">
        <v>10</v>
      </c>
      <c r="F2308" s="43">
        <v>44855.166666666664</v>
      </c>
      <c r="G2308" s="43">
        <v>44855.21875</v>
      </c>
      <c r="H2308">
        <v>4</v>
      </c>
      <c r="I2308">
        <v>0</v>
      </c>
      <c r="J2308">
        <v>5</v>
      </c>
      <c r="K2308">
        <v>15</v>
      </c>
      <c r="L2308">
        <v>2022</v>
      </c>
      <c r="N2308" t="s">
        <v>47</v>
      </c>
      <c r="O2308" t="s">
        <v>47</v>
      </c>
      <c r="P2308" t="s">
        <v>5338</v>
      </c>
    </row>
    <row r="2309" spans="1:16" x14ac:dyDescent="0.3">
      <c r="A2309" t="s">
        <v>5344</v>
      </c>
      <c r="C2309">
        <v>40</v>
      </c>
      <c r="D2309" t="s">
        <v>10</v>
      </c>
      <c r="F2309" s="43">
        <v>44854.791666666664</v>
      </c>
      <c r="G2309" s="43">
        <v>44854.819444444445</v>
      </c>
      <c r="H2309">
        <v>19</v>
      </c>
      <c r="I2309">
        <v>0</v>
      </c>
      <c r="J2309">
        <v>19</v>
      </c>
      <c r="K2309">
        <v>40</v>
      </c>
      <c r="L2309">
        <v>2022</v>
      </c>
      <c r="N2309" t="s">
        <v>47</v>
      </c>
      <c r="O2309" t="s">
        <v>47</v>
      </c>
      <c r="P2309" t="s">
        <v>5345</v>
      </c>
    </row>
    <row r="2310" spans="1:16" x14ac:dyDescent="0.3">
      <c r="A2310" t="s">
        <v>5344</v>
      </c>
      <c r="C2310">
        <v>40</v>
      </c>
      <c r="D2310" t="s">
        <v>10</v>
      </c>
      <c r="F2310" s="43">
        <v>44854.736111111109</v>
      </c>
      <c r="G2310" s="43">
        <v>44854.763888888891</v>
      </c>
      <c r="H2310">
        <v>17</v>
      </c>
      <c r="I2310">
        <v>40</v>
      </c>
      <c r="J2310">
        <v>18</v>
      </c>
      <c r="K2310">
        <v>20</v>
      </c>
      <c r="L2310">
        <v>2022</v>
      </c>
      <c r="N2310" t="s">
        <v>47</v>
      </c>
      <c r="O2310" t="s">
        <v>47</v>
      </c>
      <c r="P2310" t="s">
        <v>5346</v>
      </c>
    </row>
    <row r="2311" spans="1:16" x14ac:dyDescent="0.3">
      <c r="A2311" t="s">
        <v>8</v>
      </c>
      <c r="C2311">
        <v>30</v>
      </c>
      <c r="D2311" t="s">
        <v>10</v>
      </c>
      <c r="F2311" s="43">
        <v>44854.625</v>
      </c>
      <c r="G2311" s="43">
        <v>44854.645833333336</v>
      </c>
      <c r="H2311">
        <v>15</v>
      </c>
      <c r="I2311">
        <v>0</v>
      </c>
      <c r="J2311">
        <v>15</v>
      </c>
      <c r="K2311">
        <v>30</v>
      </c>
      <c r="L2311">
        <v>2022</v>
      </c>
      <c r="N2311" t="s">
        <v>47</v>
      </c>
      <c r="O2311" t="s">
        <v>47</v>
      </c>
      <c r="P2311" t="s">
        <v>5329</v>
      </c>
    </row>
    <row r="2312" spans="1:16" x14ac:dyDescent="0.3">
      <c r="A2312" t="s">
        <v>9</v>
      </c>
      <c r="C2312">
        <v>30</v>
      </c>
      <c r="D2312" t="s">
        <v>10</v>
      </c>
      <c r="F2312" s="1">
        <v>44854.604166666664</v>
      </c>
      <c r="G2312" s="1">
        <v>44854.625</v>
      </c>
      <c r="H2312">
        <v>14</v>
      </c>
      <c r="I2312">
        <v>30</v>
      </c>
      <c r="J2312">
        <v>15</v>
      </c>
      <c r="K2312">
        <v>0</v>
      </c>
      <c r="L2312">
        <v>2022</v>
      </c>
      <c r="N2312" t="s">
        <v>47</v>
      </c>
      <c r="O2312" t="s">
        <v>47</v>
      </c>
      <c r="P2312" t="s">
        <v>5330</v>
      </c>
    </row>
    <row r="2313" spans="1:16" x14ac:dyDescent="0.3">
      <c r="A2313" t="s">
        <v>5281</v>
      </c>
      <c r="C2313">
        <v>60</v>
      </c>
      <c r="D2313" t="s">
        <v>10</v>
      </c>
      <c r="E2313" t="s">
        <v>501</v>
      </c>
      <c r="F2313" s="43">
        <v>44854.541666666664</v>
      </c>
      <c r="G2313" s="43">
        <v>44854.583333333336</v>
      </c>
      <c r="H2313">
        <v>13</v>
      </c>
      <c r="I2313">
        <v>0</v>
      </c>
      <c r="J2313">
        <v>14</v>
      </c>
      <c r="K2313">
        <v>0</v>
      </c>
      <c r="L2313">
        <v>2022</v>
      </c>
      <c r="N2313" t="s">
        <v>5282</v>
      </c>
      <c r="O2313" t="s">
        <v>783</v>
      </c>
      <c r="P2313" t="s">
        <v>5283</v>
      </c>
    </row>
    <row r="2314" spans="1:16" x14ac:dyDescent="0.3">
      <c r="A2314" t="s">
        <v>992</v>
      </c>
      <c r="C2314">
        <v>30</v>
      </c>
      <c r="D2314" t="s">
        <v>10</v>
      </c>
      <c r="F2314" s="43">
        <v>44854.520833333336</v>
      </c>
      <c r="G2314" s="43">
        <v>44854.541666666664</v>
      </c>
      <c r="H2314">
        <v>12</v>
      </c>
      <c r="I2314">
        <v>30</v>
      </c>
      <c r="J2314">
        <v>13</v>
      </c>
      <c r="K2314">
        <v>0</v>
      </c>
      <c r="L2314">
        <v>2022</v>
      </c>
      <c r="N2314" t="s">
        <v>47</v>
      </c>
      <c r="O2314" t="s">
        <v>47</v>
      </c>
      <c r="P2314" t="s">
        <v>5327</v>
      </c>
    </row>
    <row r="2315" spans="1:16" x14ac:dyDescent="0.3">
      <c r="A2315" t="s">
        <v>2568</v>
      </c>
      <c r="C2315">
        <v>45</v>
      </c>
      <c r="D2315" t="s">
        <v>10</v>
      </c>
      <c r="F2315" s="43">
        <v>44854.479166666664</v>
      </c>
      <c r="G2315" s="43">
        <v>44854.510416666664</v>
      </c>
      <c r="H2315">
        <v>11</v>
      </c>
      <c r="I2315">
        <v>30</v>
      </c>
      <c r="J2315">
        <v>12</v>
      </c>
      <c r="K2315">
        <v>15</v>
      </c>
      <c r="L2315">
        <v>2022</v>
      </c>
      <c r="N2315" t="s">
        <v>47</v>
      </c>
      <c r="O2315" t="s">
        <v>47</v>
      </c>
      <c r="P2315" t="s">
        <v>5328</v>
      </c>
    </row>
    <row r="2316" spans="1:16" x14ac:dyDescent="0.3">
      <c r="A2316" t="s">
        <v>5323</v>
      </c>
      <c r="C2316">
        <v>30</v>
      </c>
      <c r="D2316" t="s">
        <v>10</v>
      </c>
      <c r="E2316" t="s">
        <v>501</v>
      </c>
      <c r="F2316" s="43">
        <v>44854.458333333336</v>
      </c>
      <c r="G2316" s="43">
        <v>44854.479166666664</v>
      </c>
      <c r="H2316">
        <v>11</v>
      </c>
      <c r="I2316">
        <v>0</v>
      </c>
      <c r="J2316">
        <v>11</v>
      </c>
      <c r="K2316">
        <v>30</v>
      </c>
      <c r="L2316">
        <v>2022</v>
      </c>
      <c r="N2316" t="s">
        <v>5324</v>
      </c>
      <c r="O2316" t="s">
        <v>47</v>
      </c>
      <c r="P2316" t="s">
        <v>5325</v>
      </c>
    </row>
    <row r="2317" spans="1:16" x14ac:dyDescent="0.3">
      <c r="A2317" t="s">
        <v>17</v>
      </c>
      <c r="C2317">
        <v>30</v>
      </c>
      <c r="D2317" t="s">
        <v>10</v>
      </c>
      <c r="F2317" s="43">
        <v>44854.416666666664</v>
      </c>
      <c r="G2317" s="43">
        <v>44854.4375</v>
      </c>
      <c r="H2317">
        <v>10</v>
      </c>
      <c r="I2317">
        <v>0</v>
      </c>
      <c r="J2317">
        <v>10</v>
      </c>
      <c r="K2317">
        <v>30</v>
      </c>
      <c r="L2317">
        <v>2022</v>
      </c>
      <c r="N2317" t="s">
        <v>47</v>
      </c>
      <c r="O2317" t="s">
        <v>47</v>
      </c>
      <c r="P2317" t="s">
        <v>5326</v>
      </c>
    </row>
    <row r="2318" spans="1:16" x14ac:dyDescent="0.3">
      <c r="A2318" t="s">
        <v>5038</v>
      </c>
      <c r="C2318">
        <v>30</v>
      </c>
      <c r="D2318" t="s">
        <v>10</v>
      </c>
      <c r="E2318" t="s">
        <v>21</v>
      </c>
      <c r="F2318" s="43">
        <v>44854.395833333336</v>
      </c>
      <c r="G2318" s="43">
        <v>44854.416666666664</v>
      </c>
      <c r="H2318">
        <v>9</v>
      </c>
      <c r="I2318">
        <v>30</v>
      </c>
      <c r="J2318">
        <v>10</v>
      </c>
      <c r="K2318">
        <v>0</v>
      </c>
      <c r="L2318">
        <v>2022</v>
      </c>
      <c r="N2318" t="s">
        <v>5039</v>
      </c>
      <c r="O2318" t="s">
        <v>50</v>
      </c>
      <c r="P2318" t="s">
        <v>5040</v>
      </c>
    </row>
    <row r="2319" spans="1:16" x14ac:dyDescent="0.3">
      <c r="A2319" t="s">
        <v>5310</v>
      </c>
      <c r="C2319">
        <v>30</v>
      </c>
      <c r="D2319" t="s">
        <v>10</v>
      </c>
      <c r="E2319" t="s">
        <v>501</v>
      </c>
      <c r="F2319" s="43">
        <v>44854.375</v>
      </c>
      <c r="G2319" s="43">
        <v>44854.395833333336</v>
      </c>
      <c r="H2319">
        <v>9</v>
      </c>
      <c r="I2319">
        <v>0</v>
      </c>
      <c r="J2319">
        <v>9</v>
      </c>
      <c r="K2319">
        <v>30</v>
      </c>
      <c r="L2319">
        <v>2022</v>
      </c>
      <c r="N2319" t="s">
        <v>5311</v>
      </c>
      <c r="O2319" t="s">
        <v>47</v>
      </c>
      <c r="P2319" t="s">
        <v>5312</v>
      </c>
    </row>
    <row r="2320" spans="1:16" x14ac:dyDescent="0.3">
      <c r="A2320" t="s">
        <v>8</v>
      </c>
      <c r="C2320">
        <v>45</v>
      </c>
      <c r="D2320" t="s">
        <v>10</v>
      </c>
      <c r="F2320" s="43">
        <v>44854.270833333336</v>
      </c>
      <c r="G2320" s="43">
        <v>44854.302083333336</v>
      </c>
      <c r="H2320">
        <v>6</v>
      </c>
      <c r="I2320">
        <v>30</v>
      </c>
      <c r="J2320">
        <v>7</v>
      </c>
      <c r="K2320">
        <v>15</v>
      </c>
      <c r="L2320">
        <v>2022</v>
      </c>
      <c r="N2320" t="s">
        <v>47</v>
      </c>
      <c r="O2320" t="s">
        <v>47</v>
      </c>
      <c r="P2320" t="s">
        <v>5318</v>
      </c>
    </row>
    <row r="2321" spans="1:16" x14ac:dyDescent="0.3">
      <c r="A2321" t="s">
        <v>8</v>
      </c>
      <c r="C2321">
        <v>75</v>
      </c>
      <c r="D2321" t="s">
        <v>10</v>
      </c>
      <c r="F2321" s="43">
        <v>44854.208333333336</v>
      </c>
      <c r="G2321" s="43">
        <v>44854.260416666664</v>
      </c>
      <c r="H2321">
        <v>5</v>
      </c>
      <c r="I2321">
        <v>0</v>
      </c>
      <c r="J2321">
        <v>6</v>
      </c>
      <c r="K2321">
        <v>15</v>
      </c>
      <c r="L2321">
        <v>2022</v>
      </c>
      <c r="N2321" t="s">
        <v>47</v>
      </c>
      <c r="O2321" t="s">
        <v>47</v>
      </c>
      <c r="P2321" t="s">
        <v>5319</v>
      </c>
    </row>
    <row r="2322" spans="1:16" x14ac:dyDescent="0.3">
      <c r="A2322" t="s">
        <v>1750</v>
      </c>
      <c r="C2322">
        <v>30</v>
      </c>
      <c r="D2322" t="s">
        <v>10</v>
      </c>
      <c r="F2322" s="43">
        <v>44853.791666666664</v>
      </c>
      <c r="G2322" s="43">
        <v>44853.8125</v>
      </c>
      <c r="H2322">
        <v>19</v>
      </c>
      <c r="I2322">
        <v>0</v>
      </c>
      <c r="J2322">
        <v>19</v>
      </c>
      <c r="K2322">
        <v>30</v>
      </c>
      <c r="L2322">
        <v>2022</v>
      </c>
      <c r="N2322" t="s">
        <v>47</v>
      </c>
      <c r="O2322" t="s">
        <v>47</v>
      </c>
      <c r="P2322" t="s">
        <v>5320</v>
      </c>
    </row>
    <row r="2323" spans="1:16" x14ac:dyDescent="0.3">
      <c r="A2323" t="s">
        <v>5321</v>
      </c>
      <c r="C2323">
        <v>75</v>
      </c>
      <c r="D2323" t="s">
        <v>10</v>
      </c>
      <c r="F2323" s="43">
        <v>44853.708333333336</v>
      </c>
      <c r="G2323" s="43">
        <v>44853.760416666664</v>
      </c>
      <c r="H2323">
        <v>17</v>
      </c>
      <c r="I2323">
        <v>0</v>
      </c>
      <c r="J2323">
        <v>18</v>
      </c>
      <c r="K2323">
        <v>15</v>
      </c>
      <c r="L2323">
        <v>2022</v>
      </c>
      <c r="N2323" t="s">
        <v>47</v>
      </c>
      <c r="O2323" t="s">
        <v>47</v>
      </c>
      <c r="P2323" t="s">
        <v>5322</v>
      </c>
    </row>
    <row r="2324" spans="1:16" x14ac:dyDescent="0.3">
      <c r="A2324" t="s">
        <v>9</v>
      </c>
      <c r="C2324">
        <v>45</v>
      </c>
      <c r="D2324" t="s">
        <v>10</v>
      </c>
      <c r="F2324" s="43">
        <v>44853.6875</v>
      </c>
      <c r="G2324" s="43">
        <v>44853.71875</v>
      </c>
      <c r="H2324">
        <v>16</v>
      </c>
      <c r="I2324">
        <v>30</v>
      </c>
      <c r="J2324">
        <v>17</v>
      </c>
      <c r="K2324">
        <v>15</v>
      </c>
      <c r="L2324">
        <v>2022</v>
      </c>
      <c r="N2324" t="s">
        <v>47</v>
      </c>
      <c r="O2324" t="s">
        <v>47</v>
      </c>
      <c r="P2324" t="s">
        <v>5313</v>
      </c>
    </row>
    <row r="2325" spans="1:16" x14ac:dyDescent="0.3">
      <c r="A2325" t="s">
        <v>5308</v>
      </c>
      <c r="C2325">
        <v>30</v>
      </c>
      <c r="D2325" t="s">
        <v>10</v>
      </c>
      <c r="F2325" s="43">
        <v>44853.625</v>
      </c>
      <c r="G2325" s="43">
        <v>44853.645833333336</v>
      </c>
      <c r="H2325">
        <v>15</v>
      </c>
      <c r="I2325">
        <v>0</v>
      </c>
      <c r="J2325">
        <v>15</v>
      </c>
      <c r="K2325">
        <v>30</v>
      </c>
      <c r="L2325">
        <v>2022</v>
      </c>
      <c r="N2325" t="s">
        <v>47</v>
      </c>
      <c r="O2325" t="s">
        <v>47</v>
      </c>
      <c r="P2325" t="s">
        <v>5309</v>
      </c>
    </row>
    <row r="2326" spans="1:16" x14ac:dyDescent="0.3">
      <c r="A2326" t="s">
        <v>5303</v>
      </c>
      <c r="C2326">
        <v>80</v>
      </c>
      <c r="D2326" t="s">
        <v>10</v>
      </c>
      <c r="F2326" s="43">
        <v>44853.552083333336</v>
      </c>
      <c r="G2326" s="43">
        <v>44853.607638888891</v>
      </c>
      <c r="H2326">
        <v>13</v>
      </c>
      <c r="I2326">
        <v>15</v>
      </c>
      <c r="J2326">
        <v>14</v>
      </c>
      <c r="K2326">
        <v>35</v>
      </c>
      <c r="L2326">
        <v>2022</v>
      </c>
      <c r="N2326" t="s">
        <v>47</v>
      </c>
      <c r="O2326" t="s">
        <v>47</v>
      </c>
      <c r="P2326" t="s">
        <v>5304</v>
      </c>
    </row>
    <row r="2327" spans="1:16" x14ac:dyDescent="0.3">
      <c r="A2327" t="s">
        <v>8</v>
      </c>
      <c r="C2327">
        <v>45</v>
      </c>
      <c r="D2327" t="s">
        <v>10</v>
      </c>
      <c r="F2327" s="43">
        <v>44853.5</v>
      </c>
      <c r="G2327" s="43">
        <v>44853.53125</v>
      </c>
      <c r="H2327">
        <v>12</v>
      </c>
      <c r="I2327">
        <v>0</v>
      </c>
      <c r="J2327">
        <v>12</v>
      </c>
      <c r="K2327">
        <v>45</v>
      </c>
      <c r="L2327">
        <v>2022</v>
      </c>
      <c r="N2327" t="s">
        <v>47</v>
      </c>
      <c r="O2327" t="s">
        <v>47</v>
      </c>
      <c r="P2327" t="s">
        <v>5302</v>
      </c>
    </row>
    <row r="2328" spans="1:16" x14ac:dyDescent="0.3">
      <c r="A2328" t="s">
        <v>5291</v>
      </c>
      <c r="C2328">
        <v>60</v>
      </c>
      <c r="D2328" t="s">
        <v>10</v>
      </c>
      <c r="E2328" t="s">
        <v>5292</v>
      </c>
      <c r="F2328" s="43">
        <v>44853.458333333336</v>
      </c>
      <c r="G2328" s="43">
        <v>44853.5</v>
      </c>
      <c r="H2328">
        <v>11</v>
      </c>
      <c r="I2328">
        <v>0</v>
      </c>
      <c r="J2328">
        <v>12</v>
      </c>
      <c r="K2328">
        <v>0</v>
      </c>
      <c r="L2328">
        <v>2022</v>
      </c>
      <c r="N2328" t="s">
        <v>5293</v>
      </c>
      <c r="O2328" t="s">
        <v>47</v>
      </c>
      <c r="P2328" t="s">
        <v>5294</v>
      </c>
    </row>
    <row r="2329" spans="1:16" x14ac:dyDescent="0.3">
      <c r="A2329" t="s">
        <v>5300</v>
      </c>
      <c r="C2329">
        <v>75</v>
      </c>
      <c r="D2329" t="s">
        <v>10</v>
      </c>
      <c r="F2329" s="43">
        <v>44853.40625</v>
      </c>
      <c r="G2329" s="43">
        <v>44853.458333333336</v>
      </c>
      <c r="H2329">
        <v>9</v>
      </c>
      <c r="I2329">
        <v>45</v>
      </c>
      <c r="J2329">
        <v>11</v>
      </c>
      <c r="K2329">
        <v>0</v>
      </c>
      <c r="L2329">
        <v>2022</v>
      </c>
      <c r="N2329" t="s">
        <v>47</v>
      </c>
      <c r="O2329" t="s">
        <v>47</v>
      </c>
      <c r="P2329" t="s">
        <v>5301</v>
      </c>
    </row>
    <row r="2330" spans="1:16" x14ac:dyDescent="0.3">
      <c r="A2330" t="s">
        <v>4577</v>
      </c>
      <c r="C2330">
        <v>45</v>
      </c>
      <c r="D2330" t="s">
        <v>10</v>
      </c>
      <c r="F2330" s="43">
        <v>44853.291666666664</v>
      </c>
      <c r="G2330" s="43">
        <v>44853.322916666664</v>
      </c>
      <c r="H2330">
        <v>7</v>
      </c>
      <c r="I2330">
        <v>0</v>
      </c>
      <c r="J2330">
        <v>7</v>
      </c>
      <c r="K2330">
        <v>45</v>
      </c>
      <c r="L2330">
        <v>2022</v>
      </c>
      <c r="N2330" t="s">
        <v>47</v>
      </c>
      <c r="O2330" t="s">
        <v>47</v>
      </c>
      <c r="P2330" t="s">
        <v>5298</v>
      </c>
    </row>
    <row r="2331" spans="1:16" x14ac:dyDescent="0.3">
      <c r="A2331" t="s">
        <v>1222</v>
      </c>
      <c r="C2331">
        <v>30</v>
      </c>
      <c r="D2331" t="s">
        <v>10</v>
      </c>
      <c r="F2331" s="43">
        <v>44853.25</v>
      </c>
      <c r="G2331" s="43">
        <v>44853.270833333336</v>
      </c>
      <c r="H2331">
        <v>6</v>
      </c>
      <c r="I2331">
        <v>0</v>
      </c>
      <c r="J2331">
        <v>6</v>
      </c>
      <c r="K2331">
        <v>30</v>
      </c>
      <c r="L2331">
        <v>2022</v>
      </c>
      <c r="N2331" t="s">
        <v>47</v>
      </c>
      <c r="O2331" t="s">
        <v>47</v>
      </c>
      <c r="P2331" t="s">
        <v>5299</v>
      </c>
    </row>
    <row r="2332" spans="1:16" x14ac:dyDescent="0.3">
      <c r="A2332" t="s">
        <v>40</v>
      </c>
      <c r="C2332">
        <v>50</v>
      </c>
      <c r="D2332" t="s">
        <v>10</v>
      </c>
      <c r="F2332" s="43">
        <v>44852.770833333336</v>
      </c>
      <c r="G2332" s="43">
        <v>44852.805555555555</v>
      </c>
      <c r="H2332">
        <v>18</v>
      </c>
      <c r="I2332">
        <v>30</v>
      </c>
      <c r="J2332">
        <v>19</v>
      </c>
      <c r="K2332">
        <v>20</v>
      </c>
      <c r="L2332">
        <v>2022</v>
      </c>
      <c r="N2332" t="s">
        <v>47</v>
      </c>
      <c r="O2332" t="s">
        <v>47</v>
      </c>
      <c r="P2332" t="s">
        <v>5295</v>
      </c>
    </row>
    <row r="2333" spans="1:16" x14ac:dyDescent="0.3">
      <c r="A2333" t="s">
        <v>40</v>
      </c>
      <c r="C2333">
        <v>45</v>
      </c>
      <c r="D2333" t="s">
        <v>10</v>
      </c>
      <c r="F2333" s="43">
        <v>44852.708333333336</v>
      </c>
      <c r="G2333" s="43">
        <v>44852.739583333336</v>
      </c>
      <c r="H2333">
        <v>17</v>
      </c>
      <c r="I2333">
        <v>0</v>
      </c>
      <c r="J2333">
        <v>17</v>
      </c>
      <c r="K2333">
        <v>45</v>
      </c>
      <c r="L2333">
        <v>2022</v>
      </c>
      <c r="N2333" t="s">
        <v>47</v>
      </c>
      <c r="O2333" t="s">
        <v>47</v>
      </c>
      <c r="P2333" t="s">
        <v>5274</v>
      </c>
    </row>
    <row r="2334" spans="1:16" x14ac:dyDescent="0.3">
      <c r="A2334" t="s">
        <v>4452</v>
      </c>
      <c r="C2334">
        <v>30</v>
      </c>
      <c r="D2334" t="s">
        <v>10</v>
      </c>
      <c r="F2334" s="43">
        <v>44852.666666666664</v>
      </c>
      <c r="G2334" s="43">
        <v>44852.6875</v>
      </c>
      <c r="H2334">
        <v>16</v>
      </c>
      <c r="I2334">
        <v>0</v>
      </c>
      <c r="J2334">
        <v>16</v>
      </c>
      <c r="K2334">
        <v>30</v>
      </c>
      <c r="L2334">
        <v>2022</v>
      </c>
      <c r="N2334" t="s">
        <v>47</v>
      </c>
      <c r="O2334" t="s">
        <v>47</v>
      </c>
      <c r="P2334" t="s">
        <v>5290</v>
      </c>
    </row>
    <row r="2335" spans="1:16" x14ac:dyDescent="0.3">
      <c r="A2335" t="s">
        <v>40</v>
      </c>
      <c r="C2335">
        <v>30</v>
      </c>
      <c r="D2335" t="s">
        <v>10</v>
      </c>
      <c r="F2335" s="43">
        <v>44852.645833333336</v>
      </c>
      <c r="G2335" s="43">
        <v>44852.666666666664</v>
      </c>
      <c r="H2335">
        <v>15</v>
      </c>
      <c r="I2335">
        <v>30</v>
      </c>
      <c r="J2335">
        <v>16</v>
      </c>
      <c r="K2335">
        <v>0</v>
      </c>
      <c r="L2335">
        <v>2022</v>
      </c>
      <c r="N2335" t="s">
        <v>47</v>
      </c>
      <c r="O2335" t="s">
        <v>47</v>
      </c>
      <c r="P2335" t="s">
        <v>5289</v>
      </c>
    </row>
    <row r="2336" spans="1:16" x14ac:dyDescent="0.3">
      <c r="A2336" t="s">
        <v>8</v>
      </c>
      <c r="C2336">
        <v>45</v>
      </c>
      <c r="D2336" t="s">
        <v>10</v>
      </c>
      <c r="F2336" s="43">
        <v>44852.583333333336</v>
      </c>
      <c r="G2336" s="43">
        <v>44852.614583333336</v>
      </c>
      <c r="H2336">
        <v>14</v>
      </c>
      <c r="I2336">
        <v>0</v>
      </c>
      <c r="J2336">
        <v>14</v>
      </c>
      <c r="K2336">
        <v>45</v>
      </c>
      <c r="L2336">
        <v>2022</v>
      </c>
      <c r="N2336" t="s">
        <v>47</v>
      </c>
      <c r="O2336" t="s">
        <v>47</v>
      </c>
      <c r="P2336" t="s">
        <v>5288</v>
      </c>
    </row>
    <row r="2337" spans="1:16" x14ac:dyDescent="0.3">
      <c r="A2337" t="s">
        <v>9</v>
      </c>
      <c r="C2337">
        <v>30</v>
      </c>
      <c r="D2337" t="s">
        <v>10</v>
      </c>
      <c r="F2337" s="43">
        <v>44852.5625</v>
      </c>
      <c r="G2337" s="43">
        <v>44852.583333333336</v>
      </c>
      <c r="H2337">
        <v>13</v>
      </c>
      <c r="I2337">
        <v>30</v>
      </c>
      <c r="J2337">
        <v>14</v>
      </c>
      <c r="K2337">
        <v>0</v>
      </c>
      <c r="L2337">
        <v>2022</v>
      </c>
      <c r="N2337" t="s">
        <v>47</v>
      </c>
      <c r="O2337" t="s">
        <v>47</v>
      </c>
      <c r="P2337" t="s">
        <v>5287</v>
      </c>
    </row>
    <row r="2338" spans="1:16" x14ac:dyDescent="0.3">
      <c r="A2338" t="s">
        <v>17</v>
      </c>
      <c r="C2338">
        <v>30</v>
      </c>
      <c r="D2338" t="s">
        <v>10</v>
      </c>
      <c r="F2338" s="43">
        <v>44852.541666666664</v>
      </c>
      <c r="G2338" s="43">
        <v>44852.5625</v>
      </c>
      <c r="H2338">
        <v>13</v>
      </c>
      <c r="I2338">
        <v>0</v>
      </c>
      <c r="J2338">
        <v>13</v>
      </c>
      <c r="K2338">
        <v>30</v>
      </c>
      <c r="L2338">
        <v>2022</v>
      </c>
      <c r="N2338" t="s">
        <v>47</v>
      </c>
      <c r="O2338" t="s">
        <v>47</v>
      </c>
      <c r="P2338" t="s">
        <v>5286</v>
      </c>
    </row>
    <row r="2339" spans="1:16" x14ac:dyDescent="0.3">
      <c r="A2339" t="s">
        <v>5284</v>
      </c>
      <c r="C2339">
        <v>30</v>
      </c>
      <c r="D2339" t="s">
        <v>10</v>
      </c>
      <c r="F2339" s="43">
        <v>44852.520833333336</v>
      </c>
      <c r="G2339" s="43">
        <v>44852.541666666664</v>
      </c>
      <c r="H2339">
        <v>12</v>
      </c>
      <c r="I2339">
        <v>30</v>
      </c>
      <c r="J2339">
        <v>13</v>
      </c>
      <c r="K2339">
        <v>0</v>
      </c>
      <c r="L2339">
        <v>2022</v>
      </c>
      <c r="N2339" t="s">
        <v>47</v>
      </c>
      <c r="O2339" t="s">
        <v>47</v>
      </c>
      <c r="P2339" t="s">
        <v>5285</v>
      </c>
    </row>
    <row r="2340" spans="1:16" x14ac:dyDescent="0.3">
      <c r="A2340" t="s">
        <v>5074</v>
      </c>
      <c r="B2340" t="s">
        <v>20</v>
      </c>
      <c r="C2340">
        <v>45</v>
      </c>
      <c r="D2340" t="s">
        <v>10</v>
      </c>
      <c r="E2340" t="s">
        <v>5075</v>
      </c>
      <c r="F2340" s="43">
        <v>44852.458333333336</v>
      </c>
      <c r="G2340" s="43">
        <v>44852.489583333336</v>
      </c>
      <c r="H2340">
        <v>11</v>
      </c>
      <c r="I2340">
        <v>0</v>
      </c>
      <c r="J2340">
        <v>11</v>
      </c>
      <c r="K2340">
        <v>45</v>
      </c>
      <c r="L2340">
        <v>2022</v>
      </c>
      <c r="N2340" t="s">
        <v>5076</v>
      </c>
      <c r="O2340" t="s">
        <v>3566</v>
      </c>
      <c r="P2340" t="s">
        <v>5077</v>
      </c>
    </row>
    <row r="2341" spans="1:16" x14ac:dyDescent="0.3">
      <c r="A2341" t="s">
        <v>5141</v>
      </c>
      <c r="B2341" t="s">
        <v>20</v>
      </c>
      <c r="C2341">
        <v>60</v>
      </c>
      <c r="D2341" t="s">
        <v>10</v>
      </c>
      <c r="E2341" t="s">
        <v>5</v>
      </c>
      <c r="F2341" s="43">
        <v>44852.395833333336</v>
      </c>
      <c r="G2341" s="43">
        <v>44852.4375</v>
      </c>
      <c r="H2341">
        <v>9</v>
      </c>
      <c r="I2341">
        <v>30</v>
      </c>
      <c r="J2341">
        <v>10</v>
      </c>
      <c r="K2341">
        <v>30</v>
      </c>
      <c r="L2341">
        <v>2022</v>
      </c>
      <c r="N2341" t="s">
        <v>5142</v>
      </c>
      <c r="O2341" t="s">
        <v>956</v>
      </c>
      <c r="P2341" t="s">
        <v>5143</v>
      </c>
    </row>
    <row r="2342" spans="1:16" x14ac:dyDescent="0.3">
      <c r="A2342" t="s">
        <v>5221</v>
      </c>
      <c r="B2342" t="s">
        <v>20</v>
      </c>
      <c r="C2342">
        <v>30</v>
      </c>
      <c r="D2342" t="s">
        <v>10</v>
      </c>
      <c r="E2342" t="s">
        <v>5222</v>
      </c>
      <c r="F2342" s="43">
        <v>44852.375</v>
      </c>
      <c r="G2342" s="43">
        <v>44852.395833333336</v>
      </c>
      <c r="H2342">
        <v>9</v>
      </c>
      <c r="I2342">
        <v>0</v>
      </c>
      <c r="J2342">
        <v>9</v>
      </c>
      <c r="K2342">
        <v>30</v>
      </c>
      <c r="L2342">
        <v>2022</v>
      </c>
      <c r="N2342" t="s">
        <v>5223</v>
      </c>
      <c r="O2342" t="s">
        <v>48</v>
      </c>
      <c r="P2342" t="s">
        <v>5224</v>
      </c>
    </row>
    <row r="2343" spans="1:16" x14ac:dyDescent="0.3">
      <c r="A2343" t="s">
        <v>5272</v>
      </c>
      <c r="C2343">
        <v>105</v>
      </c>
      <c r="D2343" t="s">
        <v>10</v>
      </c>
      <c r="F2343" s="43">
        <v>44852.302083333336</v>
      </c>
      <c r="G2343" s="43">
        <v>44852.375</v>
      </c>
      <c r="H2343">
        <v>7</v>
      </c>
      <c r="I2343">
        <v>15</v>
      </c>
      <c r="J2343">
        <v>9</v>
      </c>
      <c r="K2343">
        <v>0</v>
      </c>
      <c r="L2343">
        <v>2022</v>
      </c>
      <c r="N2343" t="s">
        <v>47</v>
      </c>
      <c r="O2343" t="s">
        <v>47</v>
      </c>
      <c r="P2343" t="s">
        <v>5273</v>
      </c>
    </row>
    <row r="2344" spans="1:16" x14ac:dyDescent="0.3">
      <c r="A2344" t="s">
        <v>4926</v>
      </c>
      <c r="C2344">
        <v>45</v>
      </c>
      <c r="D2344" t="s">
        <v>10</v>
      </c>
      <c r="F2344" s="43">
        <v>44852.208333333336</v>
      </c>
      <c r="G2344" s="43">
        <v>44852.239583333336</v>
      </c>
      <c r="H2344">
        <v>5</v>
      </c>
      <c r="I2344">
        <v>0</v>
      </c>
      <c r="J2344">
        <v>5</v>
      </c>
      <c r="K2344">
        <v>45</v>
      </c>
      <c r="L2344">
        <v>2022</v>
      </c>
      <c r="N2344" t="s">
        <v>47</v>
      </c>
      <c r="O2344" t="s">
        <v>47</v>
      </c>
      <c r="P2344" t="s">
        <v>5275</v>
      </c>
    </row>
    <row r="2345" spans="1:16" x14ac:dyDescent="0.3">
      <c r="A2345" t="s">
        <v>5276</v>
      </c>
      <c r="C2345">
        <v>25</v>
      </c>
      <c r="D2345" t="s">
        <v>10</v>
      </c>
      <c r="F2345" s="43">
        <v>44851.847222222219</v>
      </c>
      <c r="G2345" s="43">
        <v>44851.864583333336</v>
      </c>
      <c r="H2345">
        <v>20</v>
      </c>
      <c r="I2345">
        <v>20</v>
      </c>
      <c r="J2345">
        <v>20</v>
      </c>
      <c r="K2345">
        <v>45</v>
      </c>
      <c r="L2345">
        <v>2022</v>
      </c>
      <c r="N2345" t="s">
        <v>47</v>
      </c>
      <c r="O2345" t="s">
        <v>47</v>
      </c>
      <c r="P2345" t="s">
        <v>5277</v>
      </c>
    </row>
    <row r="2346" spans="1:16" x14ac:dyDescent="0.3">
      <c r="A2346" t="s">
        <v>5278</v>
      </c>
      <c r="C2346">
        <v>15</v>
      </c>
      <c r="D2346" t="s">
        <v>10</v>
      </c>
      <c r="F2346" s="43">
        <v>44851.791666666664</v>
      </c>
      <c r="G2346" s="43">
        <v>44851.802083333336</v>
      </c>
      <c r="H2346">
        <v>19</v>
      </c>
      <c r="I2346">
        <v>0</v>
      </c>
      <c r="J2346">
        <v>19</v>
      </c>
      <c r="K2346">
        <v>15</v>
      </c>
      <c r="L2346">
        <v>2022</v>
      </c>
      <c r="N2346" t="s">
        <v>47</v>
      </c>
      <c r="O2346" t="s">
        <v>47</v>
      </c>
      <c r="P2346" t="s">
        <v>5279</v>
      </c>
    </row>
    <row r="2347" spans="1:16" x14ac:dyDescent="0.3">
      <c r="A2347" t="s">
        <v>4220</v>
      </c>
      <c r="C2347">
        <v>15</v>
      </c>
      <c r="D2347" t="s">
        <v>10</v>
      </c>
      <c r="F2347" s="43">
        <v>44851.78125</v>
      </c>
      <c r="G2347" s="43">
        <v>44851.791666666664</v>
      </c>
      <c r="H2347">
        <v>18</v>
      </c>
      <c r="I2347">
        <v>45</v>
      </c>
      <c r="J2347">
        <v>19</v>
      </c>
      <c r="K2347">
        <v>0</v>
      </c>
      <c r="L2347">
        <v>2022</v>
      </c>
      <c r="N2347" t="s">
        <v>47</v>
      </c>
      <c r="O2347" t="s">
        <v>47</v>
      </c>
      <c r="P2347" t="s">
        <v>5280</v>
      </c>
    </row>
    <row r="2348" spans="1:16" x14ac:dyDescent="0.3">
      <c r="A2348" t="s">
        <v>4220</v>
      </c>
      <c r="C2348">
        <v>30</v>
      </c>
      <c r="D2348" t="s">
        <v>10</v>
      </c>
      <c r="F2348" s="43">
        <v>44851.729166666664</v>
      </c>
      <c r="G2348" s="43">
        <v>44851.75</v>
      </c>
      <c r="H2348">
        <v>17</v>
      </c>
      <c r="I2348">
        <v>30</v>
      </c>
      <c r="J2348">
        <v>18</v>
      </c>
      <c r="K2348">
        <v>0</v>
      </c>
      <c r="L2348">
        <v>2022</v>
      </c>
      <c r="N2348" t="s">
        <v>47</v>
      </c>
      <c r="O2348" t="s">
        <v>47</v>
      </c>
      <c r="P2348" t="s">
        <v>5270</v>
      </c>
    </row>
    <row r="2349" spans="1:16" x14ac:dyDescent="0.3">
      <c r="A2349" t="s">
        <v>9</v>
      </c>
      <c r="C2349">
        <v>30</v>
      </c>
      <c r="D2349" t="s">
        <v>10</v>
      </c>
      <c r="F2349" s="43">
        <v>44851.708333333336</v>
      </c>
      <c r="G2349" s="43">
        <v>44851.729166666664</v>
      </c>
      <c r="H2349">
        <v>17</v>
      </c>
      <c r="I2349">
        <v>0</v>
      </c>
      <c r="J2349">
        <v>17</v>
      </c>
      <c r="K2349">
        <v>30</v>
      </c>
      <c r="L2349">
        <v>2022</v>
      </c>
      <c r="N2349" t="s">
        <v>47</v>
      </c>
      <c r="O2349" t="s">
        <v>47</v>
      </c>
      <c r="P2349" t="s">
        <v>5269</v>
      </c>
    </row>
    <row r="2350" spans="1:16" x14ac:dyDescent="0.3">
      <c r="A2350" t="s">
        <v>8</v>
      </c>
      <c r="C2350">
        <v>30</v>
      </c>
      <c r="D2350" t="s">
        <v>10</v>
      </c>
      <c r="F2350" s="43">
        <v>44851.625</v>
      </c>
      <c r="G2350" s="43">
        <v>44851.645833333336</v>
      </c>
      <c r="H2350">
        <v>15</v>
      </c>
      <c r="I2350">
        <v>0</v>
      </c>
      <c r="J2350">
        <v>15</v>
      </c>
      <c r="K2350">
        <v>30</v>
      </c>
      <c r="L2350">
        <v>2022</v>
      </c>
      <c r="N2350" t="s">
        <v>47</v>
      </c>
      <c r="O2350" t="s">
        <v>47</v>
      </c>
      <c r="P2350" t="s">
        <v>5271</v>
      </c>
    </row>
    <row r="2351" spans="1:16" x14ac:dyDescent="0.3">
      <c r="A2351" t="s">
        <v>4220</v>
      </c>
      <c r="C2351">
        <v>30</v>
      </c>
      <c r="D2351" t="s">
        <v>10</v>
      </c>
      <c r="F2351" s="43">
        <v>44851.604166666664</v>
      </c>
      <c r="G2351" s="43">
        <v>44851.625</v>
      </c>
      <c r="H2351">
        <v>14</v>
      </c>
      <c r="I2351">
        <v>30</v>
      </c>
      <c r="J2351">
        <v>15</v>
      </c>
      <c r="K2351">
        <v>0</v>
      </c>
      <c r="L2351">
        <v>2022</v>
      </c>
      <c r="N2351" t="s">
        <v>47</v>
      </c>
      <c r="O2351" t="s">
        <v>47</v>
      </c>
      <c r="P2351" t="s">
        <v>5268</v>
      </c>
    </row>
    <row r="2352" spans="1:16" x14ac:dyDescent="0.3">
      <c r="A2352" t="s">
        <v>5244</v>
      </c>
      <c r="C2352">
        <v>30</v>
      </c>
      <c r="D2352" t="s">
        <v>10</v>
      </c>
      <c r="F2352" s="43">
        <v>44851.583333333336</v>
      </c>
      <c r="G2352" s="43">
        <v>44851.604166666664</v>
      </c>
      <c r="H2352">
        <v>14</v>
      </c>
      <c r="I2352">
        <v>0</v>
      </c>
      <c r="J2352">
        <v>14</v>
      </c>
      <c r="K2352">
        <v>30</v>
      </c>
      <c r="L2352">
        <v>2022</v>
      </c>
      <c r="N2352" t="s">
        <v>47</v>
      </c>
      <c r="O2352" t="s">
        <v>47</v>
      </c>
      <c r="P2352" t="s">
        <v>5267</v>
      </c>
    </row>
    <row r="2353" spans="1:16" x14ac:dyDescent="0.3">
      <c r="A2353" t="s">
        <v>5138</v>
      </c>
      <c r="C2353">
        <v>45</v>
      </c>
      <c r="D2353" t="s">
        <v>10</v>
      </c>
      <c r="E2353" t="s">
        <v>21</v>
      </c>
      <c r="F2353" s="43">
        <v>44851.552083333336</v>
      </c>
      <c r="G2353" s="43">
        <v>44851.583333333336</v>
      </c>
      <c r="H2353">
        <v>13</v>
      </c>
      <c r="I2353">
        <v>15</v>
      </c>
      <c r="J2353">
        <v>14</v>
      </c>
      <c r="K2353">
        <v>0</v>
      </c>
      <c r="L2353">
        <v>2022</v>
      </c>
      <c r="N2353" t="s">
        <v>5139</v>
      </c>
      <c r="O2353" t="s">
        <v>50</v>
      </c>
      <c r="P2353" t="s">
        <v>5140</v>
      </c>
    </row>
    <row r="2354" spans="1:16" x14ac:dyDescent="0.3">
      <c r="A2354" t="s">
        <v>4220</v>
      </c>
      <c r="C2354">
        <v>65</v>
      </c>
      <c r="D2354" t="s">
        <v>10</v>
      </c>
      <c r="F2354" s="43">
        <v>44851.489583333336</v>
      </c>
      <c r="G2354" s="43">
        <v>44851.534722222219</v>
      </c>
      <c r="H2354">
        <v>11</v>
      </c>
      <c r="I2354">
        <v>45</v>
      </c>
      <c r="J2354">
        <v>12</v>
      </c>
      <c r="K2354">
        <v>50</v>
      </c>
      <c r="L2354">
        <v>2022</v>
      </c>
      <c r="N2354" t="s">
        <v>47</v>
      </c>
      <c r="O2354" t="s">
        <v>47</v>
      </c>
      <c r="P2354" t="s">
        <v>5255</v>
      </c>
    </row>
    <row r="2355" spans="1:16" x14ac:dyDescent="0.3">
      <c r="A2355" t="s">
        <v>5256</v>
      </c>
      <c r="C2355">
        <v>30</v>
      </c>
      <c r="D2355" t="s">
        <v>10</v>
      </c>
      <c r="F2355" s="43">
        <v>44851.4375</v>
      </c>
      <c r="G2355" s="43">
        <v>44851.458333333336</v>
      </c>
      <c r="H2355">
        <v>10</v>
      </c>
      <c r="I2355">
        <v>30</v>
      </c>
      <c r="J2355">
        <v>11</v>
      </c>
      <c r="K2355">
        <v>0</v>
      </c>
      <c r="L2355">
        <v>2022</v>
      </c>
      <c r="N2355" t="s">
        <v>47</v>
      </c>
      <c r="O2355" t="s">
        <v>47</v>
      </c>
      <c r="P2355" t="s">
        <v>5257</v>
      </c>
    </row>
    <row r="2356" spans="1:16" x14ac:dyDescent="0.3">
      <c r="A2356" t="s">
        <v>4373</v>
      </c>
      <c r="C2356">
        <v>30</v>
      </c>
      <c r="D2356" t="s">
        <v>10</v>
      </c>
      <c r="E2356" t="s">
        <v>501</v>
      </c>
      <c r="F2356" s="43">
        <v>44851.416666666664</v>
      </c>
      <c r="G2356" s="43">
        <v>44851.4375</v>
      </c>
      <c r="H2356">
        <v>10</v>
      </c>
      <c r="I2356">
        <v>0</v>
      </c>
      <c r="J2356">
        <v>10</v>
      </c>
      <c r="K2356">
        <v>30</v>
      </c>
      <c r="L2356">
        <v>2022</v>
      </c>
      <c r="N2356" t="s">
        <v>4384</v>
      </c>
      <c r="O2356" t="s">
        <v>47</v>
      </c>
      <c r="P2356" t="s">
        <v>5262</v>
      </c>
    </row>
    <row r="2357" spans="1:16" x14ac:dyDescent="0.3">
      <c r="A2357" t="s">
        <v>827</v>
      </c>
      <c r="C2357">
        <v>30</v>
      </c>
      <c r="D2357" t="s">
        <v>10</v>
      </c>
      <c r="F2357" s="43">
        <v>44851.395833333336</v>
      </c>
      <c r="G2357" s="43">
        <v>44851.416666666664</v>
      </c>
      <c r="H2357">
        <v>9</v>
      </c>
      <c r="I2357">
        <v>30</v>
      </c>
      <c r="J2357">
        <v>10</v>
      </c>
      <c r="K2357">
        <v>0</v>
      </c>
      <c r="L2357">
        <v>2022</v>
      </c>
      <c r="N2357" t="s">
        <v>47</v>
      </c>
      <c r="O2357" t="s">
        <v>47</v>
      </c>
      <c r="P2357" t="s">
        <v>5259</v>
      </c>
    </row>
    <row r="2358" spans="1:16" x14ac:dyDescent="0.3">
      <c r="A2358" t="s">
        <v>8</v>
      </c>
      <c r="C2358">
        <v>30</v>
      </c>
      <c r="D2358" t="s">
        <v>10</v>
      </c>
      <c r="F2358" s="43">
        <v>44851.375</v>
      </c>
      <c r="G2358" s="43">
        <v>44851.395833333336</v>
      </c>
      <c r="H2358">
        <v>9</v>
      </c>
      <c r="I2358">
        <v>0</v>
      </c>
      <c r="J2358">
        <v>9</v>
      </c>
      <c r="K2358">
        <v>30</v>
      </c>
      <c r="L2358">
        <v>2022</v>
      </c>
      <c r="N2358" t="s">
        <v>47</v>
      </c>
      <c r="O2358" t="s">
        <v>47</v>
      </c>
      <c r="P2358" t="s">
        <v>5258</v>
      </c>
    </row>
    <row r="2359" spans="1:16" x14ac:dyDescent="0.3">
      <c r="A2359" t="s">
        <v>5225</v>
      </c>
      <c r="C2359">
        <v>30</v>
      </c>
      <c r="D2359" t="s">
        <v>10</v>
      </c>
      <c r="E2359" t="s">
        <v>5</v>
      </c>
      <c r="F2359" s="43">
        <v>44851.333333333336</v>
      </c>
      <c r="G2359" s="43">
        <v>44851.354166666664</v>
      </c>
      <c r="H2359">
        <v>8</v>
      </c>
      <c r="I2359">
        <v>0</v>
      </c>
      <c r="J2359">
        <v>8</v>
      </c>
      <c r="K2359">
        <v>30</v>
      </c>
      <c r="L2359">
        <v>2022</v>
      </c>
      <c r="N2359" t="s">
        <v>5226</v>
      </c>
      <c r="O2359" t="s">
        <v>956</v>
      </c>
      <c r="P2359" t="s">
        <v>5227</v>
      </c>
    </row>
    <row r="2360" spans="1:16" x14ac:dyDescent="0.3">
      <c r="A2360" t="s">
        <v>5260</v>
      </c>
      <c r="C2360">
        <v>15</v>
      </c>
      <c r="D2360" t="s">
        <v>10</v>
      </c>
      <c r="F2360" s="43">
        <v>44851.322916666664</v>
      </c>
      <c r="G2360" s="43">
        <v>44851.333333333336</v>
      </c>
      <c r="H2360">
        <v>7</v>
      </c>
      <c r="I2360">
        <v>45</v>
      </c>
      <c r="J2360">
        <v>8</v>
      </c>
      <c r="K2360">
        <v>0</v>
      </c>
      <c r="L2360">
        <v>2022</v>
      </c>
      <c r="N2360" t="s">
        <v>47</v>
      </c>
      <c r="O2360" t="s">
        <v>47</v>
      </c>
      <c r="P2360" t="s">
        <v>5261</v>
      </c>
    </row>
    <row r="2361" spans="1:16" x14ac:dyDescent="0.3">
      <c r="A2361" t="s">
        <v>5260</v>
      </c>
      <c r="C2361">
        <v>20</v>
      </c>
      <c r="D2361" t="s">
        <v>10</v>
      </c>
      <c r="F2361" s="43">
        <v>44851.291666666664</v>
      </c>
      <c r="G2361" s="43">
        <v>44851.305555555555</v>
      </c>
      <c r="H2361">
        <v>7</v>
      </c>
      <c r="I2361">
        <v>0</v>
      </c>
      <c r="J2361">
        <v>7</v>
      </c>
      <c r="K2361">
        <v>20</v>
      </c>
      <c r="L2361">
        <v>2022</v>
      </c>
      <c r="N2361" t="s">
        <v>47</v>
      </c>
      <c r="O2361" t="s">
        <v>47</v>
      </c>
      <c r="P2361" t="s">
        <v>5263</v>
      </c>
    </row>
    <row r="2362" spans="1:16" x14ac:dyDescent="0.3">
      <c r="A2362" t="s">
        <v>5264</v>
      </c>
      <c r="C2362">
        <v>15</v>
      </c>
      <c r="D2362" t="s">
        <v>10</v>
      </c>
      <c r="F2362" s="43">
        <v>44851.25</v>
      </c>
      <c r="G2362" s="43">
        <v>44851.260416666664</v>
      </c>
      <c r="H2362">
        <v>6</v>
      </c>
      <c r="I2362">
        <v>0</v>
      </c>
      <c r="J2362">
        <v>6</v>
      </c>
      <c r="K2362">
        <v>15</v>
      </c>
      <c r="L2362">
        <v>2022</v>
      </c>
      <c r="N2362" t="s">
        <v>47</v>
      </c>
      <c r="O2362" t="s">
        <v>47</v>
      </c>
      <c r="P2362" t="s">
        <v>5265</v>
      </c>
    </row>
    <row r="2363" spans="1:16" x14ac:dyDescent="0.3">
      <c r="A2363" t="s">
        <v>1394</v>
      </c>
      <c r="C2363">
        <v>60</v>
      </c>
      <c r="D2363" t="s">
        <v>10</v>
      </c>
      <c r="F2363" s="43">
        <v>44851.208333333336</v>
      </c>
      <c r="G2363" s="43">
        <v>44851.25</v>
      </c>
      <c r="H2363">
        <v>5</v>
      </c>
      <c r="I2363">
        <v>0</v>
      </c>
      <c r="J2363">
        <v>6</v>
      </c>
      <c r="K2363">
        <v>0</v>
      </c>
      <c r="L2363">
        <v>2022</v>
      </c>
      <c r="N2363" t="s">
        <v>47</v>
      </c>
      <c r="O2363" t="s">
        <v>47</v>
      </c>
      <c r="P2363" t="s">
        <v>5266</v>
      </c>
    </row>
    <row r="2364" spans="1:16" x14ac:dyDescent="0.3">
      <c r="A2364" t="s">
        <v>40</v>
      </c>
      <c r="C2364">
        <v>60</v>
      </c>
      <c r="D2364" t="s">
        <v>10</v>
      </c>
      <c r="F2364" s="43">
        <v>44850.770833333336</v>
      </c>
      <c r="G2364" s="43">
        <v>44850.8125</v>
      </c>
      <c r="H2364">
        <v>18</v>
      </c>
      <c r="I2364">
        <v>30</v>
      </c>
      <c r="J2364">
        <v>19</v>
      </c>
      <c r="K2364">
        <v>30</v>
      </c>
      <c r="L2364">
        <v>2022</v>
      </c>
      <c r="N2364" t="s">
        <v>47</v>
      </c>
      <c r="O2364" t="s">
        <v>47</v>
      </c>
      <c r="P2364" t="s">
        <v>5254</v>
      </c>
    </row>
    <row r="2365" spans="1:16" x14ac:dyDescent="0.3">
      <c r="A2365" t="s">
        <v>4633</v>
      </c>
      <c r="C2365">
        <v>60</v>
      </c>
      <c r="D2365" t="s">
        <v>10</v>
      </c>
      <c r="F2365" s="43">
        <v>44850.666666666664</v>
      </c>
      <c r="G2365" s="43">
        <v>44850.708333333336</v>
      </c>
      <c r="H2365">
        <v>16</v>
      </c>
      <c r="I2365">
        <v>0</v>
      </c>
      <c r="J2365">
        <v>17</v>
      </c>
      <c r="K2365">
        <v>0</v>
      </c>
      <c r="L2365">
        <v>2022</v>
      </c>
      <c r="N2365" t="s">
        <v>47</v>
      </c>
      <c r="O2365" t="s">
        <v>47</v>
      </c>
      <c r="P2365" t="s">
        <v>5253</v>
      </c>
    </row>
    <row r="2366" spans="1:16" x14ac:dyDescent="0.3">
      <c r="A2366" t="s">
        <v>4633</v>
      </c>
      <c r="C2366">
        <v>60</v>
      </c>
      <c r="D2366" t="s">
        <v>10</v>
      </c>
      <c r="F2366" s="43">
        <v>44850.604166666664</v>
      </c>
      <c r="G2366" s="43">
        <v>44850.645833333336</v>
      </c>
      <c r="H2366">
        <v>14</v>
      </c>
      <c r="I2366">
        <v>30</v>
      </c>
      <c r="J2366">
        <v>15</v>
      </c>
      <c r="K2366">
        <v>30</v>
      </c>
      <c r="L2366">
        <v>2022</v>
      </c>
      <c r="N2366" t="s">
        <v>47</v>
      </c>
      <c r="O2366" t="s">
        <v>47</v>
      </c>
      <c r="P2366" t="s">
        <v>5252</v>
      </c>
    </row>
    <row r="2367" spans="1:16" x14ac:dyDescent="0.3">
      <c r="A2367" t="s">
        <v>5244</v>
      </c>
      <c r="C2367">
        <v>16</v>
      </c>
      <c r="D2367" t="s">
        <v>10</v>
      </c>
      <c r="F2367" s="43">
        <v>44850.458333333336</v>
      </c>
      <c r="G2367" s="43">
        <v>44850.469444444447</v>
      </c>
      <c r="H2367">
        <v>11</v>
      </c>
      <c r="I2367">
        <v>0</v>
      </c>
      <c r="J2367">
        <v>11</v>
      </c>
      <c r="K2367">
        <v>16</v>
      </c>
      <c r="L2367">
        <v>2022</v>
      </c>
      <c r="N2367" t="s">
        <v>47</v>
      </c>
      <c r="O2367" t="s">
        <v>47</v>
      </c>
      <c r="P2367" t="s">
        <v>5251</v>
      </c>
    </row>
    <row r="2368" spans="1:16" x14ac:dyDescent="0.3">
      <c r="A2368" t="s">
        <v>5244</v>
      </c>
      <c r="C2368">
        <v>100</v>
      </c>
      <c r="D2368" t="s">
        <v>10</v>
      </c>
      <c r="F2368" s="43">
        <v>44850.375</v>
      </c>
      <c r="G2368" s="43">
        <v>44850.444444444445</v>
      </c>
      <c r="H2368">
        <v>9</v>
      </c>
      <c r="I2368">
        <v>0</v>
      </c>
      <c r="J2368">
        <v>10</v>
      </c>
      <c r="K2368">
        <v>40</v>
      </c>
      <c r="L2368">
        <v>2022</v>
      </c>
      <c r="N2368" t="s">
        <v>47</v>
      </c>
      <c r="O2368" t="s">
        <v>47</v>
      </c>
      <c r="P2368" t="s">
        <v>5250</v>
      </c>
    </row>
    <row r="2369" spans="1:16" x14ac:dyDescent="0.3">
      <c r="A2369" t="s">
        <v>5244</v>
      </c>
      <c r="C2369">
        <v>90</v>
      </c>
      <c r="D2369" t="s">
        <v>10</v>
      </c>
      <c r="F2369" s="43">
        <v>44850.239583333336</v>
      </c>
      <c r="G2369" s="43">
        <v>44850.302083333336</v>
      </c>
      <c r="H2369">
        <v>5</v>
      </c>
      <c r="I2369">
        <v>45</v>
      </c>
      <c r="J2369">
        <v>7</v>
      </c>
      <c r="K2369">
        <v>15</v>
      </c>
      <c r="L2369">
        <v>2022</v>
      </c>
      <c r="N2369" t="s">
        <v>47</v>
      </c>
      <c r="O2369" t="s">
        <v>47</v>
      </c>
      <c r="P2369" t="s">
        <v>5247</v>
      </c>
    </row>
    <row r="2370" spans="1:16" x14ac:dyDescent="0.3">
      <c r="A2370" t="s">
        <v>5244</v>
      </c>
      <c r="C2370">
        <v>20</v>
      </c>
      <c r="D2370" t="s">
        <v>10</v>
      </c>
      <c r="F2370" s="43">
        <v>44849.861111111109</v>
      </c>
      <c r="G2370" s="43">
        <v>44849.875</v>
      </c>
      <c r="H2370">
        <v>20</v>
      </c>
      <c r="I2370">
        <v>40</v>
      </c>
      <c r="J2370">
        <v>21</v>
      </c>
      <c r="K2370">
        <v>0</v>
      </c>
      <c r="L2370">
        <v>2022</v>
      </c>
      <c r="N2370" t="s">
        <v>47</v>
      </c>
      <c r="O2370" t="s">
        <v>47</v>
      </c>
      <c r="P2370" t="s">
        <v>5248</v>
      </c>
    </row>
    <row r="2371" spans="1:16" x14ac:dyDescent="0.3">
      <c r="A2371" t="s">
        <v>4577</v>
      </c>
      <c r="C2371">
        <v>20</v>
      </c>
      <c r="D2371" t="s">
        <v>10</v>
      </c>
      <c r="F2371" s="43">
        <v>44849.819444444445</v>
      </c>
      <c r="G2371" s="43">
        <v>44849.833333333336</v>
      </c>
      <c r="H2371">
        <v>19</v>
      </c>
      <c r="I2371">
        <v>40</v>
      </c>
      <c r="J2371">
        <v>20</v>
      </c>
      <c r="K2371">
        <v>0</v>
      </c>
      <c r="L2371">
        <v>2022</v>
      </c>
      <c r="N2371" t="s">
        <v>47</v>
      </c>
      <c r="O2371" t="s">
        <v>47</v>
      </c>
      <c r="P2371" t="s">
        <v>5249</v>
      </c>
    </row>
    <row r="2372" spans="1:16" x14ac:dyDescent="0.3">
      <c r="A2372" t="s">
        <v>4577</v>
      </c>
      <c r="C2372">
        <v>40</v>
      </c>
      <c r="D2372" t="s">
        <v>10</v>
      </c>
      <c r="F2372" s="43">
        <v>44849.770833333336</v>
      </c>
      <c r="G2372" s="43">
        <v>44849.798611111109</v>
      </c>
      <c r="H2372">
        <v>18</v>
      </c>
      <c r="I2372">
        <v>30</v>
      </c>
      <c r="J2372">
        <v>19</v>
      </c>
      <c r="K2372">
        <v>10</v>
      </c>
      <c r="L2372">
        <v>2022</v>
      </c>
      <c r="N2372" t="s">
        <v>47</v>
      </c>
      <c r="O2372" t="s">
        <v>47</v>
      </c>
      <c r="P2372" t="s">
        <v>5246</v>
      </c>
    </row>
    <row r="2373" spans="1:16" x14ac:dyDescent="0.3">
      <c r="A2373" t="s">
        <v>5244</v>
      </c>
      <c r="C2373">
        <v>90</v>
      </c>
      <c r="D2373" t="s">
        <v>10</v>
      </c>
      <c r="F2373" s="43">
        <v>44849.666666666664</v>
      </c>
      <c r="G2373" s="43">
        <v>44849.729166666664</v>
      </c>
      <c r="H2373">
        <v>16</v>
      </c>
      <c r="I2373">
        <v>0</v>
      </c>
      <c r="J2373">
        <v>17</v>
      </c>
      <c r="K2373">
        <v>30</v>
      </c>
      <c r="L2373">
        <v>2022</v>
      </c>
      <c r="N2373" t="s">
        <v>47</v>
      </c>
      <c r="O2373" t="s">
        <v>47</v>
      </c>
      <c r="P2373" t="s">
        <v>5245</v>
      </c>
    </row>
    <row r="2374" spans="1:16" x14ac:dyDescent="0.3">
      <c r="A2374" t="s">
        <v>5242</v>
      </c>
      <c r="C2374">
        <v>60</v>
      </c>
      <c r="D2374" t="s">
        <v>10</v>
      </c>
      <c r="F2374" s="43">
        <v>44849.583333333336</v>
      </c>
      <c r="G2374" s="43">
        <v>44849.625</v>
      </c>
      <c r="H2374">
        <v>14</v>
      </c>
      <c r="I2374">
        <v>0</v>
      </c>
      <c r="J2374">
        <v>15</v>
      </c>
      <c r="K2374">
        <v>0</v>
      </c>
      <c r="L2374">
        <v>2022</v>
      </c>
      <c r="N2374" t="s">
        <v>47</v>
      </c>
      <c r="O2374" t="s">
        <v>47</v>
      </c>
      <c r="P2374" t="s">
        <v>5243</v>
      </c>
    </row>
    <row r="2375" spans="1:16" x14ac:dyDescent="0.3">
      <c r="A2375" t="s">
        <v>1394</v>
      </c>
      <c r="C2375">
        <v>60</v>
      </c>
      <c r="D2375" t="s">
        <v>10</v>
      </c>
      <c r="F2375" s="43">
        <v>44849.520833333336</v>
      </c>
      <c r="G2375" s="43">
        <v>44849.5625</v>
      </c>
      <c r="H2375">
        <v>12</v>
      </c>
      <c r="I2375">
        <v>30</v>
      </c>
      <c r="J2375">
        <v>13</v>
      </c>
      <c r="K2375">
        <v>30</v>
      </c>
      <c r="L2375">
        <v>2022</v>
      </c>
      <c r="N2375" t="s">
        <v>47</v>
      </c>
      <c r="O2375" t="s">
        <v>47</v>
      </c>
      <c r="P2375" t="s">
        <v>5241</v>
      </c>
    </row>
    <row r="2376" spans="1:16" x14ac:dyDescent="0.3">
      <c r="A2376" t="s">
        <v>1394</v>
      </c>
      <c r="C2376">
        <v>45</v>
      </c>
      <c r="D2376" t="s">
        <v>10</v>
      </c>
      <c r="F2376" s="43">
        <v>44849.458333333336</v>
      </c>
      <c r="G2376" s="43">
        <v>44849.489583333336</v>
      </c>
      <c r="H2376">
        <v>11</v>
      </c>
      <c r="I2376">
        <v>0</v>
      </c>
      <c r="J2376">
        <v>11</v>
      </c>
      <c r="K2376">
        <v>45</v>
      </c>
      <c r="L2376">
        <v>2022</v>
      </c>
      <c r="N2376" t="s">
        <v>47</v>
      </c>
      <c r="O2376" t="s">
        <v>47</v>
      </c>
      <c r="P2376" t="s">
        <v>5240</v>
      </c>
    </row>
    <row r="2377" spans="1:16" x14ac:dyDescent="0.3">
      <c r="A2377" t="s">
        <v>5238</v>
      </c>
      <c r="C2377">
        <v>30</v>
      </c>
      <c r="D2377" t="s">
        <v>10</v>
      </c>
      <c r="F2377" s="1">
        <v>44849.395833333336</v>
      </c>
      <c r="G2377" s="1">
        <v>44849.416666666664</v>
      </c>
      <c r="H2377">
        <v>9</v>
      </c>
      <c r="I2377">
        <v>30</v>
      </c>
      <c r="J2377">
        <v>10</v>
      </c>
      <c r="K2377">
        <v>0</v>
      </c>
      <c r="L2377">
        <v>2022</v>
      </c>
      <c r="N2377" t="s">
        <v>47</v>
      </c>
      <c r="O2377" t="s">
        <v>47</v>
      </c>
      <c r="P2377" t="s">
        <v>5239</v>
      </c>
    </row>
    <row r="2378" spans="1:16" x14ac:dyDescent="0.3">
      <c r="A2378" t="s">
        <v>5236</v>
      </c>
      <c r="C2378">
        <v>45</v>
      </c>
      <c r="D2378" t="s">
        <v>10</v>
      </c>
      <c r="F2378" s="43">
        <v>44849.21875</v>
      </c>
      <c r="G2378" s="43">
        <v>44849.25</v>
      </c>
      <c r="H2378">
        <v>5</v>
      </c>
      <c r="I2378">
        <v>15</v>
      </c>
      <c r="J2378">
        <v>6</v>
      </c>
      <c r="K2378">
        <v>0</v>
      </c>
      <c r="L2378">
        <v>2022</v>
      </c>
      <c r="N2378" t="s">
        <v>47</v>
      </c>
      <c r="O2378" t="s">
        <v>47</v>
      </c>
      <c r="P2378" t="s">
        <v>5237</v>
      </c>
    </row>
    <row r="2379" spans="1:16" x14ac:dyDescent="0.3">
      <c r="A2379" t="s">
        <v>9</v>
      </c>
      <c r="C2379">
        <v>60</v>
      </c>
      <c r="D2379" t="s">
        <v>10</v>
      </c>
      <c r="F2379" s="43">
        <v>44848.708333333336</v>
      </c>
      <c r="G2379" s="43">
        <v>44848.75</v>
      </c>
      <c r="H2379">
        <v>17</v>
      </c>
      <c r="I2379">
        <v>0</v>
      </c>
      <c r="J2379">
        <v>18</v>
      </c>
      <c r="K2379">
        <v>0</v>
      </c>
      <c r="L2379">
        <v>2022</v>
      </c>
      <c r="N2379" t="s">
        <v>47</v>
      </c>
      <c r="O2379" t="s">
        <v>47</v>
      </c>
      <c r="P2379" t="s">
        <v>5235</v>
      </c>
    </row>
    <row r="2380" spans="1:16" x14ac:dyDescent="0.3">
      <c r="A2380" t="s">
        <v>5233</v>
      </c>
      <c r="C2380">
        <v>50</v>
      </c>
      <c r="D2380" t="s">
        <v>10</v>
      </c>
      <c r="F2380" s="43">
        <v>44848.659722222219</v>
      </c>
      <c r="G2380" s="43">
        <v>44848.694444444445</v>
      </c>
      <c r="H2380">
        <v>15</v>
      </c>
      <c r="I2380">
        <v>50</v>
      </c>
      <c r="J2380">
        <v>16</v>
      </c>
      <c r="K2380">
        <v>40</v>
      </c>
      <c r="L2380">
        <v>2022</v>
      </c>
      <c r="N2380" t="s">
        <v>47</v>
      </c>
      <c r="O2380" t="s">
        <v>47</v>
      </c>
      <c r="P2380" t="s">
        <v>5234</v>
      </c>
    </row>
    <row r="2381" spans="1:16" x14ac:dyDescent="0.3">
      <c r="A2381" t="s">
        <v>4454</v>
      </c>
      <c r="C2381">
        <v>45</v>
      </c>
      <c r="D2381" t="s">
        <v>10</v>
      </c>
      <c r="F2381" s="43">
        <v>44848.614583333336</v>
      </c>
      <c r="G2381" s="43">
        <v>44848.645833333336</v>
      </c>
      <c r="H2381">
        <v>14</v>
      </c>
      <c r="I2381">
        <v>45</v>
      </c>
      <c r="J2381">
        <v>15</v>
      </c>
      <c r="K2381">
        <v>30</v>
      </c>
      <c r="L2381">
        <v>2022</v>
      </c>
      <c r="N2381" t="s">
        <v>47</v>
      </c>
      <c r="O2381" t="s">
        <v>47</v>
      </c>
      <c r="P2381" t="s">
        <v>5232</v>
      </c>
    </row>
    <row r="2382" spans="1:16" x14ac:dyDescent="0.3">
      <c r="A2382" t="s">
        <v>5216</v>
      </c>
      <c r="C2382">
        <v>15</v>
      </c>
      <c r="D2382" t="s">
        <v>10</v>
      </c>
      <c r="F2382" s="43">
        <v>44848.604166666664</v>
      </c>
      <c r="G2382" s="43">
        <v>44848.614583333336</v>
      </c>
      <c r="H2382">
        <v>14</v>
      </c>
      <c r="I2382">
        <v>30</v>
      </c>
      <c r="J2382">
        <v>14</v>
      </c>
      <c r="K2382">
        <v>45</v>
      </c>
      <c r="L2382">
        <v>2022</v>
      </c>
      <c r="N2382" t="s">
        <v>47</v>
      </c>
      <c r="O2382" t="s">
        <v>47</v>
      </c>
      <c r="P2382" t="s">
        <v>5217</v>
      </c>
    </row>
    <row r="2383" spans="1:16" x14ac:dyDescent="0.3">
      <c r="A2383" t="s">
        <v>5144</v>
      </c>
      <c r="B2383" t="s">
        <v>20</v>
      </c>
      <c r="C2383">
        <v>30</v>
      </c>
      <c r="D2383" t="s">
        <v>10</v>
      </c>
      <c r="E2383" t="s">
        <v>5145</v>
      </c>
      <c r="F2383" s="43">
        <v>44848.583333333336</v>
      </c>
      <c r="G2383" s="43">
        <v>44848.604166666664</v>
      </c>
      <c r="H2383">
        <v>14</v>
      </c>
      <c r="I2383">
        <v>0</v>
      </c>
      <c r="J2383">
        <v>14</v>
      </c>
      <c r="K2383">
        <v>30</v>
      </c>
      <c r="L2383">
        <v>2022</v>
      </c>
      <c r="N2383" t="s">
        <v>5146</v>
      </c>
      <c r="O2383" t="s">
        <v>5147</v>
      </c>
      <c r="P2383" t="s">
        <v>5148</v>
      </c>
    </row>
    <row r="2384" spans="1:16" x14ac:dyDescent="0.3">
      <c r="A2384" t="s">
        <v>8</v>
      </c>
      <c r="C2384">
        <v>30</v>
      </c>
      <c r="D2384" t="s">
        <v>10</v>
      </c>
      <c r="F2384" s="43">
        <v>44848.5625</v>
      </c>
      <c r="G2384" s="43">
        <v>44848.583333333336</v>
      </c>
      <c r="H2384">
        <v>13</v>
      </c>
      <c r="I2384">
        <v>30</v>
      </c>
      <c r="J2384">
        <v>14</v>
      </c>
      <c r="K2384">
        <v>0</v>
      </c>
      <c r="L2384">
        <v>2022</v>
      </c>
      <c r="N2384" t="s">
        <v>47</v>
      </c>
      <c r="O2384" t="s">
        <v>47</v>
      </c>
      <c r="P2384" t="s">
        <v>5215</v>
      </c>
    </row>
    <row r="2385" spans="1:16" x14ac:dyDescent="0.3">
      <c r="A2385" t="s">
        <v>4806</v>
      </c>
      <c r="C2385">
        <v>30</v>
      </c>
      <c r="D2385" t="s">
        <v>10</v>
      </c>
      <c r="E2385" t="s">
        <v>501</v>
      </c>
      <c r="F2385" s="43">
        <v>44848.541666666664</v>
      </c>
      <c r="G2385" s="43">
        <v>44848.5625</v>
      </c>
      <c r="H2385">
        <v>13</v>
      </c>
      <c r="I2385">
        <v>0</v>
      </c>
      <c r="J2385">
        <v>13</v>
      </c>
      <c r="K2385">
        <v>30</v>
      </c>
      <c r="L2385">
        <v>2022</v>
      </c>
      <c r="N2385" t="s">
        <v>4807</v>
      </c>
      <c r="O2385" t="s">
        <v>47</v>
      </c>
      <c r="P2385" t="s">
        <v>4808</v>
      </c>
    </row>
    <row r="2386" spans="1:16" x14ac:dyDescent="0.3">
      <c r="A2386" t="s">
        <v>3112</v>
      </c>
      <c r="C2386">
        <v>30</v>
      </c>
      <c r="D2386" t="s">
        <v>10</v>
      </c>
      <c r="F2386" s="43">
        <v>44848.5</v>
      </c>
      <c r="G2386" s="43">
        <v>44848.520833333336</v>
      </c>
      <c r="H2386">
        <v>12</v>
      </c>
      <c r="I2386">
        <v>0</v>
      </c>
      <c r="J2386">
        <v>12</v>
      </c>
      <c r="K2386">
        <v>30</v>
      </c>
      <c r="L2386">
        <v>2022</v>
      </c>
      <c r="O2386" t="s">
        <v>47</v>
      </c>
      <c r="P2386" t="s">
        <v>5218</v>
      </c>
    </row>
    <row r="2387" spans="1:16" x14ac:dyDescent="0.3">
      <c r="A2387" t="s">
        <v>152</v>
      </c>
      <c r="C2387">
        <v>20</v>
      </c>
      <c r="D2387" t="s">
        <v>10</v>
      </c>
      <c r="F2387" s="43">
        <v>44848.465277777781</v>
      </c>
      <c r="G2387" s="43">
        <v>44848.479166666664</v>
      </c>
      <c r="H2387">
        <v>11</v>
      </c>
      <c r="I2387">
        <v>10</v>
      </c>
      <c r="J2387">
        <v>11</v>
      </c>
      <c r="K2387">
        <v>30</v>
      </c>
      <c r="L2387">
        <v>2022</v>
      </c>
      <c r="N2387" t="s">
        <v>47</v>
      </c>
      <c r="O2387" t="s">
        <v>47</v>
      </c>
      <c r="P2387" t="s">
        <v>5219</v>
      </c>
    </row>
    <row r="2388" spans="1:16" x14ac:dyDescent="0.3">
      <c r="A2388" t="s">
        <v>2767</v>
      </c>
      <c r="C2388">
        <v>10</v>
      </c>
      <c r="D2388" t="s">
        <v>10</v>
      </c>
      <c r="F2388" s="43">
        <v>44848.4375</v>
      </c>
      <c r="G2388" s="43">
        <v>44848.444444444445</v>
      </c>
      <c r="H2388">
        <v>10</v>
      </c>
      <c r="I2388">
        <v>30</v>
      </c>
      <c r="J2388">
        <v>10</v>
      </c>
      <c r="K2388">
        <v>40</v>
      </c>
      <c r="L2388">
        <v>2022</v>
      </c>
      <c r="N2388" t="s">
        <v>47</v>
      </c>
      <c r="O2388" t="s">
        <v>47</v>
      </c>
      <c r="P2388" t="s">
        <v>5220</v>
      </c>
    </row>
    <row r="2389" spans="1:16" x14ac:dyDescent="0.3">
      <c r="A2389" t="s">
        <v>5200</v>
      </c>
      <c r="B2389" t="s">
        <v>20</v>
      </c>
      <c r="C2389">
        <v>60</v>
      </c>
      <c r="D2389" t="s">
        <v>10</v>
      </c>
      <c r="E2389" t="s">
        <v>5</v>
      </c>
      <c r="F2389" s="43">
        <v>44848.354166666664</v>
      </c>
      <c r="G2389" s="43">
        <v>44848.395833333336</v>
      </c>
      <c r="H2389">
        <v>8</v>
      </c>
      <c r="I2389">
        <v>30</v>
      </c>
      <c r="J2389">
        <v>9</v>
      </c>
      <c r="K2389">
        <v>30</v>
      </c>
      <c r="L2389">
        <v>2022</v>
      </c>
      <c r="N2389" t="s">
        <v>5201</v>
      </c>
      <c r="O2389" t="s">
        <v>956</v>
      </c>
      <c r="P2389" t="s">
        <v>5202</v>
      </c>
    </row>
    <row r="2390" spans="1:16" x14ac:dyDescent="0.3">
      <c r="A2390" t="s">
        <v>5159</v>
      </c>
      <c r="B2390" t="s">
        <v>20</v>
      </c>
      <c r="C2390">
        <v>30</v>
      </c>
      <c r="D2390" t="s">
        <v>10</v>
      </c>
      <c r="E2390" t="s">
        <v>501</v>
      </c>
      <c r="F2390" s="43">
        <v>44848.333333333336</v>
      </c>
      <c r="G2390" s="43">
        <v>44848.354166666664</v>
      </c>
      <c r="H2390">
        <v>8</v>
      </c>
      <c r="I2390">
        <v>0</v>
      </c>
      <c r="J2390">
        <v>8</v>
      </c>
      <c r="K2390">
        <v>30</v>
      </c>
      <c r="L2390">
        <v>2022</v>
      </c>
      <c r="N2390" t="s">
        <v>5160</v>
      </c>
      <c r="O2390" t="s">
        <v>47</v>
      </c>
      <c r="P2390" t="s">
        <v>5161</v>
      </c>
    </row>
    <row r="2391" spans="1:16" x14ac:dyDescent="0.3">
      <c r="A2391" t="s">
        <v>5228</v>
      </c>
      <c r="C2391">
        <v>22</v>
      </c>
      <c r="D2391" t="s">
        <v>10</v>
      </c>
      <c r="F2391" s="43">
        <v>44848.291666666664</v>
      </c>
      <c r="G2391" s="43">
        <v>44848.306944444441</v>
      </c>
      <c r="H2391">
        <v>7</v>
      </c>
      <c r="I2391">
        <v>0</v>
      </c>
      <c r="J2391">
        <v>7</v>
      </c>
      <c r="K2391">
        <v>22</v>
      </c>
      <c r="L2391">
        <v>2022</v>
      </c>
      <c r="N2391" t="s">
        <v>47</v>
      </c>
      <c r="O2391" t="s">
        <v>47</v>
      </c>
      <c r="P2391" t="s">
        <v>5229</v>
      </c>
    </row>
    <row r="2392" spans="1:16" x14ac:dyDescent="0.3">
      <c r="A2392" t="s">
        <v>5167</v>
      </c>
      <c r="B2392" t="s">
        <v>20</v>
      </c>
      <c r="C2392">
        <v>30</v>
      </c>
      <c r="D2392" t="s">
        <v>256</v>
      </c>
      <c r="E2392" t="s">
        <v>501</v>
      </c>
      <c r="F2392" s="43">
        <v>44848</v>
      </c>
      <c r="G2392" s="43">
        <v>949997.9993055556</v>
      </c>
      <c r="H2392">
        <v>8</v>
      </c>
      <c r="I2392">
        <v>0</v>
      </c>
      <c r="J2392">
        <v>8</v>
      </c>
      <c r="K2392">
        <v>30</v>
      </c>
      <c r="L2392">
        <v>2022</v>
      </c>
      <c r="N2392" t="s">
        <v>2348</v>
      </c>
      <c r="O2392" t="s">
        <v>47</v>
      </c>
      <c r="P2392" t="s">
        <v>5168</v>
      </c>
    </row>
    <row r="2393" spans="1:16" x14ac:dyDescent="0.3">
      <c r="A2393" t="s">
        <v>4633</v>
      </c>
      <c r="C2393">
        <v>60</v>
      </c>
      <c r="D2393" t="s">
        <v>10</v>
      </c>
      <c r="F2393" s="43">
        <v>44847.791666666664</v>
      </c>
      <c r="G2393" s="43">
        <v>44847.833333333336</v>
      </c>
      <c r="H2393">
        <v>19</v>
      </c>
      <c r="I2393">
        <v>0</v>
      </c>
      <c r="J2393">
        <v>20</v>
      </c>
      <c r="K2393">
        <v>0</v>
      </c>
      <c r="L2393">
        <v>2022</v>
      </c>
      <c r="N2393" t="s">
        <v>47</v>
      </c>
      <c r="O2393" t="s">
        <v>47</v>
      </c>
      <c r="P2393" t="s">
        <v>5230</v>
      </c>
    </row>
    <row r="2394" spans="1:16" x14ac:dyDescent="0.3">
      <c r="A2394" t="s">
        <v>8</v>
      </c>
      <c r="C2394">
        <v>30</v>
      </c>
      <c r="D2394" t="s">
        <v>10</v>
      </c>
      <c r="F2394" s="43">
        <v>44847.6875</v>
      </c>
      <c r="G2394" s="43">
        <v>44847.708333333336</v>
      </c>
      <c r="H2394">
        <v>16</v>
      </c>
      <c r="I2394">
        <v>30</v>
      </c>
      <c r="J2394">
        <v>17</v>
      </c>
      <c r="K2394">
        <v>0</v>
      </c>
      <c r="L2394">
        <v>2022</v>
      </c>
      <c r="N2394" t="s">
        <v>47</v>
      </c>
      <c r="O2394" t="s">
        <v>47</v>
      </c>
      <c r="P2394" t="s">
        <v>5231</v>
      </c>
    </row>
    <row r="2395" spans="1:16" x14ac:dyDescent="0.3">
      <c r="A2395" t="s">
        <v>9</v>
      </c>
      <c r="C2395">
        <v>30</v>
      </c>
      <c r="D2395" t="s">
        <v>10</v>
      </c>
      <c r="F2395" s="43">
        <v>44847.645833333336</v>
      </c>
      <c r="G2395" s="43">
        <v>44847.666666666664</v>
      </c>
      <c r="H2395">
        <v>15</v>
      </c>
      <c r="I2395">
        <v>30</v>
      </c>
      <c r="J2395">
        <v>16</v>
      </c>
      <c r="K2395">
        <v>0</v>
      </c>
      <c r="L2395">
        <v>2022</v>
      </c>
      <c r="N2395" t="s">
        <v>47</v>
      </c>
      <c r="O2395" t="s">
        <v>47</v>
      </c>
      <c r="P2395" t="s">
        <v>5214</v>
      </c>
    </row>
    <row r="2396" spans="1:16" x14ac:dyDescent="0.3">
      <c r="A2396" t="s">
        <v>5210</v>
      </c>
      <c r="C2396">
        <v>45</v>
      </c>
      <c r="D2396" t="s">
        <v>10</v>
      </c>
      <c r="E2396" t="s">
        <v>2807</v>
      </c>
      <c r="F2396" s="43">
        <v>44847.583333333336</v>
      </c>
      <c r="G2396" s="43">
        <v>44847.614583333336</v>
      </c>
      <c r="H2396">
        <v>14</v>
      </c>
      <c r="I2396">
        <v>0</v>
      </c>
      <c r="J2396">
        <v>14</v>
      </c>
      <c r="K2396">
        <v>45</v>
      </c>
      <c r="L2396">
        <v>2022</v>
      </c>
      <c r="N2396" t="s">
        <v>4430</v>
      </c>
      <c r="O2396" t="s">
        <v>47</v>
      </c>
      <c r="P2396" t="s">
        <v>5211</v>
      </c>
    </row>
    <row r="2397" spans="1:16" x14ac:dyDescent="0.3">
      <c r="A2397" t="s">
        <v>5212</v>
      </c>
      <c r="C2397">
        <v>45</v>
      </c>
      <c r="D2397" t="s">
        <v>10</v>
      </c>
      <c r="F2397" s="43">
        <v>44847.552083333336</v>
      </c>
      <c r="G2397" s="43">
        <v>44847.583333333336</v>
      </c>
      <c r="H2397">
        <v>13</v>
      </c>
      <c r="I2397">
        <v>15</v>
      </c>
      <c r="J2397">
        <v>14</v>
      </c>
      <c r="K2397">
        <v>0</v>
      </c>
      <c r="L2397">
        <v>2022</v>
      </c>
      <c r="N2397" t="s">
        <v>47</v>
      </c>
      <c r="O2397" t="s">
        <v>47</v>
      </c>
      <c r="P2397" t="s">
        <v>5213</v>
      </c>
    </row>
    <row r="2398" spans="1:16" x14ac:dyDescent="0.3">
      <c r="A2398" t="s">
        <v>5208</v>
      </c>
      <c r="C2398">
        <v>15</v>
      </c>
      <c r="D2398" t="s">
        <v>10</v>
      </c>
      <c r="F2398" s="43">
        <v>44847.520833333336</v>
      </c>
      <c r="G2398" s="43">
        <v>44847.53125</v>
      </c>
      <c r="H2398">
        <v>12</v>
      </c>
      <c r="I2398">
        <v>30</v>
      </c>
      <c r="J2398">
        <v>12</v>
      </c>
      <c r="K2398">
        <v>45</v>
      </c>
      <c r="L2398">
        <v>2022</v>
      </c>
      <c r="N2398" t="s">
        <v>47</v>
      </c>
      <c r="O2398" t="s">
        <v>47</v>
      </c>
      <c r="P2398" t="s">
        <v>5209</v>
      </c>
    </row>
    <row r="2399" spans="1:16" x14ac:dyDescent="0.3">
      <c r="A2399" t="s">
        <v>5206</v>
      </c>
      <c r="C2399">
        <v>30</v>
      </c>
      <c r="D2399" t="s">
        <v>10</v>
      </c>
      <c r="F2399" s="43">
        <v>44847.5</v>
      </c>
      <c r="G2399" s="43">
        <v>44847.520833333336</v>
      </c>
      <c r="H2399">
        <v>12</v>
      </c>
      <c r="I2399">
        <v>0</v>
      </c>
      <c r="J2399">
        <v>12</v>
      </c>
      <c r="K2399">
        <v>30</v>
      </c>
      <c r="L2399">
        <v>2022</v>
      </c>
      <c r="N2399" t="s">
        <v>4365</v>
      </c>
      <c r="O2399" t="s">
        <v>783</v>
      </c>
      <c r="P2399" t="s">
        <v>5207</v>
      </c>
    </row>
    <row r="2400" spans="1:16" x14ac:dyDescent="0.3">
      <c r="A2400" t="s">
        <v>803</v>
      </c>
      <c r="C2400">
        <v>30</v>
      </c>
      <c r="D2400" t="s">
        <v>10</v>
      </c>
      <c r="E2400" t="s">
        <v>5</v>
      </c>
      <c r="F2400" s="43">
        <v>44847.479166666664</v>
      </c>
      <c r="G2400" s="43">
        <v>44847.5</v>
      </c>
      <c r="H2400">
        <v>11</v>
      </c>
      <c r="I2400">
        <v>30</v>
      </c>
      <c r="J2400">
        <v>12</v>
      </c>
      <c r="K2400">
        <v>0</v>
      </c>
      <c r="L2400">
        <v>2022</v>
      </c>
      <c r="N2400" t="s">
        <v>1399</v>
      </c>
      <c r="O2400" t="s">
        <v>1241</v>
      </c>
      <c r="P2400" t="s">
        <v>5205</v>
      </c>
    </row>
    <row r="2401" spans="1:16" x14ac:dyDescent="0.3">
      <c r="A2401" t="s">
        <v>5191</v>
      </c>
      <c r="B2401" t="s">
        <v>20</v>
      </c>
      <c r="C2401">
        <v>30</v>
      </c>
      <c r="D2401" t="s">
        <v>10</v>
      </c>
      <c r="F2401" s="43">
        <v>44847.458333333336</v>
      </c>
      <c r="G2401" s="43">
        <v>44847.479166666664</v>
      </c>
      <c r="H2401">
        <v>11</v>
      </c>
      <c r="I2401">
        <v>0</v>
      </c>
      <c r="J2401">
        <v>11</v>
      </c>
      <c r="K2401">
        <v>30</v>
      </c>
      <c r="L2401">
        <v>2022</v>
      </c>
      <c r="N2401" t="s">
        <v>47</v>
      </c>
      <c r="O2401" t="s">
        <v>47</v>
      </c>
      <c r="P2401" t="s">
        <v>5192</v>
      </c>
    </row>
    <row r="2402" spans="1:16" x14ac:dyDescent="0.3">
      <c r="A2402" t="s">
        <v>17</v>
      </c>
      <c r="C2402">
        <v>15</v>
      </c>
      <c r="D2402" t="s">
        <v>10</v>
      </c>
      <c r="F2402" s="43">
        <v>44847.416666666664</v>
      </c>
      <c r="G2402" s="43">
        <v>44847.427083333336</v>
      </c>
      <c r="H2402">
        <v>10</v>
      </c>
      <c r="I2402">
        <v>0</v>
      </c>
      <c r="J2402">
        <v>10</v>
      </c>
      <c r="K2402">
        <v>15</v>
      </c>
      <c r="L2402">
        <v>2022</v>
      </c>
      <c r="N2402" t="s">
        <v>47</v>
      </c>
      <c r="O2402" t="s">
        <v>47</v>
      </c>
      <c r="P2402" t="s">
        <v>5190</v>
      </c>
    </row>
    <row r="2403" spans="1:16" x14ac:dyDescent="0.3">
      <c r="A2403" t="s">
        <v>8</v>
      </c>
      <c r="C2403">
        <v>30</v>
      </c>
      <c r="D2403" t="s">
        <v>10</v>
      </c>
      <c r="F2403" s="43">
        <v>44847.395833333336</v>
      </c>
      <c r="G2403" s="43">
        <v>44847.416666666664</v>
      </c>
      <c r="H2403">
        <v>9</v>
      </c>
      <c r="I2403">
        <v>30</v>
      </c>
      <c r="J2403">
        <v>10</v>
      </c>
      <c r="K2403">
        <v>0</v>
      </c>
      <c r="L2403">
        <v>2022</v>
      </c>
      <c r="N2403" t="s">
        <v>47</v>
      </c>
      <c r="O2403" t="s">
        <v>47</v>
      </c>
      <c r="P2403" t="s">
        <v>5193</v>
      </c>
    </row>
    <row r="2404" spans="1:16" x14ac:dyDescent="0.3">
      <c r="A2404" t="s">
        <v>5196</v>
      </c>
      <c r="C2404">
        <v>30</v>
      </c>
      <c r="D2404" t="s">
        <v>10</v>
      </c>
      <c r="E2404" t="s">
        <v>5197</v>
      </c>
      <c r="F2404" s="43">
        <v>44847.333333333336</v>
      </c>
      <c r="G2404" s="43">
        <v>44847.354166666664</v>
      </c>
      <c r="H2404">
        <v>8</v>
      </c>
      <c r="I2404">
        <v>0</v>
      </c>
      <c r="J2404">
        <v>8</v>
      </c>
      <c r="K2404">
        <v>30</v>
      </c>
      <c r="L2404">
        <v>2022</v>
      </c>
      <c r="N2404" t="s">
        <v>5198</v>
      </c>
      <c r="O2404" t="s">
        <v>47</v>
      </c>
      <c r="P2404" t="s">
        <v>5199</v>
      </c>
    </row>
    <row r="2405" spans="1:16" x14ac:dyDescent="0.3">
      <c r="A2405" t="s">
        <v>8</v>
      </c>
      <c r="C2405">
        <v>60</v>
      </c>
      <c r="D2405" t="s">
        <v>10</v>
      </c>
      <c r="F2405" s="43">
        <v>44847.270833333336</v>
      </c>
      <c r="G2405" s="43">
        <v>44847.3125</v>
      </c>
      <c r="H2405">
        <v>6</v>
      </c>
      <c r="I2405">
        <v>30</v>
      </c>
      <c r="J2405">
        <v>7</v>
      </c>
      <c r="K2405">
        <v>30</v>
      </c>
      <c r="L2405">
        <v>2022</v>
      </c>
      <c r="N2405" t="s">
        <v>47</v>
      </c>
      <c r="O2405" t="s">
        <v>47</v>
      </c>
      <c r="P2405" t="s">
        <v>5194</v>
      </c>
    </row>
    <row r="2406" spans="1:16" x14ac:dyDescent="0.3">
      <c r="A2406" t="s">
        <v>4926</v>
      </c>
      <c r="C2406">
        <v>90</v>
      </c>
      <c r="D2406" t="s">
        <v>10</v>
      </c>
      <c r="F2406" s="43">
        <v>44847.166666666664</v>
      </c>
      <c r="G2406" s="43">
        <v>44847.229166666664</v>
      </c>
      <c r="H2406">
        <v>4</v>
      </c>
      <c r="I2406">
        <v>0</v>
      </c>
      <c r="J2406">
        <v>5</v>
      </c>
      <c r="K2406">
        <v>30</v>
      </c>
      <c r="L2406">
        <v>2022</v>
      </c>
      <c r="N2406" t="s">
        <v>47</v>
      </c>
      <c r="O2406" t="s">
        <v>47</v>
      </c>
      <c r="P2406" t="s">
        <v>5195</v>
      </c>
    </row>
    <row r="2407" spans="1:16" x14ac:dyDescent="0.3">
      <c r="A2407" t="s">
        <v>8</v>
      </c>
      <c r="C2407">
        <v>40</v>
      </c>
      <c r="D2407" t="s">
        <v>10</v>
      </c>
      <c r="F2407" s="43">
        <v>44846.833333333336</v>
      </c>
      <c r="G2407" s="43">
        <v>44846.861111111109</v>
      </c>
      <c r="H2407">
        <v>20</v>
      </c>
      <c r="I2407">
        <v>0</v>
      </c>
      <c r="J2407">
        <v>20</v>
      </c>
      <c r="K2407">
        <v>40</v>
      </c>
      <c r="L2407">
        <v>2022</v>
      </c>
      <c r="N2407" t="s">
        <v>47</v>
      </c>
      <c r="O2407" t="s">
        <v>47</v>
      </c>
      <c r="P2407" t="s">
        <v>5189</v>
      </c>
    </row>
    <row r="2408" spans="1:16" x14ac:dyDescent="0.3">
      <c r="A2408" t="s">
        <v>1750</v>
      </c>
      <c r="C2408">
        <v>45</v>
      </c>
      <c r="D2408" t="s">
        <v>10</v>
      </c>
      <c r="F2408" s="43">
        <v>44846.791666666664</v>
      </c>
      <c r="G2408" s="43">
        <v>44846.822916666664</v>
      </c>
      <c r="H2408">
        <v>19</v>
      </c>
      <c r="I2408">
        <v>0</v>
      </c>
      <c r="J2408">
        <v>19</v>
      </c>
      <c r="K2408">
        <v>45</v>
      </c>
      <c r="L2408">
        <v>2022</v>
      </c>
      <c r="N2408" t="s">
        <v>47</v>
      </c>
      <c r="O2408" t="s">
        <v>47</v>
      </c>
      <c r="P2408" t="s">
        <v>5187</v>
      </c>
    </row>
    <row r="2409" spans="1:16" x14ac:dyDescent="0.3">
      <c r="A2409" t="s">
        <v>8</v>
      </c>
      <c r="C2409">
        <v>30</v>
      </c>
      <c r="D2409" t="s">
        <v>10</v>
      </c>
      <c r="F2409" s="43">
        <v>44846.75</v>
      </c>
      <c r="G2409" s="43">
        <v>44846.770833333336</v>
      </c>
      <c r="H2409">
        <v>18</v>
      </c>
      <c r="I2409">
        <v>0</v>
      </c>
      <c r="J2409">
        <v>18</v>
      </c>
      <c r="K2409">
        <v>30</v>
      </c>
      <c r="L2409">
        <v>2022</v>
      </c>
      <c r="N2409" t="s">
        <v>47</v>
      </c>
      <c r="O2409" t="s">
        <v>47</v>
      </c>
      <c r="P2409" t="s">
        <v>5188</v>
      </c>
    </row>
    <row r="2410" spans="1:16" x14ac:dyDescent="0.3">
      <c r="A2410" t="s">
        <v>4220</v>
      </c>
      <c r="C2410">
        <v>30</v>
      </c>
      <c r="D2410" t="s">
        <v>10</v>
      </c>
      <c r="F2410" s="43">
        <v>44846.6875</v>
      </c>
      <c r="G2410" s="43">
        <v>44846.708333333336</v>
      </c>
      <c r="H2410">
        <v>16</v>
      </c>
      <c r="I2410">
        <v>30</v>
      </c>
      <c r="J2410">
        <v>17</v>
      </c>
      <c r="K2410">
        <v>0</v>
      </c>
      <c r="L2410">
        <v>2022</v>
      </c>
      <c r="N2410" t="s">
        <v>47</v>
      </c>
      <c r="O2410" t="s">
        <v>47</v>
      </c>
      <c r="P2410" t="s">
        <v>5184</v>
      </c>
    </row>
    <row r="2411" spans="1:16" x14ac:dyDescent="0.3">
      <c r="A2411" t="s">
        <v>5130</v>
      </c>
      <c r="B2411" t="s">
        <v>20</v>
      </c>
      <c r="C2411">
        <v>60</v>
      </c>
      <c r="D2411" t="s">
        <v>10</v>
      </c>
      <c r="E2411" t="s">
        <v>501</v>
      </c>
      <c r="F2411" s="43">
        <v>44846.645833333336</v>
      </c>
      <c r="G2411" s="43">
        <v>44846.6875</v>
      </c>
      <c r="H2411">
        <v>15</v>
      </c>
      <c r="I2411">
        <v>30</v>
      </c>
      <c r="J2411">
        <v>16</v>
      </c>
      <c r="K2411">
        <v>30</v>
      </c>
      <c r="L2411">
        <v>2022</v>
      </c>
      <c r="N2411" t="s">
        <v>5131</v>
      </c>
      <c r="O2411" t="s">
        <v>47</v>
      </c>
      <c r="P2411" t="s">
        <v>5132</v>
      </c>
    </row>
    <row r="2412" spans="1:16" x14ac:dyDescent="0.3">
      <c r="A2412" t="s">
        <v>5182</v>
      </c>
      <c r="C2412">
        <v>60</v>
      </c>
      <c r="D2412" t="s">
        <v>10</v>
      </c>
      <c r="F2412" s="43">
        <v>44846.604166666664</v>
      </c>
      <c r="G2412" s="43">
        <v>44846.645833333336</v>
      </c>
      <c r="H2412">
        <v>14</v>
      </c>
      <c r="I2412">
        <v>30</v>
      </c>
      <c r="J2412">
        <v>15</v>
      </c>
      <c r="K2412">
        <v>30</v>
      </c>
      <c r="L2412">
        <v>2022</v>
      </c>
      <c r="N2412" t="s">
        <v>47</v>
      </c>
      <c r="O2412" t="s">
        <v>47</v>
      </c>
      <c r="P2412" t="s">
        <v>5186</v>
      </c>
    </row>
    <row r="2413" spans="1:16" x14ac:dyDescent="0.3">
      <c r="A2413" t="s">
        <v>23</v>
      </c>
      <c r="C2413">
        <v>45</v>
      </c>
      <c r="D2413" t="s">
        <v>10</v>
      </c>
      <c r="F2413" s="43">
        <v>44846.5625</v>
      </c>
      <c r="G2413" s="43">
        <v>44846.59375</v>
      </c>
      <c r="H2413">
        <v>13</v>
      </c>
      <c r="I2413">
        <v>30</v>
      </c>
      <c r="J2413">
        <v>14</v>
      </c>
      <c r="K2413">
        <v>15</v>
      </c>
      <c r="L2413">
        <v>2022</v>
      </c>
      <c r="N2413" t="s">
        <v>47</v>
      </c>
      <c r="O2413" t="s">
        <v>47</v>
      </c>
      <c r="P2413" t="s">
        <v>5185</v>
      </c>
    </row>
    <row r="2414" spans="1:16" x14ac:dyDescent="0.3">
      <c r="A2414" t="s">
        <v>5182</v>
      </c>
      <c r="C2414">
        <v>45</v>
      </c>
      <c r="D2414" t="s">
        <v>10</v>
      </c>
      <c r="F2414" s="43">
        <v>44846.53125</v>
      </c>
      <c r="G2414" s="43">
        <v>44846.5625</v>
      </c>
      <c r="H2414">
        <v>12</v>
      </c>
      <c r="I2414">
        <v>45</v>
      </c>
      <c r="J2414">
        <v>13</v>
      </c>
      <c r="K2414">
        <v>30</v>
      </c>
      <c r="L2414">
        <v>2022</v>
      </c>
      <c r="N2414" t="s">
        <v>47</v>
      </c>
      <c r="O2414" t="s">
        <v>47</v>
      </c>
      <c r="P2414" t="s">
        <v>5183</v>
      </c>
    </row>
    <row r="2415" spans="1:16" x14ac:dyDescent="0.3">
      <c r="A2415" t="s">
        <v>4438</v>
      </c>
      <c r="C2415">
        <v>30</v>
      </c>
      <c r="D2415" t="s">
        <v>10</v>
      </c>
      <c r="F2415" s="43">
        <v>44846.458333333336</v>
      </c>
      <c r="G2415" s="43">
        <v>44846.479166666664</v>
      </c>
      <c r="H2415">
        <v>11</v>
      </c>
      <c r="I2415">
        <v>0</v>
      </c>
      <c r="J2415">
        <v>11</v>
      </c>
      <c r="K2415">
        <v>30</v>
      </c>
      <c r="L2415">
        <v>2022</v>
      </c>
      <c r="N2415" t="s">
        <v>47</v>
      </c>
      <c r="O2415" t="s">
        <v>47</v>
      </c>
      <c r="P2415" t="s">
        <v>5173</v>
      </c>
    </row>
    <row r="2416" spans="1:16" x14ac:dyDescent="0.3">
      <c r="A2416" t="s">
        <v>4452</v>
      </c>
      <c r="C2416">
        <v>60</v>
      </c>
      <c r="D2416" t="s">
        <v>10</v>
      </c>
      <c r="F2416" s="43">
        <v>44846.416666666664</v>
      </c>
      <c r="G2416" s="43">
        <v>44846.458333333336</v>
      </c>
      <c r="H2416">
        <v>10</v>
      </c>
      <c r="I2416">
        <v>0</v>
      </c>
      <c r="J2416">
        <v>11</v>
      </c>
      <c r="K2416">
        <v>0</v>
      </c>
      <c r="L2416">
        <v>2022</v>
      </c>
      <c r="N2416" t="s">
        <v>47</v>
      </c>
      <c r="O2416" t="s">
        <v>47</v>
      </c>
      <c r="P2416" t="s">
        <v>5176</v>
      </c>
    </row>
    <row r="2417" spans="1:16" x14ac:dyDescent="0.3">
      <c r="A2417" t="s">
        <v>5174</v>
      </c>
      <c r="C2417">
        <v>30</v>
      </c>
      <c r="D2417" t="s">
        <v>10</v>
      </c>
      <c r="F2417" s="43">
        <v>44846.395833333336</v>
      </c>
      <c r="G2417" s="43">
        <v>44846.416666666664</v>
      </c>
      <c r="H2417">
        <v>9</v>
      </c>
      <c r="I2417">
        <v>30</v>
      </c>
      <c r="J2417">
        <v>10</v>
      </c>
      <c r="K2417">
        <v>0</v>
      </c>
      <c r="L2417">
        <v>2022</v>
      </c>
      <c r="N2417" t="s">
        <v>47</v>
      </c>
      <c r="O2417" t="s">
        <v>47</v>
      </c>
      <c r="P2417" t="s">
        <v>5175</v>
      </c>
    </row>
    <row r="2418" spans="1:16" x14ac:dyDescent="0.3">
      <c r="A2418" t="s">
        <v>5177</v>
      </c>
      <c r="C2418">
        <v>30</v>
      </c>
      <c r="D2418" t="s">
        <v>10</v>
      </c>
      <c r="F2418" s="43">
        <v>44846.375</v>
      </c>
      <c r="G2418" s="43">
        <v>44846.395833333336</v>
      </c>
      <c r="H2418">
        <v>9</v>
      </c>
      <c r="I2418">
        <v>0</v>
      </c>
      <c r="J2418">
        <v>9</v>
      </c>
      <c r="K2418">
        <v>30</v>
      </c>
      <c r="L2418">
        <v>2022</v>
      </c>
      <c r="N2418" t="s">
        <v>47</v>
      </c>
      <c r="O2418" t="s">
        <v>47</v>
      </c>
      <c r="P2418" t="s">
        <v>5178</v>
      </c>
    </row>
    <row r="2419" spans="1:16" x14ac:dyDescent="0.3">
      <c r="A2419" t="s">
        <v>17</v>
      </c>
      <c r="C2419">
        <v>30</v>
      </c>
      <c r="D2419" t="s">
        <v>10</v>
      </c>
      <c r="F2419" s="43">
        <v>44846.3125</v>
      </c>
      <c r="G2419" s="43">
        <v>44846.333333333336</v>
      </c>
      <c r="H2419">
        <v>7</v>
      </c>
      <c r="I2419">
        <v>30</v>
      </c>
      <c r="J2419">
        <v>8</v>
      </c>
      <c r="K2419">
        <v>0</v>
      </c>
      <c r="L2419">
        <v>2022</v>
      </c>
      <c r="N2419" t="s">
        <v>47</v>
      </c>
      <c r="O2419" t="s">
        <v>47</v>
      </c>
      <c r="P2419" t="s">
        <v>5180</v>
      </c>
    </row>
    <row r="2420" spans="1:16" x14ac:dyDescent="0.3">
      <c r="A2420" t="s">
        <v>4220</v>
      </c>
      <c r="C2420">
        <v>30</v>
      </c>
      <c r="D2420" t="s">
        <v>10</v>
      </c>
      <c r="F2420" s="43">
        <v>44846.291666666664</v>
      </c>
      <c r="G2420" s="43">
        <v>44846.3125</v>
      </c>
      <c r="H2420">
        <v>7</v>
      </c>
      <c r="I2420">
        <v>0</v>
      </c>
      <c r="J2420">
        <v>7</v>
      </c>
      <c r="K2420">
        <v>30</v>
      </c>
      <c r="L2420">
        <v>2022</v>
      </c>
      <c r="N2420" t="s">
        <v>47</v>
      </c>
      <c r="O2420" t="s">
        <v>47</v>
      </c>
      <c r="P2420" t="s">
        <v>5179</v>
      </c>
    </row>
    <row r="2421" spans="1:16" x14ac:dyDescent="0.3">
      <c r="A2421" t="s">
        <v>5171</v>
      </c>
      <c r="C2421">
        <v>30</v>
      </c>
      <c r="D2421" t="s">
        <v>10</v>
      </c>
      <c r="E2421" t="s">
        <v>501</v>
      </c>
      <c r="F2421" s="43">
        <v>44846.270833333336</v>
      </c>
      <c r="G2421" s="43">
        <v>44846.291666666664</v>
      </c>
      <c r="H2421">
        <v>6</v>
      </c>
      <c r="I2421">
        <v>30</v>
      </c>
      <c r="J2421">
        <v>7</v>
      </c>
      <c r="K2421">
        <v>0</v>
      </c>
      <c r="L2421">
        <v>2022</v>
      </c>
      <c r="N2421" t="s">
        <v>629</v>
      </c>
      <c r="O2421" t="s">
        <v>47</v>
      </c>
      <c r="P2421" t="s">
        <v>5172</v>
      </c>
    </row>
    <row r="2422" spans="1:16" x14ac:dyDescent="0.3">
      <c r="A2422" t="s">
        <v>8</v>
      </c>
      <c r="C2422">
        <v>30</v>
      </c>
      <c r="D2422" t="s">
        <v>10</v>
      </c>
      <c r="F2422" s="43">
        <v>44846.25</v>
      </c>
      <c r="G2422" s="43">
        <v>44846.270833333336</v>
      </c>
      <c r="H2422">
        <v>6</v>
      </c>
      <c r="I2422">
        <v>0</v>
      </c>
      <c r="J2422">
        <v>6</v>
      </c>
      <c r="K2422">
        <v>30</v>
      </c>
      <c r="L2422">
        <v>2022</v>
      </c>
      <c r="N2422" t="s">
        <v>47</v>
      </c>
      <c r="O2422" t="s">
        <v>47</v>
      </c>
      <c r="P2422" t="s">
        <v>5181</v>
      </c>
    </row>
    <row r="2423" spans="1:16" x14ac:dyDescent="0.3">
      <c r="A2423" t="s">
        <v>5169</v>
      </c>
      <c r="C2423">
        <v>35</v>
      </c>
      <c r="D2423" t="s">
        <v>10</v>
      </c>
      <c r="F2423" s="43">
        <v>44845.78125</v>
      </c>
      <c r="G2423" s="43">
        <v>44845.805555555555</v>
      </c>
      <c r="H2423">
        <v>18</v>
      </c>
      <c r="I2423">
        <v>45</v>
      </c>
      <c r="J2423">
        <v>19</v>
      </c>
      <c r="K2423">
        <v>20</v>
      </c>
      <c r="L2423">
        <v>2022</v>
      </c>
      <c r="N2423" t="s">
        <v>47</v>
      </c>
      <c r="O2423" t="s">
        <v>47</v>
      </c>
      <c r="P2423" t="s">
        <v>5170</v>
      </c>
    </row>
    <row r="2424" spans="1:16" x14ac:dyDescent="0.3">
      <c r="A2424" t="s">
        <v>5165</v>
      </c>
      <c r="C2424">
        <v>70</v>
      </c>
      <c r="D2424" t="s">
        <v>10</v>
      </c>
      <c r="F2424" s="43">
        <v>44845.708333333336</v>
      </c>
      <c r="G2424" s="43">
        <v>44845.756944444445</v>
      </c>
      <c r="H2424">
        <v>17</v>
      </c>
      <c r="I2424">
        <v>0</v>
      </c>
      <c r="J2424">
        <v>18</v>
      </c>
      <c r="K2424">
        <v>10</v>
      </c>
      <c r="L2424">
        <v>2022</v>
      </c>
      <c r="N2424" t="s">
        <v>47</v>
      </c>
      <c r="O2424" t="s">
        <v>47</v>
      </c>
      <c r="P2424" t="s">
        <v>5166</v>
      </c>
    </row>
    <row r="2425" spans="1:16" x14ac:dyDescent="0.3">
      <c r="A2425" t="s">
        <v>4454</v>
      </c>
      <c r="C2425">
        <v>45</v>
      </c>
      <c r="D2425" t="s">
        <v>10</v>
      </c>
      <c r="F2425" s="43">
        <v>44845.604166666664</v>
      </c>
      <c r="G2425" s="43">
        <v>44845.635416666664</v>
      </c>
      <c r="H2425">
        <v>14</v>
      </c>
      <c r="I2425">
        <v>30</v>
      </c>
      <c r="J2425">
        <v>15</v>
      </c>
      <c r="K2425">
        <v>15</v>
      </c>
      <c r="L2425">
        <v>2022</v>
      </c>
      <c r="N2425" t="s">
        <v>47</v>
      </c>
      <c r="O2425" t="s">
        <v>47</v>
      </c>
      <c r="P2425" t="s">
        <v>5164</v>
      </c>
    </row>
    <row r="2426" spans="1:16" x14ac:dyDescent="0.3">
      <c r="A2426" t="s">
        <v>5049</v>
      </c>
      <c r="C2426">
        <v>30</v>
      </c>
      <c r="D2426" t="s">
        <v>10</v>
      </c>
      <c r="F2426" s="43">
        <v>44845.583333333336</v>
      </c>
      <c r="G2426" s="43">
        <v>44845.604166666664</v>
      </c>
      <c r="H2426">
        <v>14</v>
      </c>
      <c r="I2426">
        <v>0</v>
      </c>
      <c r="J2426">
        <v>14</v>
      </c>
      <c r="K2426">
        <v>30</v>
      </c>
      <c r="L2426">
        <v>2022</v>
      </c>
      <c r="N2426" t="s">
        <v>4365</v>
      </c>
      <c r="O2426" t="s">
        <v>783</v>
      </c>
      <c r="P2426" t="s">
        <v>5153</v>
      </c>
    </row>
    <row r="2427" spans="1:16" x14ac:dyDescent="0.3">
      <c r="A2427" t="s">
        <v>5135</v>
      </c>
      <c r="C2427">
        <v>45</v>
      </c>
      <c r="D2427" t="s">
        <v>10</v>
      </c>
      <c r="E2427" t="s">
        <v>501</v>
      </c>
      <c r="F2427" s="43">
        <v>44845.552083333336</v>
      </c>
      <c r="G2427" s="43">
        <v>44845.583333333336</v>
      </c>
      <c r="H2427">
        <v>13</v>
      </c>
      <c r="I2427">
        <v>15</v>
      </c>
      <c r="J2427">
        <v>14</v>
      </c>
      <c r="K2427">
        <v>0</v>
      </c>
      <c r="L2427">
        <v>2022</v>
      </c>
      <c r="N2427" t="s">
        <v>5136</v>
      </c>
      <c r="O2427" t="s">
        <v>47</v>
      </c>
      <c r="P2427" t="s">
        <v>5137</v>
      </c>
    </row>
    <row r="2428" spans="1:16" x14ac:dyDescent="0.3">
      <c r="A2428" t="s">
        <v>5162</v>
      </c>
      <c r="C2428">
        <v>45</v>
      </c>
      <c r="D2428" t="s">
        <v>10</v>
      </c>
      <c r="F2428" s="43">
        <v>44845.520833333336</v>
      </c>
      <c r="G2428" s="43">
        <v>44845.552083333336</v>
      </c>
      <c r="H2428">
        <v>12</v>
      </c>
      <c r="I2428">
        <v>30</v>
      </c>
      <c r="J2428">
        <v>13</v>
      </c>
      <c r="K2428">
        <v>15</v>
      </c>
      <c r="L2428">
        <v>2022</v>
      </c>
      <c r="N2428" t="s">
        <v>47</v>
      </c>
      <c r="O2428" t="s">
        <v>47</v>
      </c>
      <c r="P2428" t="s">
        <v>5163</v>
      </c>
    </row>
    <row r="2429" spans="1:16" x14ac:dyDescent="0.3">
      <c r="A2429" t="s">
        <v>5127</v>
      </c>
      <c r="C2429">
        <v>45</v>
      </c>
      <c r="D2429" t="s">
        <v>10</v>
      </c>
      <c r="E2429" t="s">
        <v>5128</v>
      </c>
      <c r="F2429" s="43">
        <v>44845.46875</v>
      </c>
      <c r="G2429" s="43">
        <v>44845.5</v>
      </c>
      <c r="H2429">
        <v>11</v>
      </c>
      <c r="I2429">
        <v>15</v>
      </c>
      <c r="J2429">
        <v>12</v>
      </c>
      <c r="K2429">
        <v>0</v>
      </c>
      <c r="L2429">
        <v>2022</v>
      </c>
      <c r="N2429" t="s">
        <v>4430</v>
      </c>
      <c r="O2429" t="s">
        <v>47</v>
      </c>
      <c r="P2429" t="s">
        <v>5129</v>
      </c>
    </row>
    <row r="2430" spans="1:16" x14ac:dyDescent="0.3">
      <c r="A2430" t="s">
        <v>5151</v>
      </c>
      <c r="C2430">
        <v>60</v>
      </c>
      <c r="D2430" t="s">
        <v>10</v>
      </c>
      <c r="F2430" s="43">
        <v>44845.375</v>
      </c>
      <c r="G2430" s="43">
        <v>44845.416666666664</v>
      </c>
      <c r="H2430">
        <v>9</v>
      </c>
      <c r="I2430">
        <v>0</v>
      </c>
      <c r="J2430">
        <v>10</v>
      </c>
      <c r="K2430">
        <v>0</v>
      </c>
      <c r="L2430">
        <v>2022</v>
      </c>
      <c r="N2430" t="s">
        <v>47</v>
      </c>
      <c r="O2430" t="s">
        <v>47</v>
      </c>
      <c r="P2430" t="s">
        <v>5152</v>
      </c>
    </row>
    <row r="2431" spans="1:16" x14ac:dyDescent="0.3">
      <c r="A2431" t="s">
        <v>5149</v>
      </c>
      <c r="C2431">
        <v>60</v>
      </c>
      <c r="D2431" t="s">
        <v>10</v>
      </c>
      <c r="F2431" s="43">
        <v>44845.333333333336</v>
      </c>
      <c r="G2431" s="43">
        <v>44845.375</v>
      </c>
      <c r="H2431">
        <v>8</v>
      </c>
      <c r="I2431">
        <v>0</v>
      </c>
      <c r="J2431">
        <v>9</v>
      </c>
      <c r="K2431">
        <v>0</v>
      </c>
      <c r="L2431">
        <v>2022</v>
      </c>
      <c r="N2431" t="s">
        <v>47</v>
      </c>
      <c r="O2431" t="s">
        <v>47</v>
      </c>
      <c r="P2431" t="s">
        <v>5150</v>
      </c>
    </row>
    <row r="2432" spans="1:16" x14ac:dyDescent="0.3">
      <c r="A2432" t="s">
        <v>5154</v>
      </c>
      <c r="C2432">
        <v>40</v>
      </c>
      <c r="D2432" t="s">
        <v>10</v>
      </c>
      <c r="F2432" s="43">
        <v>44845.270833333336</v>
      </c>
      <c r="G2432" s="43">
        <v>44845.298611111109</v>
      </c>
      <c r="H2432">
        <v>6</v>
      </c>
      <c r="I2432">
        <v>30</v>
      </c>
      <c r="J2432">
        <v>7</v>
      </c>
      <c r="K2432">
        <v>10</v>
      </c>
      <c r="L2432">
        <v>2022</v>
      </c>
      <c r="N2432" t="s">
        <v>47</v>
      </c>
      <c r="O2432" t="s">
        <v>47</v>
      </c>
      <c r="P2432" t="s">
        <v>5155</v>
      </c>
    </row>
    <row r="2433" spans="1:16" x14ac:dyDescent="0.3">
      <c r="A2433" t="s">
        <v>1222</v>
      </c>
      <c r="C2433">
        <v>30</v>
      </c>
      <c r="D2433" t="s">
        <v>10</v>
      </c>
      <c r="F2433" s="43">
        <v>44845.21875</v>
      </c>
      <c r="G2433" s="43">
        <v>44845.239583333336</v>
      </c>
      <c r="H2433">
        <v>5</v>
      </c>
      <c r="I2433">
        <v>15</v>
      </c>
      <c r="J2433">
        <v>5</v>
      </c>
      <c r="K2433">
        <v>45</v>
      </c>
      <c r="L2433">
        <v>2022</v>
      </c>
      <c r="N2433" t="s">
        <v>47</v>
      </c>
      <c r="O2433" t="s">
        <v>47</v>
      </c>
      <c r="P2433" t="s">
        <v>5157</v>
      </c>
    </row>
    <row r="2434" spans="1:16" x14ac:dyDescent="0.3">
      <c r="A2434" t="s">
        <v>4892</v>
      </c>
      <c r="C2434">
        <v>45</v>
      </c>
      <c r="D2434" t="s">
        <v>10</v>
      </c>
      <c r="F2434" s="43">
        <v>44845.166666666664</v>
      </c>
      <c r="G2434" s="43">
        <v>44845.197916666664</v>
      </c>
      <c r="H2434">
        <v>4</v>
      </c>
      <c r="I2434">
        <v>0</v>
      </c>
      <c r="J2434">
        <v>4</v>
      </c>
      <c r="K2434">
        <v>45</v>
      </c>
      <c r="L2434">
        <v>2022</v>
      </c>
      <c r="N2434" t="s">
        <v>47</v>
      </c>
      <c r="O2434" t="s">
        <v>47</v>
      </c>
      <c r="P2434" t="s">
        <v>5156</v>
      </c>
    </row>
    <row r="2435" spans="1:16" x14ac:dyDescent="0.3">
      <c r="A2435" t="s">
        <v>8</v>
      </c>
      <c r="C2435">
        <v>45</v>
      </c>
      <c r="D2435" t="s">
        <v>10</v>
      </c>
      <c r="F2435" s="43">
        <v>44844.784722222219</v>
      </c>
      <c r="G2435" s="43">
        <v>44844.815972222219</v>
      </c>
      <c r="H2435">
        <v>18</v>
      </c>
      <c r="I2435">
        <v>50</v>
      </c>
      <c r="J2435">
        <v>19</v>
      </c>
      <c r="K2435">
        <v>35</v>
      </c>
      <c r="L2435">
        <v>2022</v>
      </c>
      <c r="N2435" t="s">
        <v>47</v>
      </c>
      <c r="O2435" t="s">
        <v>47</v>
      </c>
      <c r="P2435" t="s">
        <v>5158</v>
      </c>
    </row>
    <row r="2436" spans="1:16" x14ac:dyDescent="0.3">
      <c r="A2436" t="s">
        <v>8</v>
      </c>
      <c r="C2436">
        <v>30</v>
      </c>
      <c r="D2436" t="s">
        <v>10</v>
      </c>
      <c r="F2436" s="43">
        <v>44844.739583333336</v>
      </c>
      <c r="G2436" s="43">
        <v>44844.760416666664</v>
      </c>
      <c r="H2436">
        <v>17</v>
      </c>
      <c r="I2436">
        <v>45</v>
      </c>
      <c r="J2436">
        <v>18</v>
      </c>
      <c r="K2436">
        <v>15</v>
      </c>
      <c r="L2436">
        <v>2022</v>
      </c>
      <c r="N2436" t="s">
        <v>47</v>
      </c>
      <c r="O2436" t="s">
        <v>47</v>
      </c>
      <c r="P2436" t="s">
        <v>5134</v>
      </c>
    </row>
    <row r="2437" spans="1:16" x14ac:dyDescent="0.3">
      <c r="A2437" t="s">
        <v>4946</v>
      </c>
      <c r="C2437">
        <v>30</v>
      </c>
      <c r="D2437" t="s">
        <v>10</v>
      </c>
      <c r="F2437" s="43">
        <v>44844.6875</v>
      </c>
      <c r="G2437" s="43">
        <v>44844.708333333336</v>
      </c>
      <c r="H2437">
        <v>16</v>
      </c>
      <c r="I2437">
        <v>30</v>
      </c>
      <c r="J2437">
        <v>17</v>
      </c>
      <c r="K2437">
        <v>0</v>
      </c>
      <c r="L2437">
        <v>2022</v>
      </c>
      <c r="N2437" t="s">
        <v>47</v>
      </c>
      <c r="O2437" t="s">
        <v>47</v>
      </c>
      <c r="P2437" t="s">
        <v>5133</v>
      </c>
    </row>
    <row r="2438" spans="1:16" x14ac:dyDescent="0.3">
      <c r="A2438" t="s">
        <v>1394</v>
      </c>
      <c r="C2438">
        <v>60</v>
      </c>
      <c r="D2438" t="s">
        <v>10</v>
      </c>
      <c r="F2438" s="43">
        <v>44844.625</v>
      </c>
      <c r="G2438" s="43">
        <v>44844.666666666664</v>
      </c>
      <c r="H2438">
        <v>15</v>
      </c>
      <c r="I2438">
        <v>0</v>
      </c>
      <c r="J2438">
        <v>16</v>
      </c>
      <c r="K2438">
        <v>0</v>
      </c>
      <c r="L2438">
        <v>2022</v>
      </c>
      <c r="N2438" t="s">
        <v>47</v>
      </c>
      <c r="O2438" t="s">
        <v>47</v>
      </c>
      <c r="P2438" t="s">
        <v>5126</v>
      </c>
    </row>
    <row r="2439" spans="1:16" x14ac:dyDescent="0.3">
      <c r="A2439" t="s">
        <v>9</v>
      </c>
      <c r="C2439">
        <v>90</v>
      </c>
      <c r="D2439" t="s">
        <v>10</v>
      </c>
      <c r="F2439" s="43">
        <v>44844.5625</v>
      </c>
      <c r="G2439" s="43">
        <v>44844.625</v>
      </c>
      <c r="H2439">
        <v>13</v>
      </c>
      <c r="I2439">
        <v>30</v>
      </c>
      <c r="J2439">
        <v>15</v>
      </c>
      <c r="K2439">
        <v>0</v>
      </c>
      <c r="L2439">
        <v>2022</v>
      </c>
      <c r="N2439" t="s">
        <v>47</v>
      </c>
      <c r="O2439" t="s">
        <v>47</v>
      </c>
      <c r="P2439" t="s">
        <v>5125</v>
      </c>
    </row>
    <row r="2440" spans="1:16" x14ac:dyDescent="0.3">
      <c r="A2440" t="s">
        <v>5105</v>
      </c>
      <c r="C2440">
        <v>30</v>
      </c>
      <c r="D2440" t="s">
        <v>10</v>
      </c>
      <c r="E2440" t="s">
        <v>5</v>
      </c>
      <c r="F2440" s="43">
        <v>44844.479166666664</v>
      </c>
      <c r="G2440" s="43">
        <v>44844.5</v>
      </c>
      <c r="H2440">
        <v>11</v>
      </c>
      <c r="I2440">
        <v>30</v>
      </c>
      <c r="J2440">
        <v>12</v>
      </c>
      <c r="K2440">
        <v>0</v>
      </c>
      <c r="L2440">
        <v>2022</v>
      </c>
      <c r="N2440" t="s">
        <v>1399</v>
      </c>
      <c r="O2440" t="s">
        <v>1241</v>
      </c>
      <c r="P2440" t="s">
        <v>5106</v>
      </c>
    </row>
    <row r="2441" spans="1:16" x14ac:dyDescent="0.3">
      <c r="A2441" t="s">
        <v>5085</v>
      </c>
      <c r="C2441">
        <v>30</v>
      </c>
      <c r="D2441" t="s">
        <v>10</v>
      </c>
      <c r="E2441" t="s">
        <v>501</v>
      </c>
      <c r="F2441" s="43">
        <v>44844.458333333336</v>
      </c>
      <c r="G2441" s="43">
        <v>44844.479166666664</v>
      </c>
      <c r="H2441">
        <v>11</v>
      </c>
      <c r="I2441">
        <v>0</v>
      </c>
      <c r="J2441">
        <v>11</v>
      </c>
      <c r="K2441">
        <v>30</v>
      </c>
      <c r="L2441">
        <v>2022</v>
      </c>
      <c r="N2441" t="s">
        <v>5086</v>
      </c>
      <c r="O2441" t="s">
        <v>47</v>
      </c>
      <c r="P2441" t="s">
        <v>5087</v>
      </c>
    </row>
    <row r="2442" spans="1:16" x14ac:dyDescent="0.3">
      <c r="A2442" t="s">
        <v>4880</v>
      </c>
      <c r="B2442" t="s">
        <v>20</v>
      </c>
      <c r="C2442">
        <v>60</v>
      </c>
      <c r="D2442" t="s">
        <v>10</v>
      </c>
      <c r="F2442" s="43">
        <v>44844.416666666664</v>
      </c>
      <c r="G2442" s="43">
        <v>44844.458333333336</v>
      </c>
      <c r="H2442">
        <v>10</v>
      </c>
      <c r="I2442">
        <v>0</v>
      </c>
      <c r="J2442">
        <v>11</v>
      </c>
      <c r="K2442">
        <v>0</v>
      </c>
      <c r="L2442">
        <v>2022</v>
      </c>
      <c r="N2442" t="s">
        <v>4881</v>
      </c>
      <c r="O2442" t="s">
        <v>1129</v>
      </c>
      <c r="P2442" t="s">
        <v>4882</v>
      </c>
    </row>
    <row r="2443" spans="1:16" x14ac:dyDescent="0.3">
      <c r="A2443" t="s">
        <v>3765</v>
      </c>
      <c r="C2443">
        <v>30</v>
      </c>
      <c r="D2443" t="s">
        <v>10</v>
      </c>
      <c r="E2443" t="s">
        <v>3766</v>
      </c>
      <c r="F2443" s="43">
        <v>44844.375</v>
      </c>
      <c r="G2443" s="43">
        <v>44844.395833333336</v>
      </c>
      <c r="H2443">
        <v>9</v>
      </c>
      <c r="I2443">
        <v>0</v>
      </c>
      <c r="J2443">
        <v>9</v>
      </c>
      <c r="K2443">
        <v>30</v>
      </c>
      <c r="L2443">
        <v>2022</v>
      </c>
      <c r="N2443" t="s">
        <v>5121</v>
      </c>
      <c r="O2443" t="s">
        <v>1863</v>
      </c>
      <c r="P2443" t="s">
        <v>5122</v>
      </c>
    </row>
    <row r="2444" spans="1:16" x14ac:dyDescent="0.3">
      <c r="A2444" t="s">
        <v>5116</v>
      </c>
      <c r="C2444">
        <v>45</v>
      </c>
      <c r="D2444" t="s">
        <v>10</v>
      </c>
      <c r="F2444" s="43">
        <v>44844.333333333336</v>
      </c>
      <c r="G2444" s="43">
        <v>44844.364583333336</v>
      </c>
      <c r="H2444">
        <v>8</v>
      </c>
      <c r="I2444">
        <v>0</v>
      </c>
      <c r="J2444">
        <v>8</v>
      </c>
      <c r="K2444">
        <v>45</v>
      </c>
      <c r="L2444">
        <v>2022</v>
      </c>
      <c r="N2444" t="s">
        <v>47</v>
      </c>
      <c r="O2444" t="s">
        <v>47</v>
      </c>
      <c r="P2444" t="s">
        <v>5117</v>
      </c>
    </row>
    <row r="2445" spans="1:16" x14ac:dyDescent="0.3">
      <c r="A2445" t="s">
        <v>17</v>
      </c>
      <c r="C2445">
        <v>30</v>
      </c>
      <c r="D2445" t="s">
        <v>10</v>
      </c>
      <c r="F2445" s="43">
        <v>44844.291666666664</v>
      </c>
      <c r="G2445" s="43">
        <v>44844.3125</v>
      </c>
      <c r="H2445">
        <v>7</v>
      </c>
      <c r="I2445">
        <v>0</v>
      </c>
      <c r="J2445">
        <v>7</v>
      </c>
      <c r="K2445">
        <v>30</v>
      </c>
      <c r="L2445">
        <v>2022</v>
      </c>
      <c r="N2445" t="s">
        <v>47</v>
      </c>
      <c r="O2445" t="s">
        <v>47</v>
      </c>
      <c r="P2445" t="s">
        <v>5118</v>
      </c>
    </row>
    <row r="2446" spans="1:16" x14ac:dyDescent="0.3">
      <c r="A2446" t="s">
        <v>4214</v>
      </c>
      <c r="C2446">
        <v>60</v>
      </c>
      <c r="D2446" t="s">
        <v>10</v>
      </c>
      <c r="F2446" s="43">
        <v>44844.25</v>
      </c>
      <c r="G2446" s="43">
        <v>44844.291666666664</v>
      </c>
      <c r="H2446">
        <v>6</v>
      </c>
      <c r="I2446">
        <v>0</v>
      </c>
      <c r="J2446">
        <v>7</v>
      </c>
      <c r="K2446">
        <v>0</v>
      </c>
      <c r="L2446">
        <v>2022</v>
      </c>
      <c r="N2446" t="s">
        <v>47</v>
      </c>
      <c r="O2446" t="s">
        <v>47</v>
      </c>
      <c r="P2446" t="s">
        <v>5119</v>
      </c>
    </row>
    <row r="2447" spans="1:16" x14ac:dyDescent="0.3">
      <c r="A2447" t="s">
        <v>1622</v>
      </c>
      <c r="C2447">
        <v>30</v>
      </c>
      <c r="D2447" t="s">
        <v>10</v>
      </c>
      <c r="F2447" s="43">
        <v>44844.229166666664</v>
      </c>
      <c r="G2447" s="43">
        <v>44844.25</v>
      </c>
      <c r="H2447">
        <v>5</v>
      </c>
      <c r="I2447">
        <v>30</v>
      </c>
      <c r="J2447">
        <v>6</v>
      </c>
      <c r="K2447">
        <v>0</v>
      </c>
      <c r="L2447">
        <v>2022</v>
      </c>
      <c r="N2447" t="s">
        <v>47</v>
      </c>
      <c r="O2447" t="s">
        <v>47</v>
      </c>
      <c r="P2447" t="s">
        <v>5120</v>
      </c>
    </row>
    <row r="2448" spans="1:16" x14ac:dyDescent="0.3">
      <c r="A2448" t="s">
        <v>5123</v>
      </c>
      <c r="C2448">
        <v>60</v>
      </c>
      <c r="D2448" t="s">
        <v>10</v>
      </c>
      <c r="F2448" s="43">
        <v>44843.770833333336</v>
      </c>
      <c r="G2448" s="43">
        <v>44843.8125</v>
      </c>
      <c r="H2448">
        <v>18</v>
      </c>
      <c r="I2448">
        <v>30</v>
      </c>
      <c r="J2448">
        <v>19</v>
      </c>
      <c r="K2448">
        <v>30</v>
      </c>
      <c r="L2448">
        <v>2022</v>
      </c>
      <c r="N2448" t="s">
        <v>47</v>
      </c>
      <c r="O2448" t="s">
        <v>47</v>
      </c>
      <c r="P2448" t="s">
        <v>5124</v>
      </c>
    </row>
    <row r="2449" spans="1:16" x14ac:dyDescent="0.3">
      <c r="A2449" t="s">
        <v>5014</v>
      </c>
      <c r="C2449">
        <v>45</v>
      </c>
      <c r="D2449" t="s">
        <v>10</v>
      </c>
      <c r="F2449" s="43">
        <v>44843.697916666664</v>
      </c>
      <c r="G2449" s="43">
        <v>44843.729166666664</v>
      </c>
      <c r="H2449">
        <v>16</v>
      </c>
      <c r="I2449">
        <v>45</v>
      </c>
      <c r="J2449">
        <v>17</v>
      </c>
      <c r="K2449">
        <v>30</v>
      </c>
      <c r="L2449">
        <v>2022</v>
      </c>
      <c r="N2449" t="s">
        <v>47</v>
      </c>
      <c r="O2449" t="s">
        <v>47</v>
      </c>
      <c r="P2449" t="s">
        <v>5115</v>
      </c>
    </row>
    <row r="2450" spans="1:16" x14ac:dyDescent="0.3">
      <c r="A2450" t="s">
        <v>4214</v>
      </c>
      <c r="C2450">
        <v>45</v>
      </c>
      <c r="D2450" t="s">
        <v>10</v>
      </c>
      <c r="F2450" s="43">
        <v>44843.652777777781</v>
      </c>
      <c r="G2450" s="43">
        <v>44843.684027777781</v>
      </c>
      <c r="H2450">
        <v>15</v>
      </c>
      <c r="I2450">
        <v>40</v>
      </c>
      <c r="J2450">
        <v>16</v>
      </c>
      <c r="K2450">
        <v>25</v>
      </c>
      <c r="L2450">
        <v>2022</v>
      </c>
      <c r="N2450" t="s">
        <v>47</v>
      </c>
      <c r="O2450" t="s">
        <v>47</v>
      </c>
      <c r="P2450" t="s">
        <v>5114</v>
      </c>
    </row>
    <row r="2451" spans="1:16" x14ac:dyDescent="0.3">
      <c r="A2451" t="s">
        <v>4454</v>
      </c>
      <c r="C2451">
        <v>35</v>
      </c>
      <c r="D2451" t="s">
        <v>10</v>
      </c>
      <c r="F2451" s="43">
        <v>44843.611111111109</v>
      </c>
      <c r="G2451" s="43">
        <v>44843.635416666664</v>
      </c>
      <c r="H2451">
        <v>14</v>
      </c>
      <c r="I2451">
        <v>40</v>
      </c>
      <c r="J2451">
        <v>15</v>
      </c>
      <c r="K2451">
        <v>15</v>
      </c>
      <c r="L2451">
        <v>2022</v>
      </c>
      <c r="N2451" t="s">
        <v>47</v>
      </c>
      <c r="O2451" t="s">
        <v>47</v>
      </c>
      <c r="P2451" t="s">
        <v>5113</v>
      </c>
    </row>
    <row r="2452" spans="1:16" x14ac:dyDescent="0.3">
      <c r="A2452" t="s">
        <v>4454</v>
      </c>
      <c r="C2452">
        <v>30</v>
      </c>
      <c r="D2452" t="s">
        <v>10</v>
      </c>
      <c r="F2452" s="43">
        <v>44843.5625</v>
      </c>
      <c r="G2452" s="43">
        <v>44843.583333333336</v>
      </c>
      <c r="H2452">
        <v>13</v>
      </c>
      <c r="I2452">
        <v>30</v>
      </c>
      <c r="J2452">
        <v>14</v>
      </c>
      <c r="K2452">
        <v>0</v>
      </c>
      <c r="L2452">
        <v>2022</v>
      </c>
      <c r="N2452" t="s">
        <v>47</v>
      </c>
      <c r="O2452" t="s">
        <v>47</v>
      </c>
      <c r="P2452" t="s">
        <v>5112</v>
      </c>
    </row>
    <row r="2453" spans="1:16" x14ac:dyDescent="0.3">
      <c r="A2453" t="s">
        <v>5110</v>
      </c>
      <c r="C2453">
        <v>50</v>
      </c>
      <c r="D2453" t="s">
        <v>10</v>
      </c>
      <c r="F2453" s="43">
        <v>44843.479166666664</v>
      </c>
      <c r="G2453" s="43">
        <v>44843.513888888891</v>
      </c>
      <c r="H2453">
        <v>11</v>
      </c>
      <c r="I2453">
        <v>30</v>
      </c>
      <c r="J2453">
        <v>12</v>
      </c>
      <c r="K2453">
        <v>20</v>
      </c>
      <c r="L2453">
        <v>2022</v>
      </c>
      <c r="N2453" t="s">
        <v>47</v>
      </c>
      <c r="O2453" t="s">
        <v>47</v>
      </c>
      <c r="P2453" t="s">
        <v>5111</v>
      </c>
    </row>
    <row r="2454" spans="1:16" x14ac:dyDescent="0.3">
      <c r="A2454" t="s">
        <v>1394</v>
      </c>
      <c r="C2454">
        <v>45</v>
      </c>
      <c r="D2454" t="s">
        <v>10</v>
      </c>
      <c r="F2454" s="43">
        <v>44843.416666666664</v>
      </c>
      <c r="G2454" s="43">
        <v>44843.447916666664</v>
      </c>
      <c r="H2454">
        <v>10</v>
      </c>
      <c r="I2454">
        <v>0</v>
      </c>
      <c r="J2454">
        <v>10</v>
      </c>
      <c r="K2454">
        <v>45</v>
      </c>
      <c r="L2454">
        <v>2022</v>
      </c>
      <c r="N2454" t="s">
        <v>47</v>
      </c>
      <c r="O2454" t="s">
        <v>47</v>
      </c>
      <c r="P2454" t="s">
        <v>5104</v>
      </c>
    </row>
    <row r="2455" spans="1:16" x14ac:dyDescent="0.3">
      <c r="A2455" t="s">
        <v>5107</v>
      </c>
      <c r="C2455">
        <v>30</v>
      </c>
      <c r="D2455" t="s">
        <v>10</v>
      </c>
      <c r="F2455" s="43">
        <v>44843.333333333336</v>
      </c>
      <c r="G2455" s="43">
        <v>44843.354166666664</v>
      </c>
      <c r="H2455">
        <v>8</v>
      </c>
      <c r="I2455">
        <v>0</v>
      </c>
      <c r="J2455">
        <v>8</v>
      </c>
      <c r="K2455">
        <v>30</v>
      </c>
      <c r="L2455">
        <v>2022</v>
      </c>
      <c r="N2455" t="s">
        <v>47</v>
      </c>
      <c r="O2455" t="s">
        <v>47</v>
      </c>
      <c r="P2455" t="s">
        <v>5108</v>
      </c>
    </row>
    <row r="2456" spans="1:16" x14ac:dyDescent="0.3">
      <c r="A2456" t="s">
        <v>4577</v>
      </c>
      <c r="C2456">
        <v>60</v>
      </c>
      <c r="D2456" t="s">
        <v>10</v>
      </c>
      <c r="F2456" s="43">
        <v>44843.270833333336</v>
      </c>
      <c r="G2456" s="43">
        <v>44843.3125</v>
      </c>
      <c r="H2456">
        <v>6</v>
      </c>
      <c r="I2456">
        <v>30</v>
      </c>
      <c r="J2456">
        <v>7</v>
      </c>
      <c r="K2456">
        <v>30</v>
      </c>
      <c r="L2456">
        <v>2022</v>
      </c>
      <c r="N2456" t="s">
        <v>47</v>
      </c>
      <c r="O2456" t="s">
        <v>47</v>
      </c>
      <c r="P2456" t="s">
        <v>5109</v>
      </c>
    </row>
    <row r="2457" spans="1:16" x14ac:dyDescent="0.3">
      <c r="A2457" t="s">
        <v>5102</v>
      </c>
      <c r="C2457">
        <v>30</v>
      </c>
      <c r="D2457" t="s">
        <v>10</v>
      </c>
      <c r="F2457" s="43">
        <v>44842.739583333336</v>
      </c>
      <c r="G2457" s="43">
        <v>44842.760416666664</v>
      </c>
      <c r="H2457">
        <v>17</v>
      </c>
      <c r="I2457">
        <v>45</v>
      </c>
      <c r="J2457">
        <v>18</v>
      </c>
      <c r="K2457">
        <v>15</v>
      </c>
      <c r="L2457">
        <v>2022</v>
      </c>
      <c r="N2457" t="s">
        <v>47</v>
      </c>
      <c r="O2457" t="s">
        <v>47</v>
      </c>
      <c r="P2457" t="s">
        <v>5103</v>
      </c>
    </row>
    <row r="2458" spans="1:16" x14ac:dyDescent="0.3">
      <c r="A2458" t="s">
        <v>4454</v>
      </c>
      <c r="C2458">
        <v>30</v>
      </c>
      <c r="D2458" t="s">
        <v>10</v>
      </c>
      <c r="F2458" s="43">
        <v>44842.6875</v>
      </c>
      <c r="G2458" s="43">
        <v>44842.708333333336</v>
      </c>
      <c r="H2458">
        <v>16</v>
      </c>
      <c r="I2458">
        <v>30</v>
      </c>
      <c r="J2458">
        <v>17</v>
      </c>
      <c r="K2458">
        <v>0</v>
      </c>
      <c r="L2458">
        <v>2022</v>
      </c>
      <c r="N2458" t="s">
        <v>47</v>
      </c>
      <c r="O2458" t="s">
        <v>47</v>
      </c>
      <c r="P2458" t="s">
        <v>5101</v>
      </c>
    </row>
    <row r="2459" spans="1:16" x14ac:dyDescent="0.3">
      <c r="A2459" t="s">
        <v>5014</v>
      </c>
      <c r="C2459">
        <v>30</v>
      </c>
      <c r="D2459" t="s">
        <v>10</v>
      </c>
      <c r="F2459" s="43">
        <v>44842.638888888891</v>
      </c>
      <c r="G2459" s="43">
        <v>44842.659722222219</v>
      </c>
      <c r="H2459">
        <v>15</v>
      </c>
      <c r="I2459">
        <v>20</v>
      </c>
      <c r="J2459">
        <v>15</v>
      </c>
      <c r="K2459">
        <v>50</v>
      </c>
      <c r="L2459">
        <v>2022</v>
      </c>
      <c r="N2459" t="s">
        <v>47</v>
      </c>
      <c r="O2459" t="s">
        <v>47</v>
      </c>
      <c r="P2459" t="s">
        <v>5100</v>
      </c>
    </row>
    <row r="2460" spans="1:16" x14ac:dyDescent="0.3">
      <c r="A2460" t="s">
        <v>4519</v>
      </c>
      <c r="C2460">
        <v>50</v>
      </c>
      <c r="D2460" t="s">
        <v>10</v>
      </c>
      <c r="F2460" s="43">
        <v>44842.583333333336</v>
      </c>
      <c r="G2460" s="43">
        <v>44842.618055555555</v>
      </c>
      <c r="H2460">
        <v>14</v>
      </c>
      <c r="I2460">
        <v>0</v>
      </c>
      <c r="J2460">
        <v>14</v>
      </c>
      <c r="K2460">
        <v>50</v>
      </c>
      <c r="L2460">
        <v>2022</v>
      </c>
      <c r="N2460" t="s">
        <v>47</v>
      </c>
      <c r="O2460" t="s">
        <v>47</v>
      </c>
      <c r="P2460" t="s">
        <v>5099</v>
      </c>
    </row>
    <row r="2461" spans="1:16" x14ac:dyDescent="0.3">
      <c r="A2461" t="s">
        <v>4577</v>
      </c>
      <c r="C2461">
        <v>45</v>
      </c>
      <c r="D2461" t="s">
        <v>10</v>
      </c>
      <c r="F2461" s="43">
        <v>44842.552083333336</v>
      </c>
      <c r="G2461" s="43">
        <v>44842.583333333336</v>
      </c>
      <c r="H2461">
        <v>13</v>
      </c>
      <c r="I2461">
        <v>15</v>
      </c>
      <c r="J2461">
        <v>14</v>
      </c>
      <c r="K2461">
        <v>0</v>
      </c>
      <c r="L2461">
        <v>2022</v>
      </c>
      <c r="N2461" t="s">
        <v>47</v>
      </c>
      <c r="O2461" t="s">
        <v>47</v>
      </c>
      <c r="P2461" t="s">
        <v>5098</v>
      </c>
    </row>
    <row r="2462" spans="1:16" x14ac:dyDescent="0.3">
      <c r="A2462" t="s">
        <v>4577</v>
      </c>
      <c r="C2462">
        <v>45</v>
      </c>
      <c r="D2462" t="s">
        <v>10</v>
      </c>
      <c r="F2462" s="43">
        <v>44842.5</v>
      </c>
      <c r="G2462" s="43">
        <v>44842.53125</v>
      </c>
      <c r="H2462">
        <v>12</v>
      </c>
      <c r="I2462">
        <v>0</v>
      </c>
      <c r="J2462">
        <v>12</v>
      </c>
      <c r="K2462">
        <v>45</v>
      </c>
      <c r="L2462">
        <v>2022</v>
      </c>
      <c r="N2462" t="s">
        <v>47</v>
      </c>
      <c r="O2462" t="s">
        <v>47</v>
      </c>
      <c r="P2462" t="s">
        <v>5097</v>
      </c>
    </row>
    <row r="2463" spans="1:16" x14ac:dyDescent="0.3">
      <c r="A2463" t="s">
        <v>4577</v>
      </c>
      <c r="C2463">
        <v>75</v>
      </c>
      <c r="D2463" t="s">
        <v>10</v>
      </c>
      <c r="F2463" s="43">
        <v>44842.25</v>
      </c>
      <c r="G2463" s="43">
        <v>44842.302083333336</v>
      </c>
      <c r="H2463">
        <v>6</v>
      </c>
      <c r="I2463">
        <v>0</v>
      </c>
      <c r="J2463">
        <v>7</v>
      </c>
      <c r="K2463">
        <v>15</v>
      </c>
      <c r="L2463">
        <v>2022</v>
      </c>
      <c r="N2463" t="s">
        <v>47</v>
      </c>
      <c r="O2463" t="s">
        <v>47</v>
      </c>
      <c r="P2463" t="s">
        <v>5096</v>
      </c>
    </row>
    <row r="2464" spans="1:16" x14ac:dyDescent="0.3">
      <c r="A2464" t="s">
        <v>5094</v>
      </c>
      <c r="C2464">
        <v>15</v>
      </c>
      <c r="D2464" t="s">
        <v>10</v>
      </c>
      <c r="F2464" s="43">
        <v>44841.791666666664</v>
      </c>
      <c r="G2464" s="43">
        <v>44841.802083333336</v>
      </c>
      <c r="H2464">
        <v>19</v>
      </c>
      <c r="I2464">
        <v>0</v>
      </c>
      <c r="J2464">
        <v>19</v>
      </c>
      <c r="K2464">
        <v>15</v>
      </c>
      <c r="L2464">
        <v>2022</v>
      </c>
      <c r="N2464" t="s">
        <v>47</v>
      </c>
      <c r="O2464" t="s">
        <v>47</v>
      </c>
      <c r="P2464" t="s">
        <v>5095</v>
      </c>
    </row>
    <row r="2465" spans="1:16" x14ac:dyDescent="0.3">
      <c r="A2465" t="s">
        <v>4577</v>
      </c>
      <c r="C2465">
        <v>40</v>
      </c>
      <c r="D2465" t="s">
        <v>10</v>
      </c>
      <c r="F2465" s="43">
        <v>44841.75</v>
      </c>
      <c r="G2465" s="43">
        <v>44841.777777777781</v>
      </c>
      <c r="H2465">
        <v>18</v>
      </c>
      <c r="I2465">
        <v>0</v>
      </c>
      <c r="J2465">
        <v>18</v>
      </c>
      <c r="K2465">
        <v>40</v>
      </c>
      <c r="L2465">
        <v>2022</v>
      </c>
      <c r="N2465" t="s">
        <v>47</v>
      </c>
      <c r="O2465" t="s">
        <v>47</v>
      </c>
      <c r="P2465" t="s">
        <v>5093</v>
      </c>
    </row>
    <row r="2466" spans="1:16" x14ac:dyDescent="0.3">
      <c r="A2466" t="s">
        <v>4577</v>
      </c>
      <c r="C2466">
        <v>60</v>
      </c>
      <c r="D2466" t="s">
        <v>10</v>
      </c>
      <c r="F2466" s="43">
        <v>44841.6875</v>
      </c>
      <c r="G2466" s="43">
        <v>44841.729166666664</v>
      </c>
      <c r="H2466">
        <v>16</v>
      </c>
      <c r="I2466">
        <v>30</v>
      </c>
      <c r="J2466">
        <v>17</v>
      </c>
      <c r="K2466">
        <v>30</v>
      </c>
      <c r="L2466">
        <v>2022</v>
      </c>
      <c r="N2466" t="s">
        <v>47</v>
      </c>
      <c r="O2466" t="s">
        <v>47</v>
      </c>
      <c r="P2466" t="s">
        <v>5092</v>
      </c>
    </row>
    <row r="2467" spans="1:16" x14ac:dyDescent="0.3">
      <c r="A2467" t="s">
        <v>7</v>
      </c>
      <c r="C2467">
        <v>20</v>
      </c>
      <c r="D2467" t="s">
        <v>10</v>
      </c>
      <c r="F2467" s="43">
        <v>44841.604166666664</v>
      </c>
      <c r="G2467" s="43">
        <v>44841.618055555555</v>
      </c>
      <c r="H2467">
        <v>14</v>
      </c>
      <c r="I2467">
        <v>30</v>
      </c>
      <c r="J2467">
        <v>14</v>
      </c>
      <c r="K2467">
        <v>50</v>
      </c>
      <c r="L2467">
        <v>2022</v>
      </c>
      <c r="N2467" t="s">
        <v>47</v>
      </c>
      <c r="O2467" t="s">
        <v>47</v>
      </c>
      <c r="P2467" t="s">
        <v>5091</v>
      </c>
    </row>
    <row r="2468" spans="1:16" x14ac:dyDescent="0.3">
      <c r="A2468" t="s">
        <v>5089</v>
      </c>
      <c r="C2468">
        <v>30</v>
      </c>
      <c r="D2468" t="s">
        <v>10</v>
      </c>
      <c r="F2468" s="43">
        <v>44841.583333333336</v>
      </c>
      <c r="G2468" s="43">
        <v>44841.604166666664</v>
      </c>
      <c r="H2468">
        <v>14</v>
      </c>
      <c r="I2468">
        <v>0</v>
      </c>
      <c r="J2468">
        <v>14</v>
      </c>
      <c r="K2468">
        <v>30</v>
      </c>
      <c r="L2468">
        <v>2022</v>
      </c>
      <c r="N2468" t="s">
        <v>47</v>
      </c>
      <c r="O2468" t="s">
        <v>47</v>
      </c>
      <c r="P2468" t="s">
        <v>5090</v>
      </c>
    </row>
    <row r="2469" spans="1:16" x14ac:dyDescent="0.3">
      <c r="A2469" t="s">
        <v>5082</v>
      </c>
      <c r="C2469">
        <v>60</v>
      </c>
      <c r="D2469" t="s">
        <v>10</v>
      </c>
      <c r="E2469" t="s">
        <v>501</v>
      </c>
      <c r="F2469" s="43">
        <v>44841.541666666664</v>
      </c>
      <c r="G2469" s="43">
        <v>44841.583333333336</v>
      </c>
      <c r="H2469">
        <v>13</v>
      </c>
      <c r="I2469">
        <v>0</v>
      </c>
      <c r="J2469">
        <v>14</v>
      </c>
      <c r="K2469">
        <v>0</v>
      </c>
      <c r="L2469">
        <v>2022</v>
      </c>
      <c r="N2469" t="s">
        <v>5083</v>
      </c>
      <c r="O2469" t="s">
        <v>47</v>
      </c>
      <c r="P2469" t="s">
        <v>5084</v>
      </c>
    </row>
    <row r="2470" spans="1:16" x14ac:dyDescent="0.3">
      <c r="A2470" t="s">
        <v>4577</v>
      </c>
      <c r="C2470">
        <v>30</v>
      </c>
      <c r="D2470" t="s">
        <v>10</v>
      </c>
      <c r="F2470" s="43">
        <v>44841.520833333336</v>
      </c>
      <c r="G2470" s="43">
        <v>44841.541666666664</v>
      </c>
      <c r="H2470">
        <v>12</v>
      </c>
      <c r="I2470">
        <v>30</v>
      </c>
      <c r="J2470">
        <v>13</v>
      </c>
      <c r="K2470">
        <v>0</v>
      </c>
      <c r="L2470">
        <v>2022</v>
      </c>
      <c r="N2470" t="s">
        <v>47</v>
      </c>
      <c r="O2470" t="s">
        <v>47</v>
      </c>
      <c r="P2470" t="s">
        <v>5071</v>
      </c>
    </row>
    <row r="2471" spans="1:16" x14ac:dyDescent="0.3">
      <c r="A2471" t="s">
        <v>5072</v>
      </c>
      <c r="C2471">
        <v>30</v>
      </c>
      <c r="D2471" t="s">
        <v>10</v>
      </c>
      <c r="F2471" s="43">
        <v>44841.479166666664</v>
      </c>
      <c r="G2471" s="43">
        <v>44841.5</v>
      </c>
      <c r="H2471">
        <v>11</v>
      </c>
      <c r="I2471">
        <v>30</v>
      </c>
      <c r="J2471">
        <v>12</v>
      </c>
      <c r="K2471">
        <v>0</v>
      </c>
      <c r="L2471">
        <v>2022</v>
      </c>
      <c r="N2471" t="s">
        <v>47</v>
      </c>
      <c r="O2471" t="s">
        <v>47</v>
      </c>
      <c r="P2471" t="s">
        <v>5073</v>
      </c>
    </row>
    <row r="2472" spans="1:16" x14ac:dyDescent="0.3">
      <c r="A2472" t="s">
        <v>5080</v>
      </c>
      <c r="C2472">
        <v>30</v>
      </c>
      <c r="D2472" t="s">
        <v>10</v>
      </c>
      <c r="E2472" t="s">
        <v>21</v>
      </c>
      <c r="F2472" s="43">
        <v>44841.458333333336</v>
      </c>
      <c r="G2472" s="43">
        <v>44841.479166666664</v>
      </c>
      <c r="H2472">
        <v>11</v>
      </c>
      <c r="I2472">
        <v>0</v>
      </c>
      <c r="J2472">
        <v>11</v>
      </c>
      <c r="K2472">
        <v>30</v>
      </c>
      <c r="L2472">
        <v>2022</v>
      </c>
      <c r="N2472" t="s">
        <v>55</v>
      </c>
      <c r="O2472" t="s">
        <v>50</v>
      </c>
      <c r="P2472" t="s">
        <v>5081</v>
      </c>
    </row>
    <row r="2473" spans="1:16" x14ac:dyDescent="0.3">
      <c r="A2473" t="s">
        <v>5065</v>
      </c>
      <c r="C2473">
        <v>30</v>
      </c>
      <c r="D2473" t="s">
        <v>10</v>
      </c>
      <c r="F2473" s="43">
        <v>44841.416666666664</v>
      </c>
      <c r="G2473" s="43">
        <v>44841.4375</v>
      </c>
      <c r="H2473">
        <v>10</v>
      </c>
      <c r="I2473">
        <v>0</v>
      </c>
      <c r="J2473">
        <v>10</v>
      </c>
      <c r="K2473">
        <v>30</v>
      </c>
      <c r="L2473">
        <v>2022</v>
      </c>
      <c r="N2473" t="s">
        <v>4365</v>
      </c>
      <c r="O2473" t="s">
        <v>783</v>
      </c>
      <c r="P2473" t="s">
        <v>5066</v>
      </c>
    </row>
    <row r="2474" spans="1:16" x14ac:dyDescent="0.3">
      <c r="A2474" t="s">
        <v>5033</v>
      </c>
      <c r="C2474">
        <v>30</v>
      </c>
      <c r="D2474" t="s">
        <v>10</v>
      </c>
      <c r="E2474" t="s">
        <v>3696</v>
      </c>
      <c r="F2474" s="43">
        <v>44841.375</v>
      </c>
      <c r="G2474" s="43">
        <v>44841.395833333336</v>
      </c>
      <c r="H2474">
        <v>9</v>
      </c>
      <c r="I2474">
        <v>0</v>
      </c>
      <c r="J2474">
        <v>9</v>
      </c>
      <c r="K2474">
        <v>30</v>
      </c>
      <c r="L2474">
        <v>2022</v>
      </c>
      <c r="N2474" t="s">
        <v>5034</v>
      </c>
      <c r="O2474" t="s">
        <v>3566</v>
      </c>
      <c r="P2474" t="s">
        <v>5035</v>
      </c>
    </row>
    <row r="2475" spans="1:16" x14ac:dyDescent="0.3">
      <c r="A2475" t="s">
        <v>4577</v>
      </c>
      <c r="C2475">
        <v>75</v>
      </c>
      <c r="D2475" t="s">
        <v>10</v>
      </c>
      <c r="F2475" s="43">
        <v>44841.322916666664</v>
      </c>
      <c r="G2475" s="43">
        <v>44841.375</v>
      </c>
      <c r="H2475">
        <v>7</v>
      </c>
      <c r="I2475">
        <v>45</v>
      </c>
      <c r="J2475">
        <v>9</v>
      </c>
      <c r="K2475">
        <v>0</v>
      </c>
      <c r="L2475">
        <v>2022</v>
      </c>
      <c r="N2475" t="s">
        <v>47</v>
      </c>
      <c r="O2475" t="s">
        <v>47</v>
      </c>
      <c r="P2475" t="s">
        <v>5070</v>
      </c>
    </row>
    <row r="2476" spans="1:16" x14ac:dyDescent="0.3">
      <c r="A2476" t="s">
        <v>5078</v>
      </c>
      <c r="C2476">
        <v>85</v>
      </c>
      <c r="D2476" t="s">
        <v>10</v>
      </c>
      <c r="F2476" s="43">
        <v>44841.239583333336</v>
      </c>
      <c r="G2476" s="43">
        <v>44841.298611111109</v>
      </c>
      <c r="H2476">
        <v>5</v>
      </c>
      <c r="I2476">
        <v>45</v>
      </c>
      <c r="J2476">
        <v>7</v>
      </c>
      <c r="K2476">
        <v>10</v>
      </c>
      <c r="L2476">
        <v>2022</v>
      </c>
      <c r="N2476" t="s">
        <v>47</v>
      </c>
      <c r="O2476" t="s">
        <v>47</v>
      </c>
      <c r="P2476" t="s">
        <v>5079</v>
      </c>
    </row>
    <row r="2477" spans="1:16" x14ac:dyDescent="0.3">
      <c r="A2477" t="s">
        <v>4577</v>
      </c>
      <c r="C2477">
        <v>45</v>
      </c>
      <c r="D2477" t="s">
        <v>10</v>
      </c>
      <c r="F2477" s="43">
        <v>44840.791666666664</v>
      </c>
      <c r="G2477" s="43">
        <v>44840.822916666664</v>
      </c>
      <c r="H2477">
        <v>19</v>
      </c>
      <c r="I2477">
        <v>0</v>
      </c>
      <c r="J2477">
        <v>19</v>
      </c>
      <c r="K2477">
        <v>45</v>
      </c>
      <c r="L2477">
        <v>2022</v>
      </c>
      <c r="N2477" t="s">
        <v>47</v>
      </c>
      <c r="O2477" t="s">
        <v>47</v>
      </c>
      <c r="P2477" t="s">
        <v>5088</v>
      </c>
    </row>
    <row r="2478" spans="1:16" x14ac:dyDescent="0.3">
      <c r="A2478" t="s">
        <v>4577</v>
      </c>
      <c r="C2478">
        <v>90</v>
      </c>
      <c r="D2478" t="s">
        <v>10</v>
      </c>
      <c r="F2478" s="43">
        <v>44840.708333333336</v>
      </c>
      <c r="G2478" s="43">
        <v>44840.770833333336</v>
      </c>
      <c r="H2478">
        <v>17</v>
      </c>
      <c r="I2478">
        <v>0</v>
      </c>
      <c r="J2478">
        <v>18</v>
      </c>
      <c r="K2478">
        <v>30</v>
      </c>
      <c r="L2478">
        <v>2022</v>
      </c>
      <c r="N2478" t="s">
        <v>47</v>
      </c>
      <c r="O2478" t="s">
        <v>47</v>
      </c>
      <c r="P2478" t="s">
        <v>5069</v>
      </c>
    </row>
    <row r="2479" spans="1:16" x14ac:dyDescent="0.3">
      <c r="A2479" t="s">
        <v>5067</v>
      </c>
      <c r="C2479">
        <v>30</v>
      </c>
      <c r="D2479" t="s">
        <v>10</v>
      </c>
      <c r="F2479" s="43">
        <v>44840.6875</v>
      </c>
      <c r="G2479" s="43">
        <v>44840.708333333336</v>
      </c>
      <c r="H2479">
        <v>16</v>
      </c>
      <c r="I2479">
        <v>30</v>
      </c>
      <c r="J2479">
        <v>17</v>
      </c>
      <c r="K2479">
        <v>0</v>
      </c>
      <c r="L2479">
        <v>2022</v>
      </c>
      <c r="N2479" t="s">
        <v>47</v>
      </c>
      <c r="O2479" t="s">
        <v>47</v>
      </c>
      <c r="P2479" t="s">
        <v>5068</v>
      </c>
    </row>
    <row r="2480" spans="1:16" x14ac:dyDescent="0.3">
      <c r="A2480" t="s">
        <v>5063</v>
      </c>
      <c r="C2480">
        <v>100</v>
      </c>
      <c r="D2480" t="s">
        <v>10</v>
      </c>
      <c r="F2480" s="43">
        <v>44840.583333333336</v>
      </c>
      <c r="G2480" s="43">
        <v>44840.652777777781</v>
      </c>
      <c r="H2480">
        <v>14</v>
      </c>
      <c r="I2480">
        <v>0</v>
      </c>
      <c r="J2480">
        <v>15</v>
      </c>
      <c r="K2480">
        <v>40</v>
      </c>
      <c r="L2480">
        <v>2022</v>
      </c>
      <c r="N2480" t="s">
        <v>47</v>
      </c>
      <c r="O2480" t="s">
        <v>47</v>
      </c>
      <c r="P2480" t="s">
        <v>5064</v>
      </c>
    </row>
    <row r="2481" spans="1:16" x14ac:dyDescent="0.3">
      <c r="A2481" t="s">
        <v>4790</v>
      </c>
      <c r="C2481">
        <v>15</v>
      </c>
      <c r="D2481" t="s">
        <v>10</v>
      </c>
      <c r="F2481" s="43">
        <v>44840.572916666664</v>
      </c>
      <c r="G2481" s="43">
        <v>44840.583333333336</v>
      </c>
      <c r="H2481">
        <v>13</v>
      </c>
      <c r="I2481">
        <v>45</v>
      </c>
      <c r="J2481">
        <v>14</v>
      </c>
      <c r="K2481">
        <v>0</v>
      </c>
      <c r="L2481">
        <v>2022</v>
      </c>
      <c r="N2481" t="s">
        <v>47</v>
      </c>
      <c r="O2481" t="s">
        <v>47</v>
      </c>
      <c r="P2481" t="s">
        <v>5062</v>
      </c>
    </row>
    <row r="2482" spans="1:16" x14ac:dyDescent="0.3">
      <c r="A2482" t="s">
        <v>5041</v>
      </c>
      <c r="C2482">
        <v>30</v>
      </c>
      <c r="D2482" t="s">
        <v>10</v>
      </c>
      <c r="E2482" t="s">
        <v>501</v>
      </c>
      <c r="F2482" s="43">
        <v>44840.552083333336</v>
      </c>
      <c r="G2482" s="43">
        <v>44840.572916666664</v>
      </c>
      <c r="H2482">
        <v>13</v>
      </c>
      <c r="I2482">
        <v>15</v>
      </c>
      <c r="J2482">
        <v>13</v>
      </c>
      <c r="K2482">
        <v>45</v>
      </c>
      <c r="L2482">
        <v>2022</v>
      </c>
      <c r="N2482" t="s">
        <v>4629</v>
      </c>
      <c r="O2482" t="s">
        <v>47</v>
      </c>
      <c r="P2482" t="s">
        <v>5042</v>
      </c>
    </row>
    <row r="2483" spans="1:16" x14ac:dyDescent="0.3">
      <c r="A2483" t="s">
        <v>4906</v>
      </c>
      <c r="C2483">
        <v>60</v>
      </c>
      <c r="D2483" t="s">
        <v>10</v>
      </c>
      <c r="F2483" s="43">
        <v>44840.489583333336</v>
      </c>
      <c r="G2483" s="43">
        <v>44840.53125</v>
      </c>
      <c r="H2483">
        <v>11</v>
      </c>
      <c r="I2483">
        <v>45</v>
      </c>
      <c r="J2483">
        <v>12</v>
      </c>
      <c r="K2483">
        <v>45</v>
      </c>
      <c r="L2483">
        <v>2022</v>
      </c>
      <c r="N2483" t="s">
        <v>47</v>
      </c>
      <c r="O2483" t="s">
        <v>47</v>
      </c>
      <c r="P2483" t="s">
        <v>5061</v>
      </c>
    </row>
    <row r="2484" spans="1:16" x14ac:dyDescent="0.3">
      <c r="A2484" t="s">
        <v>5049</v>
      </c>
      <c r="C2484">
        <v>30</v>
      </c>
      <c r="D2484" t="s">
        <v>10</v>
      </c>
      <c r="F2484" s="43">
        <v>44840.4375</v>
      </c>
      <c r="G2484" s="43">
        <v>44840.458333333336</v>
      </c>
      <c r="H2484">
        <v>10</v>
      </c>
      <c r="I2484">
        <v>30</v>
      </c>
      <c r="J2484">
        <v>11</v>
      </c>
      <c r="K2484">
        <v>0</v>
      </c>
      <c r="L2484">
        <v>2022</v>
      </c>
      <c r="N2484" t="s">
        <v>4365</v>
      </c>
      <c r="O2484" t="s">
        <v>783</v>
      </c>
      <c r="P2484" t="s">
        <v>5050</v>
      </c>
    </row>
    <row r="2485" spans="1:16" x14ac:dyDescent="0.3">
      <c r="A2485" t="s">
        <v>4440</v>
      </c>
      <c r="C2485">
        <v>45</v>
      </c>
      <c r="D2485" t="s">
        <v>10</v>
      </c>
      <c r="F2485" s="43">
        <v>44840.40625</v>
      </c>
      <c r="G2485" s="43">
        <v>44840.4375</v>
      </c>
      <c r="H2485">
        <v>9</v>
      </c>
      <c r="I2485">
        <v>45</v>
      </c>
      <c r="J2485">
        <v>10</v>
      </c>
      <c r="K2485">
        <v>30</v>
      </c>
      <c r="L2485">
        <v>2022</v>
      </c>
      <c r="N2485" t="s">
        <v>47</v>
      </c>
      <c r="O2485" t="s">
        <v>47</v>
      </c>
      <c r="P2485" t="s">
        <v>5048</v>
      </c>
    </row>
    <row r="2486" spans="1:16" x14ac:dyDescent="0.3">
      <c r="A2486" t="s">
        <v>5053</v>
      </c>
      <c r="C2486">
        <v>45</v>
      </c>
      <c r="D2486" t="s">
        <v>10</v>
      </c>
      <c r="E2486" t="s">
        <v>21</v>
      </c>
      <c r="F2486" s="43">
        <v>44840.364583333336</v>
      </c>
      <c r="G2486" s="43">
        <v>44840.395833333336</v>
      </c>
      <c r="H2486">
        <v>8</v>
      </c>
      <c r="I2486">
        <v>45</v>
      </c>
      <c r="J2486">
        <v>9</v>
      </c>
      <c r="K2486">
        <v>30</v>
      </c>
      <c r="L2486">
        <v>2022</v>
      </c>
      <c r="N2486" t="s">
        <v>4493</v>
      </c>
      <c r="O2486" t="s">
        <v>50</v>
      </c>
      <c r="P2486" t="s">
        <v>5054</v>
      </c>
    </row>
    <row r="2487" spans="1:16" x14ac:dyDescent="0.3">
      <c r="A2487" t="s">
        <v>5051</v>
      </c>
      <c r="C2487">
        <v>40</v>
      </c>
      <c r="D2487" t="s">
        <v>10</v>
      </c>
      <c r="F2487" s="43">
        <v>44840.319444444445</v>
      </c>
      <c r="G2487" s="43">
        <v>44840.347222222219</v>
      </c>
      <c r="H2487">
        <v>7</v>
      </c>
      <c r="I2487">
        <v>40</v>
      </c>
      <c r="J2487">
        <v>8</v>
      </c>
      <c r="K2487">
        <v>20</v>
      </c>
      <c r="L2487">
        <v>2022</v>
      </c>
      <c r="N2487" t="s">
        <v>47</v>
      </c>
      <c r="O2487" t="s">
        <v>47</v>
      </c>
      <c r="P2487" t="s">
        <v>5052</v>
      </c>
    </row>
    <row r="2488" spans="1:16" x14ac:dyDescent="0.3">
      <c r="A2488" t="s">
        <v>17</v>
      </c>
      <c r="C2488">
        <v>30</v>
      </c>
      <c r="D2488" t="s">
        <v>10</v>
      </c>
      <c r="F2488" s="43">
        <v>44840.270833333336</v>
      </c>
      <c r="G2488" s="43">
        <v>44840.291666666664</v>
      </c>
      <c r="H2488">
        <v>6</v>
      </c>
      <c r="I2488">
        <v>30</v>
      </c>
      <c r="J2488">
        <v>7</v>
      </c>
      <c r="K2488">
        <v>0</v>
      </c>
      <c r="L2488">
        <v>2022</v>
      </c>
      <c r="N2488" t="s">
        <v>47</v>
      </c>
      <c r="O2488" t="s">
        <v>47</v>
      </c>
      <c r="P2488" t="s">
        <v>5058</v>
      </c>
    </row>
    <row r="2489" spans="1:16" x14ac:dyDescent="0.3">
      <c r="A2489" t="s">
        <v>8</v>
      </c>
      <c r="C2489">
        <v>30</v>
      </c>
      <c r="D2489" t="s">
        <v>10</v>
      </c>
      <c r="F2489" s="43">
        <v>44840.25</v>
      </c>
      <c r="G2489" s="43">
        <v>44840.270833333336</v>
      </c>
      <c r="H2489">
        <v>6</v>
      </c>
      <c r="I2489">
        <v>0</v>
      </c>
      <c r="J2489">
        <v>6</v>
      </c>
      <c r="K2489">
        <v>30</v>
      </c>
      <c r="L2489">
        <v>2022</v>
      </c>
      <c r="N2489" t="s">
        <v>47</v>
      </c>
      <c r="O2489" t="s">
        <v>47</v>
      </c>
      <c r="P2489" t="s">
        <v>5059</v>
      </c>
    </row>
    <row r="2490" spans="1:16" x14ac:dyDescent="0.3">
      <c r="A2490" t="s">
        <v>4926</v>
      </c>
      <c r="C2490">
        <v>60</v>
      </c>
      <c r="D2490" t="s">
        <v>10</v>
      </c>
      <c r="F2490" s="43">
        <v>44840.208333333336</v>
      </c>
      <c r="G2490" s="43">
        <v>44840.25</v>
      </c>
      <c r="H2490">
        <v>5</v>
      </c>
      <c r="I2490">
        <v>0</v>
      </c>
      <c r="J2490">
        <v>6</v>
      </c>
      <c r="K2490">
        <v>0</v>
      </c>
      <c r="L2490">
        <v>2022</v>
      </c>
      <c r="N2490" t="s">
        <v>47</v>
      </c>
      <c r="O2490" t="s">
        <v>47</v>
      </c>
      <c r="P2490" t="s">
        <v>5060</v>
      </c>
    </row>
    <row r="2491" spans="1:16" x14ac:dyDescent="0.3">
      <c r="A2491" t="s">
        <v>5046</v>
      </c>
      <c r="C2491">
        <v>40</v>
      </c>
      <c r="D2491" t="s">
        <v>10</v>
      </c>
      <c r="F2491" s="43">
        <v>44839.770833333336</v>
      </c>
      <c r="G2491" s="43">
        <v>44839.798611111109</v>
      </c>
      <c r="H2491">
        <v>18</v>
      </c>
      <c r="I2491">
        <v>30</v>
      </c>
      <c r="J2491">
        <v>19</v>
      </c>
      <c r="K2491">
        <v>10</v>
      </c>
      <c r="L2491">
        <v>2022</v>
      </c>
      <c r="N2491" t="s">
        <v>47</v>
      </c>
      <c r="O2491" t="s">
        <v>47</v>
      </c>
      <c r="P2491" t="s">
        <v>5047</v>
      </c>
    </row>
    <row r="2492" spans="1:16" x14ac:dyDescent="0.3">
      <c r="A2492" t="s">
        <v>5014</v>
      </c>
      <c r="C2492">
        <v>45</v>
      </c>
      <c r="D2492" t="s">
        <v>10</v>
      </c>
      <c r="F2492" s="43">
        <v>44839.739583333336</v>
      </c>
      <c r="G2492" s="43">
        <v>44839.770833333336</v>
      </c>
      <c r="H2492">
        <v>17</v>
      </c>
      <c r="I2492">
        <v>45</v>
      </c>
      <c r="J2492">
        <v>18</v>
      </c>
      <c r="K2492">
        <v>30</v>
      </c>
      <c r="L2492">
        <v>2022</v>
      </c>
      <c r="N2492" t="s">
        <v>47</v>
      </c>
      <c r="O2492" t="s">
        <v>47</v>
      </c>
      <c r="P2492" t="s">
        <v>5045</v>
      </c>
    </row>
    <row r="2493" spans="1:16" x14ac:dyDescent="0.3">
      <c r="A2493" t="s">
        <v>7</v>
      </c>
      <c r="C2493">
        <v>45</v>
      </c>
      <c r="D2493" t="s">
        <v>10</v>
      </c>
      <c r="F2493" s="43">
        <v>44839.6875</v>
      </c>
      <c r="G2493" s="43">
        <v>44839.71875</v>
      </c>
      <c r="H2493">
        <v>16</v>
      </c>
      <c r="I2493">
        <v>30</v>
      </c>
      <c r="J2493">
        <v>17</v>
      </c>
      <c r="K2493">
        <v>15</v>
      </c>
      <c r="L2493">
        <v>2022</v>
      </c>
      <c r="N2493" t="s">
        <v>47</v>
      </c>
      <c r="O2493" t="s">
        <v>47</v>
      </c>
      <c r="P2493" t="s">
        <v>5044</v>
      </c>
    </row>
    <row r="2494" spans="1:16" x14ac:dyDescent="0.3">
      <c r="A2494" t="s">
        <v>5021</v>
      </c>
      <c r="C2494">
        <v>30</v>
      </c>
      <c r="D2494" t="s">
        <v>10</v>
      </c>
      <c r="E2494" t="s">
        <v>5022</v>
      </c>
      <c r="F2494" s="43">
        <v>44839.635416666664</v>
      </c>
      <c r="G2494" s="43">
        <v>44839.65625</v>
      </c>
      <c r="H2494">
        <v>15</v>
      </c>
      <c r="I2494">
        <v>15</v>
      </c>
      <c r="J2494">
        <v>15</v>
      </c>
      <c r="K2494">
        <v>45</v>
      </c>
      <c r="L2494">
        <v>2022</v>
      </c>
      <c r="N2494" t="s">
        <v>2169</v>
      </c>
      <c r="O2494" t="s">
        <v>2170</v>
      </c>
      <c r="P2494" t="s">
        <v>5023</v>
      </c>
    </row>
    <row r="2495" spans="1:16" x14ac:dyDescent="0.3">
      <c r="A2495" t="s">
        <v>5014</v>
      </c>
      <c r="C2495">
        <v>75</v>
      </c>
      <c r="D2495" t="s">
        <v>10</v>
      </c>
      <c r="F2495" s="43">
        <v>44839.583333333336</v>
      </c>
      <c r="G2495" s="43">
        <v>44839.635416666664</v>
      </c>
      <c r="H2495">
        <v>14</v>
      </c>
      <c r="I2495">
        <v>0</v>
      </c>
      <c r="J2495">
        <v>15</v>
      </c>
      <c r="K2495">
        <v>15</v>
      </c>
      <c r="L2495">
        <v>2022</v>
      </c>
      <c r="N2495" t="s">
        <v>47</v>
      </c>
      <c r="O2495" t="s">
        <v>47</v>
      </c>
      <c r="P2495" t="s">
        <v>5043</v>
      </c>
    </row>
    <row r="2496" spans="1:16" x14ac:dyDescent="0.3">
      <c r="A2496" t="s">
        <v>5036</v>
      </c>
      <c r="C2496">
        <v>15</v>
      </c>
      <c r="D2496" t="s">
        <v>10</v>
      </c>
      <c r="F2496" s="43">
        <v>44839.572916666664</v>
      </c>
      <c r="G2496" s="43">
        <v>44839.583333333336</v>
      </c>
      <c r="H2496">
        <v>13</v>
      </c>
      <c r="I2496">
        <v>45</v>
      </c>
      <c r="J2496">
        <v>14</v>
      </c>
      <c r="K2496">
        <v>0</v>
      </c>
      <c r="L2496">
        <v>2022</v>
      </c>
      <c r="N2496" t="s">
        <v>47</v>
      </c>
      <c r="O2496" t="s">
        <v>47</v>
      </c>
      <c r="P2496" t="s">
        <v>5037</v>
      </c>
    </row>
    <row r="2497" spans="1:16" x14ac:dyDescent="0.3">
      <c r="A2497" t="s">
        <v>5014</v>
      </c>
      <c r="C2497">
        <v>15</v>
      </c>
      <c r="D2497" t="s">
        <v>10</v>
      </c>
      <c r="F2497" s="43">
        <v>44839.53125</v>
      </c>
      <c r="G2497" s="43">
        <v>44839.541666666664</v>
      </c>
      <c r="H2497">
        <v>12</v>
      </c>
      <c r="I2497">
        <v>45</v>
      </c>
      <c r="J2497">
        <v>13</v>
      </c>
      <c r="K2497">
        <v>0</v>
      </c>
      <c r="L2497">
        <v>2022</v>
      </c>
      <c r="N2497" t="s">
        <v>47</v>
      </c>
      <c r="O2497" t="s">
        <v>47</v>
      </c>
      <c r="P2497" t="s">
        <v>5015</v>
      </c>
    </row>
    <row r="2498" spans="1:16" x14ac:dyDescent="0.3">
      <c r="A2498" t="s">
        <v>8</v>
      </c>
      <c r="C2498">
        <v>25</v>
      </c>
      <c r="D2498" t="s">
        <v>10</v>
      </c>
      <c r="F2498" s="43">
        <v>44839.510416666664</v>
      </c>
      <c r="G2498" s="43">
        <v>44839.527777777781</v>
      </c>
      <c r="H2498">
        <v>12</v>
      </c>
      <c r="I2498">
        <v>15</v>
      </c>
      <c r="J2498">
        <v>12</v>
      </c>
      <c r="K2498">
        <v>40</v>
      </c>
      <c r="L2498">
        <v>2022</v>
      </c>
      <c r="N2498" t="s">
        <v>47</v>
      </c>
      <c r="O2498" t="s">
        <v>47</v>
      </c>
      <c r="P2498" t="s">
        <v>5016</v>
      </c>
    </row>
    <row r="2499" spans="1:16" x14ac:dyDescent="0.3">
      <c r="A2499" t="s">
        <v>17</v>
      </c>
      <c r="C2499">
        <v>20</v>
      </c>
      <c r="D2499" t="s">
        <v>10</v>
      </c>
      <c r="F2499" s="43">
        <v>44839.5</v>
      </c>
      <c r="G2499" s="43">
        <v>44839.513888888891</v>
      </c>
      <c r="H2499">
        <v>12</v>
      </c>
      <c r="I2499">
        <v>0</v>
      </c>
      <c r="J2499">
        <v>12</v>
      </c>
      <c r="K2499">
        <v>20</v>
      </c>
      <c r="L2499">
        <v>2022</v>
      </c>
      <c r="N2499" t="s">
        <v>47</v>
      </c>
      <c r="O2499" t="s">
        <v>47</v>
      </c>
      <c r="P2499" t="s">
        <v>5017</v>
      </c>
    </row>
    <row r="2500" spans="1:16" x14ac:dyDescent="0.3">
      <c r="A2500" t="s">
        <v>1222</v>
      </c>
      <c r="C2500">
        <v>30</v>
      </c>
      <c r="D2500" t="s">
        <v>10</v>
      </c>
      <c r="F2500" s="43">
        <v>44839.479166666664</v>
      </c>
      <c r="G2500" s="43">
        <v>44839.5</v>
      </c>
      <c r="H2500">
        <v>11</v>
      </c>
      <c r="I2500">
        <v>30</v>
      </c>
      <c r="J2500">
        <v>12</v>
      </c>
      <c r="K2500">
        <v>0</v>
      </c>
      <c r="L2500">
        <v>2022</v>
      </c>
      <c r="N2500" t="s">
        <v>47</v>
      </c>
      <c r="O2500" t="s">
        <v>47</v>
      </c>
      <c r="P2500" t="s">
        <v>5018</v>
      </c>
    </row>
    <row r="2501" spans="1:16" x14ac:dyDescent="0.3">
      <c r="A2501" t="s">
        <v>5019</v>
      </c>
      <c r="C2501">
        <v>30</v>
      </c>
      <c r="D2501" t="s">
        <v>10</v>
      </c>
      <c r="F2501" s="43">
        <v>44839.447916666664</v>
      </c>
      <c r="G2501" s="43">
        <v>44839.46875</v>
      </c>
      <c r="H2501">
        <v>10</v>
      </c>
      <c r="I2501">
        <v>45</v>
      </c>
      <c r="J2501">
        <v>11</v>
      </c>
      <c r="K2501">
        <v>15</v>
      </c>
      <c r="L2501">
        <v>2022</v>
      </c>
      <c r="N2501" t="s">
        <v>47</v>
      </c>
      <c r="O2501" t="s">
        <v>47</v>
      </c>
      <c r="P2501" t="s">
        <v>5020</v>
      </c>
    </row>
    <row r="2502" spans="1:16" x14ac:dyDescent="0.3">
      <c r="A2502" t="s">
        <v>5024</v>
      </c>
      <c r="C2502">
        <v>45</v>
      </c>
      <c r="D2502" t="s">
        <v>10</v>
      </c>
      <c r="F2502" s="43">
        <v>44839.40625</v>
      </c>
      <c r="G2502" s="43">
        <v>44839.4375</v>
      </c>
      <c r="H2502">
        <v>9</v>
      </c>
      <c r="I2502">
        <v>45</v>
      </c>
      <c r="J2502">
        <v>10</v>
      </c>
      <c r="K2502">
        <v>30</v>
      </c>
      <c r="L2502">
        <v>2022</v>
      </c>
      <c r="N2502" t="s">
        <v>47</v>
      </c>
      <c r="O2502" t="s">
        <v>47</v>
      </c>
      <c r="P2502" t="s">
        <v>5025</v>
      </c>
    </row>
    <row r="2503" spans="1:16" x14ac:dyDescent="0.3">
      <c r="A2503" t="s">
        <v>5026</v>
      </c>
      <c r="B2503" t="s">
        <v>20</v>
      </c>
      <c r="C2503">
        <v>30</v>
      </c>
      <c r="D2503" t="s">
        <v>10</v>
      </c>
      <c r="F2503" s="43">
        <v>44839.354166666664</v>
      </c>
      <c r="G2503" s="43">
        <v>44839.375</v>
      </c>
      <c r="H2503">
        <v>8</v>
      </c>
      <c r="I2503">
        <v>30</v>
      </c>
      <c r="J2503">
        <v>9</v>
      </c>
      <c r="K2503">
        <v>0</v>
      </c>
      <c r="L2503">
        <v>2022</v>
      </c>
      <c r="N2503" t="s">
        <v>47</v>
      </c>
      <c r="O2503" t="s">
        <v>47</v>
      </c>
      <c r="P2503" t="s">
        <v>5027</v>
      </c>
    </row>
    <row r="2504" spans="1:16" x14ac:dyDescent="0.3">
      <c r="A2504" t="s">
        <v>5030</v>
      </c>
      <c r="B2504" t="s">
        <v>20</v>
      </c>
      <c r="C2504">
        <v>30</v>
      </c>
      <c r="D2504" t="s">
        <v>10</v>
      </c>
      <c r="E2504" t="s">
        <v>501</v>
      </c>
      <c r="F2504" s="43">
        <v>44839.333333333336</v>
      </c>
      <c r="G2504" s="43">
        <v>44839.354166666664</v>
      </c>
      <c r="H2504">
        <v>8</v>
      </c>
      <c r="I2504">
        <v>0</v>
      </c>
      <c r="J2504">
        <v>8</v>
      </c>
      <c r="K2504">
        <v>30</v>
      </c>
      <c r="L2504">
        <v>2022</v>
      </c>
      <c r="N2504" t="s">
        <v>5031</v>
      </c>
      <c r="O2504" t="s">
        <v>47</v>
      </c>
      <c r="P2504" t="s">
        <v>5032</v>
      </c>
    </row>
    <row r="2505" spans="1:16" x14ac:dyDescent="0.3">
      <c r="A2505" t="s">
        <v>4342</v>
      </c>
      <c r="C2505">
        <v>20</v>
      </c>
      <c r="D2505" t="s">
        <v>10</v>
      </c>
      <c r="F2505" s="43">
        <v>44839.291666666664</v>
      </c>
      <c r="G2505" s="43">
        <v>44839.305555555555</v>
      </c>
      <c r="H2505">
        <v>7</v>
      </c>
      <c r="I2505">
        <v>0</v>
      </c>
      <c r="J2505">
        <v>7</v>
      </c>
      <c r="K2505">
        <v>20</v>
      </c>
      <c r="L2505">
        <v>2022</v>
      </c>
      <c r="N2505" t="s">
        <v>47</v>
      </c>
      <c r="O2505" t="s">
        <v>47</v>
      </c>
      <c r="P2505" t="s">
        <v>5028</v>
      </c>
    </row>
    <row r="2506" spans="1:16" x14ac:dyDescent="0.3">
      <c r="A2506" t="s">
        <v>8</v>
      </c>
      <c r="C2506">
        <v>45</v>
      </c>
      <c r="D2506" t="s">
        <v>10</v>
      </c>
      <c r="F2506" s="43">
        <v>44839.25</v>
      </c>
      <c r="G2506" s="43">
        <v>44839.28125</v>
      </c>
      <c r="H2506">
        <v>6</v>
      </c>
      <c r="I2506">
        <v>0</v>
      </c>
      <c r="J2506">
        <v>6</v>
      </c>
      <c r="K2506">
        <v>45</v>
      </c>
      <c r="L2506">
        <v>2022</v>
      </c>
      <c r="N2506" t="s">
        <v>47</v>
      </c>
      <c r="O2506" t="s">
        <v>47</v>
      </c>
      <c r="P2506" t="s">
        <v>5029</v>
      </c>
    </row>
    <row r="2507" spans="1:16" x14ac:dyDescent="0.3">
      <c r="A2507" t="s">
        <v>5003</v>
      </c>
      <c r="C2507">
        <v>15</v>
      </c>
      <c r="D2507" t="s">
        <v>10</v>
      </c>
      <c r="F2507" s="43">
        <v>44839.208333333336</v>
      </c>
      <c r="G2507" s="43">
        <v>44839.21875</v>
      </c>
      <c r="H2507">
        <v>5</v>
      </c>
      <c r="I2507">
        <v>0</v>
      </c>
      <c r="J2507">
        <v>5</v>
      </c>
      <c r="K2507">
        <v>15</v>
      </c>
      <c r="L2507">
        <v>2022</v>
      </c>
      <c r="N2507" t="s">
        <v>1271</v>
      </c>
      <c r="O2507" t="s">
        <v>1272</v>
      </c>
      <c r="P2507" t="s">
        <v>5004</v>
      </c>
    </row>
    <row r="2508" spans="1:16" x14ac:dyDescent="0.3">
      <c r="A2508" t="s">
        <v>4985</v>
      </c>
      <c r="C2508">
        <v>60</v>
      </c>
      <c r="D2508" t="s">
        <v>10</v>
      </c>
      <c r="F2508" s="43">
        <v>44838.770833333336</v>
      </c>
      <c r="G2508" s="43">
        <v>44838.8125</v>
      </c>
      <c r="H2508">
        <v>18</v>
      </c>
      <c r="I2508">
        <v>30</v>
      </c>
      <c r="J2508">
        <v>19</v>
      </c>
      <c r="K2508">
        <v>30</v>
      </c>
      <c r="L2508">
        <v>2022</v>
      </c>
      <c r="N2508" t="s">
        <v>47</v>
      </c>
      <c r="O2508" t="s">
        <v>47</v>
      </c>
      <c r="P2508" t="s">
        <v>4998</v>
      </c>
    </row>
    <row r="2509" spans="1:16" x14ac:dyDescent="0.3">
      <c r="A2509" t="s">
        <v>4985</v>
      </c>
      <c r="C2509">
        <v>30</v>
      </c>
      <c r="D2509" t="s">
        <v>10</v>
      </c>
      <c r="F2509" s="43">
        <v>44838.739583333336</v>
      </c>
      <c r="G2509" s="43">
        <v>44838.760416666664</v>
      </c>
      <c r="H2509">
        <v>17</v>
      </c>
      <c r="I2509">
        <v>45</v>
      </c>
      <c r="J2509">
        <v>18</v>
      </c>
      <c r="K2509">
        <v>15</v>
      </c>
      <c r="L2509">
        <v>2022</v>
      </c>
      <c r="N2509" t="s">
        <v>47</v>
      </c>
      <c r="O2509" t="s">
        <v>47</v>
      </c>
      <c r="P2509" t="s">
        <v>4999</v>
      </c>
    </row>
    <row r="2510" spans="1:16" x14ac:dyDescent="0.3">
      <c r="A2510" t="s">
        <v>4985</v>
      </c>
      <c r="C2510">
        <v>30</v>
      </c>
      <c r="D2510" t="s">
        <v>10</v>
      </c>
      <c r="F2510" s="43">
        <v>44838.697916666664</v>
      </c>
      <c r="G2510" s="43">
        <v>44838.71875</v>
      </c>
      <c r="H2510">
        <v>16</v>
      </c>
      <c r="I2510">
        <v>45</v>
      </c>
      <c r="J2510">
        <v>17</v>
      </c>
      <c r="K2510">
        <v>15</v>
      </c>
      <c r="L2510">
        <v>2022</v>
      </c>
      <c r="N2510" t="s">
        <v>47</v>
      </c>
      <c r="O2510" t="s">
        <v>47</v>
      </c>
      <c r="P2510" t="s">
        <v>5000</v>
      </c>
    </row>
    <row r="2511" spans="1:16" x14ac:dyDescent="0.3">
      <c r="A2511" t="s">
        <v>783</v>
      </c>
      <c r="C2511">
        <v>30</v>
      </c>
      <c r="D2511" t="s">
        <v>10</v>
      </c>
      <c r="F2511" s="43">
        <v>44838.645833333336</v>
      </c>
      <c r="G2511" s="43">
        <v>44838.666666666664</v>
      </c>
      <c r="H2511">
        <v>15</v>
      </c>
      <c r="I2511">
        <v>30</v>
      </c>
      <c r="J2511">
        <v>16</v>
      </c>
      <c r="K2511">
        <v>0</v>
      </c>
      <c r="L2511">
        <v>2022</v>
      </c>
      <c r="N2511" t="s">
        <v>47</v>
      </c>
      <c r="O2511" t="s">
        <v>47</v>
      </c>
      <c r="P2511" t="s">
        <v>5002</v>
      </c>
    </row>
    <row r="2512" spans="1:16" x14ac:dyDescent="0.3">
      <c r="A2512" t="s">
        <v>5012</v>
      </c>
      <c r="C2512">
        <v>30</v>
      </c>
      <c r="D2512" t="s">
        <v>10</v>
      </c>
      <c r="F2512" s="43">
        <v>44838.625</v>
      </c>
      <c r="G2512" s="43">
        <v>44838.645833333336</v>
      </c>
      <c r="H2512">
        <v>15</v>
      </c>
      <c r="I2512">
        <v>0</v>
      </c>
      <c r="J2512">
        <v>15</v>
      </c>
      <c r="K2512">
        <v>30</v>
      </c>
      <c r="L2512">
        <v>2022</v>
      </c>
      <c r="N2512" t="s">
        <v>4365</v>
      </c>
      <c r="O2512" t="s">
        <v>783</v>
      </c>
      <c r="P2512" t="s">
        <v>5013</v>
      </c>
    </row>
    <row r="2513" spans="1:16" x14ac:dyDescent="0.3">
      <c r="A2513" t="s">
        <v>7</v>
      </c>
      <c r="C2513">
        <v>30</v>
      </c>
      <c r="D2513" t="s">
        <v>10</v>
      </c>
      <c r="E2513" s="44"/>
      <c r="F2513" s="43">
        <v>44838.604166666664</v>
      </c>
      <c r="G2513" s="43">
        <v>44838.625</v>
      </c>
      <c r="H2513">
        <v>14</v>
      </c>
      <c r="I2513">
        <v>30</v>
      </c>
      <c r="J2513">
        <v>15</v>
      </c>
      <c r="K2513">
        <v>0</v>
      </c>
      <c r="L2513">
        <v>2022</v>
      </c>
      <c r="N2513" t="s">
        <v>47</v>
      </c>
      <c r="O2513" t="s">
        <v>47</v>
      </c>
      <c r="P2513" t="s">
        <v>5001</v>
      </c>
    </row>
    <row r="2514" spans="1:16" x14ac:dyDescent="0.3">
      <c r="A2514" t="s">
        <v>3834</v>
      </c>
      <c r="C2514">
        <v>30</v>
      </c>
      <c r="D2514" t="s">
        <v>10</v>
      </c>
      <c r="F2514" s="43">
        <v>44838.583333333336</v>
      </c>
      <c r="G2514" s="43">
        <v>44838.604166666664</v>
      </c>
      <c r="H2514">
        <v>14</v>
      </c>
      <c r="I2514">
        <v>0</v>
      </c>
      <c r="J2514">
        <v>14</v>
      </c>
      <c r="K2514">
        <v>30</v>
      </c>
      <c r="L2514">
        <v>2022</v>
      </c>
      <c r="N2514" t="s">
        <v>47</v>
      </c>
      <c r="O2514" t="s">
        <v>47</v>
      </c>
      <c r="P2514" t="s">
        <v>3835</v>
      </c>
    </row>
    <row r="2515" spans="1:16" ht="72" x14ac:dyDescent="0.3">
      <c r="A2515" t="s">
        <v>4915</v>
      </c>
      <c r="C2515">
        <v>90</v>
      </c>
      <c r="D2515" t="s">
        <v>10</v>
      </c>
      <c r="E2515" s="44" t="s">
        <v>4916</v>
      </c>
      <c r="F2515" s="43">
        <v>44838.520833333336</v>
      </c>
      <c r="G2515" s="43">
        <v>44838.583333333336</v>
      </c>
      <c r="H2515">
        <v>12</v>
      </c>
      <c r="I2515">
        <v>30</v>
      </c>
      <c r="J2515">
        <v>14</v>
      </c>
      <c r="K2515">
        <v>0</v>
      </c>
      <c r="L2515">
        <v>2022</v>
      </c>
      <c r="N2515" t="s">
        <v>4283</v>
      </c>
      <c r="O2515" t="s">
        <v>3774</v>
      </c>
      <c r="P2515" t="s">
        <v>4917</v>
      </c>
    </row>
    <row r="2516" spans="1:16" x14ac:dyDescent="0.3">
      <c r="A2516" t="s">
        <v>17</v>
      </c>
      <c r="C2516">
        <v>30</v>
      </c>
      <c r="D2516" t="s">
        <v>10</v>
      </c>
      <c r="F2516" s="43">
        <v>44838.489583333336</v>
      </c>
      <c r="G2516" s="43">
        <v>44838.510416666664</v>
      </c>
      <c r="H2516">
        <v>11</v>
      </c>
      <c r="I2516">
        <v>45</v>
      </c>
      <c r="J2516">
        <v>12</v>
      </c>
      <c r="K2516">
        <v>15</v>
      </c>
      <c r="L2516">
        <v>2022</v>
      </c>
      <c r="N2516" t="s">
        <v>47</v>
      </c>
      <c r="O2516" t="s">
        <v>47</v>
      </c>
      <c r="P2516" t="s">
        <v>5005</v>
      </c>
    </row>
    <row r="2517" spans="1:16" x14ac:dyDescent="0.3">
      <c r="A2517" t="s">
        <v>4985</v>
      </c>
      <c r="C2517">
        <v>30</v>
      </c>
      <c r="D2517" t="s">
        <v>10</v>
      </c>
      <c r="F2517" s="43">
        <v>44838.472222222219</v>
      </c>
      <c r="G2517" s="43">
        <v>44838.493055555555</v>
      </c>
      <c r="H2517">
        <v>11</v>
      </c>
      <c r="I2517">
        <v>20</v>
      </c>
      <c r="J2517">
        <v>11</v>
      </c>
      <c r="K2517">
        <v>50</v>
      </c>
      <c r="L2517">
        <v>2022</v>
      </c>
      <c r="N2517" t="s">
        <v>47</v>
      </c>
      <c r="O2517" t="s">
        <v>47</v>
      </c>
      <c r="P2517" t="s">
        <v>5006</v>
      </c>
    </row>
    <row r="2518" spans="1:16" x14ac:dyDescent="0.3">
      <c r="A2518" t="s">
        <v>5007</v>
      </c>
      <c r="C2518">
        <v>20</v>
      </c>
      <c r="D2518" t="s">
        <v>10</v>
      </c>
      <c r="F2518" s="43">
        <v>44838.458333333336</v>
      </c>
      <c r="G2518" s="43">
        <v>44838.472222222219</v>
      </c>
      <c r="H2518">
        <v>11</v>
      </c>
      <c r="I2518">
        <v>0</v>
      </c>
      <c r="J2518">
        <v>11</v>
      </c>
      <c r="K2518">
        <v>20</v>
      </c>
      <c r="L2518">
        <v>2022</v>
      </c>
      <c r="N2518" t="s">
        <v>47</v>
      </c>
      <c r="O2518" t="s">
        <v>47</v>
      </c>
      <c r="P2518" t="s">
        <v>5008</v>
      </c>
    </row>
    <row r="2519" spans="1:16" x14ac:dyDescent="0.3">
      <c r="A2519" t="s">
        <v>4977</v>
      </c>
      <c r="C2519">
        <v>30</v>
      </c>
      <c r="D2519" t="s">
        <v>10</v>
      </c>
      <c r="E2519" t="s">
        <v>21</v>
      </c>
      <c r="F2519" s="43">
        <v>44838.4375</v>
      </c>
      <c r="G2519" s="43">
        <v>44838.458333333336</v>
      </c>
      <c r="H2519">
        <v>10</v>
      </c>
      <c r="I2519">
        <v>30</v>
      </c>
      <c r="J2519">
        <v>11</v>
      </c>
      <c r="K2519">
        <v>0</v>
      </c>
      <c r="L2519">
        <v>2022</v>
      </c>
      <c r="N2519" t="s">
        <v>4978</v>
      </c>
      <c r="O2519" t="s">
        <v>50</v>
      </c>
      <c r="P2519" t="s">
        <v>4979</v>
      </c>
    </row>
    <row r="2520" spans="1:16" x14ac:dyDescent="0.3">
      <c r="A2520" t="s">
        <v>4985</v>
      </c>
      <c r="C2520">
        <v>40</v>
      </c>
      <c r="D2520" t="s">
        <v>10</v>
      </c>
      <c r="F2520" s="43">
        <v>44838.409722222219</v>
      </c>
      <c r="G2520" s="43">
        <v>44838.4375</v>
      </c>
      <c r="H2520">
        <v>9</v>
      </c>
      <c r="I2520">
        <v>50</v>
      </c>
      <c r="J2520">
        <v>10</v>
      </c>
      <c r="K2520">
        <v>30</v>
      </c>
      <c r="L2520">
        <v>2022</v>
      </c>
      <c r="N2520" t="s">
        <v>47</v>
      </c>
      <c r="O2520" t="s">
        <v>47</v>
      </c>
      <c r="P2520" t="s">
        <v>5009</v>
      </c>
    </row>
    <row r="2521" spans="1:16" x14ac:dyDescent="0.3">
      <c r="A2521" t="s">
        <v>4985</v>
      </c>
      <c r="C2521">
        <v>30</v>
      </c>
      <c r="D2521" t="s">
        <v>10</v>
      </c>
      <c r="F2521" s="43">
        <v>44838.364583333336</v>
      </c>
      <c r="G2521" s="43">
        <v>44838.385416666664</v>
      </c>
      <c r="H2521">
        <v>8</v>
      </c>
      <c r="I2521">
        <v>45</v>
      </c>
      <c r="J2521">
        <v>9</v>
      </c>
      <c r="K2521">
        <v>15</v>
      </c>
      <c r="L2521">
        <v>2022</v>
      </c>
      <c r="N2521" t="s">
        <v>47</v>
      </c>
      <c r="O2521" t="s">
        <v>47</v>
      </c>
      <c r="P2521" t="s">
        <v>5010</v>
      </c>
    </row>
    <row r="2522" spans="1:16" x14ac:dyDescent="0.3">
      <c r="A2522" t="s">
        <v>4985</v>
      </c>
      <c r="C2522">
        <v>30</v>
      </c>
      <c r="D2522" t="s">
        <v>10</v>
      </c>
      <c r="F2522" s="43">
        <v>44838.333333333336</v>
      </c>
      <c r="G2522" s="43">
        <v>44838.354166666664</v>
      </c>
      <c r="H2522">
        <v>8</v>
      </c>
      <c r="I2522">
        <v>0</v>
      </c>
      <c r="J2522">
        <v>8</v>
      </c>
      <c r="K2522">
        <v>30</v>
      </c>
      <c r="L2522">
        <v>2022</v>
      </c>
      <c r="N2522" t="s">
        <v>47</v>
      </c>
      <c r="O2522" t="s">
        <v>47</v>
      </c>
      <c r="P2522" t="s">
        <v>5011</v>
      </c>
    </row>
    <row r="2523" spans="1:16" x14ac:dyDescent="0.3">
      <c r="A2523" t="s">
        <v>4985</v>
      </c>
      <c r="C2523">
        <v>30</v>
      </c>
      <c r="D2523" t="s">
        <v>10</v>
      </c>
      <c r="F2523" s="43">
        <v>44838.291666666664</v>
      </c>
      <c r="G2523" s="43">
        <v>44838.3125</v>
      </c>
      <c r="H2523">
        <v>7</v>
      </c>
      <c r="I2523">
        <v>0</v>
      </c>
      <c r="J2523">
        <v>7</v>
      </c>
      <c r="K2523">
        <v>30</v>
      </c>
      <c r="L2523">
        <v>2022</v>
      </c>
      <c r="N2523" t="s">
        <v>47</v>
      </c>
      <c r="O2523" t="s">
        <v>47</v>
      </c>
      <c r="P2523" t="s">
        <v>4997</v>
      </c>
    </row>
    <row r="2524" spans="1:16" x14ac:dyDescent="0.3">
      <c r="A2524" t="s">
        <v>4985</v>
      </c>
      <c r="C2524">
        <v>45</v>
      </c>
      <c r="D2524" t="s">
        <v>10</v>
      </c>
      <c r="F2524" s="43">
        <v>44838.229166666664</v>
      </c>
      <c r="G2524" s="43">
        <v>44838.260416666664</v>
      </c>
      <c r="H2524">
        <v>5</v>
      </c>
      <c r="I2524">
        <v>30</v>
      </c>
      <c r="J2524">
        <v>6</v>
      </c>
      <c r="K2524">
        <v>15</v>
      </c>
      <c r="L2524">
        <v>2022</v>
      </c>
      <c r="N2524" t="s">
        <v>47</v>
      </c>
      <c r="O2524" t="s">
        <v>47</v>
      </c>
      <c r="P2524" t="s">
        <v>4986</v>
      </c>
    </row>
    <row r="2525" spans="1:16" x14ac:dyDescent="0.3">
      <c r="A2525" t="s">
        <v>4926</v>
      </c>
      <c r="C2525">
        <v>30</v>
      </c>
      <c r="D2525" t="s">
        <v>10</v>
      </c>
      <c r="F2525" s="43">
        <v>44838.208333333336</v>
      </c>
      <c r="G2525" s="43">
        <v>44838.229166666664</v>
      </c>
      <c r="H2525">
        <v>5</v>
      </c>
      <c r="I2525">
        <v>0</v>
      </c>
      <c r="J2525">
        <v>5</v>
      </c>
      <c r="K2525">
        <v>30</v>
      </c>
      <c r="L2525">
        <v>2022</v>
      </c>
      <c r="N2525" t="s">
        <v>47</v>
      </c>
      <c r="O2525" t="s">
        <v>47</v>
      </c>
      <c r="P2525" t="s">
        <v>4987</v>
      </c>
    </row>
    <row r="2526" spans="1:16" x14ac:dyDescent="0.3">
      <c r="A2526" t="s">
        <v>4985</v>
      </c>
      <c r="C2526">
        <v>60</v>
      </c>
      <c r="D2526" t="s">
        <v>10</v>
      </c>
      <c r="F2526" s="43">
        <v>44837.78125</v>
      </c>
      <c r="G2526" s="43">
        <v>44837.822916666664</v>
      </c>
      <c r="H2526">
        <v>18</v>
      </c>
      <c r="I2526">
        <v>45</v>
      </c>
      <c r="J2526">
        <v>19</v>
      </c>
      <c r="K2526">
        <v>45</v>
      </c>
      <c r="L2526">
        <v>2022</v>
      </c>
      <c r="N2526" t="s">
        <v>47</v>
      </c>
      <c r="O2526" t="s">
        <v>47</v>
      </c>
      <c r="P2526" t="s">
        <v>4988</v>
      </c>
    </row>
    <row r="2527" spans="1:16" x14ac:dyDescent="0.3">
      <c r="A2527" t="s">
        <v>4985</v>
      </c>
      <c r="C2527">
        <v>45</v>
      </c>
      <c r="D2527" t="s">
        <v>10</v>
      </c>
      <c r="F2527" s="43">
        <v>44837.71875</v>
      </c>
      <c r="G2527" s="43">
        <v>44837.75</v>
      </c>
      <c r="H2527">
        <v>17</v>
      </c>
      <c r="I2527">
        <v>15</v>
      </c>
      <c r="J2527">
        <v>18</v>
      </c>
      <c r="K2527">
        <v>0</v>
      </c>
      <c r="L2527">
        <v>2022</v>
      </c>
      <c r="N2527" t="s">
        <v>47</v>
      </c>
      <c r="O2527" t="s">
        <v>47</v>
      </c>
      <c r="P2527" t="s">
        <v>4989</v>
      </c>
    </row>
    <row r="2528" spans="1:16" x14ac:dyDescent="0.3">
      <c r="A2528" t="s">
        <v>4985</v>
      </c>
      <c r="C2528">
        <v>15</v>
      </c>
      <c r="D2528" t="s">
        <v>10</v>
      </c>
      <c r="F2528" s="43">
        <v>44837.6875</v>
      </c>
      <c r="G2528" s="43">
        <v>44837.697916666664</v>
      </c>
      <c r="H2528">
        <v>16</v>
      </c>
      <c r="I2528">
        <v>30</v>
      </c>
      <c r="J2528">
        <v>16</v>
      </c>
      <c r="K2528">
        <v>45</v>
      </c>
      <c r="L2528">
        <v>2022</v>
      </c>
      <c r="N2528" t="s">
        <v>47</v>
      </c>
      <c r="O2528" t="s">
        <v>47</v>
      </c>
      <c r="P2528" t="s">
        <v>4990</v>
      </c>
    </row>
    <row r="2529" spans="1:16" x14ac:dyDescent="0.3">
      <c r="A2529" t="s">
        <v>4995</v>
      </c>
      <c r="C2529">
        <v>60</v>
      </c>
      <c r="D2529" t="s">
        <v>10</v>
      </c>
      <c r="F2529" s="43">
        <v>44837.604166666664</v>
      </c>
      <c r="G2529" s="43">
        <v>44837.645833333336</v>
      </c>
      <c r="H2529">
        <v>14</v>
      </c>
      <c r="I2529">
        <v>30</v>
      </c>
      <c r="J2529">
        <v>15</v>
      </c>
      <c r="K2529">
        <v>30</v>
      </c>
      <c r="L2529">
        <v>2022</v>
      </c>
      <c r="N2529" t="s">
        <v>47</v>
      </c>
      <c r="O2529" t="s">
        <v>47</v>
      </c>
      <c r="P2529" t="s">
        <v>4996</v>
      </c>
    </row>
    <row r="2530" spans="1:16" x14ac:dyDescent="0.3">
      <c r="A2530" t="s">
        <v>4953</v>
      </c>
      <c r="B2530" t="s">
        <v>20</v>
      </c>
      <c r="C2530">
        <v>30</v>
      </c>
      <c r="D2530" t="s">
        <v>10</v>
      </c>
      <c r="E2530" t="s">
        <v>501</v>
      </c>
      <c r="F2530" s="43">
        <v>44837.583333333336</v>
      </c>
      <c r="G2530" s="43">
        <v>44837.604166666664</v>
      </c>
      <c r="H2530">
        <v>14</v>
      </c>
      <c r="I2530">
        <v>0</v>
      </c>
      <c r="J2530">
        <v>14</v>
      </c>
      <c r="K2530">
        <v>30</v>
      </c>
      <c r="L2530">
        <v>2022</v>
      </c>
      <c r="N2530" t="s">
        <v>4954</v>
      </c>
      <c r="O2530" t="s">
        <v>47</v>
      </c>
      <c r="P2530" t="s">
        <v>4955</v>
      </c>
    </row>
    <row r="2531" spans="1:16" x14ac:dyDescent="0.3">
      <c r="A2531" t="s">
        <v>4246</v>
      </c>
      <c r="C2531">
        <v>60</v>
      </c>
      <c r="D2531" t="s">
        <v>10</v>
      </c>
      <c r="E2531" t="s">
        <v>4983</v>
      </c>
      <c r="F2531" s="43">
        <v>44837.5</v>
      </c>
      <c r="G2531" s="43">
        <v>44837.541666666664</v>
      </c>
      <c r="H2531">
        <v>12</v>
      </c>
      <c r="I2531">
        <v>0</v>
      </c>
      <c r="J2531">
        <v>13</v>
      </c>
      <c r="K2531">
        <v>0</v>
      </c>
      <c r="L2531">
        <v>2022</v>
      </c>
      <c r="N2531" t="s">
        <v>974</v>
      </c>
      <c r="O2531" t="s">
        <v>975</v>
      </c>
      <c r="P2531" t="s">
        <v>4984</v>
      </c>
    </row>
    <row r="2532" spans="1:16" x14ac:dyDescent="0.3">
      <c r="A2532" t="s">
        <v>4948</v>
      </c>
      <c r="C2532">
        <v>60</v>
      </c>
      <c r="D2532" t="s">
        <v>10</v>
      </c>
      <c r="F2532" s="43">
        <v>44837.458333333336</v>
      </c>
      <c r="G2532" s="43">
        <v>44837.5</v>
      </c>
      <c r="H2532">
        <v>11</v>
      </c>
      <c r="I2532">
        <v>0</v>
      </c>
      <c r="J2532">
        <v>12</v>
      </c>
      <c r="K2532">
        <v>0</v>
      </c>
      <c r="L2532">
        <v>2022</v>
      </c>
      <c r="N2532" t="s">
        <v>4949</v>
      </c>
      <c r="O2532" t="s">
        <v>783</v>
      </c>
      <c r="P2532" t="s">
        <v>4950</v>
      </c>
    </row>
    <row r="2533" spans="1:16" x14ac:dyDescent="0.3">
      <c r="A2533" t="s">
        <v>803</v>
      </c>
      <c r="C2533">
        <v>30</v>
      </c>
      <c r="D2533" t="s">
        <v>10</v>
      </c>
      <c r="E2533" t="s">
        <v>5</v>
      </c>
      <c r="F2533" s="43">
        <v>44837.458333333336</v>
      </c>
      <c r="G2533" s="43">
        <v>44837.479166666664</v>
      </c>
      <c r="H2533">
        <v>11</v>
      </c>
      <c r="I2533">
        <v>0</v>
      </c>
      <c r="J2533">
        <v>11</v>
      </c>
      <c r="K2533">
        <v>30</v>
      </c>
      <c r="L2533">
        <v>2022</v>
      </c>
      <c r="N2533" t="s">
        <v>1399</v>
      </c>
      <c r="O2533" t="s">
        <v>1241</v>
      </c>
      <c r="P2533" t="s">
        <v>4980</v>
      </c>
    </row>
    <row r="2534" spans="1:16" x14ac:dyDescent="0.3">
      <c r="A2534" t="s">
        <v>4943</v>
      </c>
      <c r="B2534" t="s">
        <v>20</v>
      </c>
      <c r="C2534">
        <v>45</v>
      </c>
      <c r="D2534" t="s">
        <v>10</v>
      </c>
      <c r="E2534" t="s">
        <v>5</v>
      </c>
      <c r="F2534" s="43">
        <v>44837.40625</v>
      </c>
      <c r="G2534" s="43">
        <v>44837.4375</v>
      </c>
      <c r="H2534">
        <v>9</v>
      </c>
      <c r="I2534">
        <v>45</v>
      </c>
      <c r="J2534">
        <v>10</v>
      </c>
      <c r="K2534">
        <v>30</v>
      </c>
      <c r="L2534">
        <v>2022</v>
      </c>
      <c r="N2534" t="s">
        <v>4944</v>
      </c>
      <c r="O2534" t="s">
        <v>956</v>
      </c>
      <c r="P2534" t="s">
        <v>4945</v>
      </c>
    </row>
    <row r="2535" spans="1:16" x14ac:dyDescent="0.3">
      <c r="A2535" t="s">
        <v>4991</v>
      </c>
      <c r="C2535">
        <v>30</v>
      </c>
      <c r="D2535" t="s">
        <v>10</v>
      </c>
      <c r="F2535" s="43">
        <v>44837.385416666664</v>
      </c>
      <c r="G2535" s="43">
        <v>44837.40625</v>
      </c>
      <c r="H2535">
        <v>9</v>
      </c>
      <c r="I2535">
        <v>15</v>
      </c>
      <c r="J2535">
        <v>9</v>
      </c>
      <c r="K2535">
        <v>45</v>
      </c>
      <c r="L2535">
        <v>2022</v>
      </c>
      <c r="N2535" t="s">
        <v>47</v>
      </c>
      <c r="O2535" t="s">
        <v>47</v>
      </c>
      <c r="P2535" t="s">
        <v>4992</v>
      </c>
    </row>
    <row r="2536" spans="1:16" x14ac:dyDescent="0.3">
      <c r="A2536" t="s">
        <v>4922</v>
      </c>
      <c r="B2536" t="s">
        <v>20</v>
      </c>
      <c r="C2536">
        <v>45</v>
      </c>
      <c r="D2536" t="s">
        <v>10</v>
      </c>
      <c r="E2536" t="s">
        <v>5</v>
      </c>
      <c r="F2536" s="43">
        <v>44837.333333333336</v>
      </c>
      <c r="G2536" s="43">
        <v>44837.364583333336</v>
      </c>
      <c r="H2536">
        <v>8</v>
      </c>
      <c r="I2536">
        <v>0</v>
      </c>
      <c r="J2536">
        <v>8</v>
      </c>
      <c r="K2536">
        <v>45</v>
      </c>
      <c r="L2536">
        <v>2022</v>
      </c>
      <c r="N2536" t="s">
        <v>4923</v>
      </c>
      <c r="O2536" t="s">
        <v>4489</v>
      </c>
      <c r="P2536" t="s">
        <v>4924</v>
      </c>
    </row>
    <row r="2537" spans="1:16" x14ac:dyDescent="0.3">
      <c r="A2537" t="s">
        <v>4993</v>
      </c>
      <c r="C2537">
        <v>60</v>
      </c>
      <c r="D2537" t="s">
        <v>10</v>
      </c>
      <c r="F2537" s="43">
        <v>44837.25</v>
      </c>
      <c r="G2537" s="43">
        <v>44837.291666666664</v>
      </c>
      <c r="H2537">
        <v>6</v>
      </c>
      <c r="I2537">
        <v>0</v>
      </c>
      <c r="J2537">
        <v>7</v>
      </c>
      <c r="K2537">
        <v>0</v>
      </c>
      <c r="L2537">
        <v>2022</v>
      </c>
      <c r="N2537" t="s">
        <v>47</v>
      </c>
      <c r="O2537" t="s">
        <v>47</v>
      </c>
      <c r="P2537" t="s">
        <v>4994</v>
      </c>
    </row>
    <row r="2538" spans="1:16" x14ac:dyDescent="0.3">
      <c r="A2538" t="s">
        <v>4981</v>
      </c>
      <c r="C2538">
        <v>40</v>
      </c>
      <c r="D2538" t="s">
        <v>10</v>
      </c>
      <c r="F2538" s="43">
        <v>44836.784722222219</v>
      </c>
      <c r="G2538" s="43">
        <v>44836.8125</v>
      </c>
      <c r="H2538">
        <v>18</v>
      </c>
      <c r="I2538">
        <v>50</v>
      </c>
      <c r="J2538">
        <v>19</v>
      </c>
      <c r="K2538">
        <v>30</v>
      </c>
      <c r="L2538">
        <v>2022</v>
      </c>
      <c r="N2538" t="s">
        <v>47</v>
      </c>
      <c r="O2538" t="s">
        <v>47</v>
      </c>
      <c r="P2538" t="s">
        <v>4982</v>
      </c>
    </row>
    <row r="2539" spans="1:16" x14ac:dyDescent="0.3">
      <c r="A2539" t="s">
        <v>4975</v>
      </c>
      <c r="C2539">
        <v>30</v>
      </c>
      <c r="D2539" t="s">
        <v>10</v>
      </c>
      <c r="F2539" s="43">
        <v>44836.743055555555</v>
      </c>
      <c r="G2539" s="43">
        <v>44836.763888888891</v>
      </c>
      <c r="H2539">
        <v>17</v>
      </c>
      <c r="I2539">
        <v>50</v>
      </c>
      <c r="J2539">
        <v>18</v>
      </c>
      <c r="K2539">
        <v>20</v>
      </c>
      <c r="L2539">
        <v>2022</v>
      </c>
      <c r="N2539" t="s">
        <v>47</v>
      </c>
      <c r="O2539" t="s">
        <v>47</v>
      </c>
      <c r="P2539" t="s">
        <v>4976</v>
      </c>
    </row>
    <row r="2540" spans="1:16" x14ac:dyDescent="0.3">
      <c r="A2540" t="s">
        <v>4973</v>
      </c>
      <c r="C2540">
        <v>60</v>
      </c>
      <c r="D2540" t="s">
        <v>10</v>
      </c>
      <c r="F2540" s="43">
        <v>44836.666666666664</v>
      </c>
      <c r="G2540" s="43">
        <v>44836.708333333336</v>
      </c>
      <c r="H2540">
        <v>16</v>
      </c>
      <c r="I2540">
        <v>0</v>
      </c>
      <c r="J2540">
        <v>17</v>
      </c>
      <c r="K2540">
        <v>0</v>
      </c>
      <c r="L2540">
        <v>2022</v>
      </c>
      <c r="N2540" t="s">
        <v>47</v>
      </c>
      <c r="O2540" t="s">
        <v>47</v>
      </c>
      <c r="P2540" t="s">
        <v>4974</v>
      </c>
    </row>
    <row r="2541" spans="1:16" x14ac:dyDescent="0.3">
      <c r="A2541" t="s">
        <v>4965</v>
      </c>
      <c r="C2541">
        <v>60</v>
      </c>
      <c r="D2541" t="s">
        <v>10</v>
      </c>
      <c r="F2541" s="43">
        <v>44836.604166666664</v>
      </c>
      <c r="G2541" s="43">
        <v>44836.645833333336</v>
      </c>
      <c r="H2541">
        <v>14</v>
      </c>
      <c r="I2541">
        <v>30</v>
      </c>
      <c r="J2541">
        <v>15</v>
      </c>
      <c r="K2541">
        <v>30</v>
      </c>
      <c r="L2541">
        <v>2022</v>
      </c>
      <c r="N2541" t="s">
        <v>47</v>
      </c>
      <c r="O2541" t="s">
        <v>47</v>
      </c>
      <c r="P2541" t="s">
        <v>4969</v>
      </c>
    </row>
    <row r="2542" spans="1:16" x14ac:dyDescent="0.3">
      <c r="A2542" t="s">
        <v>4519</v>
      </c>
      <c r="C2542">
        <v>45</v>
      </c>
      <c r="D2542" t="s">
        <v>10</v>
      </c>
      <c r="F2542" s="43">
        <v>44836.541666666664</v>
      </c>
      <c r="G2542" s="43">
        <v>44836.572916666664</v>
      </c>
      <c r="H2542">
        <v>13</v>
      </c>
      <c r="I2542">
        <v>0</v>
      </c>
      <c r="J2542">
        <v>13</v>
      </c>
      <c r="K2542">
        <v>45</v>
      </c>
      <c r="L2542">
        <v>2022</v>
      </c>
      <c r="N2542" t="s">
        <v>47</v>
      </c>
      <c r="O2542" t="s">
        <v>47</v>
      </c>
      <c r="P2542" t="s">
        <v>4970</v>
      </c>
    </row>
    <row r="2543" spans="1:16" x14ac:dyDescent="0.3">
      <c r="A2543" t="s">
        <v>4965</v>
      </c>
      <c r="C2543">
        <v>30</v>
      </c>
      <c r="D2543" t="s">
        <v>10</v>
      </c>
      <c r="F2543" s="43">
        <v>44836.5</v>
      </c>
      <c r="G2543" s="43">
        <v>44836.520833333336</v>
      </c>
      <c r="H2543">
        <v>12</v>
      </c>
      <c r="I2543">
        <v>0</v>
      </c>
      <c r="J2543">
        <v>12</v>
      </c>
      <c r="K2543">
        <v>30</v>
      </c>
      <c r="L2543">
        <v>2022</v>
      </c>
      <c r="N2543" t="s">
        <v>47</v>
      </c>
      <c r="O2543" t="s">
        <v>47</v>
      </c>
      <c r="P2543" t="s">
        <v>4971</v>
      </c>
    </row>
    <row r="2544" spans="1:16" x14ac:dyDescent="0.3">
      <c r="A2544" t="s">
        <v>4965</v>
      </c>
      <c r="C2544">
        <v>60</v>
      </c>
      <c r="D2544" t="s">
        <v>10</v>
      </c>
      <c r="F2544" s="43">
        <v>44836.4375</v>
      </c>
      <c r="G2544" s="43">
        <v>44836.479166666664</v>
      </c>
      <c r="H2544">
        <v>10</v>
      </c>
      <c r="I2544">
        <v>30</v>
      </c>
      <c r="J2544">
        <v>11</v>
      </c>
      <c r="K2544">
        <v>30</v>
      </c>
      <c r="L2544">
        <v>2022</v>
      </c>
      <c r="N2544" t="s">
        <v>47</v>
      </c>
      <c r="O2544" t="s">
        <v>47</v>
      </c>
      <c r="P2544" t="s">
        <v>4972</v>
      </c>
    </row>
    <row r="2545" spans="1:16" x14ac:dyDescent="0.3">
      <c r="A2545" t="s">
        <v>4965</v>
      </c>
      <c r="C2545">
        <v>30</v>
      </c>
      <c r="D2545" t="s">
        <v>10</v>
      </c>
      <c r="F2545" s="43">
        <v>44836.291666666664</v>
      </c>
      <c r="G2545" s="43">
        <v>44836.3125</v>
      </c>
      <c r="H2545">
        <v>7</v>
      </c>
      <c r="I2545">
        <v>0</v>
      </c>
      <c r="J2545">
        <v>7</v>
      </c>
      <c r="K2545">
        <v>30</v>
      </c>
      <c r="L2545">
        <v>2022</v>
      </c>
      <c r="N2545" t="s">
        <v>47</v>
      </c>
      <c r="O2545" t="s">
        <v>47</v>
      </c>
      <c r="P2545" t="s">
        <v>4968</v>
      </c>
    </row>
    <row r="2546" spans="1:16" x14ac:dyDescent="0.3">
      <c r="A2546" t="s">
        <v>4965</v>
      </c>
      <c r="C2546">
        <v>60</v>
      </c>
      <c r="D2546" t="s">
        <v>10</v>
      </c>
      <c r="F2546" s="43">
        <v>44835.708333333336</v>
      </c>
      <c r="G2546" s="43">
        <v>44835.75</v>
      </c>
      <c r="H2546">
        <v>17</v>
      </c>
      <c r="I2546">
        <v>0</v>
      </c>
      <c r="J2546">
        <v>18</v>
      </c>
      <c r="K2546">
        <v>0</v>
      </c>
      <c r="L2546">
        <v>2022</v>
      </c>
      <c r="N2546" t="s">
        <v>47</v>
      </c>
      <c r="O2546" t="s">
        <v>47</v>
      </c>
      <c r="P2546" t="s">
        <v>4967</v>
      </c>
    </row>
    <row r="2547" spans="1:16" x14ac:dyDescent="0.3">
      <c r="A2547" t="s">
        <v>4965</v>
      </c>
      <c r="C2547">
        <v>60</v>
      </c>
      <c r="D2547" t="s">
        <v>10</v>
      </c>
      <c r="F2547" s="43">
        <v>44835.604166666664</v>
      </c>
      <c r="G2547" s="43">
        <v>44835.645833333336</v>
      </c>
      <c r="H2547">
        <v>14</v>
      </c>
      <c r="I2547">
        <v>30</v>
      </c>
      <c r="J2547">
        <v>15</v>
      </c>
      <c r="K2547">
        <v>30</v>
      </c>
      <c r="L2547">
        <v>2022</v>
      </c>
      <c r="N2547" t="s">
        <v>47</v>
      </c>
      <c r="O2547" t="s">
        <v>47</v>
      </c>
      <c r="P2547" t="s">
        <v>4966</v>
      </c>
    </row>
    <row r="2548" spans="1:16" x14ac:dyDescent="0.3">
      <c r="A2548" t="s">
        <v>4963</v>
      </c>
      <c r="C2548">
        <v>45</v>
      </c>
      <c r="D2548" t="s">
        <v>10</v>
      </c>
      <c r="F2548" s="43">
        <v>44835.541666666664</v>
      </c>
      <c r="G2548" s="43">
        <v>44835.572916666664</v>
      </c>
      <c r="H2548">
        <v>13</v>
      </c>
      <c r="I2548">
        <v>0</v>
      </c>
      <c r="J2548">
        <v>13</v>
      </c>
      <c r="K2548">
        <v>45</v>
      </c>
      <c r="L2548">
        <v>2022</v>
      </c>
      <c r="N2548" t="s">
        <v>47</v>
      </c>
      <c r="O2548" t="s">
        <v>47</v>
      </c>
      <c r="P2548" t="s">
        <v>4964</v>
      </c>
    </row>
    <row r="2549" spans="1:16" x14ac:dyDescent="0.3">
      <c r="A2549" t="s">
        <v>4961</v>
      </c>
      <c r="C2549">
        <v>60</v>
      </c>
      <c r="D2549" t="s">
        <v>10</v>
      </c>
      <c r="F2549" s="43">
        <v>44835.333333333336</v>
      </c>
      <c r="G2549" s="43">
        <v>44835.375</v>
      </c>
      <c r="H2549">
        <v>8</v>
      </c>
      <c r="I2549">
        <v>0</v>
      </c>
      <c r="J2549">
        <v>9</v>
      </c>
      <c r="K2549">
        <v>0</v>
      </c>
      <c r="L2549">
        <v>2022</v>
      </c>
      <c r="N2549" t="s">
        <v>47</v>
      </c>
      <c r="O2549" t="s">
        <v>47</v>
      </c>
      <c r="P2549" t="s">
        <v>4962</v>
      </c>
    </row>
    <row r="2550" spans="1:16" x14ac:dyDescent="0.3">
      <c r="A2550" t="s">
        <v>1011</v>
      </c>
      <c r="C2550">
        <v>60</v>
      </c>
      <c r="D2550" t="s">
        <v>10</v>
      </c>
      <c r="F2550" s="43">
        <v>44834.75</v>
      </c>
      <c r="G2550" s="43">
        <v>44834.791666666664</v>
      </c>
      <c r="H2550">
        <v>18</v>
      </c>
      <c r="I2550">
        <v>0</v>
      </c>
      <c r="J2550">
        <v>19</v>
      </c>
      <c r="K2550">
        <v>0</v>
      </c>
      <c r="L2550">
        <v>2022</v>
      </c>
      <c r="N2550" t="s">
        <v>47</v>
      </c>
      <c r="O2550" t="s">
        <v>47</v>
      </c>
      <c r="P2550" t="s">
        <v>4956</v>
      </c>
    </row>
    <row r="2551" spans="1:16" x14ac:dyDescent="0.3">
      <c r="A2551" t="s">
        <v>4946</v>
      </c>
      <c r="C2551">
        <v>30</v>
      </c>
      <c r="D2551" t="s">
        <v>10</v>
      </c>
      <c r="F2551" s="43">
        <v>44834.6875</v>
      </c>
      <c r="G2551" s="43">
        <v>44834.708333333336</v>
      </c>
      <c r="H2551">
        <v>16</v>
      </c>
      <c r="I2551">
        <v>30</v>
      </c>
      <c r="J2551">
        <v>17</v>
      </c>
      <c r="K2551">
        <v>0</v>
      </c>
      <c r="L2551">
        <v>2022</v>
      </c>
      <c r="N2551" t="s">
        <v>47</v>
      </c>
      <c r="O2551" t="s">
        <v>47</v>
      </c>
      <c r="P2551" t="s">
        <v>4947</v>
      </c>
    </row>
    <row r="2552" spans="1:16" x14ac:dyDescent="0.3">
      <c r="A2552" t="s">
        <v>4951</v>
      </c>
      <c r="C2552">
        <v>30</v>
      </c>
      <c r="D2552" t="s">
        <v>10</v>
      </c>
      <c r="F2552" s="43">
        <v>44834.625</v>
      </c>
      <c r="G2552" s="43">
        <v>44834.645833333336</v>
      </c>
      <c r="H2552">
        <v>15</v>
      </c>
      <c r="I2552">
        <v>0</v>
      </c>
      <c r="J2552">
        <v>15</v>
      </c>
      <c r="K2552">
        <v>30</v>
      </c>
      <c r="L2552">
        <v>2022</v>
      </c>
      <c r="N2552" t="s">
        <v>47</v>
      </c>
      <c r="O2552" t="s">
        <v>47</v>
      </c>
      <c r="P2552" t="s">
        <v>4952</v>
      </c>
    </row>
    <row r="2553" spans="1:16" x14ac:dyDescent="0.3">
      <c r="A2553" t="s">
        <v>4802</v>
      </c>
      <c r="C2553">
        <v>30</v>
      </c>
      <c r="D2553" t="s">
        <v>10</v>
      </c>
      <c r="F2553" s="43">
        <v>44834.604166666664</v>
      </c>
      <c r="G2553" s="43">
        <v>44834.625</v>
      </c>
      <c r="H2553">
        <v>14</v>
      </c>
      <c r="I2553">
        <v>30</v>
      </c>
      <c r="J2553">
        <v>15</v>
      </c>
      <c r="K2553">
        <v>0</v>
      </c>
      <c r="L2553">
        <v>2022</v>
      </c>
      <c r="N2553" t="s">
        <v>4803</v>
      </c>
      <c r="O2553" t="s">
        <v>4804</v>
      </c>
      <c r="P2553" t="s">
        <v>4805</v>
      </c>
    </row>
    <row r="2554" spans="1:16" x14ac:dyDescent="0.3">
      <c r="A2554" t="s">
        <v>4933</v>
      </c>
      <c r="C2554">
        <v>30</v>
      </c>
      <c r="D2554" t="s">
        <v>10</v>
      </c>
      <c r="E2554" t="s">
        <v>501</v>
      </c>
      <c r="F2554" s="43">
        <v>44834.552083333336</v>
      </c>
      <c r="G2554" s="43">
        <v>44834.572916666664</v>
      </c>
      <c r="H2554">
        <v>13</v>
      </c>
      <c r="I2554">
        <v>15</v>
      </c>
      <c r="J2554">
        <v>13</v>
      </c>
      <c r="K2554">
        <v>45</v>
      </c>
      <c r="L2554">
        <v>2022</v>
      </c>
      <c r="N2554" t="s">
        <v>4629</v>
      </c>
      <c r="O2554" t="s">
        <v>47</v>
      </c>
      <c r="P2554" t="s">
        <v>4934</v>
      </c>
    </row>
    <row r="2555" spans="1:16" x14ac:dyDescent="0.3">
      <c r="A2555" t="s">
        <v>4558</v>
      </c>
      <c r="B2555" t="s">
        <v>20</v>
      </c>
      <c r="C2555">
        <v>60</v>
      </c>
      <c r="D2555" t="s">
        <v>10</v>
      </c>
      <c r="E2555" t="s">
        <v>501</v>
      </c>
      <c r="F2555" s="43">
        <v>44834.5</v>
      </c>
      <c r="G2555" s="43">
        <v>44834.541666666664</v>
      </c>
      <c r="H2555">
        <v>12</v>
      </c>
      <c r="I2555">
        <v>0</v>
      </c>
      <c r="J2555">
        <v>13</v>
      </c>
      <c r="K2555">
        <v>0</v>
      </c>
      <c r="L2555">
        <v>2022</v>
      </c>
      <c r="N2555" t="s">
        <v>4559</v>
      </c>
      <c r="O2555" t="s">
        <v>47</v>
      </c>
      <c r="P2555" t="s">
        <v>4560</v>
      </c>
    </row>
    <row r="2556" spans="1:16" x14ac:dyDescent="0.3">
      <c r="A2556" t="s">
        <v>4957</v>
      </c>
      <c r="C2556">
        <v>30</v>
      </c>
      <c r="D2556" t="s">
        <v>10</v>
      </c>
      <c r="F2556" s="43">
        <v>44834.4375</v>
      </c>
      <c r="G2556" s="43">
        <v>44834.458333333336</v>
      </c>
      <c r="H2556">
        <v>10</v>
      </c>
      <c r="I2556">
        <v>30</v>
      </c>
      <c r="J2556">
        <v>11</v>
      </c>
      <c r="K2556">
        <v>0</v>
      </c>
      <c r="L2556">
        <v>2022</v>
      </c>
      <c r="N2556" t="s">
        <v>47</v>
      </c>
      <c r="O2556" t="s">
        <v>47</v>
      </c>
      <c r="P2556" t="s">
        <v>4958</v>
      </c>
    </row>
    <row r="2557" spans="1:16" x14ac:dyDescent="0.3">
      <c r="A2557" t="s">
        <v>4886</v>
      </c>
      <c r="B2557" t="s">
        <v>20</v>
      </c>
      <c r="C2557">
        <v>45</v>
      </c>
      <c r="D2557" t="s">
        <v>10</v>
      </c>
      <c r="E2557" t="s">
        <v>501</v>
      </c>
      <c r="F2557" s="43">
        <v>44834.395833333336</v>
      </c>
      <c r="G2557" s="43">
        <v>44834.427083333336</v>
      </c>
      <c r="H2557">
        <v>9</v>
      </c>
      <c r="I2557">
        <v>30</v>
      </c>
      <c r="J2557">
        <v>10</v>
      </c>
      <c r="K2557">
        <v>15</v>
      </c>
      <c r="L2557">
        <v>2022</v>
      </c>
      <c r="N2557" t="s">
        <v>4887</v>
      </c>
      <c r="O2557" t="s">
        <v>47</v>
      </c>
      <c r="P2557" t="s">
        <v>4888</v>
      </c>
    </row>
    <row r="2558" spans="1:16" x14ac:dyDescent="0.3">
      <c r="A2558" t="s">
        <v>4959</v>
      </c>
      <c r="C2558">
        <v>120</v>
      </c>
      <c r="D2558" t="s">
        <v>10</v>
      </c>
      <c r="F2558" s="43">
        <v>44834.270833333336</v>
      </c>
      <c r="G2558" s="43">
        <v>44834.354166666664</v>
      </c>
      <c r="H2558">
        <v>6</v>
      </c>
      <c r="I2558">
        <v>30</v>
      </c>
      <c r="J2558">
        <v>8</v>
      </c>
      <c r="K2558">
        <v>30</v>
      </c>
      <c r="L2558">
        <v>2022</v>
      </c>
      <c r="N2558" t="s">
        <v>47</v>
      </c>
      <c r="O2558" t="s">
        <v>47</v>
      </c>
      <c r="P2558" t="s">
        <v>4960</v>
      </c>
    </row>
    <row r="2559" spans="1:16" x14ac:dyDescent="0.3">
      <c r="A2559" t="s">
        <v>3706</v>
      </c>
      <c r="C2559">
        <v>30</v>
      </c>
      <c r="D2559" t="s">
        <v>10</v>
      </c>
      <c r="E2559" t="s">
        <v>501</v>
      </c>
      <c r="F2559" s="43">
        <v>44834.229166666664</v>
      </c>
      <c r="G2559" s="43">
        <v>44834.25</v>
      </c>
      <c r="H2559">
        <v>5</v>
      </c>
      <c r="I2559">
        <v>30</v>
      </c>
      <c r="J2559">
        <v>6</v>
      </c>
      <c r="K2559">
        <v>0</v>
      </c>
      <c r="L2559">
        <v>2022</v>
      </c>
      <c r="N2559" t="s">
        <v>629</v>
      </c>
      <c r="O2559" t="s">
        <v>47</v>
      </c>
      <c r="P2559" t="s">
        <v>4938</v>
      </c>
    </row>
    <row r="2560" spans="1:16" x14ac:dyDescent="0.3">
      <c r="A2560" t="s">
        <v>4939</v>
      </c>
      <c r="C2560">
        <v>70</v>
      </c>
      <c r="D2560" t="s">
        <v>10</v>
      </c>
      <c r="F2560" s="43">
        <v>44833.715277777781</v>
      </c>
      <c r="G2560" s="43">
        <v>44833.763888888891</v>
      </c>
      <c r="H2560">
        <v>17</v>
      </c>
      <c r="I2560">
        <v>10</v>
      </c>
      <c r="J2560">
        <v>18</v>
      </c>
      <c r="K2560">
        <v>20</v>
      </c>
      <c r="L2560">
        <v>2022</v>
      </c>
      <c r="N2560" t="s">
        <v>47</v>
      </c>
      <c r="O2560" t="s">
        <v>47</v>
      </c>
      <c r="P2560" t="s">
        <v>4942</v>
      </c>
    </row>
    <row r="2561" spans="1:16" x14ac:dyDescent="0.3">
      <c r="A2561" t="s">
        <v>4939</v>
      </c>
      <c r="C2561">
        <v>60</v>
      </c>
      <c r="D2561" t="s">
        <v>10</v>
      </c>
      <c r="F2561" s="43">
        <v>44833.659722222219</v>
      </c>
      <c r="G2561" s="43">
        <v>44833.701388888891</v>
      </c>
      <c r="H2561">
        <v>15</v>
      </c>
      <c r="I2561">
        <v>50</v>
      </c>
      <c r="J2561">
        <v>16</v>
      </c>
      <c r="K2561">
        <v>50</v>
      </c>
      <c r="L2561">
        <v>2022</v>
      </c>
      <c r="N2561" t="s">
        <v>47</v>
      </c>
      <c r="O2561" t="s">
        <v>47</v>
      </c>
      <c r="P2561" t="s">
        <v>4941</v>
      </c>
    </row>
    <row r="2562" spans="1:16" x14ac:dyDescent="0.3">
      <c r="A2562" t="s">
        <v>4939</v>
      </c>
      <c r="C2562">
        <v>30</v>
      </c>
      <c r="D2562" t="s">
        <v>10</v>
      </c>
      <c r="F2562" s="43">
        <v>44833.59375</v>
      </c>
      <c r="G2562" s="43">
        <v>44833.614583333336</v>
      </c>
      <c r="H2562">
        <v>14</v>
      </c>
      <c r="I2562">
        <v>15</v>
      </c>
      <c r="J2562">
        <v>14</v>
      </c>
      <c r="K2562">
        <v>45</v>
      </c>
      <c r="L2562">
        <v>2022</v>
      </c>
      <c r="N2562" t="s">
        <v>47</v>
      </c>
      <c r="O2562" t="s">
        <v>47</v>
      </c>
      <c r="P2562" t="s">
        <v>4940</v>
      </c>
    </row>
    <row r="2563" spans="1:16" x14ac:dyDescent="0.3">
      <c r="A2563" t="s">
        <v>2528</v>
      </c>
      <c r="C2563">
        <v>45</v>
      </c>
      <c r="D2563" t="s">
        <v>10</v>
      </c>
      <c r="F2563" s="43">
        <v>44833.541666666664</v>
      </c>
      <c r="G2563" s="43">
        <v>44833.572916666664</v>
      </c>
      <c r="H2563">
        <v>13</v>
      </c>
      <c r="I2563">
        <v>0</v>
      </c>
      <c r="J2563">
        <v>13</v>
      </c>
      <c r="K2563">
        <v>45</v>
      </c>
      <c r="L2563">
        <v>2022</v>
      </c>
      <c r="N2563" t="s">
        <v>47</v>
      </c>
      <c r="O2563" t="s">
        <v>47</v>
      </c>
      <c r="P2563" t="s">
        <v>4937</v>
      </c>
    </row>
    <row r="2564" spans="1:16" x14ac:dyDescent="0.3">
      <c r="A2564" t="s">
        <v>4935</v>
      </c>
      <c r="C2564">
        <v>60</v>
      </c>
      <c r="D2564" t="s">
        <v>10</v>
      </c>
      <c r="F2564" s="43">
        <v>44833.5</v>
      </c>
      <c r="G2564" s="43">
        <v>44833.541666666664</v>
      </c>
      <c r="H2564">
        <v>12</v>
      </c>
      <c r="I2564">
        <v>0</v>
      </c>
      <c r="J2564">
        <v>13</v>
      </c>
      <c r="K2564">
        <v>0</v>
      </c>
      <c r="L2564">
        <v>2022</v>
      </c>
      <c r="O2564" t="s">
        <v>47</v>
      </c>
      <c r="P2564" t="s">
        <v>4936</v>
      </c>
    </row>
    <row r="2565" spans="1:16" x14ac:dyDescent="0.3">
      <c r="A2565" t="s">
        <v>4837</v>
      </c>
      <c r="B2565" t="s">
        <v>20</v>
      </c>
      <c r="C2565">
        <v>180</v>
      </c>
      <c r="D2565" t="s">
        <v>10</v>
      </c>
      <c r="E2565" t="s">
        <v>2134</v>
      </c>
      <c r="F2565" s="43">
        <v>44833.375</v>
      </c>
      <c r="G2565" s="43">
        <v>44833.5</v>
      </c>
      <c r="H2565">
        <v>9</v>
      </c>
      <c r="I2565">
        <v>0</v>
      </c>
      <c r="J2565">
        <v>12</v>
      </c>
      <c r="K2565">
        <v>0</v>
      </c>
      <c r="L2565">
        <v>2022</v>
      </c>
      <c r="N2565" t="s">
        <v>4838</v>
      </c>
      <c r="O2565" t="s">
        <v>899</v>
      </c>
      <c r="P2565" t="s">
        <v>4839</v>
      </c>
    </row>
    <row r="2566" spans="1:16" x14ac:dyDescent="0.3">
      <c r="A2566" t="s">
        <v>4931</v>
      </c>
      <c r="C2566">
        <v>180</v>
      </c>
      <c r="D2566" t="s">
        <v>10</v>
      </c>
      <c r="F2566" s="43">
        <v>44833.229166666664</v>
      </c>
      <c r="G2566" s="43">
        <v>44833.354166666664</v>
      </c>
      <c r="H2566">
        <v>5</v>
      </c>
      <c r="I2566">
        <v>30</v>
      </c>
      <c r="J2566">
        <v>8</v>
      </c>
      <c r="K2566">
        <v>30</v>
      </c>
      <c r="L2566">
        <v>2022</v>
      </c>
      <c r="N2566" t="s">
        <v>47</v>
      </c>
      <c r="O2566" t="s">
        <v>47</v>
      </c>
      <c r="P2566" t="s">
        <v>4932</v>
      </c>
    </row>
    <row r="2567" spans="1:16" x14ac:dyDescent="0.3">
      <c r="A2567" t="s">
        <v>4926</v>
      </c>
      <c r="C2567">
        <v>20</v>
      </c>
      <c r="D2567" t="s">
        <v>10</v>
      </c>
      <c r="F2567" s="43">
        <v>44832.791666666664</v>
      </c>
      <c r="G2567" s="43">
        <v>44832.805555555555</v>
      </c>
      <c r="H2567">
        <v>19</v>
      </c>
      <c r="I2567">
        <v>0</v>
      </c>
      <c r="J2567">
        <v>19</v>
      </c>
      <c r="K2567">
        <v>20</v>
      </c>
      <c r="L2567">
        <v>2022</v>
      </c>
      <c r="N2567" t="s">
        <v>47</v>
      </c>
      <c r="O2567" t="s">
        <v>47</v>
      </c>
      <c r="P2567" t="s">
        <v>4929</v>
      </c>
    </row>
    <row r="2568" spans="1:16" x14ac:dyDescent="0.3">
      <c r="A2568" t="s">
        <v>4919</v>
      </c>
      <c r="C2568">
        <v>30</v>
      </c>
      <c r="D2568" t="s">
        <v>10</v>
      </c>
      <c r="F2568" s="43">
        <v>44832.770833333336</v>
      </c>
      <c r="G2568" s="43">
        <v>44832.791666666664</v>
      </c>
      <c r="H2568">
        <v>18</v>
      </c>
      <c r="I2568">
        <v>30</v>
      </c>
      <c r="J2568">
        <v>19</v>
      </c>
      <c r="K2568">
        <v>0</v>
      </c>
      <c r="L2568">
        <v>2022</v>
      </c>
      <c r="N2568" t="s">
        <v>47</v>
      </c>
      <c r="O2568" t="s">
        <v>47</v>
      </c>
      <c r="P2568" t="s">
        <v>4930</v>
      </c>
    </row>
    <row r="2569" spans="1:16" x14ac:dyDescent="0.3">
      <c r="A2569" t="s">
        <v>4919</v>
      </c>
      <c r="C2569">
        <v>53</v>
      </c>
      <c r="D2569" t="s">
        <v>10</v>
      </c>
      <c r="F2569" s="43">
        <v>44832.708333333336</v>
      </c>
      <c r="G2569" s="43">
        <v>44832.745138888888</v>
      </c>
      <c r="H2569">
        <v>17</v>
      </c>
      <c r="I2569">
        <v>0</v>
      </c>
      <c r="J2569">
        <v>17</v>
      </c>
      <c r="K2569">
        <v>53</v>
      </c>
      <c r="L2569">
        <v>2022</v>
      </c>
      <c r="N2569" t="s">
        <v>47</v>
      </c>
      <c r="O2569" t="s">
        <v>47</v>
      </c>
      <c r="P2569" t="s">
        <v>4928</v>
      </c>
    </row>
    <row r="2570" spans="1:16" x14ac:dyDescent="0.3">
      <c r="A2570" t="s">
        <v>4926</v>
      </c>
      <c r="C2570">
        <v>45</v>
      </c>
      <c r="D2570" t="s">
        <v>10</v>
      </c>
      <c r="F2570" s="43">
        <v>44832.65625</v>
      </c>
      <c r="G2570" s="43">
        <v>44832.6875</v>
      </c>
      <c r="H2570">
        <v>15</v>
      </c>
      <c r="I2570">
        <v>45</v>
      </c>
      <c r="J2570">
        <v>16</v>
      </c>
      <c r="K2570">
        <v>30</v>
      </c>
      <c r="L2570">
        <v>2022</v>
      </c>
      <c r="N2570" t="s">
        <v>47</v>
      </c>
      <c r="O2570" t="s">
        <v>47</v>
      </c>
      <c r="P2570" t="s">
        <v>4927</v>
      </c>
    </row>
    <row r="2571" spans="1:16" x14ac:dyDescent="0.3">
      <c r="A2571" t="s">
        <v>4919</v>
      </c>
      <c r="C2571">
        <v>30</v>
      </c>
      <c r="D2571" t="s">
        <v>10</v>
      </c>
      <c r="F2571" s="43">
        <v>44832.635416666664</v>
      </c>
      <c r="G2571" s="43">
        <v>44832.65625</v>
      </c>
      <c r="H2571">
        <v>15</v>
      </c>
      <c r="I2571">
        <v>15</v>
      </c>
      <c r="J2571">
        <v>15</v>
      </c>
      <c r="K2571">
        <v>45</v>
      </c>
      <c r="L2571">
        <v>2022</v>
      </c>
      <c r="N2571" t="s">
        <v>47</v>
      </c>
      <c r="O2571" t="s">
        <v>47</v>
      </c>
      <c r="P2571" t="s">
        <v>4925</v>
      </c>
    </row>
    <row r="2572" spans="1:16" x14ac:dyDescent="0.3">
      <c r="A2572" t="s">
        <v>4919</v>
      </c>
      <c r="C2572">
        <v>30</v>
      </c>
      <c r="D2572" t="s">
        <v>10</v>
      </c>
      <c r="F2572" s="43">
        <v>44832.583333333336</v>
      </c>
      <c r="G2572" s="43">
        <v>44832.604166666664</v>
      </c>
      <c r="H2572">
        <v>14</v>
      </c>
      <c r="I2572">
        <v>0</v>
      </c>
      <c r="J2572">
        <v>14</v>
      </c>
      <c r="K2572">
        <v>30</v>
      </c>
      <c r="L2572">
        <v>2022</v>
      </c>
      <c r="N2572" t="s">
        <v>47</v>
      </c>
      <c r="O2572" t="s">
        <v>47</v>
      </c>
      <c r="P2572" t="s">
        <v>4921</v>
      </c>
    </row>
    <row r="2573" spans="1:16" x14ac:dyDescent="0.3">
      <c r="A2573" t="s">
        <v>4919</v>
      </c>
      <c r="C2573">
        <v>45</v>
      </c>
      <c r="D2573" t="s">
        <v>10</v>
      </c>
      <c r="F2573" s="43">
        <v>44832.53125</v>
      </c>
      <c r="G2573" s="43">
        <v>44832.5625</v>
      </c>
      <c r="H2573">
        <v>12</v>
      </c>
      <c r="I2573">
        <v>45</v>
      </c>
      <c r="J2573">
        <v>13</v>
      </c>
      <c r="K2573">
        <v>30</v>
      </c>
      <c r="L2573">
        <v>2022</v>
      </c>
      <c r="N2573" t="s">
        <v>47</v>
      </c>
      <c r="O2573" t="s">
        <v>47</v>
      </c>
      <c r="P2573" t="s">
        <v>4920</v>
      </c>
    </row>
    <row r="2574" spans="1:16" x14ac:dyDescent="0.3">
      <c r="A2574" t="s">
        <v>4766</v>
      </c>
      <c r="C2574">
        <v>70</v>
      </c>
      <c r="D2574" t="s">
        <v>10</v>
      </c>
      <c r="F2574" s="43">
        <v>44832.458333333336</v>
      </c>
      <c r="G2574" s="43">
        <v>44832.506944444445</v>
      </c>
      <c r="H2574">
        <v>11</v>
      </c>
      <c r="I2574">
        <v>0</v>
      </c>
      <c r="J2574">
        <v>12</v>
      </c>
      <c r="K2574">
        <v>10</v>
      </c>
      <c r="L2574">
        <v>2022</v>
      </c>
      <c r="N2574" t="s">
        <v>47</v>
      </c>
      <c r="O2574" t="s">
        <v>47</v>
      </c>
      <c r="P2574" t="s">
        <v>4918</v>
      </c>
    </row>
    <row r="2575" spans="1:16" x14ac:dyDescent="0.3">
      <c r="A2575" t="s">
        <v>8</v>
      </c>
      <c r="C2575">
        <v>30</v>
      </c>
      <c r="D2575" t="s">
        <v>10</v>
      </c>
      <c r="F2575" s="43">
        <v>44832.4375</v>
      </c>
      <c r="G2575" s="43">
        <v>44832.458333333336</v>
      </c>
      <c r="H2575">
        <v>10</v>
      </c>
      <c r="I2575">
        <v>30</v>
      </c>
      <c r="J2575">
        <v>11</v>
      </c>
      <c r="K2575">
        <v>0</v>
      </c>
      <c r="L2575">
        <v>2022</v>
      </c>
      <c r="N2575" t="s">
        <v>47</v>
      </c>
      <c r="O2575" t="s">
        <v>47</v>
      </c>
      <c r="P2575" t="s">
        <v>4911</v>
      </c>
    </row>
    <row r="2576" spans="1:16" x14ac:dyDescent="0.3">
      <c r="A2576" t="s">
        <v>4912</v>
      </c>
      <c r="C2576">
        <v>60</v>
      </c>
      <c r="D2576" t="s">
        <v>10</v>
      </c>
      <c r="F2576" s="43">
        <v>44832.375</v>
      </c>
      <c r="G2576" s="43">
        <v>44832.416666666664</v>
      </c>
      <c r="H2576">
        <v>9</v>
      </c>
      <c r="I2576">
        <v>0</v>
      </c>
      <c r="J2576">
        <v>10</v>
      </c>
      <c r="K2576">
        <v>0</v>
      </c>
      <c r="L2576">
        <v>2022</v>
      </c>
      <c r="N2576" t="s">
        <v>47</v>
      </c>
      <c r="O2576" t="s">
        <v>47</v>
      </c>
      <c r="P2576" t="s">
        <v>4913</v>
      </c>
    </row>
    <row r="2577" spans="1:16" x14ac:dyDescent="0.3">
      <c r="A2577" t="s">
        <v>43</v>
      </c>
      <c r="C2577">
        <v>60</v>
      </c>
      <c r="D2577" t="s">
        <v>10</v>
      </c>
      <c r="F2577" s="43">
        <v>44832.333333333336</v>
      </c>
      <c r="G2577" s="43">
        <v>44832.375</v>
      </c>
      <c r="H2577">
        <v>8</v>
      </c>
      <c r="I2577">
        <v>0</v>
      </c>
      <c r="J2577">
        <v>9</v>
      </c>
      <c r="K2577">
        <v>0</v>
      </c>
      <c r="L2577">
        <v>2022</v>
      </c>
      <c r="N2577" t="s">
        <v>47</v>
      </c>
      <c r="O2577" t="s">
        <v>47</v>
      </c>
      <c r="P2577" t="s">
        <v>4914</v>
      </c>
    </row>
    <row r="2578" spans="1:16" x14ac:dyDescent="0.3">
      <c r="A2578" t="s">
        <v>7</v>
      </c>
      <c r="C2578">
        <v>30</v>
      </c>
      <c r="D2578" t="s">
        <v>10</v>
      </c>
      <c r="F2578" s="43">
        <v>44832.291666666664</v>
      </c>
      <c r="G2578" s="43">
        <v>44832.3125</v>
      </c>
      <c r="H2578">
        <v>7</v>
      </c>
      <c r="I2578">
        <v>0</v>
      </c>
      <c r="J2578">
        <v>7</v>
      </c>
      <c r="K2578">
        <v>30</v>
      </c>
      <c r="L2578">
        <v>2022</v>
      </c>
      <c r="N2578" t="s">
        <v>47</v>
      </c>
      <c r="O2578" t="s">
        <v>47</v>
      </c>
      <c r="P2578" t="s">
        <v>4909</v>
      </c>
    </row>
    <row r="2579" spans="1:16" x14ac:dyDescent="0.3">
      <c r="A2579" t="s">
        <v>4452</v>
      </c>
      <c r="C2579">
        <v>30</v>
      </c>
      <c r="D2579" t="s">
        <v>10</v>
      </c>
      <c r="F2579" s="43">
        <v>44832.25</v>
      </c>
      <c r="G2579" s="43">
        <v>44832.270833333336</v>
      </c>
      <c r="H2579">
        <v>6</v>
      </c>
      <c r="I2579">
        <v>0</v>
      </c>
      <c r="J2579">
        <v>6</v>
      </c>
      <c r="K2579">
        <v>30</v>
      </c>
      <c r="L2579">
        <v>2022</v>
      </c>
      <c r="N2579" t="s">
        <v>47</v>
      </c>
      <c r="O2579" t="s">
        <v>47</v>
      </c>
      <c r="P2579" t="s">
        <v>4910</v>
      </c>
    </row>
    <row r="2580" spans="1:16" x14ac:dyDescent="0.3">
      <c r="A2580" t="s">
        <v>4906</v>
      </c>
      <c r="C2580">
        <v>30</v>
      </c>
      <c r="D2580" t="s">
        <v>10</v>
      </c>
      <c r="F2580" s="43">
        <v>44831.791666666664</v>
      </c>
      <c r="G2580" s="43">
        <v>44831.8125</v>
      </c>
      <c r="H2580">
        <v>19</v>
      </c>
      <c r="I2580">
        <v>0</v>
      </c>
      <c r="J2580">
        <v>19</v>
      </c>
      <c r="K2580">
        <v>30</v>
      </c>
      <c r="L2580">
        <v>2022</v>
      </c>
      <c r="N2580" t="s">
        <v>47</v>
      </c>
      <c r="O2580" t="s">
        <v>47</v>
      </c>
      <c r="P2580" t="s">
        <v>4908</v>
      </c>
    </row>
    <row r="2581" spans="1:16" x14ac:dyDescent="0.3">
      <c r="A2581" t="s">
        <v>4906</v>
      </c>
      <c r="C2581">
        <v>50</v>
      </c>
      <c r="D2581" t="s">
        <v>10</v>
      </c>
      <c r="F2581" s="43">
        <v>44831.736111111109</v>
      </c>
      <c r="G2581" s="43">
        <v>44831.770833333336</v>
      </c>
      <c r="H2581">
        <v>17</v>
      </c>
      <c r="I2581">
        <v>40</v>
      </c>
      <c r="J2581">
        <v>18</v>
      </c>
      <c r="K2581">
        <v>30</v>
      </c>
      <c r="L2581">
        <v>2022</v>
      </c>
      <c r="N2581" t="s">
        <v>47</v>
      </c>
      <c r="O2581" t="s">
        <v>47</v>
      </c>
      <c r="P2581" t="s">
        <v>4907</v>
      </c>
    </row>
    <row r="2582" spans="1:16" x14ac:dyDescent="0.3">
      <c r="A2582" t="s">
        <v>4904</v>
      </c>
      <c r="C2582">
        <v>50</v>
      </c>
      <c r="D2582" t="s">
        <v>10</v>
      </c>
      <c r="F2582" s="43">
        <v>44831.666666666664</v>
      </c>
      <c r="G2582" s="43">
        <v>44831.701388888891</v>
      </c>
      <c r="H2582">
        <v>16</v>
      </c>
      <c r="I2582">
        <v>0</v>
      </c>
      <c r="J2582">
        <v>16</v>
      </c>
      <c r="K2582">
        <v>50</v>
      </c>
      <c r="L2582">
        <v>2022</v>
      </c>
      <c r="N2582" t="s">
        <v>47</v>
      </c>
      <c r="O2582" t="s">
        <v>47</v>
      </c>
      <c r="P2582" t="s">
        <v>4905</v>
      </c>
    </row>
    <row r="2583" spans="1:16" x14ac:dyDescent="0.3">
      <c r="A2583" t="s">
        <v>4452</v>
      </c>
      <c r="C2583">
        <v>30</v>
      </c>
      <c r="D2583" t="s">
        <v>10</v>
      </c>
      <c r="F2583" s="43">
        <v>44831.645833333336</v>
      </c>
      <c r="G2583" s="43">
        <v>44831.666666666664</v>
      </c>
      <c r="H2583">
        <v>15</v>
      </c>
      <c r="I2583">
        <v>30</v>
      </c>
      <c r="J2583">
        <v>16</v>
      </c>
      <c r="K2583">
        <v>0</v>
      </c>
      <c r="L2583">
        <v>2022</v>
      </c>
      <c r="N2583" t="s">
        <v>47</v>
      </c>
      <c r="O2583" t="s">
        <v>47</v>
      </c>
      <c r="P2583" t="s">
        <v>4903</v>
      </c>
    </row>
    <row r="2584" spans="1:16" x14ac:dyDescent="0.3">
      <c r="A2584" t="s">
        <v>4900</v>
      </c>
      <c r="C2584">
        <v>30</v>
      </c>
      <c r="D2584" t="s">
        <v>10</v>
      </c>
      <c r="F2584" s="43">
        <v>44831.625</v>
      </c>
      <c r="G2584" s="43">
        <v>44831.645833333336</v>
      </c>
      <c r="H2584">
        <v>15</v>
      </c>
      <c r="I2584">
        <v>0</v>
      </c>
      <c r="J2584">
        <v>15</v>
      </c>
      <c r="K2584">
        <v>30</v>
      </c>
      <c r="L2584">
        <v>2022</v>
      </c>
      <c r="N2584" t="s">
        <v>4365</v>
      </c>
      <c r="O2584" t="s">
        <v>783</v>
      </c>
      <c r="P2584" t="s">
        <v>4901</v>
      </c>
    </row>
    <row r="2585" spans="1:16" x14ac:dyDescent="0.3">
      <c r="A2585" t="s">
        <v>2669</v>
      </c>
      <c r="C2585">
        <v>30</v>
      </c>
      <c r="D2585" t="s">
        <v>10</v>
      </c>
      <c r="F2585" s="43">
        <v>44831.583333333336</v>
      </c>
      <c r="G2585" s="43">
        <v>44831.604166666664</v>
      </c>
      <c r="H2585">
        <v>14</v>
      </c>
      <c r="I2585">
        <v>0</v>
      </c>
      <c r="J2585">
        <v>14</v>
      </c>
      <c r="K2585">
        <v>30</v>
      </c>
      <c r="L2585">
        <v>2022</v>
      </c>
      <c r="N2585" t="s">
        <v>47</v>
      </c>
      <c r="O2585" t="s">
        <v>47</v>
      </c>
      <c r="P2585" t="s">
        <v>4334</v>
      </c>
    </row>
    <row r="2586" spans="1:16" x14ac:dyDescent="0.3">
      <c r="A2586" t="s">
        <v>4895</v>
      </c>
      <c r="C2586">
        <v>60</v>
      </c>
      <c r="D2586" t="s">
        <v>10</v>
      </c>
      <c r="E2586" t="s">
        <v>501</v>
      </c>
      <c r="F2586" s="43">
        <v>44831.541666666664</v>
      </c>
      <c r="G2586" s="43">
        <v>44831.583333333336</v>
      </c>
      <c r="H2586">
        <v>13</v>
      </c>
      <c r="I2586">
        <v>0</v>
      </c>
      <c r="J2586">
        <v>14</v>
      </c>
      <c r="K2586">
        <v>0</v>
      </c>
      <c r="L2586">
        <v>2022</v>
      </c>
      <c r="N2586" t="s">
        <v>4896</v>
      </c>
      <c r="O2586" t="s">
        <v>47</v>
      </c>
      <c r="P2586" t="s">
        <v>4897</v>
      </c>
    </row>
    <row r="2587" spans="1:16" x14ac:dyDescent="0.3">
      <c r="A2587" t="s">
        <v>4454</v>
      </c>
      <c r="C2587">
        <v>90</v>
      </c>
      <c r="D2587" t="s">
        <v>10</v>
      </c>
      <c r="F2587" s="43">
        <v>44831.4375</v>
      </c>
      <c r="G2587" s="43">
        <v>44831.5</v>
      </c>
      <c r="H2587">
        <v>10</v>
      </c>
      <c r="I2587">
        <v>30</v>
      </c>
      <c r="J2587">
        <v>12</v>
      </c>
      <c r="K2587">
        <v>0</v>
      </c>
      <c r="L2587">
        <v>2022</v>
      </c>
      <c r="N2587" t="s">
        <v>47</v>
      </c>
      <c r="O2587" t="s">
        <v>47</v>
      </c>
      <c r="P2587" t="s">
        <v>4902</v>
      </c>
    </row>
    <row r="2588" spans="1:16" x14ac:dyDescent="0.3">
      <c r="A2588" t="s">
        <v>4826</v>
      </c>
      <c r="C2588">
        <v>30</v>
      </c>
      <c r="D2588" t="s">
        <v>10</v>
      </c>
      <c r="E2588" t="s">
        <v>4827</v>
      </c>
      <c r="F2588" s="43">
        <v>44831.375</v>
      </c>
      <c r="G2588" s="43">
        <v>44831.395833333336</v>
      </c>
      <c r="H2588">
        <v>9</v>
      </c>
      <c r="I2588">
        <v>0</v>
      </c>
      <c r="J2588">
        <v>9</v>
      </c>
      <c r="K2588">
        <v>30</v>
      </c>
      <c r="L2588">
        <v>2022</v>
      </c>
      <c r="N2588" t="s">
        <v>1862</v>
      </c>
      <c r="O2588" t="s">
        <v>1863</v>
      </c>
      <c r="P2588" t="s">
        <v>4828</v>
      </c>
    </row>
    <row r="2589" spans="1:16" x14ac:dyDescent="0.3">
      <c r="A2589" t="s">
        <v>4577</v>
      </c>
      <c r="C2589">
        <v>30</v>
      </c>
      <c r="D2589" t="s">
        <v>10</v>
      </c>
      <c r="F2589" s="43">
        <v>44831.34375</v>
      </c>
      <c r="G2589" s="43">
        <v>44831.364583333336</v>
      </c>
      <c r="H2589">
        <v>8</v>
      </c>
      <c r="I2589">
        <v>15</v>
      </c>
      <c r="J2589">
        <v>8</v>
      </c>
      <c r="K2589">
        <v>45</v>
      </c>
      <c r="L2589">
        <v>2022</v>
      </c>
      <c r="N2589" t="s">
        <v>47</v>
      </c>
      <c r="O2589" t="s">
        <v>47</v>
      </c>
      <c r="P2589" t="s">
        <v>4898</v>
      </c>
    </row>
    <row r="2590" spans="1:16" x14ac:dyDescent="0.3">
      <c r="A2590" t="s">
        <v>4214</v>
      </c>
      <c r="C2590">
        <v>30</v>
      </c>
      <c r="D2590" t="s">
        <v>10</v>
      </c>
      <c r="F2590" s="43">
        <v>44831.322916666664</v>
      </c>
      <c r="G2590" s="43">
        <v>44831.34375</v>
      </c>
      <c r="H2590">
        <v>7</v>
      </c>
      <c r="I2590">
        <v>45</v>
      </c>
      <c r="J2590">
        <v>8</v>
      </c>
      <c r="K2590">
        <v>15</v>
      </c>
      <c r="L2590">
        <v>2022</v>
      </c>
      <c r="N2590" t="s">
        <v>47</v>
      </c>
      <c r="O2590" t="s">
        <v>47</v>
      </c>
      <c r="P2590" t="s">
        <v>4899</v>
      </c>
    </row>
    <row r="2591" spans="1:16" x14ac:dyDescent="0.3">
      <c r="A2591" t="s">
        <v>4577</v>
      </c>
      <c r="C2591">
        <v>30</v>
      </c>
      <c r="D2591" t="s">
        <v>10</v>
      </c>
      <c r="F2591" s="43">
        <v>44831.239583333336</v>
      </c>
      <c r="G2591" s="43">
        <v>44831.260416666664</v>
      </c>
      <c r="H2591">
        <v>5</v>
      </c>
      <c r="I2591">
        <v>45</v>
      </c>
      <c r="J2591">
        <v>6</v>
      </c>
      <c r="K2591">
        <v>15</v>
      </c>
      <c r="L2591">
        <v>2022</v>
      </c>
      <c r="N2591" t="s">
        <v>47</v>
      </c>
      <c r="O2591" t="s">
        <v>47</v>
      </c>
      <c r="P2591" t="s">
        <v>4894</v>
      </c>
    </row>
    <row r="2592" spans="1:16" x14ac:dyDescent="0.3">
      <c r="A2592" t="s">
        <v>4892</v>
      </c>
      <c r="C2592">
        <v>30</v>
      </c>
      <c r="D2592" t="s">
        <v>10</v>
      </c>
      <c r="F2592" s="43">
        <v>44831.21875</v>
      </c>
      <c r="G2592" s="43">
        <v>44831.239583333336</v>
      </c>
      <c r="H2592">
        <v>5</v>
      </c>
      <c r="I2592">
        <v>15</v>
      </c>
      <c r="J2592">
        <v>5</v>
      </c>
      <c r="K2592">
        <v>45</v>
      </c>
      <c r="L2592">
        <v>2022</v>
      </c>
      <c r="N2592" t="s">
        <v>47</v>
      </c>
      <c r="O2592" t="s">
        <v>47</v>
      </c>
      <c r="P2592" t="s">
        <v>4893</v>
      </c>
    </row>
    <row r="2593" spans="1:16" x14ac:dyDescent="0.3">
      <c r="A2593" t="s">
        <v>4214</v>
      </c>
      <c r="C2593">
        <v>20</v>
      </c>
      <c r="D2593" t="s">
        <v>10</v>
      </c>
      <c r="F2593" s="43">
        <v>44830.8125</v>
      </c>
      <c r="G2593" s="43">
        <v>44830.826388888891</v>
      </c>
      <c r="H2593">
        <v>19</v>
      </c>
      <c r="I2593">
        <v>30</v>
      </c>
      <c r="J2593">
        <v>19</v>
      </c>
      <c r="K2593">
        <v>50</v>
      </c>
      <c r="L2593">
        <v>2022</v>
      </c>
      <c r="N2593" t="s">
        <v>47</v>
      </c>
      <c r="O2593" t="s">
        <v>47</v>
      </c>
      <c r="P2593" t="s">
        <v>4891</v>
      </c>
    </row>
    <row r="2594" spans="1:16" x14ac:dyDescent="0.3">
      <c r="A2594" t="s">
        <v>4214</v>
      </c>
      <c r="C2594">
        <v>45</v>
      </c>
      <c r="D2594" t="s">
        <v>10</v>
      </c>
      <c r="F2594" s="43">
        <v>44830.770833333336</v>
      </c>
      <c r="G2594" s="43">
        <v>44830.802083333336</v>
      </c>
      <c r="H2594">
        <v>18</v>
      </c>
      <c r="I2594">
        <v>30</v>
      </c>
      <c r="J2594">
        <v>19</v>
      </c>
      <c r="K2594">
        <v>15</v>
      </c>
      <c r="L2594">
        <v>2022</v>
      </c>
      <c r="N2594" t="s">
        <v>47</v>
      </c>
      <c r="O2594" t="s">
        <v>47</v>
      </c>
      <c r="P2594" t="s">
        <v>4890</v>
      </c>
    </row>
    <row r="2595" spans="1:16" x14ac:dyDescent="0.3">
      <c r="A2595" t="s">
        <v>8</v>
      </c>
      <c r="C2595">
        <v>45</v>
      </c>
      <c r="D2595" t="s">
        <v>10</v>
      </c>
      <c r="F2595" s="43">
        <v>44830.708333333336</v>
      </c>
      <c r="G2595" s="43">
        <v>44830.739583333336</v>
      </c>
      <c r="H2595">
        <v>17</v>
      </c>
      <c r="I2595">
        <v>0</v>
      </c>
      <c r="J2595">
        <v>17</v>
      </c>
      <c r="K2595">
        <v>45</v>
      </c>
      <c r="L2595">
        <v>2022</v>
      </c>
      <c r="N2595" t="s">
        <v>47</v>
      </c>
      <c r="O2595" t="s">
        <v>47</v>
      </c>
      <c r="P2595" t="s">
        <v>4889</v>
      </c>
    </row>
    <row r="2596" spans="1:16" x14ac:dyDescent="0.3">
      <c r="A2596" t="s">
        <v>4519</v>
      </c>
      <c r="C2596">
        <v>30</v>
      </c>
      <c r="D2596" t="s">
        <v>10</v>
      </c>
      <c r="F2596" s="43">
        <v>44830.666666666664</v>
      </c>
      <c r="G2596" s="43">
        <v>44830.6875</v>
      </c>
      <c r="H2596">
        <v>16</v>
      </c>
      <c r="I2596">
        <v>0</v>
      </c>
      <c r="J2596">
        <v>16</v>
      </c>
      <c r="K2596">
        <v>30</v>
      </c>
      <c r="L2596">
        <v>2022</v>
      </c>
      <c r="N2596" t="s">
        <v>47</v>
      </c>
      <c r="O2596" t="s">
        <v>47</v>
      </c>
      <c r="P2596" t="s">
        <v>4885</v>
      </c>
    </row>
    <row r="2597" spans="1:16" x14ac:dyDescent="0.3">
      <c r="A2597" t="s">
        <v>1394</v>
      </c>
      <c r="C2597">
        <v>30</v>
      </c>
      <c r="D2597" t="s">
        <v>10</v>
      </c>
      <c r="F2597" s="43">
        <v>44830.645833333336</v>
      </c>
      <c r="G2597" s="43">
        <v>44830.666666666664</v>
      </c>
      <c r="H2597">
        <v>15</v>
      </c>
      <c r="I2597">
        <v>30</v>
      </c>
      <c r="J2597">
        <v>16</v>
      </c>
      <c r="K2597">
        <v>0</v>
      </c>
      <c r="L2597">
        <v>2022</v>
      </c>
      <c r="N2597" t="s">
        <v>47</v>
      </c>
      <c r="O2597" t="s">
        <v>47</v>
      </c>
      <c r="P2597" t="s">
        <v>4884</v>
      </c>
    </row>
    <row r="2598" spans="1:16" x14ac:dyDescent="0.3">
      <c r="A2598" t="s">
        <v>4469</v>
      </c>
      <c r="C2598">
        <v>30</v>
      </c>
      <c r="D2598" t="s">
        <v>10</v>
      </c>
      <c r="F2598" s="43">
        <v>44830.625</v>
      </c>
      <c r="G2598" s="43">
        <v>44830.645833333336</v>
      </c>
      <c r="H2598">
        <v>15</v>
      </c>
      <c r="I2598">
        <v>0</v>
      </c>
      <c r="J2598">
        <v>15</v>
      </c>
      <c r="K2598">
        <v>30</v>
      </c>
      <c r="L2598">
        <v>2022</v>
      </c>
      <c r="N2598" t="s">
        <v>47</v>
      </c>
      <c r="O2598" t="s">
        <v>47</v>
      </c>
      <c r="P2598" t="s">
        <v>4883</v>
      </c>
    </row>
    <row r="2599" spans="1:16" x14ac:dyDescent="0.3">
      <c r="A2599" t="s">
        <v>7</v>
      </c>
      <c r="C2599">
        <v>30</v>
      </c>
      <c r="D2599" t="s">
        <v>10</v>
      </c>
      <c r="F2599" s="43">
        <v>44830.59375</v>
      </c>
      <c r="G2599" s="43">
        <v>44830.614583333336</v>
      </c>
      <c r="H2599">
        <v>14</v>
      </c>
      <c r="I2599">
        <v>15</v>
      </c>
      <c r="J2599">
        <v>14</v>
      </c>
      <c r="K2599">
        <v>45</v>
      </c>
      <c r="L2599">
        <v>2022</v>
      </c>
      <c r="N2599" t="s">
        <v>47</v>
      </c>
      <c r="O2599" t="s">
        <v>47</v>
      </c>
      <c r="P2599" t="s">
        <v>4879</v>
      </c>
    </row>
    <row r="2600" spans="1:16" x14ac:dyDescent="0.3">
      <c r="A2600" t="s">
        <v>4877</v>
      </c>
      <c r="C2600">
        <v>30</v>
      </c>
      <c r="D2600" t="s">
        <v>10</v>
      </c>
      <c r="F2600" s="43">
        <v>44830.572916666664</v>
      </c>
      <c r="G2600" s="43">
        <v>44830.59375</v>
      </c>
      <c r="H2600">
        <v>13</v>
      </c>
      <c r="I2600">
        <v>45</v>
      </c>
      <c r="J2600">
        <v>14</v>
      </c>
      <c r="K2600">
        <v>15</v>
      </c>
      <c r="L2600">
        <v>2022</v>
      </c>
      <c r="N2600" t="s">
        <v>47</v>
      </c>
      <c r="O2600" t="s">
        <v>47</v>
      </c>
      <c r="P2600" t="s">
        <v>4878</v>
      </c>
    </row>
    <row r="2601" spans="1:16" x14ac:dyDescent="0.3">
      <c r="A2601" t="s">
        <v>4872</v>
      </c>
      <c r="C2601">
        <v>30</v>
      </c>
      <c r="D2601" t="s">
        <v>10</v>
      </c>
      <c r="E2601" t="s">
        <v>501</v>
      </c>
      <c r="F2601" s="43">
        <v>44830.552083333336</v>
      </c>
      <c r="G2601" s="43">
        <v>44830.572916666664</v>
      </c>
      <c r="H2601">
        <v>13</v>
      </c>
      <c r="I2601">
        <v>15</v>
      </c>
      <c r="J2601">
        <v>13</v>
      </c>
      <c r="K2601">
        <v>45</v>
      </c>
      <c r="L2601">
        <v>2022</v>
      </c>
      <c r="N2601" t="s">
        <v>4629</v>
      </c>
      <c r="O2601" t="s">
        <v>47</v>
      </c>
      <c r="P2601" t="s">
        <v>4873</v>
      </c>
    </row>
    <row r="2602" spans="1:16" x14ac:dyDescent="0.3">
      <c r="A2602" t="s">
        <v>2707</v>
      </c>
      <c r="C2602">
        <v>15</v>
      </c>
      <c r="D2602" t="s">
        <v>10</v>
      </c>
      <c r="F2602" s="43">
        <v>44830.5</v>
      </c>
      <c r="G2602" s="43">
        <v>44830.510416666664</v>
      </c>
      <c r="H2602">
        <v>12</v>
      </c>
      <c r="I2602">
        <v>0</v>
      </c>
      <c r="J2602">
        <v>12</v>
      </c>
      <c r="K2602">
        <v>15</v>
      </c>
      <c r="L2602">
        <v>2022</v>
      </c>
      <c r="N2602" t="s">
        <v>47</v>
      </c>
      <c r="O2602" t="s">
        <v>47</v>
      </c>
      <c r="P2602" t="s">
        <v>4867</v>
      </c>
    </row>
    <row r="2603" spans="1:16" x14ac:dyDescent="0.3">
      <c r="A2603" t="s">
        <v>4874</v>
      </c>
      <c r="C2603">
        <v>30</v>
      </c>
      <c r="D2603" t="s">
        <v>10</v>
      </c>
      <c r="E2603" t="s">
        <v>5</v>
      </c>
      <c r="F2603" s="43">
        <v>44830.479166666664</v>
      </c>
      <c r="G2603" s="43">
        <v>44830.5</v>
      </c>
      <c r="H2603">
        <v>11</v>
      </c>
      <c r="I2603">
        <v>30</v>
      </c>
      <c r="J2603">
        <v>12</v>
      </c>
      <c r="K2603">
        <v>0</v>
      </c>
      <c r="L2603">
        <v>2022</v>
      </c>
      <c r="N2603" t="s">
        <v>4875</v>
      </c>
      <c r="O2603" t="s">
        <v>2186</v>
      </c>
      <c r="P2603" t="s">
        <v>4876</v>
      </c>
    </row>
    <row r="2604" spans="1:16" x14ac:dyDescent="0.3">
      <c r="A2604" t="s">
        <v>1769</v>
      </c>
      <c r="C2604">
        <v>30</v>
      </c>
      <c r="D2604" t="s">
        <v>10</v>
      </c>
      <c r="F2604" s="43">
        <v>44830.458333333336</v>
      </c>
      <c r="G2604" s="43">
        <v>44830.479166666664</v>
      </c>
      <c r="H2604">
        <v>11</v>
      </c>
      <c r="I2604">
        <v>0</v>
      </c>
      <c r="J2604">
        <v>11</v>
      </c>
      <c r="K2604">
        <v>30</v>
      </c>
      <c r="L2604">
        <v>2022</v>
      </c>
      <c r="N2604" t="s">
        <v>47</v>
      </c>
      <c r="O2604" t="s">
        <v>47</v>
      </c>
      <c r="P2604" t="s">
        <v>4871</v>
      </c>
    </row>
    <row r="2605" spans="1:16" x14ac:dyDescent="0.3">
      <c r="A2605" t="s">
        <v>446</v>
      </c>
      <c r="C2605">
        <v>30</v>
      </c>
      <c r="D2605" t="s">
        <v>10</v>
      </c>
      <c r="F2605" s="43">
        <v>44830.4375</v>
      </c>
      <c r="G2605" s="43">
        <v>44830.458333333336</v>
      </c>
      <c r="H2605">
        <v>10</v>
      </c>
      <c r="I2605">
        <v>30</v>
      </c>
      <c r="J2605">
        <v>11</v>
      </c>
      <c r="K2605">
        <v>0</v>
      </c>
      <c r="L2605">
        <v>2022</v>
      </c>
      <c r="N2605" t="s">
        <v>47</v>
      </c>
      <c r="O2605" t="s">
        <v>47</v>
      </c>
      <c r="P2605" t="s">
        <v>4870</v>
      </c>
    </row>
    <row r="2606" spans="1:16" x14ac:dyDescent="0.3">
      <c r="A2606" t="s">
        <v>4816</v>
      </c>
      <c r="B2606" t="s">
        <v>20</v>
      </c>
      <c r="C2606">
        <v>30</v>
      </c>
      <c r="D2606" t="s">
        <v>10</v>
      </c>
      <c r="E2606" t="s">
        <v>4817</v>
      </c>
      <c r="F2606" s="43">
        <v>44830.416666666664</v>
      </c>
      <c r="G2606" s="43">
        <v>44830.4375</v>
      </c>
      <c r="H2606">
        <v>10</v>
      </c>
      <c r="I2606">
        <v>0</v>
      </c>
      <c r="J2606">
        <v>10</v>
      </c>
      <c r="K2606">
        <v>30</v>
      </c>
      <c r="L2606">
        <v>2022</v>
      </c>
      <c r="N2606" t="s">
        <v>1824</v>
      </c>
      <c r="O2606" t="s">
        <v>48</v>
      </c>
      <c r="P2606" t="s">
        <v>4818</v>
      </c>
    </row>
    <row r="2607" spans="1:16" x14ac:dyDescent="0.3">
      <c r="A2607" t="s">
        <v>4529</v>
      </c>
      <c r="C2607">
        <v>30</v>
      </c>
      <c r="D2607" t="s">
        <v>10</v>
      </c>
      <c r="F2607" s="43">
        <v>44830.395833333336</v>
      </c>
      <c r="G2607" s="43">
        <v>44830.416666666664</v>
      </c>
      <c r="H2607">
        <v>9</v>
      </c>
      <c r="I2607">
        <v>30</v>
      </c>
      <c r="J2607">
        <v>10</v>
      </c>
      <c r="K2607">
        <v>0</v>
      </c>
      <c r="L2607">
        <v>2022</v>
      </c>
      <c r="N2607" t="s">
        <v>47</v>
      </c>
      <c r="O2607" t="s">
        <v>47</v>
      </c>
      <c r="P2607" t="s">
        <v>4868</v>
      </c>
    </row>
    <row r="2608" spans="1:16" x14ac:dyDescent="0.3">
      <c r="A2608" t="s">
        <v>4809</v>
      </c>
      <c r="C2608">
        <v>30</v>
      </c>
      <c r="D2608" t="s">
        <v>10</v>
      </c>
      <c r="E2608" t="s">
        <v>5</v>
      </c>
      <c r="F2608" s="43">
        <v>44830.375</v>
      </c>
      <c r="G2608" s="43">
        <v>44830.395833333336</v>
      </c>
      <c r="H2608">
        <v>9</v>
      </c>
      <c r="I2608">
        <v>0</v>
      </c>
      <c r="J2608">
        <v>9</v>
      </c>
      <c r="K2608">
        <v>30</v>
      </c>
      <c r="L2608">
        <v>2022</v>
      </c>
      <c r="N2608" t="s">
        <v>4810</v>
      </c>
      <c r="O2608" t="s">
        <v>1241</v>
      </c>
      <c r="P2608" t="s">
        <v>4811</v>
      </c>
    </row>
    <row r="2609" spans="1:16" x14ac:dyDescent="0.3">
      <c r="A2609" t="s">
        <v>8</v>
      </c>
      <c r="C2609">
        <v>30</v>
      </c>
      <c r="D2609" t="s">
        <v>10</v>
      </c>
      <c r="E2609" t="s">
        <v>4529</v>
      </c>
      <c r="F2609" s="43">
        <v>44830.354166666664</v>
      </c>
      <c r="G2609" s="43">
        <v>44830.375</v>
      </c>
      <c r="H2609">
        <v>8</v>
      </c>
      <c r="I2609">
        <v>30</v>
      </c>
      <c r="J2609">
        <v>9</v>
      </c>
      <c r="K2609">
        <v>0</v>
      </c>
      <c r="L2609">
        <v>2022</v>
      </c>
      <c r="N2609" t="s">
        <v>47</v>
      </c>
      <c r="O2609" t="s">
        <v>47</v>
      </c>
      <c r="P2609" t="s">
        <v>4869</v>
      </c>
    </row>
    <row r="2610" spans="1:16" x14ac:dyDescent="0.3">
      <c r="A2610" t="s">
        <v>4749</v>
      </c>
      <c r="C2610">
        <v>30</v>
      </c>
      <c r="D2610" t="s">
        <v>10</v>
      </c>
      <c r="E2610" t="s">
        <v>4750</v>
      </c>
      <c r="F2610" s="43">
        <v>44830.270833333336</v>
      </c>
      <c r="G2610" s="43">
        <v>44830.291666666664</v>
      </c>
      <c r="H2610">
        <v>6</v>
      </c>
      <c r="I2610">
        <v>30</v>
      </c>
      <c r="J2610">
        <v>7</v>
      </c>
      <c r="K2610">
        <v>0</v>
      </c>
      <c r="L2610">
        <v>2022</v>
      </c>
      <c r="M2610" t="s">
        <v>33</v>
      </c>
      <c r="N2610" t="s">
        <v>4751</v>
      </c>
      <c r="O2610" t="s">
        <v>4752</v>
      </c>
      <c r="P2610" t="s">
        <v>4753</v>
      </c>
    </row>
    <row r="2611" spans="1:16" x14ac:dyDescent="0.3">
      <c r="A2611" t="s">
        <v>4865</v>
      </c>
      <c r="C2611">
        <v>90</v>
      </c>
      <c r="D2611" t="s">
        <v>10</v>
      </c>
      <c r="F2611" s="43">
        <v>44830.229166666664</v>
      </c>
      <c r="G2611" s="43">
        <v>44830.291666666664</v>
      </c>
      <c r="H2611">
        <v>5</v>
      </c>
      <c r="I2611">
        <v>30</v>
      </c>
      <c r="J2611">
        <v>7</v>
      </c>
      <c r="K2611">
        <v>0</v>
      </c>
      <c r="L2611">
        <v>2022</v>
      </c>
      <c r="N2611" t="s">
        <v>47</v>
      </c>
      <c r="O2611" t="s">
        <v>47</v>
      </c>
      <c r="P2611" t="s">
        <v>4866</v>
      </c>
    </row>
    <row r="2612" spans="1:16" x14ac:dyDescent="0.3">
      <c r="A2612" t="s">
        <v>4763</v>
      </c>
      <c r="C2612">
        <v>7200</v>
      </c>
      <c r="D2612" t="s">
        <v>10</v>
      </c>
      <c r="E2612" t="s">
        <v>5</v>
      </c>
      <c r="F2612" s="43">
        <v>44830</v>
      </c>
      <c r="G2612" s="43">
        <v>44835</v>
      </c>
      <c r="H2612">
        <v>0</v>
      </c>
      <c r="I2612">
        <v>0</v>
      </c>
      <c r="J2612">
        <v>0</v>
      </c>
      <c r="K2612">
        <v>0</v>
      </c>
      <c r="L2612">
        <v>2022</v>
      </c>
      <c r="N2612" t="s">
        <v>4764</v>
      </c>
      <c r="O2612" t="s">
        <v>50</v>
      </c>
      <c r="P2612" t="s">
        <v>4765</v>
      </c>
    </row>
    <row r="2613" spans="1:16" x14ac:dyDescent="0.3">
      <c r="A2613" t="s">
        <v>4577</v>
      </c>
      <c r="C2613">
        <v>40</v>
      </c>
      <c r="D2613" t="s">
        <v>10</v>
      </c>
      <c r="F2613" s="43">
        <v>44829.791666666664</v>
      </c>
      <c r="G2613" s="43">
        <v>44829.819444444445</v>
      </c>
      <c r="H2613">
        <v>19</v>
      </c>
      <c r="I2613">
        <v>0</v>
      </c>
      <c r="J2613">
        <v>19</v>
      </c>
      <c r="K2613">
        <v>40</v>
      </c>
      <c r="L2613">
        <v>2022</v>
      </c>
      <c r="N2613" t="s">
        <v>47</v>
      </c>
      <c r="O2613" t="s">
        <v>47</v>
      </c>
      <c r="P2613" t="s">
        <v>4864</v>
      </c>
    </row>
    <row r="2614" spans="1:16" x14ac:dyDescent="0.3">
      <c r="A2614" t="s">
        <v>4577</v>
      </c>
      <c r="C2614">
        <v>60</v>
      </c>
      <c r="D2614" t="s">
        <v>10</v>
      </c>
      <c r="F2614" s="43">
        <v>44829.75</v>
      </c>
      <c r="G2614" s="43">
        <v>44829.791666666664</v>
      </c>
      <c r="H2614">
        <v>18</v>
      </c>
      <c r="I2614">
        <v>0</v>
      </c>
      <c r="J2614">
        <v>19</v>
      </c>
      <c r="K2614">
        <v>0</v>
      </c>
      <c r="L2614">
        <v>2022</v>
      </c>
      <c r="N2614" t="s">
        <v>47</v>
      </c>
      <c r="O2614" t="s">
        <v>47</v>
      </c>
      <c r="P2614" t="s">
        <v>4863</v>
      </c>
    </row>
    <row r="2615" spans="1:16" x14ac:dyDescent="0.3">
      <c r="A2615" t="s">
        <v>4577</v>
      </c>
      <c r="C2615">
        <v>45</v>
      </c>
      <c r="D2615" t="s">
        <v>10</v>
      </c>
      <c r="F2615" s="43">
        <v>44829.652777777781</v>
      </c>
      <c r="G2615" s="43">
        <v>44829.684027777781</v>
      </c>
      <c r="H2615">
        <v>15</v>
      </c>
      <c r="I2615">
        <v>40</v>
      </c>
      <c r="J2615">
        <v>16</v>
      </c>
      <c r="K2615">
        <v>25</v>
      </c>
      <c r="L2615">
        <v>2022</v>
      </c>
      <c r="N2615" t="s">
        <v>47</v>
      </c>
      <c r="O2615" t="s">
        <v>47</v>
      </c>
      <c r="P2615" t="s">
        <v>4862</v>
      </c>
    </row>
    <row r="2616" spans="1:16" x14ac:dyDescent="0.3">
      <c r="A2616" t="s">
        <v>40</v>
      </c>
      <c r="C2616">
        <v>60</v>
      </c>
      <c r="D2616" t="s">
        <v>10</v>
      </c>
      <c r="F2616" s="43">
        <v>44829.604166666664</v>
      </c>
      <c r="G2616" s="43">
        <v>44829.645833333336</v>
      </c>
      <c r="H2616">
        <v>14</v>
      </c>
      <c r="I2616">
        <v>30</v>
      </c>
      <c r="J2616">
        <v>15</v>
      </c>
      <c r="K2616">
        <v>30</v>
      </c>
      <c r="L2616">
        <v>2022</v>
      </c>
      <c r="N2616" t="s">
        <v>47</v>
      </c>
      <c r="O2616" t="s">
        <v>47</v>
      </c>
      <c r="P2616" t="s">
        <v>4861</v>
      </c>
    </row>
    <row r="2617" spans="1:16" x14ac:dyDescent="0.3">
      <c r="A2617" t="s">
        <v>4519</v>
      </c>
      <c r="C2617">
        <v>45</v>
      </c>
      <c r="D2617" t="s">
        <v>10</v>
      </c>
      <c r="F2617" s="43">
        <v>44829.46875</v>
      </c>
      <c r="G2617" s="43">
        <v>44829.5</v>
      </c>
      <c r="H2617">
        <v>11</v>
      </c>
      <c r="I2617">
        <v>15</v>
      </c>
      <c r="J2617">
        <v>12</v>
      </c>
      <c r="K2617">
        <v>0</v>
      </c>
      <c r="L2617">
        <v>2022</v>
      </c>
      <c r="N2617" t="s">
        <v>47</v>
      </c>
      <c r="O2617" t="s">
        <v>47</v>
      </c>
      <c r="P2617" t="s">
        <v>4860</v>
      </c>
    </row>
    <row r="2618" spans="1:16" x14ac:dyDescent="0.3">
      <c r="A2618" t="s">
        <v>4519</v>
      </c>
      <c r="C2618">
        <v>45</v>
      </c>
      <c r="D2618" t="s">
        <v>10</v>
      </c>
      <c r="F2618" s="43">
        <v>44829.395833333336</v>
      </c>
      <c r="G2618" s="43">
        <v>44829.427083333336</v>
      </c>
      <c r="H2618">
        <v>9</v>
      </c>
      <c r="I2618">
        <v>30</v>
      </c>
      <c r="J2618">
        <v>10</v>
      </c>
      <c r="K2618">
        <v>15</v>
      </c>
      <c r="L2618">
        <v>2022</v>
      </c>
      <c r="N2618" t="s">
        <v>47</v>
      </c>
      <c r="O2618" t="s">
        <v>47</v>
      </c>
      <c r="P2618" t="s">
        <v>4856</v>
      </c>
    </row>
    <row r="2619" spans="1:16" x14ac:dyDescent="0.3">
      <c r="A2619" t="s">
        <v>1394</v>
      </c>
      <c r="C2619">
        <v>30</v>
      </c>
      <c r="D2619" t="s">
        <v>10</v>
      </c>
      <c r="F2619" s="43">
        <v>44829.375</v>
      </c>
      <c r="G2619" s="43">
        <v>44829.395833333336</v>
      </c>
      <c r="H2619">
        <v>9</v>
      </c>
      <c r="I2619">
        <v>0</v>
      </c>
      <c r="J2619">
        <v>9</v>
      </c>
      <c r="K2619">
        <v>30</v>
      </c>
      <c r="L2619">
        <v>2022</v>
      </c>
      <c r="N2619" t="s">
        <v>47</v>
      </c>
      <c r="O2619" t="s">
        <v>47</v>
      </c>
      <c r="P2619" t="s">
        <v>4857</v>
      </c>
    </row>
    <row r="2620" spans="1:16" x14ac:dyDescent="0.3">
      <c r="A2620" t="s">
        <v>4577</v>
      </c>
      <c r="C2620">
        <v>30</v>
      </c>
      <c r="D2620" t="s">
        <v>10</v>
      </c>
      <c r="F2620" s="43">
        <v>44829.302083333336</v>
      </c>
      <c r="G2620" s="43">
        <v>44829.322916666664</v>
      </c>
      <c r="H2620">
        <v>7</v>
      </c>
      <c r="I2620">
        <v>15</v>
      </c>
      <c r="J2620">
        <v>7</v>
      </c>
      <c r="K2620">
        <v>45</v>
      </c>
      <c r="L2620">
        <v>2022</v>
      </c>
      <c r="N2620" t="s">
        <v>47</v>
      </c>
      <c r="O2620" t="s">
        <v>47</v>
      </c>
      <c r="P2620" t="s">
        <v>4858</v>
      </c>
    </row>
    <row r="2621" spans="1:16" x14ac:dyDescent="0.3">
      <c r="A2621" t="s">
        <v>4850</v>
      </c>
      <c r="C2621">
        <v>60</v>
      </c>
      <c r="D2621" t="s">
        <v>10</v>
      </c>
      <c r="F2621" s="43">
        <v>44828.791666666664</v>
      </c>
      <c r="G2621" s="43">
        <v>44828.833333333336</v>
      </c>
      <c r="H2621">
        <v>19</v>
      </c>
      <c r="I2621">
        <v>0</v>
      </c>
      <c r="J2621">
        <v>20</v>
      </c>
      <c r="K2621">
        <v>0</v>
      </c>
      <c r="L2621">
        <v>2022</v>
      </c>
      <c r="N2621" t="s">
        <v>47</v>
      </c>
      <c r="O2621" t="s">
        <v>47</v>
      </c>
      <c r="P2621" t="s">
        <v>4859</v>
      </c>
    </row>
    <row r="2622" spans="1:16" x14ac:dyDescent="0.3">
      <c r="A2622" t="s">
        <v>4854</v>
      </c>
      <c r="C2622">
        <v>35</v>
      </c>
      <c r="D2622" t="s">
        <v>10</v>
      </c>
      <c r="F2622" s="43">
        <v>44828.756944444445</v>
      </c>
      <c r="G2622" s="43">
        <v>44828.78125</v>
      </c>
      <c r="H2622">
        <v>18</v>
      </c>
      <c r="I2622">
        <v>10</v>
      </c>
      <c r="J2622">
        <v>18</v>
      </c>
      <c r="K2622">
        <v>45</v>
      </c>
      <c r="L2622">
        <v>2022</v>
      </c>
      <c r="N2622" t="s">
        <v>47</v>
      </c>
      <c r="O2622" t="s">
        <v>47</v>
      </c>
      <c r="P2622" t="s">
        <v>4855</v>
      </c>
    </row>
    <row r="2623" spans="1:16" x14ac:dyDescent="0.3">
      <c r="A2623" t="s">
        <v>4519</v>
      </c>
      <c r="C2623">
        <v>75</v>
      </c>
      <c r="D2623" t="s">
        <v>10</v>
      </c>
      <c r="F2623" s="43">
        <v>44828.65625</v>
      </c>
      <c r="G2623" s="43">
        <v>44828.708333333336</v>
      </c>
      <c r="H2623">
        <v>15</v>
      </c>
      <c r="I2623">
        <v>45</v>
      </c>
      <c r="J2623">
        <v>17</v>
      </c>
      <c r="K2623">
        <v>0</v>
      </c>
      <c r="L2623">
        <v>2022</v>
      </c>
      <c r="N2623" t="s">
        <v>47</v>
      </c>
      <c r="O2623" t="s">
        <v>47</v>
      </c>
      <c r="P2623" t="s">
        <v>4853</v>
      </c>
    </row>
    <row r="2624" spans="1:16" x14ac:dyDescent="0.3">
      <c r="A2624" t="s">
        <v>4850</v>
      </c>
      <c r="C2624">
        <v>75</v>
      </c>
      <c r="D2624" t="s">
        <v>10</v>
      </c>
      <c r="F2624" s="43">
        <v>44828.583333333336</v>
      </c>
      <c r="G2624" s="43">
        <v>44828.635416666664</v>
      </c>
      <c r="H2624">
        <v>14</v>
      </c>
      <c r="I2624">
        <v>0</v>
      </c>
      <c r="J2624">
        <v>15</v>
      </c>
      <c r="K2624">
        <v>15</v>
      </c>
      <c r="L2624">
        <v>2022</v>
      </c>
      <c r="N2624" t="s">
        <v>47</v>
      </c>
      <c r="O2624" t="s">
        <v>47</v>
      </c>
      <c r="P2624" t="s">
        <v>4852</v>
      </c>
    </row>
    <row r="2625" spans="1:16" x14ac:dyDescent="0.3">
      <c r="A2625" t="s">
        <v>4850</v>
      </c>
      <c r="C2625">
        <v>60</v>
      </c>
      <c r="D2625" t="s">
        <v>10</v>
      </c>
      <c r="F2625" s="43">
        <v>44828.416666666664</v>
      </c>
      <c r="G2625" s="43">
        <v>44828.458333333336</v>
      </c>
      <c r="H2625">
        <v>10</v>
      </c>
      <c r="I2625">
        <v>0</v>
      </c>
      <c r="J2625">
        <v>11</v>
      </c>
      <c r="K2625">
        <v>0</v>
      </c>
      <c r="L2625">
        <v>2022</v>
      </c>
      <c r="N2625" t="s">
        <v>47</v>
      </c>
      <c r="O2625" t="s">
        <v>47</v>
      </c>
      <c r="P2625" t="s">
        <v>4851</v>
      </c>
    </row>
    <row r="2626" spans="1:16" x14ac:dyDescent="0.3">
      <c r="A2626" t="s">
        <v>4577</v>
      </c>
      <c r="C2626">
        <v>30</v>
      </c>
      <c r="D2626" t="s">
        <v>10</v>
      </c>
      <c r="F2626" s="43">
        <v>44828.208333333336</v>
      </c>
      <c r="G2626" s="43">
        <v>44828.229166666664</v>
      </c>
      <c r="H2626">
        <v>5</v>
      </c>
      <c r="I2626">
        <v>0</v>
      </c>
      <c r="J2626">
        <v>5</v>
      </c>
      <c r="K2626">
        <v>30</v>
      </c>
      <c r="L2626">
        <v>2022</v>
      </c>
      <c r="N2626" t="s">
        <v>47</v>
      </c>
      <c r="O2626" t="s">
        <v>47</v>
      </c>
      <c r="P2626" t="s">
        <v>4849</v>
      </c>
    </row>
    <row r="2627" spans="1:16" x14ac:dyDescent="0.3">
      <c r="A2627" t="s">
        <v>4842</v>
      </c>
      <c r="C2627">
        <v>50</v>
      </c>
      <c r="D2627" t="s">
        <v>10</v>
      </c>
      <c r="F2627" s="43">
        <v>44827.840277777781</v>
      </c>
      <c r="G2627" s="43">
        <v>44827.875</v>
      </c>
      <c r="H2627">
        <v>20</v>
      </c>
      <c r="I2627">
        <v>10</v>
      </c>
      <c r="J2627">
        <v>21</v>
      </c>
      <c r="K2627">
        <v>0</v>
      </c>
      <c r="L2627">
        <v>2022</v>
      </c>
      <c r="N2627" t="s">
        <v>47</v>
      </c>
      <c r="O2627" t="s">
        <v>47</v>
      </c>
      <c r="P2627" t="s">
        <v>4843</v>
      </c>
    </row>
    <row r="2628" spans="1:16" x14ac:dyDescent="0.3">
      <c r="A2628" t="s">
        <v>4844</v>
      </c>
      <c r="C2628">
        <v>30</v>
      </c>
      <c r="D2628" t="s">
        <v>10</v>
      </c>
      <c r="F2628" s="43">
        <v>44827.770833333336</v>
      </c>
      <c r="G2628" s="43">
        <v>44827.791666666664</v>
      </c>
      <c r="H2628">
        <v>18</v>
      </c>
      <c r="I2628">
        <v>30</v>
      </c>
      <c r="J2628">
        <v>19</v>
      </c>
      <c r="K2628">
        <v>0</v>
      </c>
      <c r="L2628">
        <v>2022</v>
      </c>
      <c r="N2628" t="s">
        <v>47</v>
      </c>
      <c r="O2628" t="s">
        <v>47</v>
      </c>
      <c r="P2628" t="s">
        <v>4845</v>
      </c>
    </row>
    <row r="2629" spans="1:16" x14ac:dyDescent="0.3">
      <c r="A2629" t="s">
        <v>4842</v>
      </c>
      <c r="C2629">
        <v>30</v>
      </c>
      <c r="D2629" t="s">
        <v>10</v>
      </c>
      <c r="F2629" s="43">
        <v>44827.708333333336</v>
      </c>
      <c r="G2629" s="43">
        <v>44827.729166666664</v>
      </c>
      <c r="H2629">
        <v>17</v>
      </c>
      <c r="I2629">
        <v>0</v>
      </c>
      <c r="J2629">
        <v>17</v>
      </c>
      <c r="K2629">
        <v>30</v>
      </c>
      <c r="L2629">
        <v>2022</v>
      </c>
      <c r="N2629" t="s">
        <v>47</v>
      </c>
      <c r="O2629" t="s">
        <v>47</v>
      </c>
      <c r="P2629" t="s">
        <v>4846</v>
      </c>
    </row>
    <row r="2630" spans="1:16" x14ac:dyDescent="0.3">
      <c r="A2630" t="s">
        <v>4847</v>
      </c>
      <c r="C2630">
        <v>60</v>
      </c>
      <c r="D2630" t="s">
        <v>10</v>
      </c>
      <c r="F2630" s="43">
        <v>44827.666666666664</v>
      </c>
      <c r="G2630" s="43">
        <v>44827.708333333336</v>
      </c>
      <c r="H2630">
        <v>16</v>
      </c>
      <c r="I2630">
        <v>0</v>
      </c>
      <c r="J2630">
        <v>17</v>
      </c>
      <c r="K2630">
        <v>0</v>
      </c>
      <c r="L2630">
        <v>2022</v>
      </c>
      <c r="N2630" t="s">
        <v>47</v>
      </c>
      <c r="O2630" t="s">
        <v>47</v>
      </c>
      <c r="P2630" t="s">
        <v>4848</v>
      </c>
    </row>
    <row r="2631" spans="1:16" x14ac:dyDescent="0.3">
      <c r="A2631" t="s">
        <v>9</v>
      </c>
      <c r="C2631">
        <v>45</v>
      </c>
      <c r="D2631" t="s">
        <v>10</v>
      </c>
      <c r="F2631" s="43">
        <v>44827.604166666664</v>
      </c>
      <c r="G2631" s="43">
        <v>44827.635416666664</v>
      </c>
      <c r="H2631">
        <v>14</v>
      </c>
      <c r="I2631">
        <v>30</v>
      </c>
      <c r="J2631">
        <v>15</v>
      </c>
      <c r="K2631">
        <v>15</v>
      </c>
      <c r="L2631">
        <v>2022</v>
      </c>
      <c r="N2631" t="s">
        <v>47</v>
      </c>
      <c r="O2631" t="s">
        <v>47</v>
      </c>
      <c r="P2631" t="s">
        <v>4841</v>
      </c>
    </row>
    <row r="2632" spans="1:16" x14ac:dyDescent="0.3">
      <c r="A2632" t="s">
        <v>4577</v>
      </c>
      <c r="C2632">
        <v>60</v>
      </c>
      <c r="D2632" t="s">
        <v>10</v>
      </c>
      <c r="F2632" s="43">
        <v>44827.5625</v>
      </c>
      <c r="G2632" s="43">
        <v>44827.604166666664</v>
      </c>
      <c r="H2632">
        <v>13</v>
      </c>
      <c r="I2632">
        <v>30</v>
      </c>
      <c r="J2632">
        <v>14</v>
      </c>
      <c r="K2632">
        <v>30</v>
      </c>
      <c r="L2632">
        <v>2022</v>
      </c>
      <c r="N2632" t="s">
        <v>47</v>
      </c>
      <c r="O2632" t="s">
        <v>47</v>
      </c>
      <c r="P2632" t="s">
        <v>4840</v>
      </c>
    </row>
    <row r="2633" spans="1:16" x14ac:dyDescent="0.3">
      <c r="A2633" t="s">
        <v>8</v>
      </c>
      <c r="C2633">
        <v>30</v>
      </c>
      <c r="D2633" t="s">
        <v>10</v>
      </c>
      <c r="F2633" s="43">
        <v>44827.520833333336</v>
      </c>
      <c r="G2633" s="43">
        <v>44827.541666666664</v>
      </c>
      <c r="H2633">
        <v>12</v>
      </c>
      <c r="I2633">
        <v>30</v>
      </c>
      <c r="J2633">
        <v>13</v>
      </c>
      <c r="K2633">
        <v>0</v>
      </c>
      <c r="L2633">
        <v>2022</v>
      </c>
      <c r="N2633" t="s">
        <v>47</v>
      </c>
      <c r="O2633" t="s">
        <v>47</v>
      </c>
      <c r="P2633" t="s">
        <v>4799</v>
      </c>
    </row>
    <row r="2634" spans="1:16" x14ac:dyDescent="0.3">
      <c r="A2634" t="s">
        <v>4812</v>
      </c>
      <c r="C2634">
        <v>25</v>
      </c>
      <c r="D2634" t="s">
        <v>10</v>
      </c>
      <c r="F2634" s="43">
        <v>44827.5</v>
      </c>
      <c r="G2634" s="43">
        <v>44827.517361111109</v>
      </c>
      <c r="H2634">
        <v>12</v>
      </c>
      <c r="I2634">
        <v>0</v>
      </c>
      <c r="J2634">
        <v>12</v>
      </c>
      <c r="K2634">
        <v>25</v>
      </c>
      <c r="L2634">
        <v>2022</v>
      </c>
      <c r="N2634" t="s">
        <v>75</v>
      </c>
      <c r="O2634" t="s">
        <v>49</v>
      </c>
      <c r="P2634" t="s">
        <v>4813</v>
      </c>
    </row>
    <row r="2635" spans="1:16" x14ac:dyDescent="0.3">
      <c r="A2635" t="s">
        <v>4754</v>
      </c>
      <c r="C2635">
        <v>60</v>
      </c>
      <c r="D2635" t="s">
        <v>10</v>
      </c>
      <c r="F2635" s="43">
        <v>44827.4375</v>
      </c>
      <c r="G2635" s="43">
        <v>44827.479166666664</v>
      </c>
      <c r="H2635">
        <v>10</v>
      </c>
      <c r="I2635">
        <v>30</v>
      </c>
      <c r="J2635">
        <v>11</v>
      </c>
      <c r="K2635">
        <v>30</v>
      </c>
      <c r="L2635">
        <v>2022</v>
      </c>
      <c r="N2635" t="s">
        <v>4755</v>
      </c>
      <c r="O2635" t="s">
        <v>762</v>
      </c>
      <c r="P2635" t="s">
        <v>4756</v>
      </c>
    </row>
    <row r="2636" spans="1:16" x14ac:dyDescent="0.3">
      <c r="A2636" t="s">
        <v>4832</v>
      </c>
      <c r="C2636">
        <v>30</v>
      </c>
      <c r="D2636" t="s">
        <v>10</v>
      </c>
      <c r="E2636" t="s">
        <v>4833</v>
      </c>
      <c r="F2636" s="43">
        <v>44827.395833333336</v>
      </c>
      <c r="G2636" s="43">
        <v>44827.416666666664</v>
      </c>
      <c r="H2636">
        <v>9</v>
      </c>
      <c r="I2636">
        <v>30</v>
      </c>
      <c r="J2636">
        <v>10</v>
      </c>
      <c r="K2636">
        <v>0</v>
      </c>
      <c r="L2636">
        <v>2022</v>
      </c>
      <c r="N2636" t="s">
        <v>4834</v>
      </c>
      <c r="O2636" t="s">
        <v>4835</v>
      </c>
      <c r="P2636" t="s">
        <v>4836</v>
      </c>
    </row>
    <row r="2637" spans="1:16" x14ac:dyDescent="0.3">
      <c r="A2637" t="s">
        <v>8</v>
      </c>
      <c r="C2637">
        <v>30</v>
      </c>
      <c r="D2637" t="s">
        <v>10</v>
      </c>
      <c r="F2637" s="43">
        <v>44827.333333333336</v>
      </c>
      <c r="G2637" s="43">
        <v>44827.354166666664</v>
      </c>
      <c r="H2637">
        <v>8</v>
      </c>
      <c r="I2637">
        <v>0</v>
      </c>
      <c r="J2637">
        <v>8</v>
      </c>
      <c r="K2637">
        <v>30</v>
      </c>
      <c r="L2637">
        <v>2022</v>
      </c>
      <c r="N2637" t="s">
        <v>47</v>
      </c>
      <c r="O2637" t="s">
        <v>47</v>
      </c>
      <c r="P2637" t="s">
        <v>4800</v>
      </c>
    </row>
    <row r="2638" spans="1:16" x14ac:dyDescent="0.3">
      <c r="A2638" t="s">
        <v>8</v>
      </c>
      <c r="C2638">
        <v>30</v>
      </c>
      <c r="D2638" t="s">
        <v>10</v>
      </c>
      <c r="F2638" s="43">
        <v>44827.25</v>
      </c>
      <c r="G2638" s="43">
        <v>44827.270833333336</v>
      </c>
      <c r="H2638">
        <v>6</v>
      </c>
      <c r="I2638">
        <v>0</v>
      </c>
      <c r="J2638">
        <v>6</v>
      </c>
      <c r="K2638">
        <v>30</v>
      </c>
      <c r="L2638">
        <v>2022</v>
      </c>
      <c r="N2638" t="s">
        <v>47</v>
      </c>
      <c r="O2638" t="s">
        <v>47</v>
      </c>
      <c r="P2638" t="s">
        <v>4801</v>
      </c>
    </row>
    <row r="2639" spans="1:16" x14ac:dyDescent="0.3">
      <c r="A2639" t="s">
        <v>4814</v>
      </c>
      <c r="C2639">
        <v>50</v>
      </c>
      <c r="D2639" t="s">
        <v>10</v>
      </c>
      <c r="F2639" s="43">
        <v>44827.145833333336</v>
      </c>
      <c r="G2639" s="43">
        <v>44827.180555555555</v>
      </c>
      <c r="H2639">
        <v>3</v>
      </c>
      <c r="I2639">
        <v>30</v>
      </c>
      <c r="J2639">
        <v>4</v>
      </c>
      <c r="K2639">
        <v>20</v>
      </c>
      <c r="L2639">
        <v>2022</v>
      </c>
      <c r="N2639" t="s">
        <v>47</v>
      </c>
      <c r="O2639" t="s">
        <v>47</v>
      </c>
      <c r="P2639" t="s">
        <v>4815</v>
      </c>
    </row>
    <row r="2640" spans="1:16" x14ac:dyDescent="0.3">
      <c r="A2640" t="s">
        <v>2014</v>
      </c>
      <c r="C2640">
        <v>30</v>
      </c>
      <c r="D2640" t="s">
        <v>10</v>
      </c>
      <c r="F2640" s="43">
        <v>44826.8125</v>
      </c>
      <c r="G2640" s="43">
        <v>44826.833333333336</v>
      </c>
      <c r="H2640">
        <v>19</v>
      </c>
      <c r="I2640">
        <v>30</v>
      </c>
      <c r="J2640">
        <v>20</v>
      </c>
      <c r="K2640">
        <v>0</v>
      </c>
      <c r="L2640">
        <v>2022</v>
      </c>
      <c r="N2640" t="s">
        <v>47</v>
      </c>
      <c r="O2640" t="s">
        <v>47</v>
      </c>
      <c r="P2640" t="s">
        <v>4821</v>
      </c>
    </row>
    <row r="2641" spans="1:16" x14ac:dyDescent="0.3">
      <c r="A2641" t="s">
        <v>4822</v>
      </c>
      <c r="C2641">
        <v>30</v>
      </c>
      <c r="D2641" t="s">
        <v>10</v>
      </c>
      <c r="F2641" s="43">
        <v>44826.791666666664</v>
      </c>
      <c r="G2641" s="43">
        <v>44826.8125</v>
      </c>
      <c r="H2641">
        <v>19</v>
      </c>
      <c r="I2641">
        <v>0</v>
      </c>
      <c r="J2641">
        <v>19</v>
      </c>
      <c r="K2641">
        <v>30</v>
      </c>
      <c r="L2641">
        <v>2022</v>
      </c>
      <c r="N2641" t="s">
        <v>47</v>
      </c>
      <c r="O2641" t="s">
        <v>47</v>
      </c>
      <c r="P2641" t="s">
        <v>4823</v>
      </c>
    </row>
    <row r="2642" spans="1:16" x14ac:dyDescent="0.3">
      <c r="A2642" t="s">
        <v>4824</v>
      </c>
      <c r="C2642">
        <v>45</v>
      </c>
      <c r="D2642" t="s">
        <v>10</v>
      </c>
      <c r="F2642" s="43">
        <v>44826.71875</v>
      </c>
      <c r="G2642" s="43">
        <v>44826.75</v>
      </c>
      <c r="H2642">
        <v>17</v>
      </c>
      <c r="I2642">
        <v>15</v>
      </c>
      <c r="J2642">
        <v>18</v>
      </c>
      <c r="K2642">
        <v>0</v>
      </c>
      <c r="L2642">
        <v>2022</v>
      </c>
      <c r="N2642" t="s">
        <v>47</v>
      </c>
      <c r="O2642" t="s">
        <v>47</v>
      </c>
      <c r="P2642" t="s">
        <v>4825</v>
      </c>
    </row>
    <row r="2643" spans="1:16" x14ac:dyDescent="0.3">
      <c r="A2643" t="s">
        <v>7</v>
      </c>
      <c r="C2643">
        <v>45</v>
      </c>
      <c r="D2643" t="s">
        <v>10</v>
      </c>
      <c r="F2643" s="43">
        <v>44826.6875</v>
      </c>
      <c r="G2643" s="43">
        <v>44826.71875</v>
      </c>
      <c r="H2643">
        <v>16</v>
      </c>
      <c r="I2643">
        <v>30</v>
      </c>
      <c r="J2643">
        <v>17</v>
      </c>
      <c r="K2643">
        <v>15</v>
      </c>
      <c r="L2643">
        <v>2022</v>
      </c>
      <c r="N2643" t="s">
        <v>47</v>
      </c>
      <c r="O2643" t="s">
        <v>47</v>
      </c>
      <c r="P2643" t="s">
        <v>4829</v>
      </c>
    </row>
    <row r="2644" spans="1:16" x14ac:dyDescent="0.3">
      <c r="A2644" t="s">
        <v>4797</v>
      </c>
      <c r="C2644">
        <v>30</v>
      </c>
      <c r="D2644" t="s">
        <v>10</v>
      </c>
      <c r="F2644" s="43">
        <v>44826.666666666664</v>
      </c>
      <c r="G2644" s="43">
        <v>44826.6875</v>
      </c>
      <c r="H2644">
        <v>16</v>
      </c>
      <c r="I2644">
        <v>0</v>
      </c>
      <c r="J2644">
        <v>16</v>
      </c>
      <c r="K2644">
        <v>30</v>
      </c>
      <c r="L2644">
        <v>2022</v>
      </c>
      <c r="N2644" t="s">
        <v>4365</v>
      </c>
      <c r="O2644" t="s">
        <v>783</v>
      </c>
      <c r="P2644" t="s">
        <v>4798</v>
      </c>
    </row>
    <row r="2645" spans="1:16" x14ac:dyDescent="0.3">
      <c r="A2645" t="s">
        <v>4830</v>
      </c>
      <c r="C2645">
        <v>30</v>
      </c>
      <c r="D2645" t="s">
        <v>10</v>
      </c>
      <c r="F2645" s="43">
        <v>44826.645833333336</v>
      </c>
      <c r="G2645" s="43">
        <v>44826.666666666664</v>
      </c>
      <c r="H2645">
        <v>15</v>
      </c>
      <c r="I2645">
        <v>30</v>
      </c>
      <c r="J2645">
        <v>16</v>
      </c>
      <c r="K2645">
        <v>0</v>
      </c>
      <c r="L2645">
        <v>2022</v>
      </c>
      <c r="N2645" t="s">
        <v>47</v>
      </c>
      <c r="O2645" t="s">
        <v>47</v>
      </c>
      <c r="P2645" t="s">
        <v>4831</v>
      </c>
    </row>
    <row r="2646" spans="1:16" x14ac:dyDescent="0.3">
      <c r="A2646" t="s">
        <v>4795</v>
      </c>
      <c r="C2646">
        <v>30</v>
      </c>
      <c r="D2646" t="s">
        <v>10</v>
      </c>
      <c r="F2646" s="1">
        <v>44826.625</v>
      </c>
      <c r="G2646" s="1">
        <v>44826.645833333336</v>
      </c>
      <c r="H2646">
        <v>15</v>
      </c>
      <c r="I2646">
        <v>0</v>
      </c>
      <c r="J2646">
        <v>15</v>
      </c>
      <c r="K2646">
        <v>30</v>
      </c>
      <c r="L2646">
        <v>2022</v>
      </c>
      <c r="N2646" t="s">
        <v>47</v>
      </c>
      <c r="O2646" t="s">
        <v>47</v>
      </c>
      <c r="P2646" t="s">
        <v>4796</v>
      </c>
    </row>
    <row r="2647" spans="1:16" x14ac:dyDescent="0.3">
      <c r="A2647" t="s">
        <v>4790</v>
      </c>
      <c r="C2647">
        <v>15</v>
      </c>
      <c r="D2647" t="s">
        <v>10</v>
      </c>
      <c r="F2647" s="43">
        <v>44826.572916666664</v>
      </c>
      <c r="G2647" s="43">
        <v>44826.583333333336</v>
      </c>
      <c r="H2647">
        <v>13</v>
      </c>
      <c r="I2647">
        <v>45</v>
      </c>
      <c r="J2647">
        <v>14</v>
      </c>
      <c r="K2647">
        <v>0</v>
      </c>
      <c r="L2647">
        <v>2022</v>
      </c>
      <c r="N2647" t="s">
        <v>47</v>
      </c>
      <c r="O2647" t="s">
        <v>47</v>
      </c>
      <c r="P2647" t="s">
        <v>4791</v>
      </c>
    </row>
    <row r="2648" spans="1:16" x14ac:dyDescent="0.3">
      <c r="A2648" t="s">
        <v>4770</v>
      </c>
      <c r="C2648">
        <v>30</v>
      </c>
      <c r="D2648" t="s">
        <v>10</v>
      </c>
      <c r="E2648" t="s">
        <v>501</v>
      </c>
      <c r="F2648" s="43">
        <v>44826.552083333336</v>
      </c>
      <c r="G2648" s="43">
        <v>44826.572916666664</v>
      </c>
      <c r="H2648">
        <v>13</v>
      </c>
      <c r="I2648">
        <v>15</v>
      </c>
      <c r="J2648">
        <v>13</v>
      </c>
      <c r="K2648">
        <v>45</v>
      </c>
      <c r="L2648">
        <v>2022</v>
      </c>
      <c r="N2648" t="s">
        <v>4629</v>
      </c>
      <c r="O2648" t="s">
        <v>47</v>
      </c>
      <c r="P2648" t="s">
        <v>4771</v>
      </c>
    </row>
    <row r="2649" spans="1:16" x14ac:dyDescent="0.3">
      <c r="A2649" t="s">
        <v>4784</v>
      </c>
      <c r="C2649">
        <v>30</v>
      </c>
      <c r="D2649" t="s">
        <v>10</v>
      </c>
      <c r="E2649" t="s">
        <v>4785</v>
      </c>
      <c r="F2649" s="43">
        <v>44826.520833333336</v>
      </c>
      <c r="G2649" s="43">
        <v>44826.541666666664</v>
      </c>
      <c r="H2649">
        <v>12</v>
      </c>
      <c r="I2649">
        <v>30</v>
      </c>
      <c r="J2649">
        <v>13</v>
      </c>
      <c r="K2649">
        <v>0</v>
      </c>
      <c r="L2649">
        <v>2022</v>
      </c>
      <c r="N2649" t="s">
        <v>523</v>
      </c>
      <c r="O2649" t="s">
        <v>48</v>
      </c>
      <c r="P2649" t="s">
        <v>4786</v>
      </c>
    </row>
    <row r="2650" spans="1:16" x14ac:dyDescent="0.3">
      <c r="A2650" t="s">
        <v>4792</v>
      </c>
      <c r="C2650">
        <v>30</v>
      </c>
      <c r="D2650" t="s">
        <v>10</v>
      </c>
      <c r="F2650" s="43">
        <v>44826.5</v>
      </c>
      <c r="G2650" s="43">
        <v>44826.520833333336</v>
      </c>
      <c r="H2650">
        <v>12</v>
      </c>
      <c r="I2650">
        <v>0</v>
      </c>
      <c r="J2650">
        <v>12</v>
      </c>
      <c r="K2650">
        <v>30</v>
      </c>
      <c r="L2650">
        <v>2022</v>
      </c>
      <c r="N2650" t="s">
        <v>47</v>
      </c>
      <c r="O2650" t="s">
        <v>47</v>
      </c>
      <c r="P2650" t="s">
        <v>4793</v>
      </c>
    </row>
    <row r="2651" spans="1:16" x14ac:dyDescent="0.3">
      <c r="A2651" t="s">
        <v>17</v>
      </c>
      <c r="C2651">
        <v>30</v>
      </c>
      <c r="D2651" t="s">
        <v>10</v>
      </c>
      <c r="F2651" s="1">
        <v>44826.479166666664</v>
      </c>
      <c r="G2651" s="1">
        <v>44826.5</v>
      </c>
      <c r="H2651">
        <v>11</v>
      </c>
      <c r="I2651">
        <v>30</v>
      </c>
      <c r="J2651">
        <v>12</v>
      </c>
      <c r="K2651">
        <v>0</v>
      </c>
      <c r="L2651">
        <v>2022</v>
      </c>
      <c r="N2651" t="s">
        <v>47</v>
      </c>
      <c r="O2651" t="s">
        <v>47</v>
      </c>
      <c r="P2651" t="s">
        <v>4794</v>
      </c>
    </row>
    <row r="2652" spans="1:16" x14ac:dyDescent="0.3">
      <c r="A2652" t="s">
        <v>8</v>
      </c>
      <c r="C2652">
        <v>30</v>
      </c>
      <c r="D2652" t="s">
        <v>10</v>
      </c>
      <c r="F2652" s="43">
        <v>44826.458333333336</v>
      </c>
      <c r="G2652" s="43">
        <v>44826.479166666664</v>
      </c>
      <c r="H2652">
        <v>11</v>
      </c>
      <c r="I2652">
        <v>0</v>
      </c>
      <c r="J2652">
        <v>11</v>
      </c>
      <c r="K2652">
        <v>30</v>
      </c>
      <c r="L2652">
        <v>2022</v>
      </c>
      <c r="N2652" t="s">
        <v>47</v>
      </c>
      <c r="O2652" t="s">
        <v>47</v>
      </c>
      <c r="P2652" t="s">
        <v>4788</v>
      </c>
    </row>
    <row r="2653" spans="1:16" x14ac:dyDescent="0.3">
      <c r="A2653" t="s">
        <v>4773</v>
      </c>
      <c r="C2653">
        <v>15</v>
      </c>
      <c r="D2653" t="s">
        <v>10</v>
      </c>
      <c r="E2653" t="s">
        <v>501</v>
      </c>
      <c r="F2653" s="43">
        <v>44826.427083333336</v>
      </c>
      <c r="G2653" s="43">
        <v>44826.4375</v>
      </c>
      <c r="H2653">
        <v>10</v>
      </c>
      <c r="I2653">
        <v>15</v>
      </c>
      <c r="J2653">
        <v>10</v>
      </c>
      <c r="K2653">
        <v>30</v>
      </c>
      <c r="L2653">
        <v>2022</v>
      </c>
      <c r="N2653" t="s">
        <v>1764</v>
      </c>
      <c r="O2653" t="s">
        <v>47</v>
      </c>
      <c r="P2653" t="s">
        <v>4774</v>
      </c>
    </row>
    <row r="2654" spans="1:16" x14ac:dyDescent="0.3">
      <c r="A2654" t="s">
        <v>4373</v>
      </c>
      <c r="C2654">
        <v>15</v>
      </c>
      <c r="D2654" t="s">
        <v>10</v>
      </c>
      <c r="E2654" t="s">
        <v>501</v>
      </c>
      <c r="F2654" s="43">
        <v>44826.416666666664</v>
      </c>
      <c r="G2654" s="43">
        <v>44826.427083333336</v>
      </c>
      <c r="H2654">
        <v>10</v>
      </c>
      <c r="I2654">
        <v>0</v>
      </c>
      <c r="J2654">
        <v>10</v>
      </c>
      <c r="K2654">
        <v>15</v>
      </c>
      <c r="L2654">
        <v>2022</v>
      </c>
      <c r="N2654" t="s">
        <v>4384</v>
      </c>
      <c r="O2654" t="s">
        <v>47</v>
      </c>
      <c r="P2654" t="s">
        <v>4787</v>
      </c>
    </row>
    <row r="2655" spans="1:16" x14ac:dyDescent="0.3">
      <c r="A2655" t="s">
        <v>4626</v>
      </c>
      <c r="C2655">
        <v>60</v>
      </c>
      <c r="D2655" t="s">
        <v>10</v>
      </c>
      <c r="E2655" t="s">
        <v>501</v>
      </c>
      <c r="F2655" s="43">
        <v>44826.395833333336</v>
      </c>
      <c r="G2655" s="43">
        <v>44826.4375</v>
      </c>
      <c r="H2655">
        <v>9</v>
      </c>
      <c r="I2655">
        <v>30</v>
      </c>
      <c r="J2655">
        <v>10</v>
      </c>
      <c r="K2655">
        <v>30</v>
      </c>
      <c r="L2655">
        <v>2022</v>
      </c>
      <c r="N2655" t="s">
        <v>4627</v>
      </c>
      <c r="O2655" t="s">
        <v>47</v>
      </c>
      <c r="P2655" t="s">
        <v>4628</v>
      </c>
    </row>
    <row r="2656" spans="1:16" x14ac:dyDescent="0.3">
      <c r="A2656" t="s">
        <v>8</v>
      </c>
      <c r="C2656">
        <v>30</v>
      </c>
      <c r="D2656" t="s">
        <v>10</v>
      </c>
      <c r="F2656" s="43">
        <v>44826.375</v>
      </c>
      <c r="G2656" s="43">
        <v>44826.395833333336</v>
      </c>
      <c r="H2656">
        <v>9</v>
      </c>
      <c r="I2656">
        <v>0</v>
      </c>
      <c r="J2656">
        <v>9</v>
      </c>
      <c r="K2656">
        <v>30</v>
      </c>
      <c r="L2656">
        <v>2022</v>
      </c>
      <c r="N2656" t="s">
        <v>47</v>
      </c>
      <c r="O2656" t="s">
        <v>47</v>
      </c>
      <c r="P2656" t="s">
        <v>4789</v>
      </c>
    </row>
    <row r="2657" spans="1:16" x14ac:dyDescent="0.3">
      <c r="A2657" t="s">
        <v>8</v>
      </c>
      <c r="C2657">
        <v>15</v>
      </c>
      <c r="D2657" t="s">
        <v>10</v>
      </c>
      <c r="F2657" s="1">
        <v>44826.333333333336</v>
      </c>
      <c r="G2657" s="1">
        <v>44826.34375</v>
      </c>
      <c r="H2657">
        <v>8</v>
      </c>
      <c r="I2657">
        <v>0</v>
      </c>
      <c r="J2657">
        <v>8</v>
      </c>
      <c r="K2657">
        <v>15</v>
      </c>
      <c r="L2657">
        <v>2022</v>
      </c>
      <c r="N2657" t="s">
        <v>47</v>
      </c>
      <c r="O2657" t="s">
        <v>47</v>
      </c>
      <c r="P2657" t="s">
        <v>4772</v>
      </c>
    </row>
    <row r="2658" spans="1:16" x14ac:dyDescent="0.3">
      <c r="A2658" t="s">
        <v>3899</v>
      </c>
      <c r="C2658">
        <v>30</v>
      </c>
      <c r="D2658" t="s">
        <v>10</v>
      </c>
      <c r="E2658" t="s">
        <v>501</v>
      </c>
      <c r="F2658" s="43">
        <v>44826.3125</v>
      </c>
      <c r="G2658" s="43">
        <v>44826.333333333336</v>
      </c>
      <c r="H2658">
        <v>7</v>
      </c>
      <c r="I2658">
        <v>30</v>
      </c>
      <c r="J2658">
        <v>8</v>
      </c>
      <c r="K2658">
        <v>0</v>
      </c>
      <c r="L2658">
        <v>2022</v>
      </c>
      <c r="N2658" t="s">
        <v>1849</v>
      </c>
      <c r="O2658" t="s">
        <v>47</v>
      </c>
      <c r="P2658" t="s">
        <v>4779</v>
      </c>
    </row>
    <row r="2659" spans="1:16" x14ac:dyDescent="0.3">
      <c r="A2659" t="s">
        <v>4777</v>
      </c>
      <c r="C2659">
        <v>30</v>
      </c>
      <c r="D2659" t="s">
        <v>10</v>
      </c>
      <c r="F2659" s="43">
        <v>44826.270833333336</v>
      </c>
      <c r="G2659" s="43">
        <v>44826.291666666664</v>
      </c>
      <c r="H2659">
        <v>6</v>
      </c>
      <c r="I2659">
        <v>30</v>
      </c>
      <c r="J2659">
        <v>7</v>
      </c>
      <c r="K2659">
        <v>0</v>
      </c>
      <c r="L2659">
        <v>2022</v>
      </c>
      <c r="N2659" t="s">
        <v>47</v>
      </c>
      <c r="O2659" t="s">
        <v>47</v>
      </c>
      <c r="P2659" t="s">
        <v>4778</v>
      </c>
    </row>
    <row r="2660" spans="1:16" x14ac:dyDescent="0.3">
      <c r="A2660" t="s">
        <v>4780</v>
      </c>
      <c r="B2660" t="s">
        <v>109</v>
      </c>
      <c r="C2660">
        <v>30</v>
      </c>
      <c r="D2660" t="s">
        <v>10</v>
      </c>
      <c r="E2660" t="s">
        <v>5</v>
      </c>
      <c r="F2660" s="43">
        <v>44826.25</v>
      </c>
      <c r="G2660" s="43">
        <v>44826.270833333336</v>
      </c>
      <c r="H2660">
        <v>6</v>
      </c>
      <c r="I2660">
        <v>0</v>
      </c>
      <c r="J2660">
        <v>6</v>
      </c>
      <c r="K2660">
        <v>30</v>
      </c>
      <c r="L2660">
        <v>2022</v>
      </c>
      <c r="N2660" t="s">
        <v>955</v>
      </c>
      <c r="O2660" t="s">
        <v>956</v>
      </c>
      <c r="P2660" t="s">
        <v>4781</v>
      </c>
    </row>
    <row r="2661" spans="1:16" x14ac:dyDescent="0.3">
      <c r="A2661" t="s">
        <v>17</v>
      </c>
      <c r="C2661">
        <v>30</v>
      </c>
      <c r="D2661" t="s">
        <v>10</v>
      </c>
      <c r="F2661" s="43">
        <v>44826.229166666664</v>
      </c>
      <c r="G2661" s="43">
        <v>44826.25</v>
      </c>
      <c r="H2661">
        <v>5</v>
      </c>
      <c r="I2661">
        <v>30</v>
      </c>
      <c r="J2661">
        <v>6</v>
      </c>
      <c r="K2661">
        <v>0</v>
      </c>
      <c r="L2661">
        <v>2022</v>
      </c>
      <c r="N2661" t="s">
        <v>47</v>
      </c>
      <c r="O2661" t="s">
        <v>47</v>
      </c>
      <c r="P2661" t="s">
        <v>4775</v>
      </c>
    </row>
    <row r="2662" spans="1:16" x14ac:dyDescent="0.3">
      <c r="A2662" t="s">
        <v>1222</v>
      </c>
      <c r="C2662">
        <v>30</v>
      </c>
      <c r="D2662" t="s">
        <v>10</v>
      </c>
      <c r="F2662" s="43">
        <v>44826.208333333336</v>
      </c>
      <c r="G2662" s="43">
        <v>44826.229166666664</v>
      </c>
      <c r="H2662">
        <v>5</v>
      </c>
      <c r="I2662">
        <v>0</v>
      </c>
      <c r="J2662">
        <v>5</v>
      </c>
      <c r="K2662">
        <v>30</v>
      </c>
      <c r="L2662">
        <v>2022</v>
      </c>
      <c r="N2662" t="s">
        <v>47</v>
      </c>
      <c r="O2662" t="s">
        <v>47</v>
      </c>
      <c r="P2662" t="s">
        <v>4776</v>
      </c>
    </row>
    <row r="2663" spans="1:16" x14ac:dyDescent="0.3">
      <c r="A2663" t="s">
        <v>4766</v>
      </c>
      <c r="C2663">
        <v>30</v>
      </c>
      <c r="D2663" t="s">
        <v>10</v>
      </c>
      <c r="F2663" s="43">
        <v>44825.854166666664</v>
      </c>
      <c r="G2663" s="43">
        <v>44825.875</v>
      </c>
      <c r="H2663">
        <v>20</v>
      </c>
      <c r="I2663">
        <v>30</v>
      </c>
      <c r="J2663">
        <v>21</v>
      </c>
      <c r="K2663">
        <v>0</v>
      </c>
      <c r="L2663">
        <v>2022</v>
      </c>
      <c r="N2663" t="s">
        <v>47</v>
      </c>
      <c r="O2663" t="s">
        <v>47</v>
      </c>
      <c r="P2663" t="s">
        <v>4782</v>
      </c>
    </row>
    <row r="2664" spans="1:16" x14ac:dyDescent="0.3">
      <c r="A2664" t="s">
        <v>4819</v>
      </c>
      <c r="C2664">
        <v>120</v>
      </c>
      <c r="D2664" t="s">
        <v>10</v>
      </c>
      <c r="F2664" s="43">
        <v>44825.729166666664</v>
      </c>
      <c r="G2664" s="43">
        <v>44825.8125</v>
      </c>
      <c r="H2664">
        <v>17</v>
      </c>
      <c r="I2664">
        <v>30</v>
      </c>
      <c r="J2664">
        <v>19</v>
      </c>
      <c r="K2664">
        <v>30</v>
      </c>
      <c r="L2664">
        <v>2022</v>
      </c>
      <c r="N2664" t="s">
        <v>47</v>
      </c>
      <c r="O2664" t="s">
        <v>47</v>
      </c>
      <c r="P2664" t="s">
        <v>4820</v>
      </c>
    </row>
    <row r="2665" spans="1:16" x14ac:dyDescent="0.3">
      <c r="A2665" t="s">
        <v>4766</v>
      </c>
      <c r="C2665">
        <v>75</v>
      </c>
      <c r="D2665" t="s">
        <v>10</v>
      </c>
      <c r="F2665" s="43">
        <v>44825.666666666664</v>
      </c>
      <c r="G2665" s="43">
        <v>44825.71875</v>
      </c>
      <c r="H2665">
        <v>16</v>
      </c>
      <c r="I2665">
        <v>0</v>
      </c>
      <c r="J2665">
        <v>17</v>
      </c>
      <c r="K2665">
        <v>15</v>
      </c>
      <c r="L2665">
        <v>2022</v>
      </c>
      <c r="N2665" t="s">
        <v>47</v>
      </c>
      <c r="O2665" t="s">
        <v>47</v>
      </c>
      <c r="P2665" t="s">
        <v>4783</v>
      </c>
    </row>
    <row r="2666" spans="1:16" x14ac:dyDescent="0.3">
      <c r="A2666" t="s">
        <v>4766</v>
      </c>
      <c r="C2666">
        <v>60</v>
      </c>
      <c r="D2666" t="s">
        <v>10</v>
      </c>
      <c r="F2666" s="43">
        <v>44825.614583333336</v>
      </c>
      <c r="G2666" s="43">
        <v>44825.65625</v>
      </c>
      <c r="H2666">
        <v>14</v>
      </c>
      <c r="I2666">
        <v>45</v>
      </c>
      <c r="J2666">
        <v>15</v>
      </c>
      <c r="K2666">
        <v>45</v>
      </c>
      <c r="L2666">
        <v>2022</v>
      </c>
      <c r="N2666" t="s">
        <v>47</v>
      </c>
      <c r="O2666" t="s">
        <v>47</v>
      </c>
      <c r="P2666" t="s">
        <v>4769</v>
      </c>
    </row>
    <row r="2667" spans="1:16" x14ac:dyDescent="0.3">
      <c r="A2667" t="s">
        <v>4648</v>
      </c>
      <c r="B2667" t="s">
        <v>20</v>
      </c>
      <c r="C2667">
        <v>45</v>
      </c>
      <c r="D2667" t="s">
        <v>10</v>
      </c>
      <c r="E2667" t="s">
        <v>4649</v>
      </c>
      <c r="F2667" s="43">
        <v>44825.583333333336</v>
      </c>
      <c r="G2667" s="43">
        <v>44825.614583333336</v>
      </c>
      <c r="H2667">
        <v>14</v>
      </c>
      <c r="I2667">
        <v>0</v>
      </c>
      <c r="J2667">
        <v>14</v>
      </c>
      <c r="K2667">
        <v>45</v>
      </c>
      <c r="L2667">
        <v>2022</v>
      </c>
      <c r="N2667" t="s">
        <v>4650</v>
      </c>
      <c r="O2667" t="s">
        <v>48</v>
      </c>
      <c r="P2667" t="s">
        <v>4651</v>
      </c>
    </row>
    <row r="2668" spans="1:16" x14ac:dyDescent="0.3">
      <c r="A2668" t="s">
        <v>4766</v>
      </c>
      <c r="C2668">
        <v>30</v>
      </c>
      <c r="D2668" t="s">
        <v>10</v>
      </c>
      <c r="F2668" s="43">
        <v>44825.5625</v>
      </c>
      <c r="G2668" s="43">
        <v>44825.583333333336</v>
      </c>
      <c r="H2668">
        <v>13</v>
      </c>
      <c r="I2668">
        <v>30</v>
      </c>
      <c r="J2668">
        <v>14</v>
      </c>
      <c r="K2668">
        <v>0</v>
      </c>
      <c r="L2668">
        <v>2022</v>
      </c>
      <c r="N2668" t="s">
        <v>47</v>
      </c>
      <c r="O2668" t="s">
        <v>47</v>
      </c>
      <c r="P2668" t="s">
        <v>4768</v>
      </c>
    </row>
    <row r="2669" spans="1:16" x14ac:dyDescent="0.3">
      <c r="A2669" t="s">
        <v>4729</v>
      </c>
      <c r="C2669">
        <v>30</v>
      </c>
      <c r="D2669" t="s">
        <v>10</v>
      </c>
      <c r="E2669" t="s">
        <v>501</v>
      </c>
      <c r="F2669" s="43">
        <v>44825.541666666664</v>
      </c>
      <c r="G2669" s="43">
        <v>44825.5625</v>
      </c>
      <c r="H2669">
        <v>13</v>
      </c>
      <c r="I2669">
        <v>0</v>
      </c>
      <c r="J2669">
        <v>13</v>
      </c>
      <c r="K2669">
        <v>30</v>
      </c>
      <c r="L2669">
        <v>2022</v>
      </c>
      <c r="N2669" t="s">
        <v>4247</v>
      </c>
      <c r="O2669" t="s">
        <v>47</v>
      </c>
      <c r="P2669" t="s">
        <v>4730</v>
      </c>
    </row>
    <row r="2670" spans="1:16" x14ac:dyDescent="0.3">
      <c r="A2670" t="s">
        <v>4766</v>
      </c>
      <c r="C2670">
        <v>120</v>
      </c>
      <c r="D2670" t="s">
        <v>10</v>
      </c>
      <c r="F2670" s="43">
        <v>44825.4375</v>
      </c>
      <c r="G2670" s="43">
        <v>44825.520833333336</v>
      </c>
      <c r="H2670">
        <v>10</v>
      </c>
      <c r="I2670">
        <v>30</v>
      </c>
      <c r="J2670">
        <v>12</v>
      </c>
      <c r="K2670">
        <v>30</v>
      </c>
      <c r="L2670">
        <v>2022</v>
      </c>
      <c r="N2670" t="s">
        <v>47</v>
      </c>
      <c r="O2670" t="s">
        <v>47</v>
      </c>
      <c r="P2670" t="s">
        <v>4767</v>
      </c>
    </row>
    <row r="2671" spans="1:16" x14ac:dyDescent="0.3">
      <c r="A2671" t="s">
        <v>4761</v>
      </c>
      <c r="C2671">
        <v>30</v>
      </c>
      <c r="D2671" t="s">
        <v>10</v>
      </c>
      <c r="F2671" s="43">
        <v>44825.375</v>
      </c>
      <c r="G2671" s="43">
        <v>44825.395833333336</v>
      </c>
      <c r="H2671">
        <v>9</v>
      </c>
      <c r="I2671">
        <v>0</v>
      </c>
      <c r="J2671">
        <v>9</v>
      </c>
      <c r="K2671">
        <v>30</v>
      </c>
      <c r="L2671">
        <v>2022</v>
      </c>
      <c r="N2671" t="s">
        <v>4365</v>
      </c>
      <c r="O2671" t="s">
        <v>783</v>
      </c>
      <c r="P2671" t="s">
        <v>4762</v>
      </c>
    </row>
    <row r="2672" spans="1:16" x14ac:dyDescent="0.3">
      <c r="A2672" t="s">
        <v>505</v>
      </c>
      <c r="B2672" t="s">
        <v>20</v>
      </c>
      <c r="C2672">
        <v>60</v>
      </c>
      <c r="D2672" t="s">
        <v>10</v>
      </c>
      <c r="E2672" t="s">
        <v>501</v>
      </c>
      <c r="F2672" s="43">
        <v>44825.354166666664</v>
      </c>
      <c r="G2672" s="43">
        <v>44825.395833333336</v>
      </c>
      <c r="H2672">
        <v>8</v>
      </c>
      <c r="I2672">
        <v>30</v>
      </c>
      <c r="J2672">
        <v>9</v>
      </c>
      <c r="K2672">
        <v>30</v>
      </c>
      <c r="L2672">
        <v>2022</v>
      </c>
      <c r="N2672" t="s">
        <v>506</v>
      </c>
      <c r="O2672" t="s">
        <v>458</v>
      </c>
      <c r="P2672" t="s">
        <v>507</v>
      </c>
    </row>
    <row r="2673" spans="1:16" x14ac:dyDescent="0.3">
      <c r="A2673" t="s">
        <v>8</v>
      </c>
      <c r="C2673">
        <v>30</v>
      </c>
      <c r="D2673" t="s">
        <v>10</v>
      </c>
      <c r="F2673" s="43">
        <v>44825.333333333336</v>
      </c>
      <c r="G2673" s="43">
        <v>44825.354166666664</v>
      </c>
      <c r="H2673">
        <v>8</v>
      </c>
      <c r="I2673">
        <v>0</v>
      </c>
      <c r="J2673">
        <v>8</v>
      </c>
      <c r="K2673">
        <v>30</v>
      </c>
      <c r="L2673">
        <v>2022</v>
      </c>
      <c r="N2673" t="s">
        <v>47</v>
      </c>
      <c r="O2673" t="s">
        <v>47</v>
      </c>
      <c r="P2673" t="s">
        <v>4760</v>
      </c>
    </row>
    <row r="2674" spans="1:16" x14ac:dyDescent="0.3">
      <c r="A2674" t="s">
        <v>4757</v>
      </c>
      <c r="C2674">
        <v>15</v>
      </c>
      <c r="D2674" t="s">
        <v>10</v>
      </c>
      <c r="F2674" s="43">
        <v>44825.291666666664</v>
      </c>
      <c r="G2674" s="43">
        <v>44825.302083333336</v>
      </c>
      <c r="H2674">
        <v>7</v>
      </c>
      <c r="I2674">
        <v>0</v>
      </c>
      <c r="J2674">
        <v>7</v>
      </c>
      <c r="K2674">
        <v>15</v>
      </c>
      <c r="L2674">
        <v>2022</v>
      </c>
      <c r="N2674" t="s">
        <v>47</v>
      </c>
      <c r="O2674" t="s">
        <v>47</v>
      </c>
      <c r="P2674" t="s">
        <v>4759</v>
      </c>
    </row>
    <row r="2675" spans="1:16" x14ac:dyDescent="0.3">
      <c r="A2675" t="s">
        <v>4757</v>
      </c>
      <c r="C2675">
        <v>30</v>
      </c>
      <c r="D2675" t="s">
        <v>10</v>
      </c>
      <c r="F2675" s="43">
        <v>44825.270833333336</v>
      </c>
      <c r="G2675" s="43">
        <v>44825.291666666664</v>
      </c>
      <c r="H2675">
        <v>6</v>
      </c>
      <c r="I2675">
        <v>30</v>
      </c>
      <c r="J2675">
        <v>7</v>
      </c>
      <c r="K2675">
        <v>0</v>
      </c>
      <c r="L2675">
        <v>2022</v>
      </c>
      <c r="N2675" t="s">
        <v>47</v>
      </c>
      <c r="O2675" t="s">
        <v>47</v>
      </c>
      <c r="P2675" t="s">
        <v>4758</v>
      </c>
    </row>
    <row r="2676" spans="1:16" x14ac:dyDescent="0.3">
      <c r="A2676" t="s">
        <v>2686</v>
      </c>
      <c r="C2676">
        <v>60</v>
      </c>
      <c r="D2676" t="s">
        <v>10</v>
      </c>
      <c r="F2676" s="43">
        <v>44824.770833333336</v>
      </c>
      <c r="G2676" s="43">
        <v>44824.8125</v>
      </c>
      <c r="H2676">
        <v>18</v>
      </c>
      <c r="I2676">
        <v>30</v>
      </c>
      <c r="J2676">
        <v>19</v>
      </c>
      <c r="K2676">
        <v>30</v>
      </c>
      <c r="L2676">
        <v>2022</v>
      </c>
      <c r="N2676" t="s">
        <v>47</v>
      </c>
      <c r="O2676" t="s">
        <v>47</v>
      </c>
      <c r="P2676" t="s">
        <v>4748</v>
      </c>
    </row>
    <row r="2677" spans="1:16" x14ac:dyDescent="0.3">
      <c r="A2677" t="s">
        <v>4746</v>
      </c>
      <c r="C2677">
        <v>30</v>
      </c>
      <c r="D2677" t="s">
        <v>10</v>
      </c>
      <c r="F2677" s="43">
        <v>44824.75</v>
      </c>
      <c r="G2677" s="43">
        <v>44824.770833333336</v>
      </c>
      <c r="H2677">
        <v>18</v>
      </c>
      <c r="I2677">
        <v>0</v>
      </c>
      <c r="J2677">
        <v>18</v>
      </c>
      <c r="K2677">
        <v>30</v>
      </c>
      <c r="L2677">
        <v>2022</v>
      </c>
      <c r="N2677" t="s">
        <v>47</v>
      </c>
      <c r="O2677" t="s">
        <v>47</v>
      </c>
      <c r="P2677" t="s">
        <v>4747</v>
      </c>
    </row>
    <row r="2678" spans="1:16" x14ac:dyDescent="0.3">
      <c r="A2678" t="s">
        <v>4740</v>
      </c>
      <c r="C2678">
        <v>120</v>
      </c>
      <c r="D2678" t="s">
        <v>10</v>
      </c>
      <c r="F2678" s="43">
        <v>44824.645833333336</v>
      </c>
      <c r="G2678" s="43">
        <v>44824.729166666664</v>
      </c>
      <c r="H2678">
        <v>15</v>
      </c>
      <c r="I2678">
        <v>30</v>
      </c>
      <c r="J2678">
        <v>17</v>
      </c>
      <c r="K2678">
        <v>30</v>
      </c>
      <c r="L2678">
        <v>2022</v>
      </c>
      <c r="N2678" t="s">
        <v>47</v>
      </c>
      <c r="O2678" t="s">
        <v>47</v>
      </c>
      <c r="P2678" t="s">
        <v>4741</v>
      </c>
    </row>
    <row r="2679" spans="1:16" x14ac:dyDescent="0.3">
      <c r="A2679" t="s">
        <v>9</v>
      </c>
      <c r="C2679">
        <v>30</v>
      </c>
      <c r="D2679" t="s">
        <v>10</v>
      </c>
      <c r="F2679" s="43">
        <v>44824.59375</v>
      </c>
      <c r="G2679" s="43">
        <v>44824.614583333336</v>
      </c>
      <c r="H2679">
        <v>14</v>
      </c>
      <c r="I2679">
        <v>15</v>
      </c>
      <c r="J2679">
        <v>14</v>
      </c>
      <c r="K2679">
        <v>45</v>
      </c>
      <c r="L2679">
        <v>2022</v>
      </c>
      <c r="N2679" t="s">
        <v>47</v>
      </c>
      <c r="O2679" t="s">
        <v>47</v>
      </c>
      <c r="P2679" t="s">
        <v>4742</v>
      </c>
    </row>
    <row r="2680" spans="1:16" x14ac:dyDescent="0.3">
      <c r="A2680" t="s">
        <v>4743</v>
      </c>
      <c r="C2680">
        <v>30</v>
      </c>
      <c r="D2680" t="s">
        <v>10</v>
      </c>
      <c r="F2680" s="43">
        <v>44824.572916666664</v>
      </c>
      <c r="G2680" s="43">
        <v>44824.59375</v>
      </c>
      <c r="H2680">
        <v>13</v>
      </c>
      <c r="I2680">
        <v>45</v>
      </c>
      <c r="J2680">
        <v>14</v>
      </c>
      <c r="K2680">
        <v>15</v>
      </c>
      <c r="L2680">
        <v>2022</v>
      </c>
      <c r="N2680" t="s">
        <v>47</v>
      </c>
      <c r="O2680" t="s">
        <v>47</v>
      </c>
      <c r="P2680" t="s">
        <v>4744</v>
      </c>
    </row>
    <row r="2681" spans="1:16" x14ac:dyDescent="0.3">
      <c r="A2681" t="s">
        <v>4735</v>
      </c>
      <c r="C2681">
        <v>30</v>
      </c>
      <c r="D2681" t="s">
        <v>10</v>
      </c>
      <c r="E2681" t="s">
        <v>501</v>
      </c>
      <c r="F2681" s="43">
        <v>44824.552083333336</v>
      </c>
      <c r="G2681" s="43">
        <v>44824.572916666664</v>
      </c>
      <c r="H2681">
        <v>13</v>
      </c>
      <c r="I2681">
        <v>15</v>
      </c>
      <c r="J2681">
        <v>13</v>
      </c>
      <c r="K2681">
        <v>45</v>
      </c>
      <c r="L2681">
        <v>2022</v>
      </c>
      <c r="N2681" t="s">
        <v>4736</v>
      </c>
      <c r="O2681" t="s">
        <v>47</v>
      </c>
      <c r="P2681" t="s">
        <v>4737</v>
      </c>
    </row>
    <row r="2682" spans="1:16" x14ac:dyDescent="0.3">
      <c r="A2682" t="s">
        <v>4743</v>
      </c>
      <c r="C2682">
        <v>45</v>
      </c>
      <c r="D2682" t="s">
        <v>10</v>
      </c>
      <c r="F2682" s="43">
        <v>44824.53125</v>
      </c>
      <c r="G2682" s="43">
        <v>44824.5625</v>
      </c>
      <c r="H2682">
        <v>12</v>
      </c>
      <c r="I2682">
        <v>45</v>
      </c>
      <c r="J2682">
        <v>13</v>
      </c>
      <c r="K2682">
        <v>30</v>
      </c>
      <c r="L2682">
        <v>2022</v>
      </c>
      <c r="N2682" t="s">
        <v>47</v>
      </c>
      <c r="O2682" t="s">
        <v>47</v>
      </c>
      <c r="P2682" t="s">
        <v>4745</v>
      </c>
    </row>
    <row r="2683" spans="1:16" x14ac:dyDescent="0.3">
      <c r="A2683" t="s">
        <v>4738</v>
      </c>
      <c r="C2683">
        <v>60</v>
      </c>
      <c r="D2683" t="s">
        <v>10</v>
      </c>
      <c r="F2683" s="43">
        <v>44824.46875</v>
      </c>
      <c r="G2683" s="43">
        <v>44824.510416666664</v>
      </c>
      <c r="H2683">
        <v>11</v>
      </c>
      <c r="I2683">
        <v>15</v>
      </c>
      <c r="J2683">
        <v>12</v>
      </c>
      <c r="K2683">
        <v>15</v>
      </c>
      <c r="L2683">
        <v>2022</v>
      </c>
      <c r="N2683" t="s">
        <v>47</v>
      </c>
      <c r="O2683" t="s">
        <v>47</v>
      </c>
      <c r="P2683" t="s">
        <v>4739</v>
      </c>
    </row>
    <row r="2684" spans="1:16" x14ac:dyDescent="0.3">
      <c r="A2684" t="s">
        <v>3706</v>
      </c>
      <c r="C2684">
        <v>60</v>
      </c>
      <c r="D2684" t="s">
        <v>10</v>
      </c>
      <c r="F2684" s="43">
        <v>44824.427083333336</v>
      </c>
      <c r="G2684" s="43">
        <v>44824.46875</v>
      </c>
      <c r="H2684">
        <v>10</v>
      </c>
      <c r="I2684">
        <v>15</v>
      </c>
      <c r="J2684">
        <v>11</v>
      </c>
      <c r="K2684">
        <v>15</v>
      </c>
      <c r="L2684">
        <v>2022</v>
      </c>
      <c r="N2684" t="s">
        <v>629</v>
      </c>
      <c r="O2684" t="s">
        <v>47</v>
      </c>
      <c r="P2684" t="s">
        <v>4731</v>
      </c>
    </row>
    <row r="2685" spans="1:16" x14ac:dyDescent="0.3">
      <c r="A2685" t="s">
        <v>4723</v>
      </c>
      <c r="C2685">
        <v>60</v>
      </c>
      <c r="D2685" t="s">
        <v>10</v>
      </c>
      <c r="E2685" t="s">
        <v>501</v>
      </c>
      <c r="F2685" s="43">
        <v>44824.375</v>
      </c>
      <c r="G2685" s="43">
        <v>44824.416666666664</v>
      </c>
      <c r="H2685">
        <v>9</v>
      </c>
      <c r="I2685">
        <v>0</v>
      </c>
      <c r="J2685">
        <v>10</v>
      </c>
      <c r="K2685">
        <v>0</v>
      </c>
      <c r="L2685">
        <v>2022</v>
      </c>
      <c r="N2685" t="s">
        <v>4724</v>
      </c>
      <c r="O2685" t="s">
        <v>47</v>
      </c>
      <c r="P2685" t="s">
        <v>4725</v>
      </c>
    </row>
    <row r="2686" spans="1:16" x14ac:dyDescent="0.3">
      <c r="A2686" t="s">
        <v>4733</v>
      </c>
      <c r="C2686">
        <v>30</v>
      </c>
      <c r="D2686" t="s">
        <v>10</v>
      </c>
      <c r="F2686" s="43">
        <v>44824.354166666664</v>
      </c>
      <c r="G2686" s="43">
        <v>44824.375</v>
      </c>
      <c r="H2686">
        <v>8</v>
      </c>
      <c r="I2686">
        <v>30</v>
      </c>
      <c r="J2686">
        <v>9</v>
      </c>
      <c r="K2686">
        <v>0</v>
      </c>
      <c r="L2686">
        <v>2022</v>
      </c>
      <c r="N2686" t="s">
        <v>47</v>
      </c>
      <c r="O2686" t="s">
        <v>47</v>
      </c>
      <c r="P2686" t="s">
        <v>4734</v>
      </c>
    </row>
    <row r="2687" spans="1:16" x14ac:dyDescent="0.3">
      <c r="A2687" t="s">
        <v>1222</v>
      </c>
      <c r="C2687">
        <v>30</v>
      </c>
      <c r="D2687" t="s">
        <v>10</v>
      </c>
      <c r="F2687" s="43">
        <v>44824.322916666664</v>
      </c>
      <c r="G2687" s="43">
        <v>44824.34375</v>
      </c>
      <c r="H2687">
        <v>7</v>
      </c>
      <c r="I2687">
        <v>45</v>
      </c>
      <c r="J2687">
        <v>8</v>
      </c>
      <c r="K2687">
        <v>15</v>
      </c>
      <c r="L2687">
        <v>2022</v>
      </c>
      <c r="N2687" t="s">
        <v>47</v>
      </c>
      <c r="O2687" t="s">
        <v>47</v>
      </c>
      <c r="P2687" t="s">
        <v>4732</v>
      </c>
    </row>
    <row r="2688" spans="1:16" x14ac:dyDescent="0.3">
      <c r="A2688" t="s">
        <v>4718</v>
      </c>
      <c r="C2688">
        <v>30</v>
      </c>
      <c r="D2688" t="s">
        <v>10</v>
      </c>
      <c r="F2688" s="43">
        <v>44824.28125</v>
      </c>
      <c r="G2688" s="43">
        <v>44824.302083333336</v>
      </c>
      <c r="H2688">
        <v>6</v>
      </c>
      <c r="I2688">
        <v>45</v>
      </c>
      <c r="J2688">
        <v>7</v>
      </c>
      <c r="K2688">
        <v>15</v>
      </c>
      <c r="L2688">
        <v>2022</v>
      </c>
      <c r="N2688" t="s">
        <v>47</v>
      </c>
      <c r="O2688" t="s">
        <v>47</v>
      </c>
      <c r="P2688" t="s">
        <v>4719</v>
      </c>
    </row>
    <row r="2689" spans="1:16" x14ac:dyDescent="0.3">
      <c r="A2689" t="s">
        <v>4720</v>
      </c>
      <c r="C2689">
        <v>60</v>
      </c>
      <c r="D2689" t="s">
        <v>10</v>
      </c>
      <c r="F2689" s="43">
        <v>44824.208333333336</v>
      </c>
      <c r="G2689" s="43">
        <v>44824.25</v>
      </c>
      <c r="H2689">
        <v>5</v>
      </c>
      <c r="I2689">
        <v>0</v>
      </c>
      <c r="J2689">
        <v>6</v>
      </c>
      <c r="K2689">
        <v>0</v>
      </c>
      <c r="L2689">
        <v>2022</v>
      </c>
      <c r="N2689" t="s">
        <v>47</v>
      </c>
      <c r="O2689" t="s">
        <v>47</v>
      </c>
      <c r="P2689" t="s">
        <v>4721</v>
      </c>
    </row>
    <row r="2690" spans="1:16" x14ac:dyDescent="0.3">
      <c r="A2690" t="s">
        <v>2686</v>
      </c>
      <c r="C2690">
        <v>45</v>
      </c>
      <c r="D2690" t="s">
        <v>10</v>
      </c>
      <c r="F2690" s="43">
        <v>44823.854166666664</v>
      </c>
      <c r="G2690" s="43">
        <v>44823.885416666664</v>
      </c>
      <c r="H2690">
        <v>20</v>
      </c>
      <c r="I2690">
        <v>30</v>
      </c>
      <c r="J2690">
        <v>21</v>
      </c>
      <c r="K2690">
        <v>15</v>
      </c>
      <c r="L2690">
        <v>2022</v>
      </c>
      <c r="N2690" t="s">
        <v>47</v>
      </c>
      <c r="O2690" t="s">
        <v>47</v>
      </c>
      <c r="P2690" t="s">
        <v>4722</v>
      </c>
    </row>
    <row r="2691" spans="1:16" x14ac:dyDescent="0.3">
      <c r="A2691" t="s">
        <v>4726</v>
      </c>
      <c r="C2691">
        <v>30</v>
      </c>
      <c r="D2691" t="s">
        <v>10</v>
      </c>
      <c r="F2691" s="43">
        <v>44823.78125</v>
      </c>
      <c r="G2691" s="43">
        <v>44823.802083333336</v>
      </c>
      <c r="H2691">
        <v>18</v>
      </c>
      <c r="I2691">
        <v>45</v>
      </c>
      <c r="J2691">
        <v>19</v>
      </c>
      <c r="K2691">
        <v>15</v>
      </c>
      <c r="L2691">
        <v>2022</v>
      </c>
      <c r="N2691" t="s">
        <v>47</v>
      </c>
      <c r="O2691" t="s">
        <v>47</v>
      </c>
      <c r="P2691" t="s">
        <v>4727</v>
      </c>
    </row>
    <row r="2692" spans="1:16" x14ac:dyDescent="0.3">
      <c r="A2692" t="s">
        <v>7</v>
      </c>
      <c r="C2692">
        <v>15</v>
      </c>
      <c r="D2692" t="s">
        <v>10</v>
      </c>
      <c r="F2692" s="43">
        <v>44823.760416666664</v>
      </c>
      <c r="G2692" s="43">
        <v>44823.770833333336</v>
      </c>
      <c r="H2692">
        <v>18</v>
      </c>
      <c r="I2692">
        <v>15</v>
      </c>
      <c r="J2692">
        <v>18</v>
      </c>
      <c r="K2692">
        <v>30</v>
      </c>
      <c r="L2692">
        <v>2022</v>
      </c>
      <c r="N2692" t="s">
        <v>47</v>
      </c>
      <c r="O2692" t="s">
        <v>47</v>
      </c>
      <c r="P2692" t="s">
        <v>4728</v>
      </c>
    </row>
    <row r="2693" spans="1:16" x14ac:dyDescent="0.3">
      <c r="A2693" t="s">
        <v>4716</v>
      </c>
      <c r="C2693">
        <v>30</v>
      </c>
      <c r="D2693" t="s">
        <v>10</v>
      </c>
      <c r="F2693" s="43">
        <v>44823.739583333336</v>
      </c>
      <c r="G2693" s="43">
        <v>44823.760416666664</v>
      </c>
      <c r="H2693">
        <v>17</v>
      </c>
      <c r="I2693">
        <v>45</v>
      </c>
      <c r="J2693">
        <v>18</v>
      </c>
      <c r="K2693">
        <v>15</v>
      </c>
      <c r="L2693">
        <v>2022</v>
      </c>
      <c r="N2693" t="s">
        <v>47</v>
      </c>
      <c r="O2693" t="s">
        <v>47</v>
      </c>
      <c r="P2693" t="s">
        <v>4717</v>
      </c>
    </row>
    <row r="2694" spans="1:16" x14ac:dyDescent="0.3">
      <c r="A2694" t="s">
        <v>4703</v>
      </c>
      <c r="C2694">
        <v>30</v>
      </c>
      <c r="D2694" t="s">
        <v>10</v>
      </c>
      <c r="F2694" s="43">
        <v>44823.708333333336</v>
      </c>
      <c r="G2694" s="43">
        <v>44823.729166666664</v>
      </c>
      <c r="H2694">
        <v>17</v>
      </c>
      <c r="I2694">
        <v>0</v>
      </c>
      <c r="J2694">
        <v>17</v>
      </c>
      <c r="K2694">
        <v>30</v>
      </c>
      <c r="L2694">
        <v>2022</v>
      </c>
      <c r="N2694" t="s">
        <v>47</v>
      </c>
      <c r="O2694" t="s">
        <v>47</v>
      </c>
      <c r="P2694" t="s">
        <v>4713</v>
      </c>
    </row>
    <row r="2695" spans="1:16" x14ac:dyDescent="0.3">
      <c r="A2695" t="s">
        <v>4714</v>
      </c>
      <c r="C2695">
        <v>30</v>
      </c>
      <c r="D2695" t="s">
        <v>10</v>
      </c>
      <c r="F2695" s="43">
        <v>44823.6875</v>
      </c>
      <c r="G2695" s="43">
        <v>44823.708333333336</v>
      </c>
      <c r="H2695">
        <v>16</v>
      </c>
      <c r="I2695">
        <v>30</v>
      </c>
      <c r="J2695">
        <v>17</v>
      </c>
      <c r="K2695">
        <v>0</v>
      </c>
      <c r="L2695">
        <v>2022</v>
      </c>
      <c r="N2695" t="s">
        <v>47</v>
      </c>
      <c r="O2695" t="s">
        <v>47</v>
      </c>
      <c r="P2695" t="s">
        <v>4715</v>
      </c>
    </row>
    <row r="2696" spans="1:16" x14ac:dyDescent="0.3">
      <c r="A2696" t="s">
        <v>4711</v>
      </c>
      <c r="C2696">
        <v>30</v>
      </c>
      <c r="D2696" t="s">
        <v>10</v>
      </c>
      <c r="F2696" s="43">
        <v>44823.659722222219</v>
      </c>
      <c r="G2696" s="43">
        <v>44823.680555555555</v>
      </c>
      <c r="H2696">
        <v>15</v>
      </c>
      <c r="I2696">
        <v>50</v>
      </c>
      <c r="J2696">
        <v>16</v>
      </c>
      <c r="K2696">
        <v>20</v>
      </c>
      <c r="L2696">
        <v>2022</v>
      </c>
      <c r="N2696" t="s">
        <v>47</v>
      </c>
      <c r="O2696" t="s">
        <v>47</v>
      </c>
      <c r="P2696" t="s">
        <v>4712</v>
      </c>
    </row>
    <row r="2697" spans="1:16" x14ac:dyDescent="0.3">
      <c r="A2697" t="s">
        <v>4709</v>
      </c>
      <c r="C2697">
        <v>30</v>
      </c>
      <c r="D2697" t="s">
        <v>10</v>
      </c>
      <c r="F2697" s="43">
        <v>44823.625</v>
      </c>
      <c r="G2697" s="43">
        <v>44823.645833333336</v>
      </c>
      <c r="H2697">
        <v>15</v>
      </c>
      <c r="I2697">
        <v>0</v>
      </c>
      <c r="J2697">
        <v>15</v>
      </c>
      <c r="K2697">
        <v>30</v>
      </c>
      <c r="L2697">
        <v>2022</v>
      </c>
      <c r="N2697" t="s">
        <v>47</v>
      </c>
      <c r="O2697" t="s">
        <v>47</v>
      </c>
      <c r="P2697" t="s">
        <v>4710</v>
      </c>
    </row>
    <row r="2698" spans="1:16" x14ac:dyDescent="0.3">
      <c r="A2698" t="s">
        <v>2686</v>
      </c>
      <c r="C2698">
        <v>11</v>
      </c>
      <c r="D2698" t="s">
        <v>10</v>
      </c>
      <c r="F2698" s="43">
        <v>44823.611111111109</v>
      </c>
      <c r="G2698" s="43">
        <v>44823.618750000001</v>
      </c>
      <c r="H2698">
        <v>14</v>
      </c>
      <c r="I2698">
        <v>40</v>
      </c>
      <c r="J2698">
        <v>14</v>
      </c>
      <c r="K2698">
        <v>51</v>
      </c>
      <c r="L2698">
        <v>2022</v>
      </c>
      <c r="N2698" t="s">
        <v>47</v>
      </c>
      <c r="O2698" t="s">
        <v>47</v>
      </c>
      <c r="P2698" t="s">
        <v>4708</v>
      </c>
    </row>
    <row r="2699" spans="1:16" x14ac:dyDescent="0.3">
      <c r="A2699" t="s">
        <v>23</v>
      </c>
      <c r="C2699">
        <v>30</v>
      </c>
      <c r="D2699" t="s">
        <v>10</v>
      </c>
      <c r="F2699" s="43">
        <v>44823.590277777781</v>
      </c>
      <c r="G2699" s="43">
        <v>44823.611111111109</v>
      </c>
      <c r="H2699">
        <v>14</v>
      </c>
      <c r="I2699">
        <v>10</v>
      </c>
      <c r="J2699">
        <v>14</v>
      </c>
      <c r="K2699">
        <v>40</v>
      </c>
      <c r="L2699">
        <v>2022</v>
      </c>
      <c r="N2699" t="s">
        <v>47</v>
      </c>
      <c r="O2699" t="s">
        <v>47</v>
      </c>
      <c r="P2699" t="s">
        <v>4707</v>
      </c>
    </row>
    <row r="2700" spans="1:16" x14ac:dyDescent="0.3">
      <c r="A2700" t="s">
        <v>2686</v>
      </c>
      <c r="C2700">
        <v>20</v>
      </c>
      <c r="D2700" t="s">
        <v>10</v>
      </c>
      <c r="F2700" s="43">
        <v>44823.576388888891</v>
      </c>
      <c r="G2700" s="43">
        <v>44823.590277777781</v>
      </c>
      <c r="H2700">
        <v>13</v>
      </c>
      <c r="I2700">
        <v>50</v>
      </c>
      <c r="J2700">
        <v>14</v>
      </c>
      <c r="K2700">
        <v>10</v>
      </c>
      <c r="L2700">
        <v>2022</v>
      </c>
      <c r="N2700" t="s">
        <v>47</v>
      </c>
      <c r="O2700" t="s">
        <v>47</v>
      </c>
      <c r="P2700" t="s">
        <v>4706</v>
      </c>
    </row>
    <row r="2701" spans="1:16" x14ac:dyDescent="0.3">
      <c r="A2701" t="s">
        <v>4703</v>
      </c>
      <c r="C2701">
        <v>30</v>
      </c>
      <c r="D2701" t="s">
        <v>10</v>
      </c>
      <c r="F2701" s="43">
        <v>44823.53125</v>
      </c>
      <c r="G2701" s="43">
        <v>44823.552083333336</v>
      </c>
      <c r="H2701">
        <v>12</v>
      </c>
      <c r="I2701">
        <v>45</v>
      </c>
      <c r="J2701">
        <v>13</v>
      </c>
      <c r="K2701">
        <v>15</v>
      </c>
      <c r="L2701">
        <v>2022</v>
      </c>
      <c r="N2701" t="s">
        <v>47</v>
      </c>
      <c r="O2701" t="s">
        <v>47</v>
      </c>
      <c r="P2701" t="s">
        <v>4704</v>
      </c>
    </row>
    <row r="2702" spans="1:16" x14ac:dyDescent="0.3">
      <c r="A2702" t="s">
        <v>4696</v>
      </c>
      <c r="C2702">
        <v>30</v>
      </c>
      <c r="D2702" t="s">
        <v>10</v>
      </c>
      <c r="F2702" s="43">
        <v>44823.479166666664</v>
      </c>
      <c r="G2702" s="43">
        <v>44823.5</v>
      </c>
      <c r="H2702">
        <v>11</v>
      </c>
      <c r="I2702">
        <v>30</v>
      </c>
      <c r="J2702">
        <v>12</v>
      </c>
      <c r="K2702">
        <v>0</v>
      </c>
      <c r="L2702">
        <v>2022</v>
      </c>
      <c r="N2702" t="s">
        <v>4365</v>
      </c>
      <c r="O2702" t="s">
        <v>783</v>
      </c>
      <c r="P2702" t="s">
        <v>4697</v>
      </c>
    </row>
    <row r="2703" spans="1:16" x14ac:dyDescent="0.3">
      <c r="A2703" t="s">
        <v>3706</v>
      </c>
      <c r="C2703">
        <v>30</v>
      </c>
      <c r="D2703" t="s">
        <v>10</v>
      </c>
      <c r="F2703" s="43">
        <v>44823.458333333336</v>
      </c>
      <c r="G2703" s="43">
        <v>44823.479166666664</v>
      </c>
      <c r="H2703">
        <v>11</v>
      </c>
      <c r="I2703">
        <v>0</v>
      </c>
      <c r="J2703">
        <v>11</v>
      </c>
      <c r="K2703">
        <v>30</v>
      </c>
      <c r="L2703">
        <v>2022</v>
      </c>
      <c r="N2703" t="s">
        <v>629</v>
      </c>
      <c r="O2703" t="s">
        <v>47</v>
      </c>
      <c r="P2703" t="s">
        <v>4698</v>
      </c>
    </row>
    <row r="2704" spans="1:16" x14ac:dyDescent="0.3">
      <c r="A2704" t="s">
        <v>8</v>
      </c>
      <c r="C2704">
        <v>30</v>
      </c>
      <c r="D2704" t="s">
        <v>10</v>
      </c>
      <c r="F2704" s="43">
        <v>44823.4375</v>
      </c>
      <c r="G2704" s="43">
        <v>44823.458333333336</v>
      </c>
      <c r="H2704">
        <v>10</v>
      </c>
      <c r="I2704">
        <v>30</v>
      </c>
      <c r="J2704">
        <v>11</v>
      </c>
      <c r="K2704">
        <v>0</v>
      </c>
      <c r="L2704">
        <v>2022</v>
      </c>
      <c r="N2704" t="s">
        <v>47</v>
      </c>
      <c r="O2704" t="s">
        <v>47</v>
      </c>
      <c r="P2704" t="s">
        <v>4705</v>
      </c>
    </row>
    <row r="2705" spans="1:16" x14ac:dyDescent="0.3">
      <c r="A2705" t="s">
        <v>4667</v>
      </c>
      <c r="C2705">
        <v>60</v>
      </c>
      <c r="D2705" t="s">
        <v>10</v>
      </c>
      <c r="E2705" t="s">
        <v>3759</v>
      </c>
      <c r="F2705" s="43">
        <v>44823.416666666664</v>
      </c>
      <c r="G2705" s="43">
        <v>44823.458333333336</v>
      </c>
      <c r="H2705">
        <v>10</v>
      </c>
      <c r="I2705">
        <v>0</v>
      </c>
      <c r="J2705">
        <v>11</v>
      </c>
      <c r="K2705">
        <v>0</v>
      </c>
      <c r="L2705">
        <v>2022</v>
      </c>
      <c r="N2705" t="s">
        <v>4668</v>
      </c>
      <c r="O2705" t="s">
        <v>47</v>
      </c>
      <c r="P2705" t="s">
        <v>4669</v>
      </c>
    </row>
    <row r="2706" spans="1:16" x14ac:dyDescent="0.3">
      <c r="A2706" t="s">
        <v>4693</v>
      </c>
      <c r="C2706">
        <v>30</v>
      </c>
      <c r="D2706" t="s">
        <v>10</v>
      </c>
      <c r="F2706" s="43">
        <v>44823.416666666664</v>
      </c>
      <c r="G2706" s="43">
        <v>44823.4375</v>
      </c>
      <c r="H2706">
        <v>10</v>
      </c>
      <c r="I2706">
        <v>0</v>
      </c>
      <c r="J2706">
        <v>10</v>
      </c>
      <c r="K2706">
        <v>30</v>
      </c>
      <c r="L2706">
        <v>2022</v>
      </c>
      <c r="N2706" t="s">
        <v>47</v>
      </c>
      <c r="O2706" t="s">
        <v>47</v>
      </c>
      <c r="P2706" t="s">
        <v>4694</v>
      </c>
    </row>
    <row r="2707" spans="1:16" x14ac:dyDescent="0.3">
      <c r="A2707" t="s">
        <v>8</v>
      </c>
      <c r="C2707">
        <v>60</v>
      </c>
      <c r="D2707" t="s">
        <v>10</v>
      </c>
      <c r="F2707" s="43">
        <v>44823.333333333336</v>
      </c>
      <c r="G2707" s="43">
        <v>44823.375</v>
      </c>
      <c r="H2707">
        <v>8</v>
      </c>
      <c r="I2707">
        <v>0</v>
      </c>
      <c r="J2707">
        <v>9</v>
      </c>
      <c r="K2707">
        <v>0</v>
      </c>
      <c r="L2707">
        <v>2022</v>
      </c>
      <c r="N2707" t="s">
        <v>47</v>
      </c>
      <c r="O2707" t="s">
        <v>47</v>
      </c>
      <c r="P2707" t="s">
        <v>4695</v>
      </c>
    </row>
    <row r="2708" spans="1:16" x14ac:dyDescent="0.3">
      <c r="A2708" t="s">
        <v>4590</v>
      </c>
      <c r="C2708">
        <v>25</v>
      </c>
      <c r="D2708" t="s">
        <v>10</v>
      </c>
      <c r="F2708" s="43">
        <v>44823.291666666664</v>
      </c>
      <c r="G2708" s="43">
        <v>44823.309027777781</v>
      </c>
      <c r="H2708">
        <v>7</v>
      </c>
      <c r="I2708">
        <v>0</v>
      </c>
      <c r="J2708">
        <v>7</v>
      </c>
      <c r="K2708">
        <v>25</v>
      </c>
      <c r="L2708">
        <v>2022</v>
      </c>
      <c r="N2708" t="s">
        <v>47</v>
      </c>
      <c r="O2708" t="s">
        <v>47</v>
      </c>
      <c r="P2708" t="s">
        <v>4699</v>
      </c>
    </row>
    <row r="2709" spans="1:16" x14ac:dyDescent="0.3">
      <c r="A2709" t="s">
        <v>4700</v>
      </c>
      <c r="C2709">
        <v>40</v>
      </c>
      <c r="D2709" t="s">
        <v>10</v>
      </c>
      <c r="F2709" s="43">
        <v>44823.229166666664</v>
      </c>
      <c r="G2709" s="43">
        <v>44823.256944444445</v>
      </c>
      <c r="H2709">
        <v>5</v>
      </c>
      <c r="I2709">
        <v>30</v>
      </c>
      <c r="J2709">
        <v>6</v>
      </c>
      <c r="K2709">
        <v>10</v>
      </c>
      <c r="L2709">
        <v>2022</v>
      </c>
      <c r="N2709" t="s">
        <v>47</v>
      </c>
      <c r="O2709" t="s">
        <v>47</v>
      </c>
      <c r="P2709" t="s">
        <v>4701</v>
      </c>
    </row>
    <row r="2710" spans="1:16" x14ac:dyDescent="0.3">
      <c r="A2710" t="s">
        <v>2014</v>
      </c>
      <c r="C2710">
        <v>45</v>
      </c>
      <c r="D2710" t="s">
        <v>10</v>
      </c>
      <c r="F2710" s="43">
        <v>44822.770833333336</v>
      </c>
      <c r="G2710" s="43">
        <v>44822.802083333336</v>
      </c>
      <c r="H2710">
        <v>18</v>
      </c>
      <c r="I2710">
        <v>30</v>
      </c>
      <c r="J2710">
        <v>19</v>
      </c>
      <c r="K2710">
        <v>15</v>
      </c>
      <c r="L2710">
        <v>2022</v>
      </c>
      <c r="N2710" t="s">
        <v>47</v>
      </c>
      <c r="O2710" t="s">
        <v>47</v>
      </c>
      <c r="P2710" t="s">
        <v>4702</v>
      </c>
    </row>
    <row r="2711" spans="1:16" x14ac:dyDescent="0.3">
      <c r="A2711" t="s">
        <v>4691</v>
      </c>
      <c r="C2711">
        <v>15</v>
      </c>
      <c r="D2711" t="s">
        <v>10</v>
      </c>
      <c r="F2711" s="43">
        <v>44822.725694444445</v>
      </c>
      <c r="G2711" s="43">
        <v>44822.736111111109</v>
      </c>
      <c r="H2711">
        <v>17</v>
      </c>
      <c r="I2711">
        <v>25</v>
      </c>
      <c r="J2711">
        <v>17</v>
      </c>
      <c r="K2711">
        <v>40</v>
      </c>
      <c r="L2711">
        <v>2022</v>
      </c>
      <c r="N2711" t="s">
        <v>47</v>
      </c>
      <c r="O2711" t="s">
        <v>47</v>
      </c>
      <c r="P2711" t="s">
        <v>4692</v>
      </c>
    </row>
    <row r="2712" spans="1:16" x14ac:dyDescent="0.3">
      <c r="A2712" t="s">
        <v>4689</v>
      </c>
      <c r="C2712">
        <v>30</v>
      </c>
      <c r="D2712" t="s">
        <v>10</v>
      </c>
      <c r="F2712" s="43">
        <v>44822.697916666664</v>
      </c>
      <c r="G2712" s="43">
        <v>44822.71875</v>
      </c>
      <c r="H2712">
        <v>16</v>
      </c>
      <c r="I2712">
        <v>45</v>
      </c>
      <c r="J2712">
        <v>17</v>
      </c>
      <c r="K2712">
        <v>15</v>
      </c>
      <c r="L2712">
        <v>2022</v>
      </c>
      <c r="N2712" t="s">
        <v>47</v>
      </c>
      <c r="O2712" t="s">
        <v>47</v>
      </c>
      <c r="P2712" t="s">
        <v>4690</v>
      </c>
    </row>
    <row r="2713" spans="1:16" x14ac:dyDescent="0.3">
      <c r="A2713" t="s">
        <v>25</v>
      </c>
      <c r="C2713">
        <v>30</v>
      </c>
      <c r="D2713" t="s">
        <v>10</v>
      </c>
      <c r="F2713" s="43">
        <v>44822.677083333336</v>
      </c>
      <c r="G2713" s="43">
        <v>44822.697916666664</v>
      </c>
      <c r="H2713">
        <v>16</v>
      </c>
      <c r="I2713">
        <v>15</v>
      </c>
      <c r="J2713">
        <v>16</v>
      </c>
      <c r="K2713">
        <v>45</v>
      </c>
      <c r="L2713">
        <v>2022</v>
      </c>
      <c r="N2713" t="s">
        <v>47</v>
      </c>
      <c r="O2713" t="s">
        <v>47</v>
      </c>
      <c r="P2713" t="s">
        <v>4688</v>
      </c>
    </row>
    <row r="2714" spans="1:16" x14ac:dyDescent="0.3">
      <c r="A2714" t="s">
        <v>4519</v>
      </c>
      <c r="C2714">
        <v>45</v>
      </c>
      <c r="D2714" t="s">
        <v>10</v>
      </c>
      <c r="F2714" s="43">
        <v>44822.635416666664</v>
      </c>
      <c r="G2714" s="43">
        <v>44822.666666666664</v>
      </c>
      <c r="H2714">
        <v>15</v>
      </c>
      <c r="I2714">
        <v>15</v>
      </c>
      <c r="J2714">
        <v>16</v>
      </c>
      <c r="K2714">
        <v>0</v>
      </c>
      <c r="L2714">
        <v>2022</v>
      </c>
      <c r="N2714" t="s">
        <v>47</v>
      </c>
      <c r="O2714" t="s">
        <v>47</v>
      </c>
      <c r="P2714" t="s">
        <v>4687</v>
      </c>
    </row>
    <row r="2715" spans="1:16" x14ac:dyDescent="0.3">
      <c r="A2715" t="s">
        <v>4519</v>
      </c>
      <c r="C2715">
        <v>45</v>
      </c>
      <c r="D2715" t="s">
        <v>10</v>
      </c>
      <c r="F2715" s="43">
        <v>44822.59375</v>
      </c>
      <c r="G2715" s="43">
        <v>44822.625</v>
      </c>
      <c r="H2715">
        <v>14</v>
      </c>
      <c r="I2715">
        <v>15</v>
      </c>
      <c r="J2715">
        <v>15</v>
      </c>
      <c r="K2715">
        <v>0</v>
      </c>
      <c r="L2715">
        <v>2022</v>
      </c>
      <c r="N2715" t="s">
        <v>47</v>
      </c>
      <c r="O2715" t="s">
        <v>47</v>
      </c>
      <c r="P2715" t="s">
        <v>4686</v>
      </c>
    </row>
    <row r="2716" spans="1:16" x14ac:dyDescent="0.3">
      <c r="A2716" t="s">
        <v>2014</v>
      </c>
      <c r="C2716">
        <v>45</v>
      </c>
      <c r="D2716" t="s">
        <v>10</v>
      </c>
      <c r="F2716" s="43">
        <v>44822.458333333336</v>
      </c>
      <c r="G2716" s="43">
        <v>44822.489583333336</v>
      </c>
      <c r="H2716">
        <v>11</v>
      </c>
      <c r="I2716">
        <v>0</v>
      </c>
      <c r="J2716">
        <v>11</v>
      </c>
      <c r="K2716">
        <v>45</v>
      </c>
      <c r="L2716">
        <v>2022</v>
      </c>
      <c r="N2716" t="s">
        <v>47</v>
      </c>
      <c r="O2716" t="s">
        <v>47</v>
      </c>
      <c r="P2716" t="s">
        <v>4685</v>
      </c>
    </row>
    <row r="2717" spans="1:16" x14ac:dyDescent="0.3">
      <c r="A2717" t="s">
        <v>4683</v>
      </c>
      <c r="C2717">
        <v>45</v>
      </c>
      <c r="D2717" t="s">
        <v>10</v>
      </c>
      <c r="F2717" s="43">
        <v>44822.333333333336</v>
      </c>
      <c r="G2717" s="43">
        <v>44822.364583333336</v>
      </c>
      <c r="H2717">
        <v>8</v>
      </c>
      <c r="I2717">
        <v>0</v>
      </c>
      <c r="J2717">
        <v>8</v>
      </c>
      <c r="K2717">
        <v>45</v>
      </c>
      <c r="L2717">
        <v>2022</v>
      </c>
      <c r="N2717" t="s">
        <v>47</v>
      </c>
      <c r="O2717" t="s">
        <v>47</v>
      </c>
      <c r="P2717" t="s">
        <v>4684</v>
      </c>
    </row>
    <row r="2718" spans="1:16" x14ac:dyDescent="0.3">
      <c r="A2718" t="s">
        <v>4590</v>
      </c>
      <c r="C2718">
        <v>75</v>
      </c>
      <c r="D2718" t="s">
        <v>10</v>
      </c>
      <c r="F2718" s="1">
        <v>44822.21875</v>
      </c>
      <c r="G2718" s="43">
        <v>44822.270833333336</v>
      </c>
      <c r="H2718">
        <v>5</v>
      </c>
      <c r="I2718">
        <v>15</v>
      </c>
      <c r="J2718">
        <v>6</v>
      </c>
      <c r="K2718">
        <v>30</v>
      </c>
      <c r="L2718">
        <v>2022</v>
      </c>
      <c r="N2718" t="s">
        <v>47</v>
      </c>
      <c r="O2718" t="s">
        <v>47</v>
      </c>
      <c r="P2718" t="s">
        <v>4678</v>
      </c>
    </row>
    <row r="2719" spans="1:16" x14ac:dyDescent="0.3">
      <c r="A2719" t="s">
        <v>4679</v>
      </c>
      <c r="C2719">
        <v>30</v>
      </c>
      <c r="D2719" t="s">
        <v>10</v>
      </c>
      <c r="F2719" s="43">
        <v>44821.78125</v>
      </c>
      <c r="G2719" s="43">
        <v>44821.802083333336</v>
      </c>
      <c r="H2719">
        <v>18</v>
      </c>
      <c r="I2719">
        <v>45</v>
      </c>
      <c r="J2719">
        <v>19</v>
      </c>
      <c r="K2719">
        <v>15</v>
      </c>
      <c r="L2719">
        <v>2022</v>
      </c>
      <c r="N2719" t="s">
        <v>47</v>
      </c>
      <c r="O2719" t="s">
        <v>47</v>
      </c>
      <c r="P2719" t="s">
        <v>4680</v>
      </c>
    </row>
    <row r="2720" spans="1:16" x14ac:dyDescent="0.3">
      <c r="A2720" t="s">
        <v>4681</v>
      </c>
      <c r="C2720">
        <v>60</v>
      </c>
      <c r="D2720" t="s">
        <v>10</v>
      </c>
      <c r="F2720" s="43">
        <v>44821.701388888891</v>
      </c>
      <c r="G2720" s="43">
        <v>44821.743055555555</v>
      </c>
      <c r="H2720">
        <v>16</v>
      </c>
      <c r="I2720">
        <v>50</v>
      </c>
      <c r="J2720">
        <v>17</v>
      </c>
      <c r="K2720">
        <v>50</v>
      </c>
      <c r="L2720">
        <v>2022</v>
      </c>
      <c r="N2720" t="s">
        <v>47</v>
      </c>
      <c r="O2720" t="s">
        <v>47</v>
      </c>
      <c r="P2720" t="s">
        <v>4682</v>
      </c>
    </row>
    <row r="2721" spans="1:16" x14ac:dyDescent="0.3">
      <c r="A2721" t="s">
        <v>4519</v>
      </c>
      <c r="C2721">
        <v>40</v>
      </c>
      <c r="D2721" t="s">
        <v>10</v>
      </c>
      <c r="F2721" s="43">
        <v>44821.652777777781</v>
      </c>
      <c r="G2721" s="43">
        <v>44821.680555555555</v>
      </c>
      <c r="H2721">
        <v>15</v>
      </c>
      <c r="I2721">
        <v>40</v>
      </c>
      <c r="J2721">
        <v>16</v>
      </c>
      <c r="K2721">
        <v>20</v>
      </c>
      <c r="L2721">
        <v>2022</v>
      </c>
      <c r="N2721" t="s">
        <v>47</v>
      </c>
      <c r="O2721" t="s">
        <v>47</v>
      </c>
      <c r="P2721" t="s">
        <v>4677</v>
      </c>
    </row>
    <row r="2722" spans="1:16" x14ac:dyDescent="0.3">
      <c r="A2722" t="s">
        <v>4420</v>
      </c>
      <c r="C2722">
        <v>60</v>
      </c>
      <c r="D2722" t="s">
        <v>10</v>
      </c>
      <c r="F2722" s="43">
        <v>44821.5625</v>
      </c>
      <c r="G2722" s="43">
        <v>44821.604166666664</v>
      </c>
      <c r="H2722">
        <v>13</v>
      </c>
      <c r="I2722">
        <v>30</v>
      </c>
      <c r="J2722">
        <v>14</v>
      </c>
      <c r="K2722">
        <v>30</v>
      </c>
      <c r="L2722">
        <v>2022</v>
      </c>
      <c r="N2722" t="s">
        <v>47</v>
      </c>
      <c r="O2722" t="s">
        <v>47</v>
      </c>
      <c r="P2722" t="s">
        <v>4676</v>
      </c>
    </row>
    <row r="2723" spans="1:16" x14ac:dyDescent="0.3">
      <c r="A2723" t="s">
        <v>4674</v>
      </c>
      <c r="C2723">
        <v>120</v>
      </c>
      <c r="D2723" t="s">
        <v>10</v>
      </c>
      <c r="F2723" s="43">
        <v>44821.416666666664</v>
      </c>
      <c r="G2723" s="43">
        <v>44821.5</v>
      </c>
      <c r="H2723">
        <v>10</v>
      </c>
      <c r="I2723">
        <v>0</v>
      </c>
      <c r="J2723">
        <v>12</v>
      </c>
      <c r="K2723">
        <v>0</v>
      </c>
      <c r="L2723">
        <v>2022</v>
      </c>
      <c r="N2723" t="s">
        <v>47</v>
      </c>
      <c r="O2723" t="s">
        <v>47</v>
      </c>
      <c r="P2723" t="s">
        <v>4675</v>
      </c>
    </row>
    <row r="2724" spans="1:16" x14ac:dyDescent="0.3">
      <c r="A2724" t="s">
        <v>4672</v>
      </c>
      <c r="C2724">
        <v>30</v>
      </c>
      <c r="D2724" t="s">
        <v>10</v>
      </c>
      <c r="F2724" s="43">
        <v>44821.333333333336</v>
      </c>
      <c r="G2724" s="43">
        <v>44821.354166666664</v>
      </c>
      <c r="H2724">
        <v>8</v>
      </c>
      <c r="I2724">
        <v>0</v>
      </c>
      <c r="J2724">
        <v>8</v>
      </c>
      <c r="K2724">
        <v>30</v>
      </c>
      <c r="L2724">
        <v>2022</v>
      </c>
      <c r="N2724" t="s">
        <v>47</v>
      </c>
      <c r="O2724" t="s">
        <v>47</v>
      </c>
      <c r="P2724" t="s">
        <v>4673</v>
      </c>
    </row>
    <row r="2725" spans="1:16" x14ac:dyDescent="0.3">
      <c r="A2725" t="s">
        <v>4665</v>
      </c>
      <c r="C2725">
        <v>60</v>
      </c>
      <c r="D2725" t="s">
        <v>10</v>
      </c>
      <c r="F2725" s="43">
        <v>44821.25</v>
      </c>
      <c r="G2725" s="43">
        <v>44821.291666666664</v>
      </c>
      <c r="H2725">
        <v>6</v>
      </c>
      <c r="I2725">
        <v>0</v>
      </c>
      <c r="J2725">
        <v>7</v>
      </c>
      <c r="K2725">
        <v>0</v>
      </c>
      <c r="L2725">
        <v>2022</v>
      </c>
      <c r="N2725" t="s">
        <v>47</v>
      </c>
      <c r="O2725" t="s">
        <v>47</v>
      </c>
      <c r="P2725" t="s">
        <v>4666</v>
      </c>
    </row>
    <row r="2726" spans="1:16" x14ac:dyDescent="0.3">
      <c r="A2726" t="s">
        <v>4670</v>
      </c>
      <c r="C2726">
        <v>60</v>
      </c>
      <c r="D2726" t="s">
        <v>10</v>
      </c>
      <c r="F2726" s="43">
        <v>44820.75</v>
      </c>
      <c r="G2726" s="43">
        <v>44820.791666666664</v>
      </c>
      <c r="H2726">
        <v>18</v>
      </c>
      <c r="I2726">
        <v>0</v>
      </c>
      <c r="J2726">
        <v>19</v>
      </c>
      <c r="K2726">
        <v>0</v>
      </c>
      <c r="L2726">
        <v>2022</v>
      </c>
      <c r="N2726" t="s">
        <v>47</v>
      </c>
      <c r="O2726" t="s">
        <v>47</v>
      </c>
      <c r="P2726" t="s">
        <v>4671</v>
      </c>
    </row>
    <row r="2727" spans="1:16" x14ac:dyDescent="0.3">
      <c r="A2727" t="s">
        <v>4663</v>
      </c>
      <c r="C2727">
        <v>21</v>
      </c>
      <c r="D2727" t="s">
        <v>10</v>
      </c>
      <c r="F2727" s="43">
        <v>44820.729166666664</v>
      </c>
      <c r="G2727" s="43">
        <v>44820.743750000001</v>
      </c>
      <c r="H2727">
        <v>17</v>
      </c>
      <c r="I2727">
        <v>30</v>
      </c>
      <c r="J2727">
        <v>17</v>
      </c>
      <c r="K2727">
        <v>51</v>
      </c>
      <c r="L2727">
        <v>2022</v>
      </c>
      <c r="N2727" t="s">
        <v>47</v>
      </c>
      <c r="O2727" t="s">
        <v>47</v>
      </c>
      <c r="P2727" t="s">
        <v>4664</v>
      </c>
    </row>
    <row r="2728" spans="1:16" x14ac:dyDescent="0.3">
      <c r="A2728" t="s">
        <v>4661</v>
      </c>
      <c r="C2728">
        <v>30</v>
      </c>
      <c r="D2728" t="s">
        <v>10</v>
      </c>
      <c r="F2728" s="43">
        <v>44820.6875</v>
      </c>
      <c r="G2728" s="43">
        <v>44820.708333333336</v>
      </c>
      <c r="H2728">
        <v>16</v>
      </c>
      <c r="I2728">
        <v>30</v>
      </c>
      <c r="J2728">
        <v>17</v>
      </c>
      <c r="K2728">
        <v>0</v>
      </c>
      <c r="L2728">
        <v>2022</v>
      </c>
      <c r="N2728" t="s">
        <v>47</v>
      </c>
      <c r="O2728" t="s">
        <v>47</v>
      </c>
      <c r="P2728" t="s">
        <v>4662</v>
      </c>
    </row>
    <row r="2729" spans="1:16" x14ac:dyDescent="0.3">
      <c r="A2729" t="s">
        <v>9</v>
      </c>
      <c r="C2729">
        <v>30</v>
      </c>
      <c r="D2729" t="s">
        <v>10</v>
      </c>
      <c r="F2729" s="43">
        <v>44820.645833333336</v>
      </c>
      <c r="G2729" s="43">
        <v>44820.666666666664</v>
      </c>
      <c r="H2729">
        <v>15</v>
      </c>
      <c r="I2729">
        <v>30</v>
      </c>
      <c r="J2729">
        <v>16</v>
      </c>
      <c r="K2729">
        <v>0</v>
      </c>
      <c r="L2729">
        <v>2022</v>
      </c>
      <c r="N2729" t="s">
        <v>47</v>
      </c>
      <c r="O2729" t="s">
        <v>47</v>
      </c>
      <c r="P2729" t="s">
        <v>4660</v>
      </c>
    </row>
    <row r="2730" spans="1:16" x14ac:dyDescent="0.3">
      <c r="A2730" t="s">
        <v>1011</v>
      </c>
      <c r="C2730">
        <v>30</v>
      </c>
      <c r="D2730" t="s">
        <v>10</v>
      </c>
      <c r="F2730" s="43">
        <v>44820.625</v>
      </c>
      <c r="G2730" s="43">
        <v>44820.645833333336</v>
      </c>
      <c r="H2730">
        <v>15</v>
      </c>
      <c r="I2730">
        <v>0</v>
      </c>
      <c r="J2730">
        <v>15</v>
      </c>
      <c r="K2730">
        <v>30</v>
      </c>
      <c r="L2730">
        <v>2022</v>
      </c>
      <c r="N2730" t="s">
        <v>47</v>
      </c>
      <c r="O2730" t="s">
        <v>47</v>
      </c>
      <c r="P2730" t="s">
        <v>4659</v>
      </c>
    </row>
    <row r="2731" spans="1:16" x14ac:dyDescent="0.3">
      <c r="A2731" t="s">
        <v>23</v>
      </c>
      <c r="C2731">
        <v>60</v>
      </c>
      <c r="D2731" t="s">
        <v>10</v>
      </c>
      <c r="F2731" s="43">
        <v>44820.583333333336</v>
      </c>
      <c r="G2731" s="43">
        <v>44820.625</v>
      </c>
      <c r="H2731">
        <v>14</v>
      </c>
      <c r="I2731">
        <v>0</v>
      </c>
      <c r="J2731">
        <v>15</v>
      </c>
      <c r="K2731">
        <v>0</v>
      </c>
      <c r="L2731">
        <v>2022</v>
      </c>
      <c r="N2731" t="s">
        <v>47</v>
      </c>
      <c r="O2731" t="s">
        <v>47</v>
      </c>
      <c r="P2731" t="s">
        <v>4658</v>
      </c>
    </row>
    <row r="2732" spans="1:16" x14ac:dyDescent="0.3">
      <c r="A2732" t="s">
        <v>4656</v>
      </c>
      <c r="C2732">
        <v>30</v>
      </c>
      <c r="D2732" t="s">
        <v>10</v>
      </c>
      <c r="F2732" s="43">
        <v>44820.5625</v>
      </c>
      <c r="G2732" s="43">
        <v>44820.583333333336</v>
      </c>
      <c r="H2732">
        <v>13</v>
      </c>
      <c r="I2732">
        <v>30</v>
      </c>
      <c r="J2732">
        <v>14</v>
      </c>
      <c r="K2732">
        <v>0</v>
      </c>
      <c r="L2732">
        <v>2022</v>
      </c>
      <c r="N2732" t="s">
        <v>47</v>
      </c>
      <c r="O2732" t="s">
        <v>47</v>
      </c>
      <c r="P2732" t="s">
        <v>4657</v>
      </c>
    </row>
    <row r="2733" spans="1:16" x14ac:dyDescent="0.3">
      <c r="A2733" t="s">
        <v>4654</v>
      </c>
      <c r="C2733">
        <v>30</v>
      </c>
      <c r="D2733" t="s">
        <v>10</v>
      </c>
      <c r="F2733" s="43">
        <v>44820.541666666664</v>
      </c>
      <c r="G2733" s="43">
        <v>44820.5625</v>
      </c>
      <c r="H2733">
        <v>13</v>
      </c>
      <c r="I2733">
        <v>0</v>
      </c>
      <c r="J2733">
        <v>13</v>
      </c>
      <c r="K2733">
        <v>30</v>
      </c>
      <c r="L2733">
        <v>2022</v>
      </c>
      <c r="N2733" t="s">
        <v>47</v>
      </c>
      <c r="O2733" t="s">
        <v>47</v>
      </c>
      <c r="P2733" t="s">
        <v>4655</v>
      </c>
    </row>
    <row r="2734" spans="1:16" ht="129.6" x14ac:dyDescent="0.3">
      <c r="A2734" t="s">
        <v>4281</v>
      </c>
      <c r="C2734">
        <v>60</v>
      </c>
      <c r="D2734" t="s">
        <v>10</v>
      </c>
      <c r="E2734" s="44" t="s">
        <v>4282</v>
      </c>
      <c r="F2734" s="43">
        <v>44820.46875</v>
      </c>
      <c r="G2734" s="43">
        <v>44820.510416666664</v>
      </c>
      <c r="H2734">
        <v>11</v>
      </c>
      <c r="I2734">
        <v>15</v>
      </c>
      <c r="J2734">
        <v>12</v>
      </c>
      <c r="K2734">
        <v>15</v>
      </c>
      <c r="L2734">
        <v>2022</v>
      </c>
      <c r="N2734" t="s">
        <v>4283</v>
      </c>
      <c r="O2734" t="s">
        <v>3774</v>
      </c>
      <c r="P2734" t="s">
        <v>4284</v>
      </c>
    </row>
    <row r="2735" spans="1:16" x14ac:dyDescent="0.3">
      <c r="A2735" t="s">
        <v>4652</v>
      </c>
      <c r="C2735">
        <v>15</v>
      </c>
      <c r="D2735" t="s">
        <v>10</v>
      </c>
      <c r="F2735" s="43">
        <v>44820.4375</v>
      </c>
      <c r="G2735" s="43">
        <v>44820.447916666664</v>
      </c>
      <c r="H2735">
        <v>10</v>
      </c>
      <c r="I2735">
        <v>30</v>
      </c>
      <c r="J2735">
        <v>10</v>
      </c>
      <c r="K2735">
        <v>45</v>
      </c>
      <c r="L2735">
        <v>2022</v>
      </c>
      <c r="N2735" t="s">
        <v>47</v>
      </c>
      <c r="O2735" t="s">
        <v>47</v>
      </c>
      <c r="P2735" t="s">
        <v>4653</v>
      </c>
    </row>
    <row r="2736" spans="1:16" x14ac:dyDescent="0.3">
      <c r="A2736" t="s">
        <v>4623</v>
      </c>
      <c r="C2736">
        <v>30</v>
      </c>
      <c r="D2736" t="s">
        <v>10</v>
      </c>
      <c r="F2736" s="43">
        <v>44820.375</v>
      </c>
      <c r="G2736" s="43">
        <v>44820.395833333336</v>
      </c>
      <c r="H2736">
        <v>9</v>
      </c>
      <c r="I2736">
        <v>0</v>
      </c>
      <c r="J2736">
        <v>9</v>
      </c>
      <c r="K2736">
        <v>30</v>
      </c>
      <c r="L2736">
        <v>2022</v>
      </c>
      <c r="N2736" t="s">
        <v>4624</v>
      </c>
      <c r="O2736" t="s">
        <v>762</v>
      </c>
      <c r="P2736" t="s">
        <v>4625</v>
      </c>
    </row>
    <row r="2737" spans="1:16" x14ac:dyDescent="0.3">
      <c r="A2737" t="s">
        <v>4645</v>
      </c>
      <c r="C2737">
        <v>60</v>
      </c>
      <c r="D2737" t="s">
        <v>10</v>
      </c>
      <c r="F2737" s="43">
        <v>44820.333333333336</v>
      </c>
      <c r="G2737" s="43">
        <v>44820.375</v>
      </c>
      <c r="H2737">
        <v>8</v>
      </c>
      <c r="I2737">
        <v>0</v>
      </c>
      <c r="J2737">
        <v>9</v>
      </c>
      <c r="K2737">
        <v>0</v>
      </c>
      <c r="L2737">
        <v>2022</v>
      </c>
      <c r="N2737" t="s">
        <v>47</v>
      </c>
      <c r="O2737" t="s">
        <v>47</v>
      </c>
      <c r="P2737" t="s">
        <v>4646</v>
      </c>
    </row>
    <row r="2738" spans="1:16" x14ac:dyDescent="0.3">
      <c r="A2738" t="s">
        <v>4558</v>
      </c>
      <c r="C2738">
        <v>30</v>
      </c>
      <c r="D2738" t="s">
        <v>10</v>
      </c>
      <c r="E2738" t="s">
        <v>501</v>
      </c>
      <c r="F2738" s="43">
        <v>44820.260416666664</v>
      </c>
      <c r="G2738" s="43">
        <v>44820.28125</v>
      </c>
      <c r="H2738">
        <v>6</v>
      </c>
      <c r="I2738">
        <v>15</v>
      </c>
      <c r="J2738">
        <v>6</v>
      </c>
      <c r="K2738">
        <v>45</v>
      </c>
      <c r="L2738">
        <v>2022</v>
      </c>
      <c r="N2738" t="s">
        <v>4629</v>
      </c>
      <c r="O2738" t="s">
        <v>47</v>
      </c>
      <c r="P2738" t="s">
        <v>4630</v>
      </c>
    </row>
    <row r="2739" spans="1:16" x14ac:dyDescent="0.3">
      <c r="A2739" t="s">
        <v>17</v>
      </c>
      <c r="C2739">
        <v>30</v>
      </c>
      <c r="D2739" t="s">
        <v>10</v>
      </c>
      <c r="F2739" s="43">
        <v>44820.229166666664</v>
      </c>
      <c r="G2739" s="43">
        <v>44820.25</v>
      </c>
      <c r="H2739">
        <v>5</v>
      </c>
      <c r="I2739">
        <v>30</v>
      </c>
      <c r="J2739">
        <v>6</v>
      </c>
      <c r="K2739">
        <v>0</v>
      </c>
      <c r="L2739">
        <v>2022</v>
      </c>
      <c r="N2739" t="s">
        <v>47</v>
      </c>
      <c r="O2739" t="s">
        <v>47</v>
      </c>
      <c r="P2739" t="s">
        <v>4647</v>
      </c>
    </row>
    <row r="2740" spans="1:16" x14ac:dyDescent="0.3">
      <c r="A2740" t="s">
        <v>1622</v>
      </c>
      <c r="C2740">
        <v>30</v>
      </c>
      <c r="D2740" t="s">
        <v>10</v>
      </c>
      <c r="F2740" s="43">
        <v>44819.854166666664</v>
      </c>
      <c r="G2740" s="43">
        <v>44819.875</v>
      </c>
      <c r="H2740">
        <v>20</v>
      </c>
      <c r="I2740">
        <v>30</v>
      </c>
      <c r="J2740">
        <v>21</v>
      </c>
      <c r="K2740">
        <v>0</v>
      </c>
      <c r="L2740">
        <v>2022</v>
      </c>
      <c r="N2740" t="s">
        <v>47</v>
      </c>
      <c r="O2740" t="s">
        <v>47</v>
      </c>
      <c r="P2740" t="s">
        <v>4641</v>
      </c>
    </row>
    <row r="2741" spans="1:16" x14ac:dyDescent="0.3">
      <c r="A2741" t="s">
        <v>4577</v>
      </c>
      <c r="C2741">
        <v>15</v>
      </c>
      <c r="D2741" t="s">
        <v>10</v>
      </c>
      <c r="F2741" s="43">
        <v>44819.8125</v>
      </c>
      <c r="G2741" s="43">
        <v>44819.822916666664</v>
      </c>
      <c r="H2741">
        <v>19</v>
      </c>
      <c r="I2741">
        <v>30</v>
      </c>
      <c r="J2741">
        <v>19</v>
      </c>
      <c r="K2741">
        <v>45</v>
      </c>
      <c r="L2741">
        <v>2022</v>
      </c>
      <c r="N2741" t="s">
        <v>47</v>
      </c>
      <c r="O2741" t="s">
        <v>47</v>
      </c>
      <c r="P2741" t="s">
        <v>4642</v>
      </c>
    </row>
    <row r="2742" spans="1:16" x14ac:dyDescent="0.3">
      <c r="A2742" t="s">
        <v>4643</v>
      </c>
      <c r="C2742">
        <v>80</v>
      </c>
      <c r="D2742" t="s">
        <v>10</v>
      </c>
      <c r="F2742" s="43">
        <v>44819.75</v>
      </c>
      <c r="G2742" s="43">
        <v>44819.805555555555</v>
      </c>
      <c r="H2742">
        <v>18</v>
      </c>
      <c r="I2742">
        <v>0</v>
      </c>
      <c r="J2742">
        <v>19</v>
      </c>
      <c r="K2742">
        <v>20</v>
      </c>
      <c r="L2742">
        <v>2022</v>
      </c>
      <c r="N2742" t="s">
        <v>47</v>
      </c>
      <c r="O2742" t="s">
        <v>47</v>
      </c>
      <c r="P2742" t="s">
        <v>4644</v>
      </c>
    </row>
    <row r="2743" spans="1:16" x14ac:dyDescent="0.3">
      <c r="A2743" t="s">
        <v>4639</v>
      </c>
      <c r="C2743">
        <v>25</v>
      </c>
      <c r="D2743" t="s">
        <v>10</v>
      </c>
      <c r="F2743" s="43">
        <v>44819.708333333336</v>
      </c>
      <c r="G2743" s="43">
        <v>44819.725694444445</v>
      </c>
      <c r="H2743">
        <v>17</v>
      </c>
      <c r="I2743">
        <v>0</v>
      </c>
      <c r="J2743">
        <v>17</v>
      </c>
      <c r="K2743">
        <v>25</v>
      </c>
      <c r="L2743">
        <v>2022</v>
      </c>
      <c r="N2743" t="s">
        <v>47</v>
      </c>
      <c r="O2743" t="s">
        <v>47</v>
      </c>
      <c r="P2743" t="s">
        <v>4640</v>
      </c>
    </row>
    <row r="2744" spans="1:16" x14ac:dyDescent="0.3">
      <c r="A2744" t="s">
        <v>4637</v>
      </c>
      <c r="C2744">
        <v>60</v>
      </c>
      <c r="D2744" t="s">
        <v>10</v>
      </c>
      <c r="F2744" s="43">
        <v>44819.65625</v>
      </c>
      <c r="G2744" s="43">
        <v>44819.697916666664</v>
      </c>
      <c r="H2744">
        <v>15</v>
      </c>
      <c r="I2744">
        <v>45</v>
      </c>
      <c r="J2744">
        <v>16</v>
      </c>
      <c r="K2744">
        <v>45</v>
      </c>
      <c r="L2744">
        <v>2022</v>
      </c>
      <c r="N2744" t="s">
        <v>47</v>
      </c>
      <c r="O2744" t="s">
        <v>47</v>
      </c>
      <c r="P2744" t="s">
        <v>4638</v>
      </c>
    </row>
    <row r="2745" spans="1:16" x14ac:dyDescent="0.3">
      <c r="A2745" t="s">
        <v>4633</v>
      </c>
      <c r="C2745">
        <v>15</v>
      </c>
      <c r="D2745" t="s">
        <v>10</v>
      </c>
      <c r="F2745" s="43">
        <v>44819.604166666664</v>
      </c>
      <c r="G2745" s="43">
        <v>44819.614583333336</v>
      </c>
      <c r="H2745">
        <v>14</v>
      </c>
      <c r="I2745">
        <v>30</v>
      </c>
      <c r="J2745">
        <v>14</v>
      </c>
      <c r="K2745">
        <v>45</v>
      </c>
      <c r="L2745">
        <v>2022</v>
      </c>
      <c r="N2745" t="s">
        <v>47</v>
      </c>
      <c r="O2745" t="s">
        <v>47</v>
      </c>
      <c r="P2745" t="s">
        <v>4634</v>
      </c>
    </row>
    <row r="2746" spans="1:16" x14ac:dyDescent="0.3">
      <c r="A2746" t="s">
        <v>4608</v>
      </c>
      <c r="C2746">
        <v>30</v>
      </c>
      <c r="D2746" t="s">
        <v>10</v>
      </c>
      <c r="E2746" t="s">
        <v>4609</v>
      </c>
      <c r="F2746" s="43">
        <v>44819.583333333336</v>
      </c>
      <c r="G2746" s="43">
        <v>44819.604166666664</v>
      </c>
      <c r="H2746">
        <v>14</v>
      </c>
      <c r="I2746">
        <v>0</v>
      </c>
      <c r="J2746">
        <v>14</v>
      </c>
      <c r="K2746">
        <v>30</v>
      </c>
      <c r="L2746">
        <v>2022</v>
      </c>
      <c r="N2746" t="s">
        <v>4610</v>
      </c>
      <c r="O2746" t="s">
        <v>683</v>
      </c>
      <c r="P2746" t="s">
        <v>4611</v>
      </c>
    </row>
    <row r="2747" spans="1:16" x14ac:dyDescent="0.3">
      <c r="A2747" t="s">
        <v>4635</v>
      </c>
      <c r="C2747">
        <v>20</v>
      </c>
      <c r="D2747" t="s">
        <v>10</v>
      </c>
      <c r="F2747" s="43">
        <v>44819.541666666664</v>
      </c>
      <c r="G2747" s="43">
        <v>44819.555555555555</v>
      </c>
      <c r="H2747">
        <v>13</v>
      </c>
      <c r="I2747">
        <v>0</v>
      </c>
      <c r="J2747">
        <v>13</v>
      </c>
      <c r="K2747">
        <v>20</v>
      </c>
      <c r="L2747">
        <v>2022</v>
      </c>
      <c r="N2747" t="s">
        <v>47</v>
      </c>
      <c r="O2747" t="s">
        <v>47</v>
      </c>
      <c r="P2747" t="s">
        <v>4636</v>
      </c>
    </row>
    <row r="2748" spans="1:16" x14ac:dyDescent="0.3">
      <c r="A2748" t="s">
        <v>4564</v>
      </c>
      <c r="C2748">
        <v>60</v>
      </c>
      <c r="D2748" t="s">
        <v>10</v>
      </c>
      <c r="F2748" s="43">
        <v>44819.5</v>
      </c>
      <c r="G2748" s="43">
        <v>44819.541666666664</v>
      </c>
      <c r="H2748">
        <v>12</v>
      </c>
      <c r="I2748">
        <v>0</v>
      </c>
      <c r="J2748">
        <v>13</v>
      </c>
      <c r="K2748">
        <v>0</v>
      </c>
      <c r="L2748">
        <v>2022</v>
      </c>
      <c r="N2748" t="s">
        <v>47</v>
      </c>
      <c r="O2748" t="s">
        <v>47</v>
      </c>
      <c r="P2748" t="s">
        <v>4631</v>
      </c>
    </row>
    <row r="2749" spans="1:16" x14ac:dyDescent="0.3">
      <c r="A2749" t="s">
        <v>4564</v>
      </c>
      <c r="C2749">
        <v>60</v>
      </c>
      <c r="D2749" t="s">
        <v>10</v>
      </c>
      <c r="F2749" s="43">
        <v>44819.5</v>
      </c>
      <c r="G2749" s="43">
        <v>44819.541666666664</v>
      </c>
      <c r="H2749">
        <v>12</v>
      </c>
      <c r="I2749">
        <v>0</v>
      </c>
      <c r="J2749">
        <v>13</v>
      </c>
      <c r="K2749">
        <v>0</v>
      </c>
      <c r="L2749">
        <v>2022</v>
      </c>
      <c r="N2749" t="s">
        <v>47</v>
      </c>
      <c r="O2749" t="s">
        <v>47</v>
      </c>
      <c r="P2749" t="s">
        <v>4632</v>
      </c>
    </row>
    <row r="2750" spans="1:16" x14ac:dyDescent="0.3">
      <c r="A2750" t="s">
        <v>17</v>
      </c>
      <c r="C2750">
        <v>30</v>
      </c>
      <c r="D2750" t="s">
        <v>10</v>
      </c>
      <c r="F2750" s="43">
        <v>44819.479166666664</v>
      </c>
      <c r="G2750" s="43">
        <v>44819.5</v>
      </c>
      <c r="H2750">
        <v>11</v>
      </c>
      <c r="I2750">
        <v>30</v>
      </c>
      <c r="J2750">
        <v>12</v>
      </c>
      <c r="K2750">
        <v>0</v>
      </c>
      <c r="L2750">
        <v>2022</v>
      </c>
      <c r="N2750" t="s">
        <v>47</v>
      </c>
      <c r="O2750" t="s">
        <v>47</v>
      </c>
      <c r="P2750" t="s">
        <v>4616</v>
      </c>
    </row>
    <row r="2751" spans="1:16" x14ac:dyDescent="0.3">
      <c r="A2751" t="s">
        <v>4614</v>
      </c>
      <c r="C2751">
        <v>60</v>
      </c>
      <c r="D2751" t="s">
        <v>10</v>
      </c>
      <c r="F2751" s="43">
        <v>44819.416666666664</v>
      </c>
      <c r="G2751" s="43">
        <v>44819.458333333336</v>
      </c>
      <c r="H2751">
        <v>10</v>
      </c>
      <c r="I2751">
        <v>0</v>
      </c>
      <c r="J2751">
        <v>11</v>
      </c>
      <c r="K2751">
        <v>0</v>
      </c>
      <c r="L2751">
        <v>2022</v>
      </c>
      <c r="N2751" t="s">
        <v>47</v>
      </c>
      <c r="O2751" t="s">
        <v>47</v>
      </c>
      <c r="P2751" t="s">
        <v>4615</v>
      </c>
    </row>
    <row r="2752" spans="1:16" x14ac:dyDescent="0.3">
      <c r="A2752" t="s">
        <v>1222</v>
      </c>
      <c r="C2752">
        <v>60</v>
      </c>
      <c r="D2752" t="s">
        <v>10</v>
      </c>
      <c r="F2752" s="43">
        <v>44819.354166666664</v>
      </c>
      <c r="G2752" s="43">
        <v>44819.395833333336</v>
      </c>
      <c r="H2752">
        <v>8</v>
      </c>
      <c r="I2752">
        <v>30</v>
      </c>
      <c r="J2752">
        <v>9</v>
      </c>
      <c r="K2752">
        <v>30</v>
      </c>
      <c r="L2752">
        <v>2022</v>
      </c>
      <c r="N2752" t="s">
        <v>47</v>
      </c>
      <c r="O2752" t="s">
        <v>47</v>
      </c>
      <c r="P2752" t="s">
        <v>4617</v>
      </c>
    </row>
    <row r="2753" spans="1:16" x14ac:dyDescent="0.3">
      <c r="A2753" t="s">
        <v>7</v>
      </c>
      <c r="C2753">
        <v>30</v>
      </c>
      <c r="D2753" t="s">
        <v>10</v>
      </c>
      <c r="F2753" s="43">
        <v>44819.333333333336</v>
      </c>
      <c r="G2753" s="43">
        <v>44819.354166666664</v>
      </c>
      <c r="H2753">
        <v>8</v>
      </c>
      <c r="I2753">
        <v>0</v>
      </c>
      <c r="J2753">
        <v>8</v>
      </c>
      <c r="K2753">
        <v>30</v>
      </c>
      <c r="L2753">
        <v>2022</v>
      </c>
      <c r="N2753" t="s">
        <v>47</v>
      </c>
      <c r="O2753" t="s">
        <v>47</v>
      </c>
      <c r="P2753" t="s">
        <v>4618</v>
      </c>
    </row>
    <row r="2754" spans="1:16" x14ac:dyDescent="0.3">
      <c r="A2754" t="s">
        <v>4619</v>
      </c>
      <c r="C2754">
        <v>45</v>
      </c>
      <c r="D2754" t="s">
        <v>10</v>
      </c>
      <c r="F2754" s="43">
        <v>44819.270833333336</v>
      </c>
      <c r="G2754" s="43">
        <v>44819.302083333336</v>
      </c>
      <c r="H2754">
        <v>6</v>
      </c>
      <c r="I2754">
        <v>30</v>
      </c>
      <c r="J2754">
        <v>7</v>
      </c>
      <c r="K2754">
        <v>15</v>
      </c>
      <c r="L2754">
        <v>2022</v>
      </c>
      <c r="N2754" t="s">
        <v>47</v>
      </c>
      <c r="O2754" t="s">
        <v>47</v>
      </c>
      <c r="P2754" t="s">
        <v>4620</v>
      </c>
    </row>
    <row r="2755" spans="1:16" x14ac:dyDescent="0.3">
      <c r="A2755" t="s">
        <v>4621</v>
      </c>
      <c r="C2755">
        <v>60</v>
      </c>
      <c r="D2755" t="s">
        <v>10</v>
      </c>
      <c r="F2755" s="43">
        <v>44819.208333333336</v>
      </c>
      <c r="G2755" s="43">
        <v>44819.25</v>
      </c>
      <c r="H2755">
        <v>5</v>
      </c>
      <c r="I2755">
        <v>0</v>
      </c>
      <c r="J2755">
        <v>6</v>
      </c>
      <c r="K2755">
        <v>0</v>
      </c>
      <c r="L2755">
        <v>2022</v>
      </c>
      <c r="N2755" t="s">
        <v>47</v>
      </c>
      <c r="O2755" t="s">
        <v>47</v>
      </c>
      <c r="P2755" t="s">
        <v>4622</v>
      </c>
    </row>
    <row r="2756" spans="1:16" x14ac:dyDescent="0.3">
      <c r="A2756" t="s">
        <v>4612</v>
      </c>
      <c r="C2756">
        <v>60</v>
      </c>
      <c r="D2756" t="s">
        <v>10</v>
      </c>
      <c r="F2756" s="43">
        <v>44818.75</v>
      </c>
      <c r="G2756" s="43">
        <v>44818.791666666664</v>
      </c>
      <c r="H2756">
        <v>18</v>
      </c>
      <c r="I2756">
        <v>0</v>
      </c>
      <c r="J2756">
        <v>19</v>
      </c>
      <c r="K2756">
        <v>0</v>
      </c>
      <c r="L2756">
        <v>2022</v>
      </c>
      <c r="N2756" t="s">
        <v>47</v>
      </c>
      <c r="O2756" t="s">
        <v>47</v>
      </c>
      <c r="P2756" t="s">
        <v>4613</v>
      </c>
    </row>
    <row r="2757" spans="1:16" x14ac:dyDescent="0.3">
      <c r="A2757" t="s">
        <v>8</v>
      </c>
      <c r="C2757">
        <v>75</v>
      </c>
      <c r="D2757" t="s">
        <v>10</v>
      </c>
      <c r="F2757" s="43">
        <v>44818.65625</v>
      </c>
      <c r="G2757" s="43">
        <v>44818.708333333336</v>
      </c>
      <c r="H2757">
        <v>15</v>
      </c>
      <c r="I2757">
        <v>45</v>
      </c>
      <c r="J2757">
        <v>17</v>
      </c>
      <c r="K2757">
        <v>0</v>
      </c>
      <c r="L2757">
        <v>2022</v>
      </c>
      <c r="N2757" t="s">
        <v>47</v>
      </c>
      <c r="O2757" t="s">
        <v>47</v>
      </c>
      <c r="P2757" t="s">
        <v>4607</v>
      </c>
    </row>
    <row r="2758" spans="1:16" x14ac:dyDescent="0.3">
      <c r="A2758" t="s">
        <v>8</v>
      </c>
      <c r="C2758">
        <v>30</v>
      </c>
      <c r="D2758" t="s">
        <v>10</v>
      </c>
      <c r="F2758" s="43">
        <v>44818.625</v>
      </c>
      <c r="G2758" s="43">
        <v>44818.645833333336</v>
      </c>
      <c r="H2758">
        <v>15</v>
      </c>
      <c r="I2758">
        <v>0</v>
      </c>
      <c r="J2758">
        <v>15</v>
      </c>
      <c r="K2758">
        <v>30</v>
      </c>
      <c r="L2758">
        <v>2022</v>
      </c>
      <c r="N2758" t="s">
        <v>47</v>
      </c>
      <c r="O2758" t="s">
        <v>47</v>
      </c>
      <c r="P2758" t="s">
        <v>4606</v>
      </c>
    </row>
    <row r="2759" spans="1:16" x14ac:dyDescent="0.3">
      <c r="A2759" t="s">
        <v>9</v>
      </c>
      <c r="C2759">
        <v>30</v>
      </c>
      <c r="D2759" t="s">
        <v>10</v>
      </c>
      <c r="F2759" s="43">
        <v>44818.604166666664</v>
      </c>
      <c r="G2759" s="43">
        <v>44818.625</v>
      </c>
      <c r="H2759">
        <v>14</v>
      </c>
      <c r="I2759">
        <v>30</v>
      </c>
      <c r="J2759">
        <v>15</v>
      </c>
      <c r="K2759">
        <v>0</v>
      </c>
      <c r="L2759">
        <v>2022</v>
      </c>
      <c r="N2759" t="s">
        <v>47</v>
      </c>
      <c r="O2759" t="s">
        <v>47</v>
      </c>
      <c r="P2759" t="s">
        <v>4605</v>
      </c>
    </row>
    <row r="2760" spans="1:16" x14ac:dyDescent="0.3">
      <c r="A2760" t="s">
        <v>4486</v>
      </c>
      <c r="B2760" t="s">
        <v>20</v>
      </c>
      <c r="C2760">
        <v>30</v>
      </c>
      <c r="D2760" t="s">
        <v>10</v>
      </c>
      <c r="E2760" t="s">
        <v>4487</v>
      </c>
      <c r="F2760" s="43">
        <v>44818.583333333336</v>
      </c>
      <c r="G2760" s="43">
        <v>44818.604166666664</v>
      </c>
      <c r="H2760">
        <v>14</v>
      </c>
      <c r="I2760">
        <v>0</v>
      </c>
      <c r="J2760">
        <v>14</v>
      </c>
      <c r="K2760">
        <v>30</v>
      </c>
      <c r="L2760">
        <v>2022</v>
      </c>
      <c r="N2760" t="s">
        <v>4488</v>
      </c>
      <c r="O2760" t="s">
        <v>4489</v>
      </c>
      <c r="P2760" t="s">
        <v>4490</v>
      </c>
    </row>
    <row r="2761" spans="1:16" x14ac:dyDescent="0.3">
      <c r="A2761" t="s">
        <v>4016</v>
      </c>
      <c r="C2761">
        <v>30</v>
      </c>
      <c r="D2761" t="s">
        <v>10</v>
      </c>
      <c r="F2761" s="43">
        <v>44818.541666666664</v>
      </c>
      <c r="G2761" s="43">
        <v>44818.5625</v>
      </c>
      <c r="H2761">
        <v>13</v>
      </c>
      <c r="I2761">
        <v>0</v>
      </c>
      <c r="J2761">
        <v>13</v>
      </c>
      <c r="K2761">
        <v>30</v>
      </c>
      <c r="L2761">
        <v>2022</v>
      </c>
      <c r="N2761" t="s">
        <v>47</v>
      </c>
      <c r="O2761" t="s">
        <v>47</v>
      </c>
      <c r="P2761" t="s">
        <v>4604</v>
      </c>
    </row>
    <row r="2762" spans="1:16" x14ac:dyDescent="0.3">
      <c r="A2762" t="s">
        <v>4602</v>
      </c>
      <c r="C2762">
        <v>55</v>
      </c>
      <c r="D2762" t="s">
        <v>10</v>
      </c>
      <c r="F2762" s="43">
        <v>44818.489583333336</v>
      </c>
      <c r="G2762" s="43">
        <v>44818.527777777781</v>
      </c>
      <c r="H2762">
        <v>11</v>
      </c>
      <c r="I2762">
        <v>45</v>
      </c>
      <c r="J2762">
        <v>12</v>
      </c>
      <c r="K2762">
        <v>40</v>
      </c>
      <c r="L2762">
        <v>2022</v>
      </c>
      <c r="N2762" t="s">
        <v>47</v>
      </c>
      <c r="O2762" t="s">
        <v>47</v>
      </c>
      <c r="P2762" t="s">
        <v>4603</v>
      </c>
    </row>
    <row r="2763" spans="1:16" x14ac:dyDescent="0.3">
      <c r="A2763" t="s">
        <v>8</v>
      </c>
      <c r="C2763">
        <v>15</v>
      </c>
      <c r="D2763" t="s">
        <v>10</v>
      </c>
      <c r="F2763" s="43">
        <v>44818.479166666664</v>
      </c>
      <c r="G2763" s="43">
        <v>44818.489583333336</v>
      </c>
      <c r="H2763">
        <v>11</v>
      </c>
      <c r="I2763">
        <v>30</v>
      </c>
      <c r="J2763">
        <v>11</v>
      </c>
      <c r="K2763">
        <v>45</v>
      </c>
      <c r="L2763">
        <v>2022</v>
      </c>
      <c r="N2763" t="s">
        <v>47</v>
      </c>
      <c r="O2763" t="s">
        <v>47</v>
      </c>
      <c r="P2763" t="s">
        <v>4601</v>
      </c>
    </row>
    <row r="2764" spans="1:16" x14ac:dyDescent="0.3">
      <c r="A2764" t="s">
        <v>4592</v>
      </c>
      <c r="C2764">
        <v>30</v>
      </c>
      <c r="D2764" t="s">
        <v>10</v>
      </c>
      <c r="F2764" s="43">
        <v>44818.458333333336</v>
      </c>
      <c r="G2764" s="43">
        <v>44818.479166666664</v>
      </c>
      <c r="H2764">
        <v>11</v>
      </c>
      <c r="I2764">
        <v>0</v>
      </c>
      <c r="J2764">
        <v>11</v>
      </c>
      <c r="K2764">
        <v>30</v>
      </c>
      <c r="L2764">
        <v>2022</v>
      </c>
      <c r="N2764" t="s">
        <v>47</v>
      </c>
      <c r="O2764" t="s">
        <v>47</v>
      </c>
      <c r="P2764" t="s">
        <v>4593</v>
      </c>
    </row>
    <row r="2765" spans="1:16" x14ac:dyDescent="0.3">
      <c r="A2765" t="s">
        <v>4587</v>
      </c>
      <c r="C2765">
        <v>30</v>
      </c>
      <c r="D2765" t="s">
        <v>10</v>
      </c>
      <c r="E2765" t="s">
        <v>5</v>
      </c>
      <c r="F2765" s="43">
        <v>44818.375</v>
      </c>
      <c r="G2765" s="43">
        <v>44818.395833333336</v>
      </c>
      <c r="H2765">
        <v>9</v>
      </c>
      <c r="I2765">
        <v>0</v>
      </c>
      <c r="J2765">
        <v>9</v>
      </c>
      <c r="K2765">
        <v>30</v>
      </c>
      <c r="L2765">
        <v>2022</v>
      </c>
      <c r="N2765" t="s">
        <v>4588</v>
      </c>
      <c r="O2765" t="s">
        <v>52</v>
      </c>
      <c r="P2765" t="s">
        <v>4589</v>
      </c>
    </row>
    <row r="2766" spans="1:16" x14ac:dyDescent="0.3">
      <c r="A2766" t="s">
        <v>4595</v>
      </c>
      <c r="C2766">
        <v>30</v>
      </c>
      <c r="D2766" t="s">
        <v>10</v>
      </c>
      <c r="E2766" t="s">
        <v>501</v>
      </c>
      <c r="F2766" s="43">
        <v>44818.354166666664</v>
      </c>
      <c r="G2766" s="43">
        <v>44818.375</v>
      </c>
      <c r="H2766">
        <v>8</v>
      </c>
      <c r="I2766">
        <v>30</v>
      </c>
      <c r="J2766">
        <v>9</v>
      </c>
      <c r="K2766">
        <v>0</v>
      </c>
      <c r="L2766">
        <v>2022</v>
      </c>
      <c r="N2766" t="s">
        <v>629</v>
      </c>
      <c r="O2766" t="s">
        <v>47</v>
      </c>
      <c r="P2766" t="s">
        <v>4596</v>
      </c>
    </row>
    <row r="2767" spans="1:16" x14ac:dyDescent="0.3">
      <c r="A2767" t="s">
        <v>8</v>
      </c>
      <c r="C2767">
        <v>30</v>
      </c>
      <c r="D2767" t="s">
        <v>10</v>
      </c>
      <c r="F2767" s="43">
        <v>44818.3125</v>
      </c>
      <c r="G2767" s="43">
        <v>44818.333333333336</v>
      </c>
      <c r="H2767">
        <v>7</v>
      </c>
      <c r="I2767">
        <v>30</v>
      </c>
      <c r="J2767">
        <v>8</v>
      </c>
      <c r="K2767">
        <v>0</v>
      </c>
      <c r="L2767">
        <v>2022</v>
      </c>
      <c r="N2767" t="s">
        <v>47</v>
      </c>
      <c r="O2767" t="s">
        <v>47</v>
      </c>
      <c r="P2767" t="s">
        <v>4594</v>
      </c>
    </row>
    <row r="2768" spans="1:16" x14ac:dyDescent="0.3">
      <c r="A2768" t="s">
        <v>8</v>
      </c>
      <c r="C2768">
        <v>15</v>
      </c>
      <c r="D2768" t="s">
        <v>10</v>
      </c>
      <c r="F2768" s="43">
        <v>44818.288194444445</v>
      </c>
      <c r="G2768" s="43">
        <v>44818.298611111109</v>
      </c>
      <c r="H2768">
        <v>6</v>
      </c>
      <c r="I2768">
        <v>55</v>
      </c>
      <c r="J2768">
        <v>7</v>
      </c>
      <c r="K2768">
        <v>10</v>
      </c>
      <c r="L2768">
        <v>2022</v>
      </c>
      <c r="N2768" t="s">
        <v>47</v>
      </c>
      <c r="O2768" t="s">
        <v>47</v>
      </c>
      <c r="P2768" t="s">
        <v>4597</v>
      </c>
    </row>
    <row r="2769" spans="1:16" x14ac:dyDescent="0.3">
      <c r="A2769" t="s">
        <v>4569</v>
      </c>
      <c r="C2769">
        <v>30</v>
      </c>
      <c r="D2769" t="s">
        <v>10</v>
      </c>
      <c r="E2769" t="s">
        <v>501</v>
      </c>
      <c r="F2769" s="43">
        <v>44818.25</v>
      </c>
      <c r="G2769" s="43">
        <v>44818.270833333336</v>
      </c>
      <c r="H2769">
        <v>6</v>
      </c>
      <c r="I2769">
        <v>0</v>
      </c>
      <c r="J2769">
        <v>6</v>
      </c>
      <c r="K2769">
        <v>30</v>
      </c>
      <c r="L2769">
        <v>2022</v>
      </c>
      <c r="N2769" t="s">
        <v>4570</v>
      </c>
      <c r="O2769" t="s">
        <v>47</v>
      </c>
      <c r="P2769" t="s">
        <v>4571</v>
      </c>
    </row>
    <row r="2770" spans="1:16" x14ac:dyDescent="0.3">
      <c r="A2770" t="s">
        <v>4598</v>
      </c>
      <c r="C2770">
        <v>40</v>
      </c>
      <c r="D2770" t="s">
        <v>10</v>
      </c>
      <c r="F2770" s="43">
        <v>44818.1875</v>
      </c>
      <c r="G2770" s="43">
        <v>44818.215277777781</v>
      </c>
      <c r="H2770">
        <v>4</v>
      </c>
      <c r="I2770">
        <v>30</v>
      </c>
      <c r="J2770">
        <v>5</v>
      </c>
      <c r="K2770">
        <v>10</v>
      </c>
      <c r="L2770">
        <v>2022</v>
      </c>
      <c r="N2770" t="s">
        <v>47</v>
      </c>
      <c r="O2770" t="s">
        <v>47</v>
      </c>
      <c r="P2770" t="s">
        <v>4599</v>
      </c>
    </row>
    <row r="2771" spans="1:16" x14ac:dyDescent="0.3">
      <c r="A2771" t="s">
        <v>8</v>
      </c>
      <c r="C2771">
        <v>15</v>
      </c>
      <c r="D2771" t="s">
        <v>10</v>
      </c>
      <c r="F2771" s="43">
        <v>44817.84375</v>
      </c>
      <c r="G2771" s="43">
        <v>44817.854166666664</v>
      </c>
      <c r="H2771">
        <v>20</v>
      </c>
      <c r="I2771">
        <v>15</v>
      </c>
      <c r="J2771">
        <v>20</v>
      </c>
      <c r="K2771">
        <v>30</v>
      </c>
      <c r="L2771">
        <v>2022</v>
      </c>
      <c r="N2771" t="s">
        <v>47</v>
      </c>
      <c r="O2771" t="s">
        <v>47</v>
      </c>
      <c r="P2771" t="s">
        <v>4600</v>
      </c>
    </row>
    <row r="2772" spans="1:16" x14ac:dyDescent="0.3">
      <c r="A2772" t="s">
        <v>4590</v>
      </c>
      <c r="C2772">
        <v>50</v>
      </c>
      <c r="D2772" t="s">
        <v>10</v>
      </c>
      <c r="F2772" s="43">
        <v>44817.770833333336</v>
      </c>
      <c r="G2772" s="43">
        <v>44817.805555555555</v>
      </c>
      <c r="H2772">
        <v>18</v>
      </c>
      <c r="I2772">
        <v>30</v>
      </c>
      <c r="J2772">
        <v>19</v>
      </c>
      <c r="K2772">
        <v>20</v>
      </c>
      <c r="L2772">
        <v>2022</v>
      </c>
      <c r="N2772" t="s">
        <v>47</v>
      </c>
      <c r="O2772" t="s">
        <v>47</v>
      </c>
      <c r="P2772" t="s">
        <v>4591</v>
      </c>
    </row>
    <row r="2773" spans="1:16" x14ac:dyDescent="0.3">
      <c r="A2773" t="s">
        <v>4584</v>
      </c>
      <c r="C2773">
        <v>30</v>
      </c>
      <c r="D2773" t="s">
        <v>10</v>
      </c>
      <c r="F2773" s="43">
        <v>44817.708333333336</v>
      </c>
      <c r="G2773" s="43">
        <v>44817.729166666664</v>
      </c>
      <c r="H2773">
        <v>17</v>
      </c>
      <c r="I2773">
        <v>0</v>
      </c>
      <c r="J2773">
        <v>17</v>
      </c>
      <c r="K2773">
        <v>30</v>
      </c>
      <c r="L2773">
        <v>2022</v>
      </c>
      <c r="N2773" t="s">
        <v>47</v>
      </c>
      <c r="O2773" t="s">
        <v>47</v>
      </c>
      <c r="P2773" t="s">
        <v>4585</v>
      </c>
    </row>
    <row r="2774" spans="1:16" x14ac:dyDescent="0.3">
      <c r="A2774" t="s">
        <v>4582</v>
      </c>
      <c r="C2774">
        <v>60</v>
      </c>
      <c r="D2774" t="s">
        <v>10</v>
      </c>
      <c r="F2774" s="43">
        <v>44817.666666666664</v>
      </c>
      <c r="G2774" s="43">
        <v>44817.708333333336</v>
      </c>
      <c r="H2774">
        <v>16</v>
      </c>
      <c r="I2774">
        <v>0</v>
      </c>
      <c r="J2774">
        <v>17</v>
      </c>
      <c r="K2774">
        <v>0</v>
      </c>
      <c r="L2774">
        <v>2022</v>
      </c>
      <c r="N2774" t="s">
        <v>4365</v>
      </c>
      <c r="O2774" t="s">
        <v>783</v>
      </c>
      <c r="P2774" t="s">
        <v>4583</v>
      </c>
    </row>
    <row r="2775" spans="1:16" x14ac:dyDescent="0.3">
      <c r="A2775" t="s">
        <v>9</v>
      </c>
      <c r="C2775">
        <v>30</v>
      </c>
      <c r="D2775" t="s">
        <v>10</v>
      </c>
      <c r="F2775" s="43">
        <v>44817.645833333336</v>
      </c>
      <c r="G2775" s="43">
        <v>44817.666666666664</v>
      </c>
      <c r="H2775">
        <v>15</v>
      </c>
      <c r="I2775">
        <v>30</v>
      </c>
      <c r="J2775">
        <v>16</v>
      </c>
      <c r="K2775">
        <v>0</v>
      </c>
      <c r="L2775">
        <v>2022</v>
      </c>
      <c r="N2775" t="s">
        <v>47</v>
      </c>
      <c r="O2775" t="s">
        <v>47</v>
      </c>
      <c r="P2775" t="s">
        <v>4586</v>
      </c>
    </row>
    <row r="2776" spans="1:16" x14ac:dyDescent="0.3">
      <c r="A2776" t="s">
        <v>4573</v>
      </c>
      <c r="C2776">
        <v>45</v>
      </c>
      <c r="D2776" t="s">
        <v>10</v>
      </c>
      <c r="E2776" t="s">
        <v>4574</v>
      </c>
      <c r="F2776" s="43">
        <v>44817.583333333336</v>
      </c>
      <c r="G2776" s="43">
        <v>44817.614583333336</v>
      </c>
      <c r="H2776">
        <v>14</v>
      </c>
      <c r="I2776">
        <v>0</v>
      </c>
      <c r="J2776">
        <v>14</v>
      </c>
      <c r="K2776">
        <v>45</v>
      </c>
      <c r="L2776">
        <v>2022</v>
      </c>
      <c r="N2776" t="s">
        <v>523</v>
      </c>
      <c r="O2776" t="s">
        <v>48</v>
      </c>
      <c r="P2776" t="s">
        <v>4575</v>
      </c>
    </row>
    <row r="2777" spans="1:16" x14ac:dyDescent="0.3">
      <c r="A2777" t="s">
        <v>7</v>
      </c>
      <c r="C2777">
        <v>30</v>
      </c>
      <c r="D2777" t="s">
        <v>10</v>
      </c>
      <c r="F2777" s="43">
        <v>44817.541666666664</v>
      </c>
      <c r="G2777" s="43">
        <v>44817.5625</v>
      </c>
      <c r="H2777">
        <v>13</v>
      </c>
      <c r="I2777">
        <v>0</v>
      </c>
      <c r="J2777">
        <v>13</v>
      </c>
      <c r="K2777">
        <v>30</v>
      </c>
      <c r="L2777">
        <v>2022</v>
      </c>
      <c r="N2777" t="s">
        <v>47</v>
      </c>
      <c r="O2777" t="s">
        <v>47</v>
      </c>
      <c r="P2777" t="s">
        <v>4568</v>
      </c>
    </row>
    <row r="2778" spans="1:16" x14ac:dyDescent="0.3">
      <c r="A2778" t="s">
        <v>4550</v>
      </c>
      <c r="C2778">
        <v>60</v>
      </c>
      <c r="D2778" t="s">
        <v>10</v>
      </c>
      <c r="E2778" t="s">
        <v>2807</v>
      </c>
      <c r="F2778" s="43">
        <v>44817.5</v>
      </c>
      <c r="G2778" s="43">
        <v>44817.541666666664</v>
      </c>
      <c r="H2778">
        <v>12</v>
      </c>
      <c r="I2778">
        <v>0</v>
      </c>
      <c r="J2778">
        <v>13</v>
      </c>
      <c r="K2778">
        <v>0</v>
      </c>
      <c r="L2778">
        <v>2022</v>
      </c>
      <c r="N2778" t="s">
        <v>2535</v>
      </c>
      <c r="O2778" t="s">
        <v>50</v>
      </c>
      <c r="P2778" t="s">
        <v>4551</v>
      </c>
    </row>
    <row r="2779" spans="1:16" x14ac:dyDescent="0.3">
      <c r="A2779" t="s">
        <v>4561</v>
      </c>
      <c r="C2779">
        <v>60</v>
      </c>
      <c r="D2779" t="s">
        <v>10</v>
      </c>
      <c r="E2779" t="s">
        <v>501</v>
      </c>
      <c r="F2779" s="43">
        <v>44817.479166666664</v>
      </c>
      <c r="G2779" s="43">
        <v>44817.520833333336</v>
      </c>
      <c r="H2779">
        <v>11</v>
      </c>
      <c r="I2779">
        <v>30</v>
      </c>
      <c r="J2779">
        <v>12</v>
      </c>
      <c r="K2779">
        <v>30</v>
      </c>
      <c r="L2779">
        <v>2022</v>
      </c>
      <c r="N2779" t="s">
        <v>4384</v>
      </c>
      <c r="O2779" t="s">
        <v>47</v>
      </c>
      <c r="P2779" t="s">
        <v>4562</v>
      </c>
    </row>
    <row r="2780" spans="1:16" x14ac:dyDescent="0.3">
      <c r="A2780" t="s">
        <v>1979</v>
      </c>
      <c r="C2780">
        <v>30</v>
      </c>
      <c r="D2780" t="s">
        <v>10</v>
      </c>
      <c r="F2780" s="43">
        <v>44817.430555555555</v>
      </c>
      <c r="G2780" s="43">
        <v>44817.451388888891</v>
      </c>
      <c r="H2780">
        <v>10</v>
      </c>
      <c r="I2780">
        <v>20</v>
      </c>
      <c r="J2780">
        <v>10</v>
      </c>
      <c r="K2780">
        <v>50</v>
      </c>
      <c r="L2780">
        <v>2022</v>
      </c>
      <c r="N2780" t="s">
        <v>47</v>
      </c>
      <c r="O2780" t="s">
        <v>47</v>
      </c>
      <c r="P2780" t="s">
        <v>4572</v>
      </c>
    </row>
    <row r="2781" spans="1:16" x14ac:dyDescent="0.3">
      <c r="A2781" t="s">
        <v>4579</v>
      </c>
      <c r="C2781">
        <v>15</v>
      </c>
      <c r="D2781" t="s">
        <v>10</v>
      </c>
      <c r="F2781" s="43">
        <v>44817.34375</v>
      </c>
      <c r="G2781" s="43">
        <v>44817.354166666664</v>
      </c>
      <c r="H2781">
        <v>8</v>
      </c>
      <c r="I2781">
        <v>15</v>
      </c>
      <c r="J2781">
        <v>8</v>
      </c>
      <c r="K2781">
        <v>30</v>
      </c>
      <c r="L2781">
        <v>2022</v>
      </c>
      <c r="N2781" t="s">
        <v>4580</v>
      </c>
      <c r="O2781" t="s">
        <v>1895</v>
      </c>
      <c r="P2781" t="s">
        <v>4581</v>
      </c>
    </row>
    <row r="2782" spans="1:16" x14ac:dyDescent="0.3">
      <c r="A2782" t="s">
        <v>8</v>
      </c>
      <c r="C2782">
        <v>30</v>
      </c>
      <c r="D2782" t="s">
        <v>10</v>
      </c>
      <c r="F2782" s="43">
        <v>44817.3125</v>
      </c>
      <c r="G2782" s="43">
        <v>44817.333333333336</v>
      </c>
      <c r="H2782">
        <v>7</v>
      </c>
      <c r="I2782">
        <v>30</v>
      </c>
      <c r="J2782">
        <v>8</v>
      </c>
      <c r="K2782">
        <v>0</v>
      </c>
      <c r="L2782">
        <v>2022</v>
      </c>
      <c r="N2782" t="s">
        <v>47</v>
      </c>
      <c r="O2782" t="s">
        <v>47</v>
      </c>
      <c r="P2782" t="s">
        <v>4576</v>
      </c>
    </row>
    <row r="2783" spans="1:16" x14ac:dyDescent="0.3">
      <c r="A2783" t="s">
        <v>4577</v>
      </c>
      <c r="C2783">
        <v>75</v>
      </c>
      <c r="D2783" t="s">
        <v>10</v>
      </c>
      <c r="F2783" s="43">
        <v>44817.21875</v>
      </c>
      <c r="G2783" s="43">
        <v>44817.270833333336</v>
      </c>
      <c r="H2783">
        <v>5</v>
      </c>
      <c r="I2783">
        <v>15</v>
      </c>
      <c r="J2783">
        <v>6</v>
      </c>
      <c r="K2783">
        <v>30</v>
      </c>
      <c r="L2783">
        <v>2022</v>
      </c>
      <c r="N2783" t="s">
        <v>47</v>
      </c>
      <c r="O2783" t="s">
        <v>47</v>
      </c>
      <c r="P2783" t="s">
        <v>4578</v>
      </c>
    </row>
    <row r="2784" spans="1:16" x14ac:dyDescent="0.3">
      <c r="A2784" t="s">
        <v>4566</v>
      </c>
      <c r="C2784">
        <v>30</v>
      </c>
      <c r="D2784" t="s">
        <v>10</v>
      </c>
      <c r="F2784" s="43">
        <v>44816.791666666664</v>
      </c>
      <c r="G2784" s="43">
        <v>44816.8125</v>
      </c>
      <c r="H2784">
        <v>19</v>
      </c>
      <c r="I2784">
        <v>0</v>
      </c>
      <c r="J2784">
        <v>19</v>
      </c>
      <c r="K2784">
        <v>30</v>
      </c>
      <c r="L2784">
        <v>2022</v>
      </c>
      <c r="N2784" t="s">
        <v>47</v>
      </c>
      <c r="O2784" t="s">
        <v>47</v>
      </c>
      <c r="P2784" t="s">
        <v>4567</v>
      </c>
    </row>
    <row r="2785" spans="1:16" x14ac:dyDescent="0.3">
      <c r="A2785" t="s">
        <v>8</v>
      </c>
      <c r="C2785">
        <v>30</v>
      </c>
      <c r="D2785" t="s">
        <v>10</v>
      </c>
      <c r="F2785" s="43">
        <v>44816.770833333336</v>
      </c>
      <c r="G2785" s="43">
        <v>44816.791666666664</v>
      </c>
      <c r="H2785">
        <v>18</v>
      </c>
      <c r="I2785">
        <v>30</v>
      </c>
      <c r="J2785">
        <v>19</v>
      </c>
      <c r="K2785">
        <v>0</v>
      </c>
      <c r="L2785">
        <v>2022</v>
      </c>
      <c r="N2785" t="s">
        <v>47</v>
      </c>
      <c r="O2785" t="s">
        <v>47</v>
      </c>
      <c r="P2785" t="s">
        <v>4563</v>
      </c>
    </row>
    <row r="2786" spans="1:16" x14ac:dyDescent="0.3">
      <c r="A2786" t="s">
        <v>4564</v>
      </c>
      <c r="C2786">
        <v>30</v>
      </c>
      <c r="D2786" t="s">
        <v>10</v>
      </c>
      <c r="F2786" s="43">
        <v>44816.75</v>
      </c>
      <c r="G2786" s="43">
        <v>44816.770833333336</v>
      </c>
      <c r="H2786">
        <v>18</v>
      </c>
      <c r="I2786">
        <v>0</v>
      </c>
      <c r="J2786">
        <v>18</v>
      </c>
      <c r="K2786">
        <v>30</v>
      </c>
      <c r="L2786">
        <v>2022</v>
      </c>
      <c r="N2786" t="s">
        <v>47</v>
      </c>
      <c r="O2786" t="s">
        <v>47</v>
      </c>
      <c r="P2786" t="s">
        <v>4565</v>
      </c>
    </row>
    <row r="2787" spans="1:16" x14ac:dyDescent="0.3">
      <c r="A2787" t="s">
        <v>1394</v>
      </c>
      <c r="C2787">
        <v>20</v>
      </c>
      <c r="D2787" t="s">
        <v>10</v>
      </c>
      <c r="F2787" s="43">
        <v>44816.722222222219</v>
      </c>
      <c r="G2787" s="43">
        <v>44816.736111111109</v>
      </c>
      <c r="H2787">
        <v>17</v>
      </c>
      <c r="I2787">
        <v>20</v>
      </c>
      <c r="J2787">
        <v>17</v>
      </c>
      <c r="K2787">
        <v>40</v>
      </c>
      <c r="L2787">
        <v>2022</v>
      </c>
      <c r="N2787" t="s">
        <v>47</v>
      </c>
      <c r="O2787" t="s">
        <v>47</v>
      </c>
      <c r="P2787" t="s">
        <v>4555</v>
      </c>
    </row>
    <row r="2788" spans="1:16" x14ac:dyDescent="0.3">
      <c r="A2788" t="s">
        <v>4452</v>
      </c>
      <c r="C2788">
        <v>50</v>
      </c>
      <c r="D2788" t="s">
        <v>10</v>
      </c>
      <c r="F2788" s="43">
        <v>44816.6875</v>
      </c>
      <c r="G2788" s="43">
        <v>44816.722222222219</v>
      </c>
      <c r="H2788">
        <v>16</v>
      </c>
      <c r="I2788">
        <v>30</v>
      </c>
      <c r="J2788">
        <v>17</v>
      </c>
      <c r="K2788">
        <v>20</v>
      </c>
      <c r="L2788">
        <v>2022</v>
      </c>
      <c r="N2788" t="s">
        <v>47</v>
      </c>
      <c r="O2788" t="s">
        <v>47</v>
      </c>
      <c r="P2788" t="s">
        <v>4556</v>
      </c>
    </row>
    <row r="2789" spans="1:16" x14ac:dyDescent="0.3">
      <c r="A2789" t="s">
        <v>4552</v>
      </c>
      <c r="C2789">
        <v>30</v>
      </c>
      <c r="D2789" t="s">
        <v>10</v>
      </c>
      <c r="F2789" s="43">
        <v>44816.666666666664</v>
      </c>
      <c r="G2789" s="43">
        <v>44816.6875</v>
      </c>
      <c r="H2789">
        <v>16</v>
      </c>
      <c r="I2789">
        <v>0</v>
      </c>
      <c r="J2789">
        <v>16</v>
      </c>
      <c r="K2789">
        <v>30</v>
      </c>
      <c r="L2789">
        <v>2022</v>
      </c>
      <c r="N2789" t="s">
        <v>4365</v>
      </c>
      <c r="O2789" t="s">
        <v>783</v>
      </c>
      <c r="P2789" t="s">
        <v>4553</v>
      </c>
    </row>
    <row r="2790" spans="1:16" x14ac:dyDescent="0.3">
      <c r="A2790" t="s">
        <v>40</v>
      </c>
      <c r="C2790">
        <v>20</v>
      </c>
      <c r="D2790" t="s">
        <v>10</v>
      </c>
      <c r="F2790" s="43">
        <v>44816.652777777781</v>
      </c>
      <c r="G2790" s="43">
        <v>44816.666666666664</v>
      </c>
      <c r="H2790">
        <v>15</v>
      </c>
      <c r="I2790">
        <v>40</v>
      </c>
      <c r="J2790">
        <v>16</v>
      </c>
      <c r="K2790">
        <v>0</v>
      </c>
      <c r="L2790">
        <v>2022</v>
      </c>
      <c r="N2790" t="s">
        <v>47</v>
      </c>
      <c r="O2790" t="s">
        <v>47</v>
      </c>
      <c r="P2790" t="s">
        <v>4557</v>
      </c>
    </row>
    <row r="2791" spans="1:16" x14ac:dyDescent="0.3">
      <c r="A2791" t="s">
        <v>40</v>
      </c>
      <c r="C2791">
        <v>85</v>
      </c>
      <c r="D2791" t="s">
        <v>10</v>
      </c>
      <c r="F2791" s="43">
        <v>44816.572916666664</v>
      </c>
      <c r="G2791" s="43">
        <v>44816.631944444445</v>
      </c>
      <c r="H2791">
        <v>13</v>
      </c>
      <c r="I2791">
        <v>45</v>
      </c>
      <c r="J2791">
        <v>15</v>
      </c>
      <c r="K2791">
        <v>10</v>
      </c>
      <c r="L2791">
        <v>2022</v>
      </c>
      <c r="N2791" t="s">
        <v>47</v>
      </c>
      <c r="O2791" t="s">
        <v>47</v>
      </c>
      <c r="P2791" t="s">
        <v>4554</v>
      </c>
    </row>
    <row r="2792" spans="1:16" x14ac:dyDescent="0.3">
      <c r="A2792" t="s">
        <v>4476</v>
      </c>
      <c r="C2792">
        <v>60</v>
      </c>
      <c r="D2792" t="s">
        <v>10</v>
      </c>
      <c r="F2792" s="43">
        <v>44816.458333333336</v>
      </c>
      <c r="G2792" s="43">
        <v>44816.5</v>
      </c>
      <c r="H2792">
        <v>11</v>
      </c>
      <c r="I2792">
        <v>0</v>
      </c>
      <c r="J2792">
        <v>12</v>
      </c>
      <c r="K2792">
        <v>0</v>
      </c>
      <c r="L2792">
        <v>2022</v>
      </c>
      <c r="N2792" t="s">
        <v>4477</v>
      </c>
      <c r="O2792" t="s">
        <v>4478</v>
      </c>
      <c r="P2792" t="s">
        <v>4479</v>
      </c>
    </row>
    <row r="2793" spans="1:16" x14ac:dyDescent="0.3">
      <c r="A2793" t="s">
        <v>4548</v>
      </c>
      <c r="C2793">
        <v>45</v>
      </c>
      <c r="D2793" t="s">
        <v>10</v>
      </c>
      <c r="F2793" s="43">
        <v>44816.416666666664</v>
      </c>
      <c r="G2793" s="43">
        <v>44816.447916666664</v>
      </c>
      <c r="H2793">
        <v>10</v>
      </c>
      <c r="I2793">
        <v>0</v>
      </c>
      <c r="J2793">
        <v>10</v>
      </c>
      <c r="K2793">
        <v>45</v>
      </c>
      <c r="L2793">
        <v>2022</v>
      </c>
      <c r="N2793" t="s">
        <v>47</v>
      </c>
      <c r="O2793" t="s">
        <v>47</v>
      </c>
      <c r="P2793" t="s">
        <v>4549</v>
      </c>
    </row>
    <row r="2794" spans="1:16" x14ac:dyDescent="0.3">
      <c r="A2794" t="s">
        <v>4537</v>
      </c>
      <c r="C2794">
        <v>60</v>
      </c>
      <c r="D2794" t="s">
        <v>10</v>
      </c>
      <c r="E2794" t="s">
        <v>4538</v>
      </c>
      <c r="F2794" s="43">
        <v>44816.333333333336</v>
      </c>
      <c r="G2794" s="43">
        <v>44816.375</v>
      </c>
      <c r="H2794">
        <v>8</v>
      </c>
      <c r="I2794">
        <v>0</v>
      </c>
      <c r="J2794">
        <v>9</v>
      </c>
      <c r="K2794">
        <v>0</v>
      </c>
      <c r="L2794">
        <v>2022</v>
      </c>
      <c r="N2794" t="s">
        <v>4539</v>
      </c>
      <c r="O2794" t="s">
        <v>975</v>
      </c>
      <c r="P2794" t="s">
        <v>4540</v>
      </c>
    </row>
    <row r="2795" spans="1:16" x14ac:dyDescent="0.3">
      <c r="A2795" t="s">
        <v>17</v>
      </c>
      <c r="C2795">
        <v>45</v>
      </c>
      <c r="D2795" t="s">
        <v>10</v>
      </c>
      <c r="F2795" s="43">
        <v>44816.270833333336</v>
      </c>
      <c r="G2795" s="43">
        <v>44816.302083333336</v>
      </c>
      <c r="H2795">
        <v>6</v>
      </c>
      <c r="I2795">
        <v>30</v>
      </c>
      <c r="J2795">
        <v>7</v>
      </c>
      <c r="K2795">
        <v>15</v>
      </c>
      <c r="L2795">
        <v>2022</v>
      </c>
      <c r="N2795" t="s">
        <v>47</v>
      </c>
      <c r="O2795" t="s">
        <v>47</v>
      </c>
      <c r="P2795" t="s">
        <v>4541</v>
      </c>
    </row>
    <row r="2796" spans="1:16" x14ac:dyDescent="0.3">
      <c r="A2796" t="s">
        <v>4542</v>
      </c>
      <c r="C2796">
        <v>60</v>
      </c>
      <c r="D2796" t="s">
        <v>10</v>
      </c>
      <c r="F2796" s="43">
        <v>44816.229166666664</v>
      </c>
      <c r="G2796" s="43">
        <v>44816.270833333336</v>
      </c>
      <c r="H2796">
        <v>5</v>
      </c>
      <c r="I2796">
        <v>30</v>
      </c>
      <c r="J2796">
        <v>6</v>
      </c>
      <c r="K2796">
        <v>30</v>
      </c>
      <c r="L2796">
        <v>2022</v>
      </c>
      <c r="N2796" t="s">
        <v>47</v>
      </c>
      <c r="O2796" t="s">
        <v>47</v>
      </c>
      <c r="P2796" t="s">
        <v>4543</v>
      </c>
    </row>
    <row r="2797" spans="1:16" x14ac:dyDescent="0.3">
      <c r="A2797" t="s">
        <v>1394</v>
      </c>
      <c r="C2797">
        <v>30</v>
      </c>
      <c r="D2797" t="s">
        <v>10</v>
      </c>
      <c r="F2797" s="43">
        <v>44816.208333333336</v>
      </c>
      <c r="G2797" s="43">
        <v>44816.229166666664</v>
      </c>
      <c r="H2797">
        <v>5</v>
      </c>
      <c r="I2797">
        <v>0</v>
      </c>
      <c r="J2797">
        <v>5</v>
      </c>
      <c r="K2797">
        <v>30</v>
      </c>
      <c r="L2797">
        <v>2022</v>
      </c>
      <c r="N2797" t="s">
        <v>47</v>
      </c>
      <c r="O2797" t="s">
        <v>47</v>
      </c>
      <c r="P2797" t="s">
        <v>4544</v>
      </c>
    </row>
    <row r="2798" spans="1:16" x14ac:dyDescent="0.3">
      <c r="A2798" t="s">
        <v>1394</v>
      </c>
      <c r="C2798">
        <v>30</v>
      </c>
      <c r="D2798" t="s">
        <v>10</v>
      </c>
      <c r="F2798" s="43">
        <v>44815.840277777781</v>
      </c>
      <c r="G2798" s="43">
        <v>44815.861111111109</v>
      </c>
      <c r="H2798">
        <v>20</v>
      </c>
      <c r="I2798">
        <v>10</v>
      </c>
      <c r="J2798">
        <v>20</v>
      </c>
      <c r="K2798">
        <v>40</v>
      </c>
      <c r="L2798">
        <v>2022</v>
      </c>
      <c r="N2798" t="s">
        <v>47</v>
      </c>
      <c r="O2798" t="s">
        <v>47</v>
      </c>
      <c r="P2798" t="s">
        <v>4545</v>
      </c>
    </row>
    <row r="2799" spans="1:16" x14ac:dyDescent="0.3">
      <c r="A2799" t="s">
        <v>40</v>
      </c>
      <c r="C2799">
        <v>45</v>
      </c>
      <c r="D2799" t="s">
        <v>10</v>
      </c>
      <c r="F2799" s="43">
        <v>44815.791666666664</v>
      </c>
      <c r="G2799" s="43">
        <v>44815.822916666664</v>
      </c>
      <c r="H2799">
        <v>19</v>
      </c>
      <c r="I2799">
        <v>0</v>
      </c>
      <c r="J2799">
        <v>19</v>
      </c>
      <c r="K2799">
        <v>45</v>
      </c>
      <c r="L2799">
        <v>2022</v>
      </c>
      <c r="N2799" t="s">
        <v>47</v>
      </c>
      <c r="O2799" t="s">
        <v>47</v>
      </c>
      <c r="P2799" t="s">
        <v>4546</v>
      </c>
    </row>
    <row r="2800" spans="1:16" x14ac:dyDescent="0.3">
      <c r="A2800" t="s">
        <v>4519</v>
      </c>
      <c r="C2800">
        <v>43</v>
      </c>
      <c r="D2800" t="s">
        <v>10</v>
      </c>
      <c r="F2800" s="43">
        <v>44815.715277777781</v>
      </c>
      <c r="G2800" s="43">
        <v>44815.745138888888</v>
      </c>
      <c r="H2800">
        <v>17</v>
      </c>
      <c r="I2800">
        <v>10</v>
      </c>
      <c r="J2800">
        <v>17</v>
      </c>
      <c r="K2800">
        <v>53</v>
      </c>
      <c r="L2800">
        <v>2022</v>
      </c>
      <c r="N2800" t="s">
        <v>47</v>
      </c>
      <c r="O2800" t="s">
        <v>47</v>
      </c>
      <c r="P2800" t="s">
        <v>4547</v>
      </c>
    </row>
    <row r="2801" spans="1:16" x14ac:dyDescent="0.3">
      <c r="A2801" t="s">
        <v>4535</v>
      </c>
      <c r="C2801">
        <v>15</v>
      </c>
      <c r="D2801" t="s">
        <v>10</v>
      </c>
      <c r="F2801" s="43">
        <v>44815.666666666664</v>
      </c>
      <c r="G2801" s="43">
        <v>44815.677083333336</v>
      </c>
      <c r="H2801">
        <v>16</v>
      </c>
      <c r="I2801">
        <v>0</v>
      </c>
      <c r="J2801">
        <v>16</v>
      </c>
      <c r="K2801">
        <v>15</v>
      </c>
      <c r="L2801">
        <v>2022</v>
      </c>
      <c r="N2801" t="s">
        <v>47</v>
      </c>
      <c r="O2801" t="s">
        <v>47</v>
      </c>
      <c r="P2801" t="s">
        <v>4536</v>
      </c>
    </row>
    <row r="2802" spans="1:16" x14ac:dyDescent="0.3">
      <c r="A2802" t="s">
        <v>4533</v>
      </c>
      <c r="C2802">
        <v>30</v>
      </c>
      <c r="D2802" t="s">
        <v>10</v>
      </c>
      <c r="F2802" s="43">
        <v>44815.625</v>
      </c>
      <c r="G2802" s="43">
        <v>44815.645833333336</v>
      </c>
      <c r="H2802">
        <v>15</v>
      </c>
      <c r="I2802">
        <v>0</v>
      </c>
      <c r="J2802">
        <v>15</v>
      </c>
      <c r="K2802">
        <v>30</v>
      </c>
      <c r="L2802">
        <v>2022</v>
      </c>
      <c r="N2802" t="s">
        <v>47</v>
      </c>
      <c r="O2802" t="s">
        <v>47</v>
      </c>
      <c r="P2802" t="s">
        <v>4534</v>
      </c>
    </row>
    <row r="2803" spans="1:16" x14ac:dyDescent="0.3">
      <c r="A2803" t="s">
        <v>4519</v>
      </c>
      <c r="C2803">
        <v>45</v>
      </c>
      <c r="D2803" t="s">
        <v>10</v>
      </c>
      <c r="F2803" s="43">
        <v>44815.583333333336</v>
      </c>
      <c r="G2803" s="43">
        <v>44815.614583333336</v>
      </c>
      <c r="H2803">
        <v>14</v>
      </c>
      <c r="I2803">
        <v>0</v>
      </c>
      <c r="J2803">
        <v>14</v>
      </c>
      <c r="K2803">
        <v>45</v>
      </c>
      <c r="L2803">
        <v>2022</v>
      </c>
      <c r="N2803" t="s">
        <v>47</v>
      </c>
      <c r="O2803" t="s">
        <v>47</v>
      </c>
      <c r="P2803" t="s">
        <v>4532</v>
      </c>
    </row>
    <row r="2804" spans="1:16" x14ac:dyDescent="0.3">
      <c r="A2804" t="s">
        <v>40</v>
      </c>
      <c r="C2804">
        <v>45</v>
      </c>
      <c r="D2804" t="s">
        <v>10</v>
      </c>
      <c r="F2804" s="43">
        <v>44815.479166666664</v>
      </c>
      <c r="G2804" s="43">
        <v>44815.510416666664</v>
      </c>
      <c r="H2804">
        <v>11</v>
      </c>
      <c r="I2804">
        <v>30</v>
      </c>
      <c r="J2804">
        <v>12</v>
      </c>
      <c r="K2804">
        <v>15</v>
      </c>
      <c r="L2804">
        <v>2022</v>
      </c>
      <c r="N2804" t="s">
        <v>47</v>
      </c>
      <c r="O2804" t="s">
        <v>47</v>
      </c>
      <c r="P2804" t="s">
        <v>4526</v>
      </c>
    </row>
    <row r="2805" spans="1:16" x14ac:dyDescent="0.3">
      <c r="A2805" t="s">
        <v>4527</v>
      </c>
      <c r="C2805">
        <v>45</v>
      </c>
      <c r="D2805" t="s">
        <v>10</v>
      </c>
      <c r="F2805" s="43">
        <v>44815.416666666664</v>
      </c>
      <c r="G2805" s="43">
        <v>44815.447916666664</v>
      </c>
      <c r="H2805">
        <v>10</v>
      </c>
      <c r="I2805">
        <v>0</v>
      </c>
      <c r="J2805">
        <v>10</v>
      </c>
      <c r="K2805">
        <v>45</v>
      </c>
      <c r="L2805">
        <v>2022</v>
      </c>
      <c r="N2805" t="s">
        <v>47</v>
      </c>
      <c r="O2805" t="s">
        <v>47</v>
      </c>
      <c r="P2805" t="s">
        <v>4528</v>
      </c>
    </row>
    <row r="2806" spans="1:16" x14ac:dyDescent="0.3">
      <c r="A2806" t="s">
        <v>4529</v>
      </c>
      <c r="C2806">
        <v>50</v>
      </c>
      <c r="D2806" t="s">
        <v>10</v>
      </c>
      <c r="F2806" s="43">
        <v>44815.333333333336</v>
      </c>
      <c r="G2806" s="43">
        <v>44815.368055555555</v>
      </c>
      <c r="H2806">
        <v>8</v>
      </c>
      <c r="I2806">
        <v>0</v>
      </c>
      <c r="J2806">
        <v>8</v>
      </c>
      <c r="K2806">
        <v>50</v>
      </c>
      <c r="L2806">
        <v>2022</v>
      </c>
      <c r="N2806" t="s">
        <v>47</v>
      </c>
      <c r="O2806" t="s">
        <v>47</v>
      </c>
      <c r="P2806" t="s">
        <v>4530</v>
      </c>
    </row>
    <row r="2807" spans="1:16" x14ac:dyDescent="0.3">
      <c r="A2807" t="s">
        <v>40</v>
      </c>
      <c r="C2807">
        <v>85</v>
      </c>
      <c r="D2807" t="s">
        <v>10</v>
      </c>
      <c r="F2807" s="43">
        <v>44815.21875</v>
      </c>
      <c r="G2807" s="43">
        <v>44815.277777777781</v>
      </c>
      <c r="H2807">
        <v>5</v>
      </c>
      <c r="I2807">
        <v>15</v>
      </c>
      <c r="J2807">
        <v>6</v>
      </c>
      <c r="K2807">
        <v>40</v>
      </c>
      <c r="L2807">
        <v>2022</v>
      </c>
      <c r="N2807" t="s">
        <v>47</v>
      </c>
      <c r="O2807" t="s">
        <v>47</v>
      </c>
      <c r="P2807" t="s">
        <v>4531</v>
      </c>
    </row>
    <row r="2808" spans="1:16" x14ac:dyDescent="0.3">
      <c r="A2808" t="s">
        <v>4519</v>
      </c>
      <c r="B2808" t="s">
        <v>223</v>
      </c>
      <c r="C2808">
        <v>30</v>
      </c>
      <c r="D2808" t="s">
        <v>10</v>
      </c>
      <c r="F2808" s="43">
        <v>44814.6875</v>
      </c>
      <c r="G2808" s="43">
        <v>44814.708333333336</v>
      </c>
      <c r="H2808">
        <v>16</v>
      </c>
      <c r="I2808">
        <v>30</v>
      </c>
      <c r="J2808">
        <v>17</v>
      </c>
      <c r="K2808">
        <v>0</v>
      </c>
      <c r="L2808">
        <v>2022</v>
      </c>
      <c r="N2808" t="s">
        <v>47</v>
      </c>
      <c r="O2808" t="s">
        <v>47</v>
      </c>
      <c r="P2808" t="s">
        <v>4525</v>
      </c>
    </row>
    <row r="2809" spans="1:16" x14ac:dyDescent="0.3">
      <c r="A2809" t="s">
        <v>4519</v>
      </c>
      <c r="B2809" t="s">
        <v>223</v>
      </c>
      <c r="C2809">
        <v>60</v>
      </c>
      <c r="D2809" t="s">
        <v>10</v>
      </c>
      <c r="F2809" s="43">
        <v>44814.604166666664</v>
      </c>
      <c r="G2809" s="43">
        <v>44814.645833333336</v>
      </c>
      <c r="H2809">
        <v>14</v>
      </c>
      <c r="I2809">
        <v>30</v>
      </c>
      <c r="J2809">
        <v>15</v>
      </c>
      <c r="K2809">
        <v>30</v>
      </c>
      <c r="L2809">
        <v>2022</v>
      </c>
      <c r="N2809" t="s">
        <v>47</v>
      </c>
      <c r="O2809" t="s">
        <v>47</v>
      </c>
      <c r="P2809" t="s">
        <v>4524</v>
      </c>
    </row>
    <row r="2810" spans="1:16" x14ac:dyDescent="0.3">
      <c r="A2810" t="s">
        <v>4519</v>
      </c>
      <c r="B2810" t="s">
        <v>223</v>
      </c>
      <c r="C2810">
        <v>75</v>
      </c>
      <c r="D2810" t="s">
        <v>10</v>
      </c>
      <c r="F2810" s="43">
        <v>44814.53125</v>
      </c>
      <c r="G2810" s="43">
        <v>44814.583333333336</v>
      </c>
      <c r="H2810">
        <v>12</v>
      </c>
      <c r="I2810">
        <v>45</v>
      </c>
      <c r="J2810">
        <v>14</v>
      </c>
      <c r="K2810">
        <v>0</v>
      </c>
      <c r="L2810">
        <v>2022</v>
      </c>
      <c r="N2810" t="s">
        <v>47</v>
      </c>
      <c r="O2810" t="s">
        <v>47</v>
      </c>
      <c r="P2810" t="s">
        <v>4521</v>
      </c>
    </row>
    <row r="2811" spans="1:16" x14ac:dyDescent="0.3">
      <c r="A2811" t="s">
        <v>4522</v>
      </c>
      <c r="B2811" t="s">
        <v>109</v>
      </c>
      <c r="C2811">
        <v>30</v>
      </c>
      <c r="D2811" t="s">
        <v>10</v>
      </c>
      <c r="F2811" s="43">
        <v>44814.479166666664</v>
      </c>
      <c r="G2811" s="43">
        <v>44814.5</v>
      </c>
      <c r="H2811">
        <v>11</v>
      </c>
      <c r="I2811">
        <v>30</v>
      </c>
      <c r="J2811">
        <v>12</v>
      </c>
      <c r="K2811">
        <v>0</v>
      </c>
      <c r="L2811">
        <v>2022</v>
      </c>
      <c r="N2811" t="s">
        <v>47</v>
      </c>
      <c r="O2811" t="s">
        <v>47</v>
      </c>
      <c r="P2811" t="s">
        <v>4523</v>
      </c>
    </row>
    <row r="2812" spans="1:16" x14ac:dyDescent="0.3">
      <c r="A2812" t="s">
        <v>4519</v>
      </c>
      <c r="B2812" t="s">
        <v>223</v>
      </c>
      <c r="C2812">
        <v>45</v>
      </c>
      <c r="D2812" t="s">
        <v>10</v>
      </c>
      <c r="F2812" s="43">
        <v>44814.416666666664</v>
      </c>
      <c r="G2812" s="43">
        <v>44814.447916666664</v>
      </c>
      <c r="H2812">
        <v>10</v>
      </c>
      <c r="I2812">
        <v>0</v>
      </c>
      <c r="J2812">
        <v>10</v>
      </c>
      <c r="K2812">
        <v>45</v>
      </c>
      <c r="L2812">
        <v>2022</v>
      </c>
      <c r="N2812" t="s">
        <v>47</v>
      </c>
      <c r="O2812" t="s">
        <v>47</v>
      </c>
      <c r="P2812" t="s">
        <v>4520</v>
      </c>
    </row>
    <row r="2813" spans="1:16" x14ac:dyDescent="0.3">
      <c r="A2813" t="s">
        <v>40</v>
      </c>
      <c r="B2813" t="s">
        <v>109</v>
      </c>
      <c r="C2813">
        <v>30</v>
      </c>
      <c r="D2813" t="s">
        <v>10</v>
      </c>
      <c r="F2813" s="43">
        <v>44814.333333333336</v>
      </c>
      <c r="G2813" s="43">
        <v>44814.354166666664</v>
      </c>
      <c r="H2813">
        <v>8</v>
      </c>
      <c r="I2813">
        <v>0</v>
      </c>
      <c r="J2813">
        <v>8</v>
      </c>
      <c r="K2813">
        <v>30</v>
      </c>
      <c r="L2813">
        <v>2022</v>
      </c>
      <c r="N2813" t="s">
        <v>47</v>
      </c>
      <c r="O2813" t="s">
        <v>47</v>
      </c>
      <c r="P2813" t="s">
        <v>4517</v>
      </c>
    </row>
    <row r="2814" spans="1:16" x14ac:dyDescent="0.3">
      <c r="A2814" t="s">
        <v>40</v>
      </c>
      <c r="B2814" t="s">
        <v>109</v>
      </c>
      <c r="C2814">
        <v>60</v>
      </c>
      <c r="D2814" t="s">
        <v>10</v>
      </c>
      <c r="F2814" s="43">
        <v>44814.208333333336</v>
      </c>
      <c r="G2814" s="43">
        <v>44814.25</v>
      </c>
      <c r="H2814">
        <v>5</v>
      </c>
      <c r="I2814">
        <v>0</v>
      </c>
      <c r="J2814">
        <v>6</v>
      </c>
      <c r="K2814">
        <v>0</v>
      </c>
      <c r="L2814">
        <v>2022</v>
      </c>
      <c r="N2814" t="s">
        <v>47</v>
      </c>
      <c r="O2814" t="s">
        <v>47</v>
      </c>
      <c r="P2814" t="s">
        <v>4518</v>
      </c>
    </row>
    <row r="2815" spans="1:16" x14ac:dyDescent="0.3">
      <c r="A2815" t="s">
        <v>4515</v>
      </c>
      <c r="B2815" t="s">
        <v>109</v>
      </c>
      <c r="C2815">
        <v>60</v>
      </c>
      <c r="D2815" t="s">
        <v>10</v>
      </c>
      <c r="F2815" s="43">
        <v>44813.770833333336</v>
      </c>
      <c r="G2815" s="43">
        <v>44813.8125</v>
      </c>
      <c r="H2815">
        <v>18</v>
      </c>
      <c r="I2815">
        <v>30</v>
      </c>
      <c r="J2815">
        <v>19</v>
      </c>
      <c r="K2815">
        <v>30</v>
      </c>
      <c r="L2815">
        <v>2022</v>
      </c>
      <c r="N2815" t="s">
        <v>47</v>
      </c>
      <c r="O2815" t="s">
        <v>47</v>
      </c>
      <c r="P2815" t="s">
        <v>4516</v>
      </c>
    </row>
    <row r="2816" spans="1:16" x14ac:dyDescent="0.3">
      <c r="A2816" t="s">
        <v>7</v>
      </c>
      <c r="B2816" t="s">
        <v>6</v>
      </c>
      <c r="C2816">
        <v>15</v>
      </c>
      <c r="D2816" t="s">
        <v>10</v>
      </c>
      <c r="F2816" s="43">
        <v>44813.708333333336</v>
      </c>
      <c r="G2816" s="43">
        <v>44813.71875</v>
      </c>
      <c r="H2816">
        <v>17</v>
      </c>
      <c r="I2816">
        <v>0</v>
      </c>
      <c r="J2816">
        <v>17</v>
      </c>
      <c r="K2816">
        <v>15</v>
      </c>
      <c r="L2816">
        <v>2022</v>
      </c>
      <c r="N2816" t="s">
        <v>47</v>
      </c>
      <c r="O2816" t="s">
        <v>47</v>
      </c>
      <c r="P2816" t="s">
        <v>4514</v>
      </c>
    </row>
    <row r="2817" spans="1:16" x14ac:dyDescent="0.3">
      <c r="A2817" t="s">
        <v>4512</v>
      </c>
      <c r="B2817" t="s">
        <v>223</v>
      </c>
      <c r="C2817">
        <v>30</v>
      </c>
      <c r="D2817" t="s">
        <v>10</v>
      </c>
      <c r="F2817" s="43">
        <v>44813.6875</v>
      </c>
      <c r="G2817" s="43">
        <v>44813.708333333336</v>
      </c>
      <c r="H2817">
        <v>16</v>
      </c>
      <c r="I2817">
        <v>30</v>
      </c>
      <c r="J2817">
        <v>17</v>
      </c>
      <c r="K2817">
        <v>0</v>
      </c>
      <c r="L2817">
        <v>2022</v>
      </c>
      <c r="N2817" t="s">
        <v>47</v>
      </c>
      <c r="O2817" t="s">
        <v>47</v>
      </c>
      <c r="P2817" t="s">
        <v>4513</v>
      </c>
    </row>
    <row r="2818" spans="1:16" x14ac:dyDescent="0.3">
      <c r="A2818" t="s">
        <v>4510</v>
      </c>
      <c r="B2818" t="s">
        <v>6</v>
      </c>
      <c r="C2818">
        <v>20</v>
      </c>
      <c r="D2818" t="s">
        <v>10</v>
      </c>
      <c r="F2818" s="43">
        <v>44813.645833333336</v>
      </c>
      <c r="G2818" s="43">
        <v>44813.659722222219</v>
      </c>
      <c r="H2818">
        <v>15</v>
      </c>
      <c r="I2818">
        <v>30</v>
      </c>
      <c r="J2818">
        <v>15</v>
      </c>
      <c r="K2818">
        <v>50</v>
      </c>
      <c r="L2818">
        <v>2022</v>
      </c>
      <c r="N2818" t="s">
        <v>47</v>
      </c>
      <c r="O2818" t="s">
        <v>47</v>
      </c>
      <c r="P2818" t="s">
        <v>4511</v>
      </c>
    </row>
    <row r="2819" spans="1:16" x14ac:dyDescent="0.3">
      <c r="A2819" t="s">
        <v>4506</v>
      </c>
      <c r="B2819" t="s">
        <v>20</v>
      </c>
      <c r="C2819">
        <v>60</v>
      </c>
      <c r="D2819" t="s">
        <v>10</v>
      </c>
      <c r="E2819" t="s">
        <v>501</v>
      </c>
      <c r="F2819" s="43">
        <v>44813.583333333336</v>
      </c>
      <c r="G2819" s="43">
        <v>44813.625</v>
      </c>
      <c r="H2819">
        <v>14</v>
      </c>
      <c r="I2819">
        <v>0</v>
      </c>
      <c r="J2819">
        <v>15</v>
      </c>
      <c r="K2819">
        <v>0</v>
      </c>
      <c r="L2819">
        <v>2022</v>
      </c>
      <c r="N2819" t="s">
        <v>4507</v>
      </c>
      <c r="O2819" t="s">
        <v>47</v>
      </c>
      <c r="P2819" t="s">
        <v>4508</v>
      </c>
    </row>
    <row r="2820" spans="1:16" x14ac:dyDescent="0.3">
      <c r="A2820" t="s">
        <v>4016</v>
      </c>
      <c r="B2820" t="s">
        <v>160</v>
      </c>
      <c r="C2820">
        <v>40</v>
      </c>
      <c r="D2820" t="s">
        <v>10</v>
      </c>
      <c r="F2820" s="43">
        <v>44813.541666666664</v>
      </c>
      <c r="G2820" s="43">
        <v>44813.569444444445</v>
      </c>
      <c r="H2820">
        <v>13</v>
      </c>
      <c r="I2820">
        <v>0</v>
      </c>
      <c r="J2820">
        <v>13</v>
      </c>
      <c r="K2820">
        <v>40</v>
      </c>
      <c r="L2820">
        <v>2022</v>
      </c>
      <c r="N2820" t="s">
        <v>47</v>
      </c>
      <c r="O2820" t="s">
        <v>47</v>
      </c>
      <c r="P2820" t="s">
        <v>4509</v>
      </c>
    </row>
    <row r="2821" spans="1:16" x14ac:dyDescent="0.3">
      <c r="A2821" t="s">
        <v>4016</v>
      </c>
      <c r="B2821" t="s">
        <v>160</v>
      </c>
      <c r="C2821">
        <v>20</v>
      </c>
      <c r="D2821" t="s">
        <v>10</v>
      </c>
      <c r="F2821" s="43">
        <v>44813.479166666664</v>
      </c>
      <c r="G2821" s="43">
        <v>44813.493055555555</v>
      </c>
      <c r="H2821">
        <v>11</v>
      </c>
      <c r="I2821">
        <v>30</v>
      </c>
      <c r="J2821">
        <v>11</v>
      </c>
      <c r="K2821">
        <v>50</v>
      </c>
      <c r="L2821">
        <v>2022</v>
      </c>
      <c r="N2821" t="s">
        <v>47</v>
      </c>
      <c r="O2821" t="s">
        <v>47</v>
      </c>
      <c r="P2821" t="s">
        <v>4500</v>
      </c>
    </row>
    <row r="2822" spans="1:16" x14ac:dyDescent="0.3">
      <c r="A2822" t="s">
        <v>3436</v>
      </c>
      <c r="B2822" t="s">
        <v>6</v>
      </c>
      <c r="C2822">
        <v>45</v>
      </c>
      <c r="D2822" t="s">
        <v>10</v>
      </c>
      <c r="F2822" s="43">
        <v>44813.416666666664</v>
      </c>
      <c r="G2822" s="43">
        <v>44813.447916666664</v>
      </c>
      <c r="H2822">
        <v>10</v>
      </c>
      <c r="I2822">
        <v>0</v>
      </c>
      <c r="J2822">
        <v>10</v>
      </c>
      <c r="K2822">
        <v>45</v>
      </c>
      <c r="L2822">
        <v>2022</v>
      </c>
      <c r="N2822" t="s">
        <v>47</v>
      </c>
      <c r="O2822" t="s">
        <v>47</v>
      </c>
      <c r="P2822" t="s">
        <v>4501</v>
      </c>
    </row>
    <row r="2823" spans="1:16" x14ac:dyDescent="0.3">
      <c r="A2823" t="s">
        <v>8</v>
      </c>
      <c r="B2823" t="s">
        <v>6</v>
      </c>
      <c r="C2823">
        <v>30</v>
      </c>
      <c r="D2823" t="s">
        <v>10</v>
      </c>
      <c r="F2823" s="43">
        <v>44813.354166666664</v>
      </c>
      <c r="G2823" s="43">
        <v>44813.375</v>
      </c>
      <c r="H2823">
        <v>8</v>
      </c>
      <c r="I2823">
        <v>30</v>
      </c>
      <c r="J2823">
        <v>9</v>
      </c>
      <c r="K2823">
        <v>0</v>
      </c>
      <c r="L2823">
        <v>2022</v>
      </c>
      <c r="N2823" t="s">
        <v>47</v>
      </c>
      <c r="O2823" t="s">
        <v>47</v>
      </c>
      <c r="P2823" t="s">
        <v>4502</v>
      </c>
    </row>
    <row r="2824" spans="1:16" x14ac:dyDescent="0.3">
      <c r="A2824" t="s">
        <v>827</v>
      </c>
      <c r="B2824" t="s">
        <v>6</v>
      </c>
      <c r="C2824">
        <v>60</v>
      </c>
      <c r="D2824" t="s">
        <v>10</v>
      </c>
      <c r="F2824" s="43">
        <v>44813.3125</v>
      </c>
      <c r="G2824" s="43">
        <v>44813.354166666664</v>
      </c>
      <c r="H2824">
        <v>7</v>
      </c>
      <c r="I2824">
        <v>30</v>
      </c>
      <c r="J2824">
        <v>8</v>
      </c>
      <c r="K2824">
        <v>30</v>
      </c>
      <c r="L2824">
        <v>2022</v>
      </c>
      <c r="N2824" t="s">
        <v>47</v>
      </c>
      <c r="O2824" t="s">
        <v>47</v>
      </c>
      <c r="P2824" t="s">
        <v>4503</v>
      </c>
    </row>
    <row r="2825" spans="1:16" x14ac:dyDescent="0.3">
      <c r="A2825" t="s">
        <v>4504</v>
      </c>
      <c r="B2825" t="s">
        <v>160</v>
      </c>
      <c r="C2825">
        <v>90</v>
      </c>
      <c r="D2825" t="s">
        <v>10</v>
      </c>
      <c r="F2825" s="43">
        <v>44813.197916666664</v>
      </c>
      <c r="G2825" s="43">
        <v>44813.260416666664</v>
      </c>
      <c r="H2825">
        <v>4</v>
      </c>
      <c r="I2825">
        <v>45</v>
      </c>
      <c r="J2825">
        <v>6</v>
      </c>
      <c r="K2825">
        <v>15</v>
      </c>
      <c r="L2825">
        <v>2022</v>
      </c>
      <c r="N2825" t="s">
        <v>47</v>
      </c>
      <c r="O2825" t="s">
        <v>47</v>
      </c>
      <c r="P2825" t="s">
        <v>4505</v>
      </c>
    </row>
    <row r="2826" spans="1:16" x14ac:dyDescent="0.3">
      <c r="A2826" t="s">
        <v>4492</v>
      </c>
      <c r="C2826">
        <v>30</v>
      </c>
      <c r="D2826" t="s">
        <v>256</v>
      </c>
      <c r="E2826" t="s">
        <v>21</v>
      </c>
      <c r="F2826" s="43">
        <v>44813</v>
      </c>
      <c r="G2826" s="43">
        <v>949997.9993055556</v>
      </c>
      <c r="H2826">
        <v>9</v>
      </c>
      <c r="I2826">
        <v>30</v>
      </c>
      <c r="J2826">
        <v>10</v>
      </c>
      <c r="K2826">
        <v>0</v>
      </c>
      <c r="L2826">
        <v>2022</v>
      </c>
      <c r="M2826" t="s">
        <v>33</v>
      </c>
      <c r="N2826" t="s">
        <v>4493</v>
      </c>
      <c r="O2826" t="s">
        <v>50</v>
      </c>
      <c r="P2826" t="s">
        <v>4494</v>
      </c>
    </row>
    <row r="2827" spans="1:16" x14ac:dyDescent="0.3">
      <c r="A2827" t="s">
        <v>40</v>
      </c>
      <c r="B2827" t="s">
        <v>109</v>
      </c>
      <c r="C2827">
        <v>210</v>
      </c>
      <c r="D2827" t="s">
        <v>10</v>
      </c>
      <c r="F2827" s="43">
        <v>44812.6875</v>
      </c>
      <c r="G2827" s="43">
        <v>44812.833333333336</v>
      </c>
      <c r="H2827">
        <v>16</v>
      </c>
      <c r="I2827">
        <v>30</v>
      </c>
      <c r="J2827">
        <v>20</v>
      </c>
      <c r="K2827">
        <v>0</v>
      </c>
      <c r="L2827">
        <v>2022</v>
      </c>
      <c r="N2827" t="s">
        <v>47</v>
      </c>
      <c r="O2827" t="s">
        <v>47</v>
      </c>
      <c r="P2827" t="s">
        <v>4499</v>
      </c>
    </row>
    <row r="2828" spans="1:16" x14ac:dyDescent="0.3">
      <c r="A2828" t="s">
        <v>40</v>
      </c>
      <c r="B2828" t="s">
        <v>109</v>
      </c>
      <c r="C2828">
        <v>60</v>
      </c>
      <c r="D2828" t="s">
        <v>10</v>
      </c>
      <c r="F2828" s="43">
        <v>44812.625</v>
      </c>
      <c r="G2828" s="43">
        <v>44812.666666666664</v>
      </c>
      <c r="H2828">
        <v>15</v>
      </c>
      <c r="I2828">
        <v>0</v>
      </c>
      <c r="J2828">
        <v>16</v>
      </c>
      <c r="K2828">
        <v>0</v>
      </c>
      <c r="L2828">
        <v>2022</v>
      </c>
      <c r="N2828" t="s">
        <v>47</v>
      </c>
      <c r="O2828" t="s">
        <v>47</v>
      </c>
      <c r="P2828" t="s">
        <v>4498</v>
      </c>
    </row>
    <row r="2829" spans="1:16" x14ac:dyDescent="0.3">
      <c r="A2829" t="s">
        <v>7</v>
      </c>
      <c r="B2829" t="s">
        <v>6</v>
      </c>
      <c r="C2829">
        <v>45</v>
      </c>
      <c r="D2829" t="s">
        <v>10</v>
      </c>
      <c r="F2829" s="43">
        <v>44812.59375</v>
      </c>
      <c r="G2829" s="43">
        <v>44812.625</v>
      </c>
      <c r="H2829">
        <v>14</v>
      </c>
      <c r="I2829">
        <v>15</v>
      </c>
      <c r="J2829">
        <v>15</v>
      </c>
      <c r="K2829">
        <v>0</v>
      </c>
      <c r="L2829">
        <v>2022</v>
      </c>
      <c r="N2829" t="s">
        <v>47</v>
      </c>
      <c r="O2829" t="s">
        <v>47</v>
      </c>
      <c r="P2829" t="s">
        <v>4497</v>
      </c>
    </row>
    <row r="2830" spans="1:16" x14ac:dyDescent="0.3">
      <c r="A2830" t="s">
        <v>8</v>
      </c>
      <c r="B2830" t="s">
        <v>6</v>
      </c>
      <c r="C2830">
        <v>15</v>
      </c>
      <c r="D2830" t="s">
        <v>10</v>
      </c>
      <c r="F2830" s="43">
        <v>44812.541666666664</v>
      </c>
      <c r="G2830" s="43">
        <v>44812.552083333336</v>
      </c>
      <c r="H2830">
        <v>13</v>
      </c>
      <c r="I2830">
        <v>0</v>
      </c>
      <c r="J2830">
        <v>13</v>
      </c>
      <c r="K2830">
        <v>15</v>
      </c>
      <c r="L2830">
        <v>2022</v>
      </c>
      <c r="N2830" t="s">
        <v>47</v>
      </c>
      <c r="O2830" t="s">
        <v>47</v>
      </c>
      <c r="P2830" t="s">
        <v>4491</v>
      </c>
    </row>
    <row r="2831" spans="1:16" x14ac:dyDescent="0.3">
      <c r="A2831" t="s">
        <v>4480</v>
      </c>
      <c r="B2831" t="s">
        <v>109</v>
      </c>
      <c r="C2831">
        <v>30</v>
      </c>
      <c r="D2831" t="s">
        <v>10</v>
      </c>
      <c r="F2831" s="43">
        <v>44812.520833333336</v>
      </c>
      <c r="G2831" s="43">
        <v>44812.541666666664</v>
      </c>
      <c r="H2831">
        <v>12</v>
      </c>
      <c r="I2831">
        <v>30</v>
      </c>
      <c r="J2831">
        <v>13</v>
      </c>
      <c r="K2831">
        <v>0</v>
      </c>
      <c r="L2831">
        <v>2022</v>
      </c>
      <c r="N2831" t="s">
        <v>4365</v>
      </c>
      <c r="O2831" t="s">
        <v>783</v>
      </c>
      <c r="P2831" t="s">
        <v>4481</v>
      </c>
    </row>
    <row r="2832" spans="1:16" x14ac:dyDescent="0.3">
      <c r="A2832" t="s">
        <v>4495</v>
      </c>
      <c r="B2832" t="s">
        <v>109</v>
      </c>
      <c r="C2832">
        <v>30</v>
      </c>
      <c r="D2832" t="s">
        <v>10</v>
      </c>
      <c r="F2832" s="43">
        <v>44812.479166666664</v>
      </c>
      <c r="G2832" s="43">
        <v>44812.5</v>
      </c>
      <c r="H2832">
        <v>11</v>
      </c>
      <c r="I2832">
        <v>30</v>
      </c>
      <c r="J2832">
        <v>12</v>
      </c>
      <c r="K2832">
        <v>0</v>
      </c>
      <c r="L2832">
        <v>2022</v>
      </c>
      <c r="N2832" t="s">
        <v>47</v>
      </c>
      <c r="O2832" t="s">
        <v>47</v>
      </c>
      <c r="P2832" t="s">
        <v>4496</v>
      </c>
    </row>
    <row r="2833" spans="1:16" x14ac:dyDescent="0.3">
      <c r="A2833" t="s">
        <v>4484</v>
      </c>
      <c r="B2833" t="s">
        <v>6</v>
      </c>
      <c r="C2833">
        <v>50</v>
      </c>
      <c r="D2833" t="s">
        <v>10</v>
      </c>
      <c r="F2833" s="43">
        <v>44812.4375</v>
      </c>
      <c r="G2833" s="43">
        <v>44812.472222222219</v>
      </c>
      <c r="H2833">
        <v>10</v>
      </c>
      <c r="I2833">
        <v>30</v>
      </c>
      <c r="J2833">
        <v>11</v>
      </c>
      <c r="K2833">
        <v>20</v>
      </c>
      <c r="L2833">
        <v>2022</v>
      </c>
      <c r="N2833" t="s">
        <v>47</v>
      </c>
      <c r="O2833" t="s">
        <v>47</v>
      </c>
      <c r="P2833" t="s">
        <v>4485</v>
      </c>
    </row>
    <row r="2834" spans="1:16" x14ac:dyDescent="0.3">
      <c r="A2834" t="s">
        <v>4482</v>
      </c>
      <c r="B2834" t="s">
        <v>109</v>
      </c>
      <c r="C2834">
        <v>30</v>
      </c>
      <c r="D2834" t="s">
        <v>10</v>
      </c>
      <c r="F2834" s="43">
        <v>44812.416666666664</v>
      </c>
      <c r="G2834" s="43">
        <v>44812.4375</v>
      </c>
      <c r="H2834">
        <v>10</v>
      </c>
      <c r="I2834">
        <v>0</v>
      </c>
      <c r="J2834">
        <v>10</v>
      </c>
      <c r="K2834">
        <v>30</v>
      </c>
      <c r="L2834">
        <v>2022</v>
      </c>
      <c r="N2834" t="s">
        <v>47</v>
      </c>
      <c r="O2834" t="s">
        <v>47</v>
      </c>
      <c r="P2834" t="s">
        <v>4483</v>
      </c>
    </row>
    <row r="2835" spans="1:16" x14ac:dyDescent="0.3">
      <c r="A2835" t="s">
        <v>4432</v>
      </c>
      <c r="B2835" t="s">
        <v>4397</v>
      </c>
      <c r="C2835">
        <v>30</v>
      </c>
      <c r="D2835" t="s">
        <v>10</v>
      </c>
      <c r="E2835" t="s">
        <v>4345</v>
      </c>
      <c r="F2835" s="43">
        <v>44812.375</v>
      </c>
      <c r="G2835" s="43">
        <v>44812.395833333336</v>
      </c>
      <c r="H2835">
        <v>9</v>
      </c>
      <c r="I2835">
        <v>0</v>
      </c>
      <c r="J2835">
        <v>9</v>
      </c>
      <c r="K2835">
        <v>30</v>
      </c>
      <c r="L2835">
        <v>2022</v>
      </c>
      <c r="N2835" t="s">
        <v>4346</v>
      </c>
      <c r="O2835" t="s">
        <v>47</v>
      </c>
      <c r="P2835" t="s">
        <v>4433</v>
      </c>
    </row>
    <row r="2836" spans="1:16" x14ac:dyDescent="0.3">
      <c r="A2836" t="s">
        <v>4471</v>
      </c>
      <c r="B2836" t="s">
        <v>109</v>
      </c>
      <c r="C2836">
        <v>45</v>
      </c>
      <c r="D2836" t="s">
        <v>10</v>
      </c>
      <c r="E2836" t="s">
        <v>21</v>
      </c>
      <c r="F2836" s="43">
        <v>44812.333333333336</v>
      </c>
      <c r="G2836" s="43">
        <v>44812.364583333336</v>
      </c>
      <c r="H2836">
        <v>8</v>
      </c>
      <c r="I2836">
        <v>0</v>
      </c>
      <c r="J2836">
        <v>8</v>
      </c>
      <c r="K2836">
        <v>45</v>
      </c>
      <c r="L2836">
        <v>2022</v>
      </c>
      <c r="N2836" t="s">
        <v>4472</v>
      </c>
      <c r="O2836" t="s">
        <v>50</v>
      </c>
      <c r="P2836" t="s">
        <v>4473</v>
      </c>
    </row>
    <row r="2837" spans="1:16" x14ac:dyDescent="0.3">
      <c r="A2837" t="s">
        <v>4471</v>
      </c>
      <c r="B2837" t="s">
        <v>109</v>
      </c>
      <c r="C2837">
        <v>45</v>
      </c>
      <c r="D2837" t="s">
        <v>10</v>
      </c>
      <c r="E2837" t="s">
        <v>21</v>
      </c>
      <c r="F2837" s="43">
        <v>44812.302083333336</v>
      </c>
      <c r="G2837" s="43">
        <v>44812.333333333336</v>
      </c>
      <c r="H2837">
        <v>7</v>
      </c>
      <c r="I2837">
        <v>15</v>
      </c>
      <c r="J2837">
        <v>8</v>
      </c>
      <c r="K2837">
        <v>0</v>
      </c>
      <c r="L2837">
        <v>2022</v>
      </c>
      <c r="N2837" t="s">
        <v>4474</v>
      </c>
      <c r="O2837" t="s">
        <v>50</v>
      </c>
      <c r="P2837" t="s">
        <v>4475</v>
      </c>
    </row>
    <row r="2838" spans="1:16" x14ac:dyDescent="0.3">
      <c r="A2838" t="s">
        <v>8</v>
      </c>
      <c r="C2838">
        <v>30</v>
      </c>
      <c r="D2838" t="s">
        <v>10</v>
      </c>
      <c r="F2838" s="43">
        <v>44812.270833333336</v>
      </c>
      <c r="G2838" s="43">
        <v>44812.291666666664</v>
      </c>
      <c r="H2838">
        <v>6</v>
      </c>
      <c r="I2838">
        <v>30</v>
      </c>
      <c r="J2838">
        <v>7</v>
      </c>
      <c r="K2838">
        <v>0</v>
      </c>
      <c r="L2838">
        <v>2022</v>
      </c>
      <c r="N2838" t="s">
        <v>47</v>
      </c>
      <c r="O2838" t="s">
        <v>47</v>
      </c>
      <c r="P2838" t="s">
        <v>4465</v>
      </c>
    </row>
    <row r="2839" spans="1:16" x14ac:dyDescent="0.3">
      <c r="A2839" t="s">
        <v>8</v>
      </c>
      <c r="C2839">
        <v>30</v>
      </c>
      <c r="D2839" t="s">
        <v>10</v>
      </c>
      <c r="F2839" s="43">
        <v>44812.208333333336</v>
      </c>
      <c r="G2839" s="43">
        <v>44812.229166666664</v>
      </c>
      <c r="H2839">
        <v>5</v>
      </c>
      <c r="I2839">
        <v>0</v>
      </c>
      <c r="J2839">
        <v>5</v>
      </c>
      <c r="K2839">
        <v>30</v>
      </c>
      <c r="L2839">
        <v>2022</v>
      </c>
      <c r="N2839" t="s">
        <v>47</v>
      </c>
      <c r="O2839" t="s">
        <v>47</v>
      </c>
      <c r="P2839" t="s">
        <v>4466</v>
      </c>
    </row>
    <row r="2840" spans="1:16" x14ac:dyDescent="0.3">
      <c r="A2840" t="s">
        <v>1074</v>
      </c>
      <c r="B2840" t="s">
        <v>6</v>
      </c>
      <c r="C2840">
        <v>20</v>
      </c>
      <c r="D2840" t="s">
        <v>10</v>
      </c>
      <c r="F2840" s="43">
        <v>44811.791666666664</v>
      </c>
      <c r="G2840" s="43">
        <v>44811.805555555555</v>
      </c>
      <c r="H2840">
        <v>19</v>
      </c>
      <c r="I2840">
        <v>0</v>
      </c>
      <c r="J2840">
        <v>19</v>
      </c>
      <c r="K2840">
        <v>20</v>
      </c>
      <c r="L2840">
        <v>2022</v>
      </c>
      <c r="N2840" t="s">
        <v>47</v>
      </c>
      <c r="O2840" t="s">
        <v>47</v>
      </c>
      <c r="P2840" t="s">
        <v>4468</v>
      </c>
    </row>
    <row r="2841" spans="1:16" x14ac:dyDescent="0.3">
      <c r="A2841" t="s">
        <v>4469</v>
      </c>
      <c r="B2841" t="s">
        <v>6</v>
      </c>
      <c r="C2841">
        <v>30</v>
      </c>
      <c r="D2841" t="s">
        <v>10</v>
      </c>
      <c r="F2841" s="43">
        <v>44811.770833333336</v>
      </c>
      <c r="G2841" s="43">
        <v>44811.791666666664</v>
      </c>
      <c r="H2841">
        <v>18</v>
      </c>
      <c r="I2841">
        <v>30</v>
      </c>
      <c r="J2841">
        <v>19</v>
      </c>
      <c r="K2841">
        <v>0</v>
      </c>
      <c r="L2841">
        <v>2022</v>
      </c>
      <c r="N2841" t="s">
        <v>47</v>
      </c>
      <c r="O2841" t="s">
        <v>47</v>
      </c>
      <c r="P2841" t="s">
        <v>4470</v>
      </c>
    </row>
    <row r="2842" spans="1:16" x14ac:dyDescent="0.3">
      <c r="A2842" t="s">
        <v>40</v>
      </c>
      <c r="B2842" t="s">
        <v>6</v>
      </c>
      <c r="C2842">
        <v>90</v>
      </c>
      <c r="D2842" t="s">
        <v>10</v>
      </c>
      <c r="E2842" t="s">
        <v>4410</v>
      </c>
      <c r="F2842" s="43">
        <v>44811.708333333336</v>
      </c>
      <c r="G2842" s="43">
        <v>44811.770833333336</v>
      </c>
      <c r="H2842">
        <v>17</v>
      </c>
      <c r="I2842">
        <v>0</v>
      </c>
      <c r="J2842">
        <v>18</v>
      </c>
      <c r="K2842">
        <v>30</v>
      </c>
      <c r="L2842">
        <v>2022</v>
      </c>
      <c r="N2842" t="s">
        <v>47</v>
      </c>
      <c r="O2842" t="s">
        <v>47</v>
      </c>
      <c r="P2842" t="s">
        <v>4461</v>
      </c>
    </row>
    <row r="2843" spans="1:16" x14ac:dyDescent="0.3">
      <c r="A2843" t="s">
        <v>1030</v>
      </c>
      <c r="B2843" t="s">
        <v>31</v>
      </c>
      <c r="C2843">
        <v>60</v>
      </c>
      <c r="D2843" t="s">
        <v>10</v>
      </c>
      <c r="F2843" s="43">
        <v>44811.666666666664</v>
      </c>
      <c r="G2843" s="43">
        <v>44811.708333333336</v>
      </c>
      <c r="H2843">
        <v>16</v>
      </c>
      <c r="I2843">
        <v>0</v>
      </c>
      <c r="J2843">
        <v>17</v>
      </c>
      <c r="K2843">
        <v>0</v>
      </c>
      <c r="L2843">
        <v>2022</v>
      </c>
      <c r="N2843" t="s">
        <v>47</v>
      </c>
      <c r="O2843" t="s">
        <v>47</v>
      </c>
      <c r="P2843" t="s">
        <v>4464</v>
      </c>
    </row>
    <row r="2844" spans="1:16" x14ac:dyDescent="0.3">
      <c r="A2844" t="s">
        <v>1394</v>
      </c>
      <c r="B2844" t="s">
        <v>6</v>
      </c>
      <c r="C2844">
        <v>30</v>
      </c>
      <c r="D2844" t="s">
        <v>10</v>
      </c>
      <c r="E2844" t="s">
        <v>4410</v>
      </c>
      <c r="F2844" s="43">
        <v>44811.645833333336</v>
      </c>
      <c r="G2844" s="43">
        <v>44811.666666666664</v>
      </c>
      <c r="H2844">
        <v>15</v>
      </c>
      <c r="I2844">
        <v>30</v>
      </c>
      <c r="J2844">
        <v>16</v>
      </c>
      <c r="K2844">
        <v>0</v>
      </c>
      <c r="L2844">
        <v>2022</v>
      </c>
      <c r="N2844" t="s">
        <v>47</v>
      </c>
      <c r="O2844" t="s">
        <v>47</v>
      </c>
      <c r="P2844" t="s">
        <v>4459</v>
      </c>
    </row>
    <row r="2845" spans="1:16" x14ac:dyDescent="0.3">
      <c r="A2845" t="s">
        <v>4462</v>
      </c>
      <c r="B2845" t="s">
        <v>31</v>
      </c>
      <c r="C2845">
        <v>60</v>
      </c>
      <c r="D2845" t="s">
        <v>10</v>
      </c>
      <c r="F2845" s="43">
        <v>44811.604166666664</v>
      </c>
      <c r="G2845" s="43">
        <v>44811.645833333336</v>
      </c>
      <c r="H2845">
        <v>14</v>
      </c>
      <c r="I2845">
        <v>30</v>
      </c>
      <c r="J2845">
        <v>15</v>
      </c>
      <c r="K2845">
        <v>30</v>
      </c>
      <c r="L2845">
        <v>2022</v>
      </c>
      <c r="O2845" t="s">
        <v>47</v>
      </c>
      <c r="P2845" t="s">
        <v>4463</v>
      </c>
    </row>
    <row r="2846" spans="1:16" x14ac:dyDescent="0.3">
      <c r="A2846" t="s">
        <v>4444</v>
      </c>
      <c r="B2846" t="s">
        <v>4445</v>
      </c>
      <c r="C2846">
        <v>30</v>
      </c>
      <c r="D2846" t="s">
        <v>10</v>
      </c>
      <c r="E2846" t="s">
        <v>501</v>
      </c>
      <c r="F2846" s="43">
        <v>44811.583333333336</v>
      </c>
      <c r="G2846" s="43">
        <v>44811.604166666664</v>
      </c>
      <c r="H2846">
        <v>14</v>
      </c>
      <c r="I2846">
        <v>0</v>
      </c>
      <c r="J2846">
        <v>14</v>
      </c>
      <c r="K2846">
        <v>30</v>
      </c>
      <c r="L2846">
        <v>2022</v>
      </c>
      <c r="N2846" t="s">
        <v>4446</v>
      </c>
      <c r="O2846" t="s">
        <v>47</v>
      </c>
      <c r="P2846" t="s">
        <v>4447</v>
      </c>
    </row>
    <row r="2847" spans="1:16" x14ac:dyDescent="0.3">
      <c r="A2847" t="s">
        <v>1394</v>
      </c>
      <c r="B2847" t="s">
        <v>6</v>
      </c>
      <c r="C2847">
        <v>45</v>
      </c>
      <c r="D2847" t="s">
        <v>10</v>
      </c>
      <c r="E2847" t="s">
        <v>4410</v>
      </c>
      <c r="F2847" s="43">
        <v>44811.541666666664</v>
      </c>
      <c r="G2847" s="43">
        <v>44811.572916666664</v>
      </c>
      <c r="H2847">
        <v>13</v>
      </c>
      <c r="I2847">
        <v>0</v>
      </c>
      <c r="J2847">
        <v>13</v>
      </c>
      <c r="K2847">
        <v>45</v>
      </c>
      <c r="L2847">
        <v>2022</v>
      </c>
      <c r="N2847" t="s">
        <v>47</v>
      </c>
      <c r="O2847" t="s">
        <v>47</v>
      </c>
      <c r="P2847" t="s">
        <v>4460</v>
      </c>
    </row>
    <row r="2848" spans="1:16" x14ac:dyDescent="0.3">
      <c r="A2848" t="s">
        <v>40</v>
      </c>
      <c r="B2848" t="s">
        <v>6</v>
      </c>
      <c r="C2848">
        <v>95</v>
      </c>
      <c r="D2848" t="s">
        <v>10</v>
      </c>
      <c r="F2848" s="43">
        <v>44811.458333333336</v>
      </c>
      <c r="G2848" s="43">
        <v>44811.524305555555</v>
      </c>
      <c r="H2848">
        <v>11</v>
      </c>
      <c r="I2848">
        <v>0</v>
      </c>
      <c r="J2848">
        <v>12</v>
      </c>
      <c r="K2848">
        <v>35</v>
      </c>
      <c r="L2848">
        <v>2022</v>
      </c>
      <c r="N2848" t="s">
        <v>47</v>
      </c>
      <c r="O2848" t="s">
        <v>47</v>
      </c>
      <c r="P2848" t="s">
        <v>4458</v>
      </c>
    </row>
    <row r="2849" spans="1:16" x14ac:dyDescent="0.3">
      <c r="A2849" t="s">
        <v>4438</v>
      </c>
      <c r="B2849" t="s">
        <v>20</v>
      </c>
      <c r="C2849">
        <v>15</v>
      </c>
      <c r="D2849" t="s">
        <v>10</v>
      </c>
      <c r="F2849" s="43">
        <v>44811.385416666664</v>
      </c>
      <c r="G2849" s="43">
        <v>44811.395833333336</v>
      </c>
      <c r="H2849">
        <v>9</v>
      </c>
      <c r="I2849">
        <v>15</v>
      </c>
      <c r="J2849">
        <v>9</v>
      </c>
      <c r="K2849">
        <v>30</v>
      </c>
      <c r="L2849">
        <v>2022</v>
      </c>
      <c r="N2849" t="s">
        <v>47</v>
      </c>
      <c r="O2849" t="s">
        <v>47</v>
      </c>
      <c r="P2849" t="s">
        <v>4439</v>
      </c>
    </row>
    <row r="2850" spans="1:16" x14ac:dyDescent="0.3">
      <c r="A2850" t="s">
        <v>4440</v>
      </c>
      <c r="B2850" t="s">
        <v>160</v>
      </c>
      <c r="C2850">
        <v>30</v>
      </c>
      <c r="D2850" t="s">
        <v>10</v>
      </c>
      <c r="F2850" s="43">
        <v>44811.364583333336</v>
      </c>
      <c r="G2850" s="43">
        <v>44811.385416666664</v>
      </c>
      <c r="H2850">
        <v>8</v>
      </c>
      <c r="I2850">
        <v>45</v>
      </c>
      <c r="J2850">
        <v>9</v>
      </c>
      <c r="K2850">
        <v>15</v>
      </c>
      <c r="L2850">
        <v>2022</v>
      </c>
      <c r="N2850" t="s">
        <v>47</v>
      </c>
      <c r="O2850" t="s">
        <v>47</v>
      </c>
      <c r="P2850" t="s">
        <v>4441</v>
      </c>
    </row>
    <row r="2851" spans="1:16" x14ac:dyDescent="0.3">
      <c r="A2851" t="s">
        <v>4442</v>
      </c>
      <c r="B2851" t="s">
        <v>223</v>
      </c>
      <c r="C2851">
        <v>30</v>
      </c>
      <c r="D2851" t="s">
        <v>10</v>
      </c>
      <c r="F2851" s="43">
        <v>44811.34375</v>
      </c>
      <c r="G2851" s="43">
        <v>44811.364583333336</v>
      </c>
      <c r="H2851">
        <v>8</v>
      </c>
      <c r="I2851">
        <v>15</v>
      </c>
      <c r="J2851">
        <v>8</v>
      </c>
      <c r="K2851">
        <v>45</v>
      </c>
      <c r="L2851">
        <v>2022</v>
      </c>
      <c r="N2851" t="s">
        <v>47</v>
      </c>
      <c r="O2851" t="s">
        <v>47</v>
      </c>
      <c r="P2851" t="s">
        <v>4443</v>
      </c>
    </row>
    <row r="2852" spans="1:16" x14ac:dyDescent="0.3">
      <c r="A2852" t="s">
        <v>8</v>
      </c>
      <c r="B2852" t="s">
        <v>6</v>
      </c>
      <c r="C2852">
        <v>60</v>
      </c>
      <c r="D2852" t="s">
        <v>10</v>
      </c>
      <c r="F2852" s="43">
        <v>44811.25</v>
      </c>
      <c r="G2852" s="43">
        <v>44811.291666666664</v>
      </c>
      <c r="H2852">
        <v>6</v>
      </c>
      <c r="I2852">
        <v>0</v>
      </c>
      <c r="J2852">
        <v>7</v>
      </c>
      <c r="K2852">
        <v>0</v>
      </c>
      <c r="L2852">
        <v>2022</v>
      </c>
      <c r="N2852" t="s">
        <v>47</v>
      </c>
      <c r="O2852" t="s">
        <v>47</v>
      </c>
      <c r="P2852" t="s">
        <v>4437</v>
      </c>
    </row>
    <row r="2853" spans="1:16" x14ac:dyDescent="0.3">
      <c r="A2853" t="s">
        <v>4448</v>
      </c>
      <c r="B2853" t="s">
        <v>221</v>
      </c>
      <c r="C2853">
        <v>15</v>
      </c>
      <c r="D2853" t="s">
        <v>10</v>
      </c>
      <c r="E2853" t="s">
        <v>4449</v>
      </c>
      <c r="F2853" s="43">
        <v>44811.239583333336</v>
      </c>
      <c r="G2853" s="43">
        <v>44811.25</v>
      </c>
      <c r="H2853">
        <v>5</v>
      </c>
      <c r="I2853">
        <v>45</v>
      </c>
      <c r="J2853">
        <v>6</v>
      </c>
      <c r="K2853">
        <v>0</v>
      </c>
      <c r="L2853">
        <v>2022</v>
      </c>
      <c r="N2853" t="s">
        <v>47</v>
      </c>
      <c r="O2853" t="s">
        <v>47</v>
      </c>
      <c r="P2853" t="s">
        <v>4450</v>
      </c>
    </row>
    <row r="2854" spans="1:16" x14ac:dyDescent="0.3">
      <c r="A2854" t="s">
        <v>40</v>
      </c>
      <c r="B2854" t="s">
        <v>6</v>
      </c>
      <c r="C2854">
        <v>105</v>
      </c>
      <c r="D2854" t="s">
        <v>10</v>
      </c>
      <c r="E2854" t="s">
        <v>4410</v>
      </c>
      <c r="F2854" s="43">
        <v>44810.760416666664</v>
      </c>
      <c r="G2854" s="43">
        <v>44810.833333333336</v>
      </c>
      <c r="H2854">
        <v>18</v>
      </c>
      <c r="I2854">
        <v>15</v>
      </c>
      <c r="J2854">
        <v>20</v>
      </c>
      <c r="K2854">
        <v>0</v>
      </c>
      <c r="L2854">
        <v>2022</v>
      </c>
      <c r="N2854" t="s">
        <v>47</v>
      </c>
      <c r="O2854" t="s">
        <v>47</v>
      </c>
      <c r="P2854" t="s">
        <v>4451</v>
      </c>
    </row>
    <row r="2855" spans="1:16" x14ac:dyDescent="0.3">
      <c r="A2855" t="s">
        <v>4452</v>
      </c>
      <c r="B2855" t="s">
        <v>6</v>
      </c>
      <c r="C2855">
        <v>30</v>
      </c>
      <c r="D2855" t="s">
        <v>10</v>
      </c>
      <c r="E2855" t="s">
        <v>784</v>
      </c>
      <c r="F2855" s="43">
        <v>44810.6875</v>
      </c>
      <c r="G2855" s="43">
        <v>44810.708333333336</v>
      </c>
      <c r="H2855">
        <v>16</v>
      </c>
      <c r="I2855">
        <v>30</v>
      </c>
      <c r="J2855">
        <v>17</v>
      </c>
      <c r="K2855">
        <v>0</v>
      </c>
      <c r="L2855">
        <v>2022</v>
      </c>
      <c r="N2855" t="s">
        <v>47</v>
      </c>
      <c r="O2855" t="s">
        <v>47</v>
      </c>
      <c r="P2855" t="s">
        <v>4453</v>
      </c>
    </row>
    <row r="2856" spans="1:16" x14ac:dyDescent="0.3">
      <c r="A2856" t="s">
        <v>2519</v>
      </c>
      <c r="C2856">
        <v>30</v>
      </c>
      <c r="D2856" t="s">
        <v>10</v>
      </c>
      <c r="E2856" t="s">
        <v>501</v>
      </c>
      <c r="F2856" s="43">
        <v>44810.666666666664</v>
      </c>
      <c r="G2856" s="43">
        <v>44810.6875</v>
      </c>
      <c r="H2856">
        <v>16</v>
      </c>
      <c r="I2856">
        <v>0</v>
      </c>
      <c r="J2856">
        <v>16</v>
      </c>
      <c r="K2856">
        <v>30</v>
      </c>
      <c r="L2856">
        <v>2022</v>
      </c>
      <c r="N2856" t="s">
        <v>4430</v>
      </c>
      <c r="O2856" t="s">
        <v>47</v>
      </c>
      <c r="P2856" t="s">
        <v>4431</v>
      </c>
    </row>
    <row r="2857" spans="1:16" x14ac:dyDescent="0.3">
      <c r="A2857" t="s">
        <v>4373</v>
      </c>
      <c r="B2857" t="s">
        <v>6</v>
      </c>
      <c r="C2857">
        <v>60</v>
      </c>
      <c r="D2857" t="s">
        <v>10</v>
      </c>
      <c r="E2857" t="s">
        <v>4434</v>
      </c>
      <c r="F2857" s="43">
        <v>44810.625</v>
      </c>
      <c r="G2857" s="43">
        <v>44810.666666666664</v>
      </c>
      <c r="H2857">
        <v>15</v>
      </c>
      <c r="I2857">
        <v>0</v>
      </c>
      <c r="J2857">
        <v>16</v>
      </c>
      <c r="K2857">
        <v>0</v>
      </c>
      <c r="L2857">
        <v>2022</v>
      </c>
      <c r="N2857" t="s">
        <v>4384</v>
      </c>
      <c r="O2857" t="s">
        <v>47</v>
      </c>
      <c r="P2857" t="s">
        <v>4435</v>
      </c>
    </row>
    <row r="2858" spans="1:16" x14ac:dyDescent="0.3">
      <c r="A2858" t="s">
        <v>4454</v>
      </c>
      <c r="C2858">
        <v>15</v>
      </c>
      <c r="D2858" t="s">
        <v>10</v>
      </c>
      <c r="F2858" s="43">
        <v>44810.583333333336</v>
      </c>
      <c r="G2858" s="43">
        <v>44810.59375</v>
      </c>
      <c r="H2858">
        <v>14</v>
      </c>
      <c r="I2858">
        <v>0</v>
      </c>
      <c r="J2858">
        <v>14</v>
      </c>
      <c r="K2858">
        <v>15</v>
      </c>
      <c r="L2858">
        <v>2022</v>
      </c>
      <c r="N2858" t="s">
        <v>47</v>
      </c>
      <c r="O2858" t="s">
        <v>47</v>
      </c>
      <c r="P2858" t="s">
        <v>4455</v>
      </c>
    </row>
    <row r="2859" spans="1:16" x14ac:dyDescent="0.3">
      <c r="A2859" t="s">
        <v>4456</v>
      </c>
      <c r="B2859" t="s">
        <v>6</v>
      </c>
      <c r="C2859">
        <v>60</v>
      </c>
      <c r="D2859" t="s">
        <v>10</v>
      </c>
      <c r="E2859" t="s">
        <v>4410</v>
      </c>
      <c r="F2859" s="43">
        <v>44810.541666666664</v>
      </c>
      <c r="G2859" s="43">
        <v>44810.583333333336</v>
      </c>
      <c r="H2859">
        <v>13</v>
      </c>
      <c r="I2859">
        <v>0</v>
      </c>
      <c r="J2859">
        <v>14</v>
      </c>
      <c r="K2859">
        <v>0</v>
      </c>
      <c r="L2859">
        <v>2022</v>
      </c>
      <c r="N2859" t="s">
        <v>47</v>
      </c>
      <c r="O2859" t="s">
        <v>47</v>
      </c>
      <c r="P2859" t="s">
        <v>4457</v>
      </c>
    </row>
    <row r="2860" spans="1:16" x14ac:dyDescent="0.3">
      <c r="A2860" t="s">
        <v>8</v>
      </c>
      <c r="C2860">
        <v>10</v>
      </c>
      <c r="D2860" t="s">
        <v>10</v>
      </c>
      <c r="F2860" s="43">
        <v>44810.520833333336</v>
      </c>
      <c r="G2860" s="43">
        <v>44810.527777777781</v>
      </c>
      <c r="H2860">
        <v>12</v>
      </c>
      <c r="I2860">
        <v>30</v>
      </c>
      <c r="J2860">
        <v>12</v>
      </c>
      <c r="K2860">
        <v>40</v>
      </c>
      <c r="L2860">
        <v>2022</v>
      </c>
      <c r="N2860" t="s">
        <v>47</v>
      </c>
      <c r="O2860" t="s">
        <v>47</v>
      </c>
      <c r="P2860" t="s">
        <v>4429</v>
      </c>
    </row>
    <row r="2861" spans="1:16" x14ac:dyDescent="0.3">
      <c r="A2861" t="s">
        <v>4423</v>
      </c>
      <c r="C2861">
        <v>30</v>
      </c>
      <c r="D2861" t="s">
        <v>10</v>
      </c>
      <c r="E2861" t="s">
        <v>501</v>
      </c>
      <c r="F2861" s="43">
        <v>44810.5</v>
      </c>
      <c r="G2861" s="43">
        <v>44810.520833333336</v>
      </c>
      <c r="H2861">
        <v>12</v>
      </c>
      <c r="I2861">
        <v>0</v>
      </c>
      <c r="J2861">
        <v>12</v>
      </c>
      <c r="K2861">
        <v>30</v>
      </c>
      <c r="L2861">
        <v>2022</v>
      </c>
      <c r="N2861" t="s">
        <v>4424</v>
      </c>
      <c r="O2861" t="s">
        <v>47</v>
      </c>
      <c r="P2861" t="s">
        <v>4425</v>
      </c>
    </row>
    <row r="2862" spans="1:16" x14ac:dyDescent="0.3">
      <c r="A2862" t="s">
        <v>827</v>
      </c>
      <c r="B2862" t="s">
        <v>6</v>
      </c>
      <c r="C2862">
        <v>20</v>
      </c>
      <c r="D2862" t="s">
        <v>10</v>
      </c>
      <c r="E2862" t="s">
        <v>515</v>
      </c>
      <c r="F2862" s="43">
        <v>44810.465277777781</v>
      </c>
      <c r="G2862" s="43">
        <v>44810.479166666664</v>
      </c>
      <c r="H2862">
        <v>11</v>
      </c>
      <c r="I2862">
        <v>10</v>
      </c>
      <c r="J2862">
        <v>11</v>
      </c>
      <c r="K2862">
        <v>30</v>
      </c>
      <c r="L2862">
        <v>2022</v>
      </c>
      <c r="N2862" t="s">
        <v>47</v>
      </c>
      <c r="O2862" t="s">
        <v>47</v>
      </c>
      <c r="P2862" t="s">
        <v>4436</v>
      </c>
    </row>
    <row r="2863" spans="1:16" x14ac:dyDescent="0.3">
      <c r="A2863" t="s">
        <v>8</v>
      </c>
      <c r="B2863" t="s">
        <v>6</v>
      </c>
      <c r="C2863">
        <v>55</v>
      </c>
      <c r="D2863" t="s">
        <v>10</v>
      </c>
      <c r="F2863" s="43">
        <v>44810.427083333336</v>
      </c>
      <c r="G2863" s="43">
        <v>44810.465277777781</v>
      </c>
      <c r="H2863">
        <v>10</v>
      </c>
      <c r="I2863">
        <v>15</v>
      </c>
      <c r="J2863">
        <v>11</v>
      </c>
      <c r="K2863">
        <v>10</v>
      </c>
      <c r="L2863">
        <v>2022</v>
      </c>
      <c r="N2863" t="s">
        <v>47</v>
      </c>
      <c r="O2863" t="s">
        <v>47</v>
      </c>
      <c r="P2863" t="s">
        <v>4428</v>
      </c>
    </row>
    <row r="2864" spans="1:16" x14ac:dyDescent="0.3">
      <c r="A2864" t="s">
        <v>8</v>
      </c>
      <c r="B2864" t="s">
        <v>6</v>
      </c>
      <c r="C2864">
        <v>30</v>
      </c>
      <c r="D2864" t="s">
        <v>10</v>
      </c>
      <c r="F2864" s="43">
        <v>44810.3125</v>
      </c>
      <c r="G2864" s="43">
        <v>44810.333333333336</v>
      </c>
      <c r="H2864">
        <v>7</v>
      </c>
      <c r="I2864">
        <v>30</v>
      </c>
      <c r="J2864">
        <v>8</v>
      </c>
      <c r="K2864">
        <v>0</v>
      </c>
      <c r="L2864">
        <v>2022</v>
      </c>
      <c r="N2864" t="s">
        <v>47</v>
      </c>
      <c r="O2864" t="s">
        <v>47</v>
      </c>
      <c r="P2864" t="s">
        <v>4422</v>
      </c>
    </row>
    <row r="2865" spans="1:16" x14ac:dyDescent="0.3">
      <c r="A2865" t="s">
        <v>4426</v>
      </c>
      <c r="B2865" t="s">
        <v>6</v>
      </c>
      <c r="C2865">
        <v>105</v>
      </c>
      <c r="D2865" t="s">
        <v>10</v>
      </c>
      <c r="E2865" t="s">
        <v>4410</v>
      </c>
      <c r="F2865" s="43">
        <v>44810.21875</v>
      </c>
      <c r="G2865" s="43">
        <v>44810.291666666664</v>
      </c>
      <c r="H2865">
        <v>5</v>
      </c>
      <c r="I2865">
        <v>15</v>
      </c>
      <c r="J2865">
        <v>7</v>
      </c>
      <c r="K2865">
        <v>0</v>
      </c>
      <c r="L2865">
        <v>2022</v>
      </c>
      <c r="N2865" t="s">
        <v>47</v>
      </c>
      <c r="O2865" t="s">
        <v>47</v>
      </c>
      <c r="P2865" t="s">
        <v>4427</v>
      </c>
    </row>
    <row r="2866" spans="1:16" x14ac:dyDescent="0.3">
      <c r="A2866" t="s">
        <v>4420</v>
      </c>
      <c r="B2866" t="s">
        <v>223</v>
      </c>
      <c r="C2866">
        <v>30</v>
      </c>
      <c r="D2866" t="s">
        <v>10</v>
      </c>
      <c r="E2866" t="s">
        <v>4260</v>
      </c>
      <c r="F2866" s="43">
        <v>44809.729166666664</v>
      </c>
      <c r="G2866" s="43">
        <v>44809.75</v>
      </c>
      <c r="H2866">
        <v>17</v>
      </c>
      <c r="I2866">
        <v>30</v>
      </c>
      <c r="J2866">
        <v>18</v>
      </c>
      <c r="K2866">
        <v>0</v>
      </c>
      <c r="L2866">
        <v>2022</v>
      </c>
      <c r="N2866" t="s">
        <v>47</v>
      </c>
      <c r="O2866" t="s">
        <v>47</v>
      </c>
      <c r="P2866" t="s">
        <v>4421</v>
      </c>
    </row>
    <row r="2867" spans="1:16" x14ac:dyDescent="0.3">
      <c r="A2867" t="s">
        <v>4418</v>
      </c>
      <c r="B2867" t="s">
        <v>160</v>
      </c>
      <c r="C2867">
        <v>40</v>
      </c>
      <c r="D2867" t="s">
        <v>10</v>
      </c>
      <c r="F2867" s="43">
        <v>44809.694444444445</v>
      </c>
      <c r="G2867" s="43">
        <v>44809.722222222219</v>
      </c>
      <c r="H2867">
        <v>16</v>
      </c>
      <c r="I2867">
        <v>40</v>
      </c>
      <c r="J2867">
        <v>17</v>
      </c>
      <c r="K2867">
        <v>20</v>
      </c>
      <c r="L2867">
        <v>2022</v>
      </c>
      <c r="N2867" t="s">
        <v>47</v>
      </c>
      <c r="O2867" t="s">
        <v>47</v>
      </c>
      <c r="P2867" t="s">
        <v>4419</v>
      </c>
    </row>
    <row r="2868" spans="1:16" x14ac:dyDescent="0.3">
      <c r="A2868" t="s">
        <v>4415</v>
      </c>
      <c r="B2868" t="s">
        <v>6</v>
      </c>
      <c r="C2868">
        <v>60</v>
      </c>
      <c r="D2868" t="s">
        <v>10</v>
      </c>
      <c r="F2868" s="43">
        <v>44809.625</v>
      </c>
      <c r="G2868" s="43">
        <v>44809.666666666664</v>
      </c>
      <c r="H2868">
        <v>15</v>
      </c>
      <c r="I2868">
        <v>0</v>
      </c>
      <c r="J2868">
        <v>16</v>
      </c>
      <c r="K2868">
        <v>0</v>
      </c>
      <c r="L2868">
        <v>2022</v>
      </c>
      <c r="N2868" t="s">
        <v>47</v>
      </c>
      <c r="O2868" t="s">
        <v>47</v>
      </c>
      <c r="P2868" t="s">
        <v>4416</v>
      </c>
    </row>
    <row r="2869" spans="1:16" x14ac:dyDescent="0.3">
      <c r="A2869" t="s">
        <v>4413</v>
      </c>
      <c r="B2869" t="s">
        <v>6</v>
      </c>
      <c r="C2869">
        <v>30</v>
      </c>
      <c r="D2869" t="s">
        <v>10</v>
      </c>
      <c r="F2869" s="43">
        <v>44809.583333333336</v>
      </c>
      <c r="G2869" s="43">
        <v>44809.604166666664</v>
      </c>
      <c r="H2869">
        <v>14</v>
      </c>
      <c r="I2869">
        <v>0</v>
      </c>
      <c r="J2869">
        <v>14</v>
      </c>
      <c r="K2869">
        <v>30</v>
      </c>
      <c r="L2869">
        <v>2022</v>
      </c>
      <c r="N2869" t="s">
        <v>47</v>
      </c>
      <c r="O2869" t="s">
        <v>47</v>
      </c>
      <c r="P2869" t="s">
        <v>4414</v>
      </c>
    </row>
    <row r="2870" spans="1:16" x14ac:dyDescent="0.3">
      <c r="A2870" t="s">
        <v>17</v>
      </c>
      <c r="B2870" t="s">
        <v>6</v>
      </c>
      <c r="C2870">
        <v>30</v>
      </c>
      <c r="D2870" t="s">
        <v>10</v>
      </c>
      <c r="F2870" s="43">
        <v>44809.520833333336</v>
      </c>
      <c r="G2870" s="43">
        <v>44809.541666666664</v>
      </c>
      <c r="H2870">
        <v>12</v>
      </c>
      <c r="I2870">
        <v>30</v>
      </c>
      <c r="J2870">
        <v>13</v>
      </c>
      <c r="K2870">
        <v>0</v>
      </c>
      <c r="L2870">
        <v>2022</v>
      </c>
      <c r="N2870" t="s">
        <v>47</v>
      </c>
      <c r="O2870" t="s">
        <v>47</v>
      </c>
      <c r="P2870" t="s">
        <v>4417</v>
      </c>
    </row>
    <row r="2871" spans="1:16" x14ac:dyDescent="0.3">
      <c r="A2871" t="s">
        <v>7</v>
      </c>
      <c r="C2871">
        <v>30</v>
      </c>
      <c r="D2871" t="s">
        <v>10</v>
      </c>
      <c r="F2871" s="43">
        <v>44809.458333333336</v>
      </c>
      <c r="G2871" s="43">
        <v>44809.479166666664</v>
      </c>
      <c r="H2871">
        <v>11</v>
      </c>
      <c r="I2871">
        <v>0</v>
      </c>
      <c r="J2871">
        <v>11</v>
      </c>
      <c r="K2871">
        <v>30</v>
      </c>
      <c r="L2871">
        <v>2022</v>
      </c>
      <c r="N2871" t="s">
        <v>47</v>
      </c>
      <c r="O2871" t="s">
        <v>47</v>
      </c>
      <c r="P2871" t="s">
        <v>4405</v>
      </c>
    </row>
    <row r="2872" spans="1:16" x14ac:dyDescent="0.3">
      <c r="A2872" t="s">
        <v>3706</v>
      </c>
      <c r="B2872" t="s">
        <v>223</v>
      </c>
      <c r="C2872">
        <v>60</v>
      </c>
      <c r="D2872" t="s">
        <v>10</v>
      </c>
      <c r="E2872" t="s">
        <v>4223</v>
      </c>
      <c r="F2872" s="43">
        <v>44809.416666666664</v>
      </c>
      <c r="G2872" s="43">
        <v>44809.458333333336</v>
      </c>
      <c r="H2872">
        <v>10</v>
      </c>
      <c r="I2872">
        <v>0</v>
      </c>
      <c r="J2872">
        <v>11</v>
      </c>
      <c r="K2872">
        <v>0</v>
      </c>
      <c r="L2872">
        <v>2022</v>
      </c>
      <c r="N2872" t="s">
        <v>629</v>
      </c>
      <c r="O2872" t="s">
        <v>47</v>
      </c>
      <c r="P2872" t="s">
        <v>4408</v>
      </c>
    </row>
    <row r="2873" spans="1:16" x14ac:dyDescent="0.3">
      <c r="A2873" t="s">
        <v>8</v>
      </c>
      <c r="B2873" t="s">
        <v>6</v>
      </c>
      <c r="C2873">
        <v>60</v>
      </c>
      <c r="D2873" t="s">
        <v>10</v>
      </c>
      <c r="F2873" s="43">
        <v>44809.291666666664</v>
      </c>
      <c r="G2873" s="43">
        <v>44809.333333333336</v>
      </c>
      <c r="H2873">
        <v>7</v>
      </c>
      <c r="I2873">
        <v>0</v>
      </c>
      <c r="J2873">
        <v>8</v>
      </c>
      <c r="K2873">
        <v>0</v>
      </c>
      <c r="L2873">
        <v>2022</v>
      </c>
      <c r="N2873" t="s">
        <v>47</v>
      </c>
      <c r="O2873" t="s">
        <v>47</v>
      </c>
      <c r="P2873" t="s">
        <v>4409</v>
      </c>
    </row>
    <row r="2874" spans="1:16" x14ac:dyDescent="0.3">
      <c r="A2874" t="s">
        <v>4406</v>
      </c>
      <c r="B2874" t="s">
        <v>6</v>
      </c>
      <c r="C2874">
        <v>45</v>
      </c>
      <c r="D2874" t="s">
        <v>10</v>
      </c>
      <c r="E2874" t="s">
        <v>4269</v>
      </c>
      <c r="F2874" s="43">
        <v>44809.229166666664</v>
      </c>
      <c r="G2874" s="43">
        <v>44809.260416666664</v>
      </c>
      <c r="H2874">
        <v>5</v>
      </c>
      <c r="I2874">
        <v>30</v>
      </c>
      <c r="J2874">
        <v>6</v>
      </c>
      <c r="K2874">
        <v>15</v>
      </c>
      <c r="L2874">
        <v>2022</v>
      </c>
      <c r="N2874" t="s">
        <v>47</v>
      </c>
      <c r="O2874" t="s">
        <v>47</v>
      </c>
      <c r="P2874" t="s">
        <v>4407</v>
      </c>
    </row>
    <row r="2875" spans="1:16" x14ac:dyDescent="0.3">
      <c r="A2875" t="s">
        <v>4214</v>
      </c>
      <c r="B2875" t="s">
        <v>6</v>
      </c>
      <c r="C2875">
        <v>60</v>
      </c>
      <c r="D2875" t="s">
        <v>10</v>
      </c>
      <c r="E2875" t="s">
        <v>4410</v>
      </c>
      <c r="F2875" s="43">
        <v>44808.770833333336</v>
      </c>
      <c r="G2875" s="43">
        <v>44808.8125</v>
      </c>
      <c r="H2875">
        <v>18</v>
      </c>
      <c r="I2875">
        <v>30</v>
      </c>
      <c r="J2875">
        <v>19</v>
      </c>
      <c r="K2875">
        <v>30</v>
      </c>
      <c r="L2875">
        <v>2022</v>
      </c>
      <c r="N2875" t="s">
        <v>47</v>
      </c>
      <c r="O2875" t="s">
        <v>47</v>
      </c>
      <c r="P2875" t="s">
        <v>4411</v>
      </c>
    </row>
    <row r="2876" spans="1:16" x14ac:dyDescent="0.3">
      <c r="A2876" t="s">
        <v>4403</v>
      </c>
      <c r="B2876" t="s">
        <v>223</v>
      </c>
      <c r="C2876">
        <v>30</v>
      </c>
      <c r="D2876" t="s">
        <v>10</v>
      </c>
      <c r="E2876" t="s">
        <v>4260</v>
      </c>
      <c r="F2876" s="43">
        <v>44808.729166666664</v>
      </c>
      <c r="G2876" s="43">
        <v>44808.75</v>
      </c>
      <c r="H2876">
        <v>17</v>
      </c>
      <c r="I2876">
        <v>30</v>
      </c>
      <c r="J2876">
        <v>18</v>
      </c>
      <c r="K2876">
        <v>0</v>
      </c>
      <c r="L2876">
        <v>2022</v>
      </c>
      <c r="N2876" t="s">
        <v>47</v>
      </c>
      <c r="O2876" t="s">
        <v>47</v>
      </c>
      <c r="P2876" t="s">
        <v>4412</v>
      </c>
    </row>
    <row r="2877" spans="1:16" x14ac:dyDescent="0.3">
      <c r="A2877" t="s">
        <v>4403</v>
      </c>
      <c r="B2877" t="s">
        <v>223</v>
      </c>
      <c r="C2877">
        <v>40</v>
      </c>
      <c r="D2877" t="s">
        <v>10</v>
      </c>
      <c r="E2877" t="s">
        <v>4260</v>
      </c>
      <c r="F2877" s="43">
        <v>44808.680555555555</v>
      </c>
      <c r="G2877" s="43">
        <v>44808.708333333336</v>
      </c>
      <c r="H2877">
        <v>16</v>
      </c>
      <c r="I2877">
        <v>20</v>
      </c>
      <c r="J2877">
        <v>17</v>
      </c>
      <c r="K2877">
        <v>0</v>
      </c>
      <c r="L2877">
        <v>2022</v>
      </c>
      <c r="N2877" t="s">
        <v>47</v>
      </c>
      <c r="O2877" t="s">
        <v>47</v>
      </c>
      <c r="P2877" t="s">
        <v>4404</v>
      </c>
    </row>
    <row r="2878" spans="1:16" x14ac:dyDescent="0.3">
      <c r="A2878" t="s">
        <v>4401</v>
      </c>
      <c r="B2878" t="s">
        <v>4397</v>
      </c>
      <c r="C2878">
        <v>45</v>
      </c>
      <c r="D2878" t="s">
        <v>10</v>
      </c>
      <c r="E2878" t="s">
        <v>480</v>
      </c>
      <c r="F2878" s="43">
        <v>44808.604166666664</v>
      </c>
      <c r="G2878" s="43">
        <v>44808.635416666664</v>
      </c>
      <c r="H2878">
        <v>14</v>
      </c>
      <c r="I2878">
        <v>30</v>
      </c>
      <c r="J2878">
        <v>15</v>
      </c>
      <c r="K2878">
        <v>15</v>
      </c>
      <c r="L2878">
        <v>2022</v>
      </c>
      <c r="N2878" t="s">
        <v>47</v>
      </c>
      <c r="O2878" t="s">
        <v>47</v>
      </c>
      <c r="P2878" t="s">
        <v>4402</v>
      </c>
    </row>
    <row r="2879" spans="1:16" x14ac:dyDescent="0.3">
      <c r="A2879" t="s">
        <v>4016</v>
      </c>
      <c r="B2879" t="s">
        <v>4397</v>
      </c>
      <c r="C2879">
        <v>40</v>
      </c>
      <c r="D2879" t="s">
        <v>10</v>
      </c>
      <c r="E2879" t="s">
        <v>480</v>
      </c>
      <c r="F2879" s="43">
        <v>44808.555555555555</v>
      </c>
      <c r="G2879" s="43">
        <v>44808.583333333336</v>
      </c>
      <c r="H2879">
        <v>13</v>
      </c>
      <c r="I2879">
        <v>20</v>
      </c>
      <c r="J2879">
        <v>14</v>
      </c>
      <c r="K2879">
        <v>0</v>
      </c>
      <c r="L2879">
        <v>2022</v>
      </c>
      <c r="N2879" t="s">
        <v>47</v>
      </c>
      <c r="O2879" t="s">
        <v>47</v>
      </c>
      <c r="P2879" t="s">
        <v>4400</v>
      </c>
    </row>
    <row r="2880" spans="1:16" x14ac:dyDescent="0.3">
      <c r="A2880" t="s">
        <v>4016</v>
      </c>
      <c r="B2880" t="s">
        <v>4397</v>
      </c>
      <c r="C2880">
        <v>45</v>
      </c>
      <c r="D2880" t="s">
        <v>10</v>
      </c>
      <c r="E2880" t="s">
        <v>480</v>
      </c>
      <c r="F2880" s="43">
        <v>44808.5</v>
      </c>
      <c r="G2880" s="43">
        <v>44808.53125</v>
      </c>
      <c r="H2880">
        <v>12</v>
      </c>
      <c r="I2880">
        <v>0</v>
      </c>
      <c r="J2880">
        <v>12</v>
      </c>
      <c r="K2880">
        <v>45</v>
      </c>
      <c r="L2880">
        <v>2022</v>
      </c>
      <c r="N2880" t="s">
        <v>47</v>
      </c>
      <c r="O2880" t="s">
        <v>47</v>
      </c>
      <c r="P2880" t="s">
        <v>4399</v>
      </c>
    </row>
    <row r="2881" spans="1:16" x14ac:dyDescent="0.3">
      <c r="A2881" t="s">
        <v>4396</v>
      </c>
      <c r="B2881" t="s">
        <v>4397</v>
      </c>
      <c r="C2881">
        <v>60</v>
      </c>
      <c r="D2881" t="s">
        <v>10</v>
      </c>
      <c r="E2881" t="s">
        <v>480</v>
      </c>
      <c r="F2881" s="43">
        <v>44808.208333333336</v>
      </c>
      <c r="G2881" s="43">
        <v>44808.25</v>
      </c>
      <c r="H2881">
        <v>5</v>
      </c>
      <c r="I2881">
        <v>0</v>
      </c>
      <c r="J2881">
        <v>6</v>
      </c>
      <c r="K2881">
        <v>0</v>
      </c>
      <c r="L2881">
        <v>2022</v>
      </c>
      <c r="N2881" t="s">
        <v>47</v>
      </c>
      <c r="O2881" t="s">
        <v>47</v>
      </c>
      <c r="P2881" t="s">
        <v>4398</v>
      </c>
    </row>
    <row r="2882" spans="1:16" x14ac:dyDescent="0.3">
      <c r="A2882" t="s">
        <v>4393</v>
      </c>
      <c r="B2882" t="s">
        <v>109</v>
      </c>
      <c r="C2882">
        <v>60</v>
      </c>
      <c r="D2882" t="s">
        <v>10</v>
      </c>
      <c r="E2882" t="s">
        <v>480</v>
      </c>
      <c r="F2882" s="43">
        <v>44807.708333333336</v>
      </c>
      <c r="G2882" s="43">
        <v>44807.75</v>
      </c>
      <c r="H2882">
        <v>17</v>
      </c>
      <c r="I2882">
        <v>0</v>
      </c>
      <c r="J2882">
        <v>18</v>
      </c>
      <c r="K2882">
        <v>0</v>
      </c>
      <c r="L2882">
        <v>2022</v>
      </c>
      <c r="N2882" t="s">
        <v>47</v>
      </c>
      <c r="O2882" t="s">
        <v>47</v>
      </c>
      <c r="P2882" t="s">
        <v>4395</v>
      </c>
    </row>
    <row r="2883" spans="1:16" x14ac:dyDescent="0.3">
      <c r="A2883" t="s">
        <v>4393</v>
      </c>
      <c r="B2883" t="s">
        <v>109</v>
      </c>
      <c r="C2883">
        <v>60</v>
      </c>
      <c r="D2883" t="s">
        <v>10</v>
      </c>
      <c r="E2883" t="s">
        <v>480</v>
      </c>
      <c r="F2883" s="43">
        <v>44807.625</v>
      </c>
      <c r="G2883" s="43">
        <v>44807.666666666664</v>
      </c>
      <c r="H2883">
        <v>15</v>
      </c>
      <c r="I2883">
        <v>0</v>
      </c>
      <c r="J2883">
        <v>16</v>
      </c>
      <c r="K2883">
        <v>0</v>
      </c>
      <c r="L2883">
        <v>2022</v>
      </c>
      <c r="N2883" t="s">
        <v>47</v>
      </c>
      <c r="O2883" t="s">
        <v>47</v>
      </c>
      <c r="P2883" t="s">
        <v>4394</v>
      </c>
    </row>
    <row r="2884" spans="1:16" x14ac:dyDescent="0.3">
      <c r="A2884" t="s">
        <v>4388</v>
      </c>
      <c r="B2884" t="s">
        <v>6</v>
      </c>
      <c r="C2884">
        <v>120</v>
      </c>
      <c r="D2884" t="s">
        <v>10</v>
      </c>
      <c r="E2884" t="s">
        <v>4269</v>
      </c>
      <c r="F2884" s="43">
        <v>44807.25</v>
      </c>
      <c r="G2884" s="43">
        <v>44807.333333333336</v>
      </c>
      <c r="H2884">
        <v>6</v>
      </c>
      <c r="I2884">
        <v>0</v>
      </c>
      <c r="J2884">
        <v>8</v>
      </c>
      <c r="K2884">
        <v>0</v>
      </c>
      <c r="L2884">
        <v>2022</v>
      </c>
      <c r="N2884" t="s">
        <v>47</v>
      </c>
      <c r="O2884" t="s">
        <v>47</v>
      </c>
      <c r="P2884" t="s">
        <v>4392</v>
      </c>
    </row>
    <row r="2885" spans="1:16" x14ac:dyDescent="0.3">
      <c r="A2885" t="s">
        <v>4388</v>
      </c>
      <c r="B2885" t="s">
        <v>6</v>
      </c>
      <c r="C2885">
        <v>60</v>
      </c>
      <c r="D2885" t="s">
        <v>10</v>
      </c>
      <c r="E2885" t="s">
        <v>4269</v>
      </c>
      <c r="F2885" s="43">
        <v>44806.75</v>
      </c>
      <c r="G2885" s="43">
        <v>44806.791666666664</v>
      </c>
      <c r="H2885">
        <v>18</v>
      </c>
      <c r="I2885">
        <v>0</v>
      </c>
      <c r="J2885">
        <v>19</v>
      </c>
      <c r="K2885">
        <v>0</v>
      </c>
      <c r="L2885">
        <v>2022</v>
      </c>
      <c r="N2885" t="s">
        <v>47</v>
      </c>
      <c r="O2885" t="s">
        <v>47</v>
      </c>
      <c r="P2885" t="s">
        <v>4389</v>
      </c>
    </row>
    <row r="2886" spans="1:16" x14ac:dyDescent="0.3">
      <c r="A2886" t="s">
        <v>7</v>
      </c>
      <c r="B2886" t="s">
        <v>6</v>
      </c>
      <c r="C2886">
        <v>30</v>
      </c>
      <c r="D2886" t="s">
        <v>10</v>
      </c>
      <c r="E2886" t="s">
        <v>449</v>
      </c>
      <c r="F2886" s="43">
        <v>44806.708333333336</v>
      </c>
      <c r="G2886" s="43">
        <v>44806.729166666664</v>
      </c>
      <c r="H2886">
        <v>17</v>
      </c>
      <c r="I2886">
        <v>0</v>
      </c>
      <c r="J2886">
        <v>17</v>
      </c>
      <c r="K2886">
        <v>30</v>
      </c>
      <c r="L2886">
        <v>2022</v>
      </c>
      <c r="N2886" t="s">
        <v>47</v>
      </c>
      <c r="O2886" t="s">
        <v>47</v>
      </c>
      <c r="P2886" t="s">
        <v>4391</v>
      </c>
    </row>
    <row r="2887" spans="1:16" x14ac:dyDescent="0.3">
      <c r="A2887" t="s">
        <v>4373</v>
      </c>
      <c r="B2887" t="s">
        <v>225</v>
      </c>
      <c r="C2887">
        <v>60</v>
      </c>
      <c r="D2887" t="s">
        <v>10</v>
      </c>
      <c r="E2887" t="s">
        <v>784</v>
      </c>
      <c r="F2887" s="43">
        <v>44806.666666666664</v>
      </c>
      <c r="G2887" s="43">
        <v>44806.708333333336</v>
      </c>
      <c r="H2887">
        <v>16</v>
      </c>
      <c r="I2887">
        <v>0</v>
      </c>
      <c r="J2887">
        <v>17</v>
      </c>
      <c r="K2887">
        <v>0</v>
      </c>
      <c r="L2887">
        <v>2022</v>
      </c>
      <c r="N2887" t="s">
        <v>4365</v>
      </c>
      <c r="O2887" t="s">
        <v>783</v>
      </c>
      <c r="P2887" t="s">
        <v>4374</v>
      </c>
    </row>
    <row r="2888" spans="1:16" x14ac:dyDescent="0.3">
      <c r="A2888" t="s">
        <v>4388</v>
      </c>
      <c r="B2888" t="s">
        <v>6</v>
      </c>
      <c r="C2888">
        <v>60</v>
      </c>
      <c r="D2888" t="s">
        <v>10</v>
      </c>
      <c r="E2888" t="s">
        <v>4269</v>
      </c>
      <c r="F2888" s="43">
        <v>44806.583333333336</v>
      </c>
      <c r="G2888" s="43">
        <v>44806.625</v>
      </c>
      <c r="H2888">
        <v>14</v>
      </c>
      <c r="I2888">
        <v>0</v>
      </c>
      <c r="J2888">
        <v>15</v>
      </c>
      <c r="K2888">
        <v>0</v>
      </c>
      <c r="L2888">
        <v>2022</v>
      </c>
      <c r="N2888" t="s">
        <v>47</v>
      </c>
      <c r="O2888" t="s">
        <v>47</v>
      </c>
      <c r="P2888" t="s">
        <v>4390</v>
      </c>
    </row>
    <row r="2889" spans="1:16" x14ac:dyDescent="0.3">
      <c r="A2889" t="s">
        <v>827</v>
      </c>
      <c r="B2889" t="s">
        <v>6</v>
      </c>
      <c r="C2889">
        <v>15</v>
      </c>
      <c r="D2889" t="s">
        <v>10</v>
      </c>
      <c r="E2889" t="s">
        <v>515</v>
      </c>
      <c r="F2889" s="43">
        <v>44806.541666666664</v>
      </c>
      <c r="G2889" s="43">
        <v>44806.552083333336</v>
      </c>
      <c r="H2889">
        <v>13</v>
      </c>
      <c r="I2889">
        <v>0</v>
      </c>
      <c r="J2889">
        <v>13</v>
      </c>
      <c r="K2889">
        <v>15</v>
      </c>
      <c r="L2889">
        <v>2022</v>
      </c>
      <c r="N2889" t="s">
        <v>47</v>
      </c>
      <c r="O2889" t="s">
        <v>47</v>
      </c>
      <c r="P2889" t="s">
        <v>4370</v>
      </c>
    </row>
    <row r="2890" spans="1:16" x14ac:dyDescent="0.3">
      <c r="A2890" t="s">
        <v>4379</v>
      </c>
      <c r="B2890" t="s">
        <v>6</v>
      </c>
      <c r="C2890">
        <v>30</v>
      </c>
      <c r="D2890" t="s">
        <v>10</v>
      </c>
      <c r="E2890" t="s">
        <v>515</v>
      </c>
      <c r="F2890" s="43">
        <v>44806.520833333336</v>
      </c>
      <c r="G2890" s="43">
        <v>44806.541666666664</v>
      </c>
      <c r="H2890">
        <v>12</v>
      </c>
      <c r="I2890">
        <v>30</v>
      </c>
      <c r="J2890">
        <v>13</v>
      </c>
      <c r="K2890">
        <v>0</v>
      </c>
      <c r="L2890">
        <v>2022</v>
      </c>
      <c r="N2890" t="s">
        <v>4380</v>
      </c>
      <c r="O2890" t="s">
        <v>47</v>
      </c>
      <c r="P2890" t="s">
        <v>4381</v>
      </c>
    </row>
    <row r="2891" spans="1:16" x14ac:dyDescent="0.3">
      <c r="A2891" t="s">
        <v>4375</v>
      </c>
      <c r="B2891" t="s">
        <v>20</v>
      </c>
      <c r="C2891">
        <v>60</v>
      </c>
      <c r="D2891" t="s">
        <v>10</v>
      </c>
      <c r="E2891" t="s">
        <v>3548</v>
      </c>
      <c r="F2891" s="43">
        <v>44806.458333333336</v>
      </c>
      <c r="G2891" s="43">
        <v>44806.5</v>
      </c>
      <c r="H2891">
        <v>11</v>
      </c>
      <c r="I2891">
        <v>0</v>
      </c>
      <c r="J2891">
        <v>12</v>
      </c>
      <c r="K2891">
        <v>0</v>
      </c>
      <c r="L2891">
        <v>2022</v>
      </c>
      <c r="N2891" t="s">
        <v>4376</v>
      </c>
      <c r="O2891" t="s">
        <v>4377</v>
      </c>
      <c r="P2891" t="s">
        <v>4378</v>
      </c>
    </row>
    <row r="2892" spans="1:16" x14ac:dyDescent="0.3">
      <c r="A2892" t="s">
        <v>4373</v>
      </c>
      <c r="B2892" t="s">
        <v>225</v>
      </c>
      <c r="C2892">
        <v>60</v>
      </c>
      <c r="D2892" t="s">
        <v>10</v>
      </c>
      <c r="E2892" t="s">
        <v>1785</v>
      </c>
      <c r="F2892" s="43">
        <v>44806.416666666664</v>
      </c>
      <c r="G2892" s="43">
        <v>44806.458333333336</v>
      </c>
      <c r="H2892">
        <v>10</v>
      </c>
      <c r="I2892">
        <v>0</v>
      </c>
      <c r="J2892">
        <v>11</v>
      </c>
      <c r="K2892">
        <v>0</v>
      </c>
      <c r="L2892">
        <v>2022</v>
      </c>
      <c r="N2892" t="s">
        <v>4384</v>
      </c>
      <c r="O2892" t="s">
        <v>47</v>
      </c>
      <c r="P2892" t="s">
        <v>4385</v>
      </c>
    </row>
    <row r="2893" spans="1:16" x14ac:dyDescent="0.3">
      <c r="A2893" t="s">
        <v>8</v>
      </c>
      <c r="B2893" t="s">
        <v>6</v>
      </c>
      <c r="C2893">
        <v>30</v>
      </c>
      <c r="D2893" t="s">
        <v>10</v>
      </c>
      <c r="F2893" s="43">
        <v>44806.395833333336</v>
      </c>
      <c r="G2893" s="43">
        <v>44806.416666666664</v>
      </c>
      <c r="H2893">
        <v>9</v>
      </c>
      <c r="I2893">
        <v>30</v>
      </c>
      <c r="J2893">
        <v>10</v>
      </c>
      <c r="K2893">
        <v>0</v>
      </c>
      <c r="L2893">
        <v>2022</v>
      </c>
      <c r="N2893" t="s">
        <v>47</v>
      </c>
      <c r="O2893" t="s">
        <v>47</v>
      </c>
      <c r="P2893" t="s">
        <v>4371</v>
      </c>
    </row>
    <row r="2894" spans="1:16" x14ac:dyDescent="0.3">
      <c r="A2894" t="s">
        <v>4382</v>
      </c>
      <c r="C2894">
        <v>30</v>
      </c>
      <c r="D2894" t="s">
        <v>10</v>
      </c>
      <c r="F2894" s="43">
        <v>44806.375</v>
      </c>
      <c r="G2894" s="43">
        <v>44806.395833333336</v>
      </c>
      <c r="H2894">
        <v>9</v>
      </c>
      <c r="I2894">
        <v>0</v>
      </c>
      <c r="J2894">
        <v>9</v>
      </c>
      <c r="K2894">
        <v>30</v>
      </c>
      <c r="L2894">
        <v>2022</v>
      </c>
      <c r="N2894" t="s">
        <v>625</v>
      </c>
      <c r="O2894" t="s">
        <v>47</v>
      </c>
      <c r="P2894" t="s">
        <v>4383</v>
      </c>
    </row>
    <row r="2895" spans="1:16" x14ac:dyDescent="0.3">
      <c r="A2895" t="s">
        <v>3706</v>
      </c>
      <c r="B2895" t="s">
        <v>223</v>
      </c>
      <c r="C2895">
        <v>30</v>
      </c>
      <c r="D2895" t="s">
        <v>10</v>
      </c>
      <c r="E2895" t="s">
        <v>4260</v>
      </c>
      <c r="F2895" s="43">
        <v>44806.34375</v>
      </c>
      <c r="G2895" s="43">
        <v>44806.364583333336</v>
      </c>
      <c r="H2895">
        <v>8</v>
      </c>
      <c r="I2895">
        <v>15</v>
      </c>
      <c r="J2895">
        <v>8</v>
      </c>
      <c r="K2895">
        <v>45</v>
      </c>
      <c r="L2895">
        <v>2022</v>
      </c>
      <c r="N2895" t="s">
        <v>629</v>
      </c>
      <c r="O2895" t="s">
        <v>47</v>
      </c>
      <c r="P2895" t="s">
        <v>4386</v>
      </c>
    </row>
    <row r="2896" spans="1:16" x14ac:dyDescent="0.3">
      <c r="A2896" t="s">
        <v>8</v>
      </c>
      <c r="B2896" t="s">
        <v>6</v>
      </c>
      <c r="C2896">
        <v>30</v>
      </c>
      <c r="D2896" t="s">
        <v>10</v>
      </c>
      <c r="F2896" s="43">
        <v>44806.3125</v>
      </c>
      <c r="G2896" s="43">
        <v>44806.333333333336</v>
      </c>
      <c r="H2896">
        <v>7</v>
      </c>
      <c r="I2896">
        <v>30</v>
      </c>
      <c r="J2896">
        <v>8</v>
      </c>
      <c r="K2896">
        <v>0</v>
      </c>
      <c r="L2896">
        <v>2022</v>
      </c>
      <c r="N2896" t="s">
        <v>47</v>
      </c>
      <c r="O2896" t="s">
        <v>47</v>
      </c>
      <c r="P2896" t="s">
        <v>4372</v>
      </c>
    </row>
    <row r="2897" spans="1:16" x14ac:dyDescent="0.3">
      <c r="A2897" t="s">
        <v>8</v>
      </c>
      <c r="B2897" t="s">
        <v>6</v>
      </c>
      <c r="C2897">
        <v>44</v>
      </c>
      <c r="D2897" t="s">
        <v>10</v>
      </c>
      <c r="F2897" s="43">
        <v>44806.219444444447</v>
      </c>
      <c r="G2897" s="43">
        <v>44806.25</v>
      </c>
      <c r="H2897">
        <v>5</v>
      </c>
      <c r="I2897">
        <v>16</v>
      </c>
      <c r="J2897">
        <v>6</v>
      </c>
      <c r="K2897">
        <v>0</v>
      </c>
      <c r="L2897">
        <v>2022</v>
      </c>
      <c r="N2897" t="s">
        <v>47</v>
      </c>
      <c r="O2897" t="s">
        <v>47</v>
      </c>
      <c r="P2897" t="s">
        <v>4387</v>
      </c>
    </row>
    <row r="2898" spans="1:16" x14ac:dyDescent="0.3">
      <c r="A2898" t="s">
        <v>1139</v>
      </c>
      <c r="C2898">
        <v>30</v>
      </c>
      <c r="D2898" t="s">
        <v>10</v>
      </c>
      <c r="F2898" s="43">
        <v>44805.770833333336</v>
      </c>
      <c r="G2898" s="43">
        <v>44805.791666666664</v>
      </c>
      <c r="H2898">
        <v>18</v>
      </c>
      <c r="I2898">
        <v>30</v>
      </c>
      <c r="J2898">
        <v>19</v>
      </c>
      <c r="K2898">
        <v>0</v>
      </c>
      <c r="L2898">
        <v>2022</v>
      </c>
      <c r="N2898" t="s">
        <v>47</v>
      </c>
      <c r="O2898" t="s">
        <v>47</v>
      </c>
      <c r="P2898" t="s">
        <v>4369</v>
      </c>
    </row>
    <row r="2899" spans="1:16" x14ac:dyDescent="0.3">
      <c r="A2899" t="s">
        <v>7</v>
      </c>
      <c r="B2899" t="s">
        <v>6</v>
      </c>
      <c r="C2899">
        <v>30</v>
      </c>
      <c r="D2899" t="s">
        <v>10</v>
      </c>
      <c r="E2899" t="s">
        <v>449</v>
      </c>
      <c r="F2899" s="43">
        <v>44805.708333333336</v>
      </c>
      <c r="G2899" s="43">
        <v>44805.729166666664</v>
      </c>
      <c r="H2899">
        <v>17</v>
      </c>
      <c r="I2899">
        <v>0</v>
      </c>
      <c r="J2899">
        <v>17</v>
      </c>
      <c r="K2899">
        <v>30</v>
      </c>
      <c r="L2899">
        <v>2022</v>
      </c>
      <c r="N2899" t="s">
        <v>47</v>
      </c>
      <c r="O2899" t="s">
        <v>47</v>
      </c>
      <c r="P2899" t="s">
        <v>4368</v>
      </c>
    </row>
    <row r="2900" spans="1:16" x14ac:dyDescent="0.3">
      <c r="A2900" t="s">
        <v>783</v>
      </c>
      <c r="B2900" t="s">
        <v>225</v>
      </c>
      <c r="C2900">
        <v>40</v>
      </c>
      <c r="D2900" t="s">
        <v>10</v>
      </c>
      <c r="E2900" t="s">
        <v>784</v>
      </c>
      <c r="F2900" s="43">
        <v>44805.677083333336</v>
      </c>
      <c r="G2900" s="43">
        <v>44805.704861111109</v>
      </c>
      <c r="H2900">
        <v>16</v>
      </c>
      <c r="I2900">
        <v>15</v>
      </c>
      <c r="J2900">
        <v>16</v>
      </c>
      <c r="K2900">
        <v>55</v>
      </c>
      <c r="L2900">
        <v>2022</v>
      </c>
      <c r="N2900" t="s">
        <v>47</v>
      </c>
      <c r="O2900" t="s">
        <v>47</v>
      </c>
      <c r="P2900" t="s">
        <v>4367</v>
      </c>
    </row>
    <row r="2901" spans="1:16" x14ac:dyDescent="0.3">
      <c r="A2901" t="s">
        <v>4364</v>
      </c>
      <c r="B2901" t="s">
        <v>225</v>
      </c>
      <c r="C2901">
        <v>60</v>
      </c>
      <c r="D2901" t="s">
        <v>10</v>
      </c>
      <c r="E2901" t="s">
        <v>784</v>
      </c>
      <c r="F2901" s="43">
        <v>44805.625</v>
      </c>
      <c r="G2901" s="43">
        <v>44805.666666666664</v>
      </c>
      <c r="H2901">
        <v>15</v>
      </c>
      <c r="I2901">
        <v>0</v>
      </c>
      <c r="J2901">
        <v>16</v>
      </c>
      <c r="K2901">
        <v>0</v>
      </c>
      <c r="L2901">
        <v>2022</v>
      </c>
      <c r="N2901" t="s">
        <v>4365</v>
      </c>
      <c r="O2901" t="s">
        <v>783</v>
      </c>
      <c r="P2901" t="s">
        <v>4366</v>
      </c>
    </row>
    <row r="2902" spans="1:16" x14ac:dyDescent="0.3">
      <c r="A2902" t="s">
        <v>4351</v>
      </c>
      <c r="B2902" t="s">
        <v>20</v>
      </c>
      <c r="C2902">
        <v>30</v>
      </c>
      <c r="D2902" t="s">
        <v>10</v>
      </c>
      <c r="E2902" t="s">
        <v>1048</v>
      </c>
      <c r="F2902" s="43">
        <v>44805.5625</v>
      </c>
      <c r="G2902" s="43">
        <v>44805.583333333336</v>
      </c>
      <c r="H2902">
        <v>13</v>
      </c>
      <c r="I2902">
        <v>30</v>
      </c>
      <c r="J2902">
        <v>14</v>
      </c>
      <c r="K2902">
        <v>0</v>
      </c>
      <c r="L2902">
        <v>2022</v>
      </c>
      <c r="N2902" t="s">
        <v>47</v>
      </c>
      <c r="O2902" t="s">
        <v>47</v>
      </c>
      <c r="P2902" t="s">
        <v>4352</v>
      </c>
    </row>
    <row r="2903" spans="1:16" x14ac:dyDescent="0.3">
      <c r="A2903" t="s">
        <v>3626</v>
      </c>
      <c r="B2903" t="s">
        <v>20</v>
      </c>
      <c r="C2903">
        <v>30</v>
      </c>
      <c r="D2903" t="s">
        <v>10</v>
      </c>
      <c r="E2903" t="s">
        <v>4355</v>
      </c>
      <c r="F2903" s="43">
        <v>44805.541666666664</v>
      </c>
      <c r="G2903" s="43">
        <v>44805.5625</v>
      </c>
      <c r="H2903">
        <v>13</v>
      </c>
      <c r="I2903">
        <v>0</v>
      </c>
      <c r="J2903">
        <v>13</v>
      </c>
      <c r="K2903">
        <v>30</v>
      </c>
      <c r="L2903">
        <v>2022</v>
      </c>
      <c r="N2903" t="s">
        <v>519</v>
      </c>
      <c r="O2903" t="s">
        <v>47</v>
      </c>
      <c r="P2903" t="s">
        <v>4356</v>
      </c>
    </row>
    <row r="2904" spans="1:16" x14ac:dyDescent="0.3">
      <c r="A2904" t="s">
        <v>1419</v>
      </c>
      <c r="B2904" t="s">
        <v>20</v>
      </c>
      <c r="C2904">
        <v>30</v>
      </c>
      <c r="D2904" t="s">
        <v>10</v>
      </c>
      <c r="E2904" t="s">
        <v>2404</v>
      </c>
      <c r="F2904" s="43">
        <v>44805.479166666664</v>
      </c>
      <c r="G2904" s="43">
        <v>44805.5</v>
      </c>
      <c r="H2904">
        <v>11</v>
      </c>
      <c r="I2904">
        <v>30</v>
      </c>
      <c r="J2904">
        <v>12</v>
      </c>
      <c r="K2904">
        <v>0</v>
      </c>
      <c r="L2904">
        <v>2022</v>
      </c>
      <c r="N2904" t="s">
        <v>47</v>
      </c>
      <c r="O2904" t="s">
        <v>47</v>
      </c>
      <c r="P2904" t="s">
        <v>4350</v>
      </c>
    </row>
    <row r="2905" spans="1:16" x14ac:dyDescent="0.3">
      <c r="A2905" t="s">
        <v>4328</v>
      </c>
      <c r="C2905">
        <v>15</v>
      </c>
      <c r="D2905" t="s">
        <v>10</v>
      </c>
      <c r="E2905" t="s">
        <v>21</v>
      </c>
      <c r="F2905" s="43">
        <v>44805.447916666664</v>
      </c>
      <c r="G2905" s="43">
        <v>44805.458333333336</v>
      </c>
      <c r="H2905">
        <v>10</v>
      </c>
      <c r="I2905">
        <v>45</v>
      </c>
      <c r="J2905">
        <v>11</v>
      </c>
      <c r="K2905">
        <v>0</v>
      </c>
      <c r="L2905">
        <v>2022</v>
      </c>
      <c r="N2905" t="s">
        <v>4329</v>
      </c>
      <c r="O2905" t="s">
        <v>50</v>
      </c>
      <c r="P2905" t="s">
        <v>4330</v>
      </c>
    </row>
    <row r="2906" spans="1:16" x14ac:dyDescent="0.3">
      <c r="A2906" t="s">
        <v>783</v>
      </c>
      <c r="B2906" t="s">
        <v>225</v>
      </c>
      <c r="C2906">
        <v>30</v>
      </c>
      <c r="D2906" t="s">
        <v>10</v>
      </c>
      <c r="E2906" t="s">
        <v>784</v>
      </c>
      <c r="F2906" s="43">
        <v>44805.416666666664</v>
      </c>
      <c r="G2906" s="43">
        <v>44805.4375</v>
      </c>
      <c r="H2906">
        <v>10</v>
      </c>
      <c r="I2906">
        <v>0</v>
      </c>
      <c r="J2906">
        <v>10</v>
      </c>
      <c r="K2906">
        <v>30</v>
      </c>
      <c r="L2906">
        <v>2022</v>
      </c>
      <c r="N2906" t="s">
        <v>47</v>
      </c>
      <c r="O2906" t="s">
        <v>47</v>
      </c>
      <c r="P2906" t="s">
        <v>4353</v>
      </c>
    </row>
    <row r="2907" spans="1:16" x14ac:dyDescent="0.3">
      <c r="A2907" t="s">
        <v>4290</v>
      </c>
      <c r="B2907" t="s">
        <v>20</v>
      </c>
      <c r="C2907">
        <v>60</v>
      </c>
      <c r="D2907" t="s">
        <v>10</v>
      </c>
      <c r="E2907" t="s">
        <v>4291</v>
      </c>
      <c r="F2907" s="43">
        <v>44805.375</v>
      </c>
      <c r="G2907" s="43">
        <v>44805.416666666664</v>
      </c>
      <c r="H2907">
        <v>9</v>
      </c>
      <c r="I2907">
        <v>0</v>
      </c>
      <c r="J2907">
        <v>10</v>
      </c>
      <c r="K2907">
        <v>0</v>
      </c>
      <c r="L2907">
        <v>2022</v>
      </c>
      <c r="N2907" t="s">
        <v>4292</v>
      </c>
      <c r="O2907" t="s">
        <v>4293</v>
      </c>
      <c r="P2907" t="s">
        <v>4294</v>
      </c>
    </row>
    <row r="2908" spans="1:16" x14ac:dyDescent="0.3">
      <c r="A2908" t="s">
        <v>4298</v>
      </c>
      <c r="B2908" t="s">
        <v>109</v>
      </c>
      <c r="C2908">
        <v>90</v>
      </c>
      <c r="D2908" t="s">
        <v>10</v>
      </c>
      <c r="E2908" t="s">
        <v>461</v>
      </c>
      <c r="F2908" s="43">
        <v>44805.3125</v>
      </c>
      <c r="G2908" s="43">
        <v>44805.375</v>
      </c>
      <c r="H2908">
        <v>7</v>
      </c>
      <c r="I2908">
        <v>30</v>
      </c>
      <c r="J2908">
        <v>9</v>
      </c>
      <c r="K2908">
        <v>0</v>
      </c>
      <c r="L2908">
        <v>2022</v>
      </c>
      <c r="N2908" t="s">
        <v>47</v>
      </c>
      <c r="O2908" t="s">
        <v>47</v>
      </c>
      <c r="P2908" t="s">
        <v>4354</v>
      </c>
    </row>
    <row r="2909" spans="1:16" x14ac:dyDescent="0.3">
      <c r="A2909" t="s">
        <v>4298</v>
      </c>
      <c r="B2909" t="s">
        <v>109</v>
      </c>
      <c r="C2909">
        <v>120</v>
      </c>
      <c r="D2909" t="s">
        <v>10</v>
      </c>
      <c r="E2909" t="s">
        <v>461</v>
      </c>
      <c r="F2909" s="43">
        <v>44805.208333333336</v>
      </c>
      <c r="G2909" s="43">
        <v>44805.291666666664</v>
      </c>
      <c r="H2909">
        <v>5</v>
      </c>
      <c r="I2909">
        <v>0</v>
      </c>
      <c r="J2909">
        <v>7</v>
      </c>
      <c r="K2909">
        <v>0</v>
      </c>
      <c r="L2909">
        <v>2022</v>
      </c>
      <c r="N2909" t="s">
        <v>47</v>
      </c>
      <c r="O2909" t="s">
        <v>47</v>
      </c>
      <c r="P2909" t="s">
        <v>4357</v>
      </c>
    </row>
    <row r="2910" spans="1:16" x14ac:dyDescent="0.3">
      <c r="A2910" t="s">
        <v>4358</v>
      </c>
      <c r="C2910">
        <v>30</v>
      </c>
      <c r="D2910" t="s">
        <v>10</v>
      </c>
      <c r="F2910" s="43">
        <v>44805.1875</v>
      </c>
      <c r="G2910" s="43">
        <v>44805.208333333336</v>
      </c>
      <c r="H2910">
        <v>4</v>
      </c>
      <c r="I2910">
        <v>30</v>
      </c>
      <c r="J2910">
        <v>5</v>
      </c>
      <c r="K2910">
        <v>0</v>
      </c>
      <c r="L2910">
        <v>2022</v>
      </c>
      <c r="N2910" t="s">
        <v>47</v>
      </c>
      <c r="O2910" t="s">
        <v>47</v>
      </c>
      <c r="P2910" t="s">
        <v>4359</v>
      </c>
    </row>
    <row r="2911" spans="1:16" x14ac:dyDescent="0.3">
      <c r="A2911" t="s">
        <v>4360</v>
      </c>
      <c r="B2911" t="s">
        <v>20</v>
      </c>
      <c r="C2911">
        <v>30</v>
      </c>
      <c r="D2911" t="s">
        <v>10</v>
      </c>
      <c r="E2911" t="s">
        <v>1048</v>
      </c>
      <c r="F2911" s="43">
        <v>44805.166666666664</v>
      </c>
      <c r="G2911" s="43">
        <v>44805.1875</v>
      </c>
      <c r="H2911">
        <v>4</v>
      </c>
      <c r="I2911">
        <v>0</v>
      </c>
      <c r="J2911">
        <v>4</v>
      </c>
      <c r="K2911">
        <v>30</v>
      </c>
      <c r="L2911">
        <v>2022</v>
      </c>
      <c r="N2911" t="s">
        <v>47</v>
      </c>
      <c r="O2911" t="s">
        <v>47</v>
      </c>
      <c r="P2911" t="s">
        <v>4361</v>
      </c>
    </row>
    <row r="2912" spans="1:16" x14ac:dyDescent="0.3">
      <c r="A2912" t="s">
        <v>4298</v>
      </c>
      <c r="B2912" t="s">
        <v>109</v>
      </c>
      <c r="C2912">
        <v>90</v>
      </c>
      <c r="D2912" t="s">
        <v>10</v>
      </c>
      <c r="E2912" t="s">
        <v>461</v>
      </c>
      <c r="F2912" s="43">
        <v>44804.770833333336</v>
      </c>
      <c r="G2912" s="43">
        <v>44804.833333333336</v>
      </c>
      <c r="H2912">
        <v>18</v>
      </c>
      <c r="I2912">
        <v>30</v>
      </c>
      <c r="J2912">
        <v>20</v>
      </c>
      <c r="K2912">
        <v>0</v>
      </c>
      <c r="L2912">
        <v>2022</v>
      </c>
      <c r="N2912" t="s">
        <v>47</v>
      </c>
      <c r="O2912" t="s">
        <v>47</v>
      </c>
      <c r="P2912" t="s">
        <v>4362</v>
      </c>
    </row>
    <row r="2913" spans="1:16" x14ac:dyDescent="0.3">
      <c r="A2913" t="s">
        <v>4298</v>
      </c>
      <c r="B2913" t="s">
        <v>109</v>
      </c>
      <c r="C2913">
        <v>60</v>
      </c>
      <c r="D2913" t="s">
        <v>10</v>
      </c>
      <c r="E2913" t="s">
        <v>461</v>
      </c>
      <c r="F2913" s="43">
        <v>44804.666666666664</v>
      </c>
      <c r="G2913" s="43">
        <v>44804.708333333336</v>
      </c>
      <c r="H2913">
        <v>16</v>
      </c>
      <c r="I2913">
        <v>0</v>
      </c>
      <c r="J2913">
        <v>17</v>
      </c>
      <c r="K2913">
        <v>0</v>
      </c>
      <c r="L2913">
        <v>2022</v>
      </c>
      <c r="N2913" t="s">
        <v>47</v>
      </c>
      <c r="O2913" t="s">
        <v>47</v>
      </c>
      <c r="P2913" t="s">
        <v>4363</v>
      </c>
    </row>
    <row r="2914" spans="1:16" x14ac:dyDescent="0.3">
      <c r="A2914" t="s">
        <v>9</v>
      </c>
      <c r="B2914" t="s">
        <v>6</v>
      </c>
      <c r="C2914">
        <v>30</v>
      </c>
      <c r="D2914" t="s">
        <v>10</v>
      </c>
      <c r="E2914" t="s">
        <v>449</v>
      </c>
      <c r="F2914" s="43">
        <v>44804.625</v>
      </c>
      <c r="G2914" s="43">
        <v>44804.645833333336</v>
      </c>
      <c r="H2914">
        <v>15</v>
      </c>
      <c r="I2914">
        <v>0</v>
      </c>
      <c r="J2914">
        <v>15</v>
      </c>
      <c r="K2914">
        <v>30</v>
      </c>
      <c r="L2914">
        <v>2022</v>
      </c>
      <c r="N2914" t="s">
        <v>47</v>
      </c>
      <c r="O2914" t="s">
        <v>47</v>
      </c>
      <c r="P2914" t="s">
        <v>4349</v>
      </c>
    </row>
    <row r="2915" spans="1:16" x14ac:dyDescent="0.3">
      <c r="A2915" t="s">
        <v>4274</v>
      </c>
      <c r="B2915" t="s">
        <v>109</v>
      </c>
      <c r="C2915">
        <v>120</v>
      </c>
      <c r="D2915" t="s">
        <v>10</v>
      </c>
      <c r="E2915" t="s">
        <v>461</v>
      </c>
      <c r="F2915" s="43">
        <v>44804.541666666664</v>
      </c>
      <c r="G2915" s="43">
        <v>44804.625</v>
      </c>
      <c r="H2915">
        <v>13</v>
      </c>
      <c r="I2915">
        <v>0</v>
      </c>
      <c r="J2915">
        <v>15</v>
      </c>
      <c r="K2915">
        <v>0</v>
      </c>
      <c r="L2915">
        <v>2022</v>
      </c>
      <c r="N2915" t="s">
        <v>47</v>
      </c>
      <c r="O2915" t="s">
        <v>47</v>
      </c>
      <c r="P2915" t="s">
        <v>4348</v>
      </c>
    </row>
    <row r="2916" spans="1:16" x14ac:dyDescent="0.3">
      <c r="A2916" t="s">
        <v>4344</v>
      </c>
      <c r="B2916" t="s">
        <v>109</v>
      </c>
      <c r="C2916">
        <v>30</v>
      </c>
      <c r="D2916" t="s">
        <v>10</v>
      </c>
      <c r="E2916" t="s">
        <v>4345</v>
      </c>
      <c r="F2916" s="43">
        <v>44804.5</v>
      </c>
      <c r="G2916" s="43">
        <v>44804.520833333336</v>
      </c>
      <c r="H2916">
        <v>12</v>
      </c>
      <c r="I2916">
        <v>0</v>
      </c>
      <c r="J2916">
        <v>12</v>
      </c>
      <c r="K2916">
        <v>30</v>
      </c>
      <c r="L2916">
        <v>2022</v>
      </c>
      <c r="N2916" t="s">
        <v>4346</v>
      </c>
      <c r="O2916" t="s">
        <v>47</v>
      </c>
      <c r="P2916" t="s">
        <v>4347</v>
      </c>
    </row>
    <row r="2917" spans="1:16" x14ac:dyDescent="0.3">
      <c r="A2917" t="s">
        <v>4016</v>
      </c>
      <c r="B2917" t="s">
        <v>109</v>
      </c>
      <c r="C2917">
        <v>30</v>
      </c>
      <c r="D2917" t="s">
        <v>10</v>
      </c>
      <c r="E2917" t="s">
        <v>480</v>
      </c>
      <c r="F2917" s="43">
        <v>44804.479166666664</v>
      </c>
      <c r="G2917" s="43">
        <v>44804.5</v>
      </c>
      <c r="H2917">
        <v>11</v>
      </c>
      <c r="I2917">
        <v>30</v>
      </c>
      <c r="J2917">
        <v>12</v>
      </c>
      <c r="K2917">
        <v>0</v>
      </c>
      <c r="L2917">
        <v>2022</v>
      </c>
      <c r="N2917" t="s">
        <v>47</v>
      </c>
      <c r="O2917" t="s">
        <v>47</v>
      </c>
      <c r="P2917" t="s">
        <v>4339</v>
      </c>
    </row>
    <row r="2918" spans="1:16" x14ac:dyDescent="0.3">
      <c r="A2918" t="s">
        <v>3925</v>
      </c>
      <c r="B2918" t="s">
        <v>20</v>
      </c>
      <c r="C2918">
        <v>90</v>
      </c>
      <c r="D2918" t="s">
        <v>10</v>
      </c>
      <c r="E2918" t="s">
        <v>3926</v>
      </c>
      <c r="F2918" s="43">
        <v>44804.375</v>
      </c>
      <c r="G2918" s="43">
        <v>44804.4375</v>
      </c>
      <c r="H2918">
        <v>9</v>
      </c>
      <c r="I2918">
        <v>0</v>
      </c>
      <c r="J2918">
        <v>10</v>
      </c>
      <c r="K2918">
        <v>30</v>
      </c>
      <c r="L2918">
        <v>2022</v>
      </c>
      <c r="N2918" t="s">
        <v>3927</v>
      </c>
      <c r="O2918" t="s">
        <v>3928</v>
      </c>
      <c r="P2918" t="s">
        <v>3929</v>
      </c>
    </row>
    <row r="2919" spans="1:16" x14ac:dyDescent="0.3">
      <c r="A2919" t="s">
        <v>4286</v>
      </c>
      <c r="B2919" t="s">
        <v>20</v>
      </c>
      <c r="C2919">
        <v>60</v>
      </c>
      <c r="D2919" t="s">
        <v>10</v>
      </c>
      <c r="E2919" t="s">
        <v>4287</v>
      </c>
      <c r="F2919" s="43">
        <v>44804.333333333336</v>
      </c>
      <c r="G2919" s="43">
        <v>44804.375</v>
      </c>
      <c r="H2919">
        <v>8</v>
      </c>
      <c r="I2919">
        <v>0</v>
      </c>
      <c r="J2919">
        <v>9</v>
      </c>
      <c r="K2919">
        <v>0</v>
      </c>
      <c r="L2919">
        <v>2022</v>
      </c>
      <c r="N2919" t="s">
        <v>4288</v>
      </c>
      <c r="O2919" t="s">
        <v>4006</v>
      </c>
      <c r="P2919" t="s">
        <v>4289</v>
      </c>
    </row>
    <row r="2920" spans="1:16" x14ac:dyDescent="0.3">
      <c r="A2920" t="s">
        <v>4340</v>
      </c>
      <c r="B2920" t="s">
        <v>109</v>
      </c>
      <c r="C2920">
        <v>90</v>
      </c>
      <c r="D2920" t="s">
        <v>10</v>
      </c>
      <c r="E2920" t="s">
        <v>461</v>
      </c>
      <c r="F2920" s="43">
        <v>44804.25</v>
      </c>
      <c r="G2920" s="43">
        <v>44804.3125</v>
      </c>
      <c r="H2920">
        <v>6</v>
      </c>
      <c r="I2920">
        <v>0</v>
      </c>
      <c r="J2920">
        <v>7</v>
      </c>
      <c r="K2920">
        <v>30</v>
      </c>
      <c r="L2920">
        <v>2022</v>
      </c>
      <c r="N2920" t="s">
        <v>47</v>
      </c>
      <c r="O2920" t="s">
        <v>47</v>
      </c>
      <c r="P2920" t="s">
        <v>4341</v>
      </c>
    </row>
    <row r="2921" spans="1:16" x14ac:dyDescent="0.3">
      <c r="A2921" t="s">
        <v>4342</v>
      </c>
      <c r="C2921">
        <v>30</v>
      </c>
      <c r="D2921" t="s">
        <v>10</v>
      </c>
      <c r="F2921" s="43">
        <v>44804.208333333336</v>
      </c>
      <c r="G2921" s="43">
        <v>44804.229166666664</v>
      </c>
      <c r="H2921">
        <v>5</v>
      </c>
      <c r="I2921">
        <v>0</v>
      </c>
      <c r="J2921">
        <v>5</v>
      </c>
      <c r="K2921">
        <v>30</v>
      </c>
      <c r="L2921">
        <v>2022</v>
      </c>
      <c r="N2921" t="s">
        <v>47</v>
      </c>
      <c r="O2921" t="s">
        <v>47</v>
      </c>
      <c r="P2921" t="s">
        <v>4343</v>
      </c>
    </row>
    <row r="2922" spans="1:16" x14ac:dyDescent="0.3">
      <c r="A2922" t="s">
        <v>4298</v>
      </c>
      <c r="B2922" t="s">
        <v>109</v>
      </c>
      <c r="C2922">
        <v>90</v>
      </c>
      <c r="D2922" t="s">
        <v>10</v>
      </c>
      <c r="E2922" t="s">
        <v>461</v>
      </c>
      <c r="F2922" s="43">
        <v>44803.666666666664</v>
      </c>
      <c r="G2922" s="43">
        <v>44803.729166666664</v>
      </c>
      <c r="H2922">
        <v>16</v>
      </c>
      <c r="I2922">
        <v>0</v>
      </c>
      <c r="J2922">
        <v>17</v>
      </c>
      <c r="K2922">
        <v>30</v>
      </c>
      <c r="L2922">
        <v>2022</v>
      </c>
      <c r="N2922" t="s">
        <v>47</v>
      </c>
      <c r="O2922" t="s">
        <v>47</v>
      </c>
      <c r="P2922" t="s">
        <v>4338</v>
      </c>
    </row>
    <row r="2923" spans="1:16" x14ac:dyDescent="0.3">
      <c r="A2923" t="s">
        <v>4336</v>
      </c>
      <c r="B2923" t="s">
        <v>20</v>
      </c>
      <c r="C2923">
        <v>30</v>
      </c>
      <c r="D2923" t="s">
        <v>10</v>
      </c>
      <c r="E2923" t="s">
        <v>1048</v>
      </c>
      <c r="F2923" s="43">
        <v>44803.645833333336</v>
      </c>
      <c r="G2923" s="43">
        <v>44803.666666666664</v>
      </c>
      <c r="H2923">
        <v>15</v>
      </c>
      <c r="I2923">
        <v>30</v>
      </c>
      <c r="J2923">
        <v>16</v>
      </c>
      <c r="K2923">
        <v>0</v>
      </c>
      <c r="L2923">
        <v>2022</v>
      </c>
      <c r="N2923" t="s">
        <v>47</v>
      </c>
      <c r="O2923" t="s">
        <v>47</v>
      </c>
      <c r="P2923" t="s">
        <v>4337</v>
      </c>
    </row>
    <row r="2924" spans="1:16" x14ac:dyDescent="0.3">
      <c r="A2924" t="s">
        <v>7</v>
      </c>
      <c r="B2924" t="s">
        <v>6</v>
      </c>
      <c r="C2924">
        <v>30</v>
      </c>
      <c r="D2924" t="s">
        <v>10</v>
      </c>
      <c r="E2924" t="s">
        <v>449</v>
      </c>
      <c r="F2924" s="43">
        <v>44803.604166666664</v>
      </c>
      <c r="G2924" s="43">
        <v>44803.625</v>
      </c>
      <c r="H2924">
        <v>14</v>
      </c>
      <c r="I2924">
        <v>30</v>
      </c>
      <c r="J2924">
        <v>15</v>
      </c>
      <c r="K2924">
        <v>0</v>
      </c>
      <c r="L2924">
        <v>2022</v>
      </c>
      <c r="N2924" t="s">
        <v>47</v>
      </c>
      <c r="O2924" t="s">
        <v>47</v>
      </c>
      <c r="P2924" t="s">
        <v>4335</v>
      </c>
    </row>
    <row r="2925" spans="1:16" x14ac:dyDescent="0.3">
      <c r="A2925" t="s">
        <v>24</v>
      </c>
      <c r="B2925" t="s">
        <v>31</v>
      </c>
      <c r="C2925">
        <v>30</v>
      </c>
      <c r="D2925" t="s">
        <v>10</v>
      </c>
      <c r="F2925" s="43">
        <v>44803.583333333336</v>
      </c>
      <c r="G2925" s="43">
        <v>44803.604166666664</v>
      </c>
      <c r="H2925">
        <v>14</v>
      </c>
      <c r="I2925">
        <v>0</v>
      </c>
      <c r="J2925">
        <v>14</v>
      </c>
      <c r="K2925">
        <v>30</v>
      </c>
      <c r="L2925">
        <v>2022</v>
      </c>
      <c r="N2925" t="s">
        <v>47</v>
      </c>
      <c r="O2925" t="s">
        <v>47</v>
      </c>
      <c r="P2925" t="s">
        <v>695</v>
      </c>
    </row>
    <row r="2926" spans="1:16" x14ac:dyDescent="0.3">
      <c r="A2926" t="s">
        <v>4298</v>
      </c>
      <c r="B2926" t="s">
        <v>109</v>
      </c>
      <c r="C2926">
        <v>60</v>
      </c>
      <c r="D2926" t="s">
        <v>10</v>
      </c>
      <c r="E2926" t="s">
        <v>461</v>
      </c>
      <c r="F2926" s="43">
        <v>44803.520833333336</v>
      </c>
      <c r="G2926" s="43">
        <v>44803.5625</v>
      </c>
      <c r="H2926">
        <v>12</v>
      </c>
      <c r="I2926">
        <v>30</v>
      </c>
      <c r="J2926">
        <v>13</v>
      </c>
      <c r="K2926">
        <v>30</v>
      </c>
      <c r="L2926">
        <v>2022</v>
      </c>
      <c r="N2926" t="s">
        <v>47</v>
      </c>
      <c r="O2926" t="s">
        <v>47</v>
      </c>
      <c r="P2926" t="s">
        <v>4333</v>
      </c>
    </row>
    <row r="2927" spans="1:16" x14ac:dyDescent="0.3">
      <c r="A2927" t="s">
        <v>4331</v>
      </c>
      <c r="B2927" t="s">
        <v>20</v>
      </c>
      <c r="C2927">
        <v>30</v>
      </c>
      <c r="D2927" t="s">
        <v>10</v>
      </c>
      <c r="E2927" t="s">
        <v>1048</v>
      </c>
      <c r="F2927" s="43">
        <v>44803.5</v>
      </c>
      <c r="G2927" s="43">
        <v>44803.520833333336</v>
      </c>
      <c r="H2927">
        <v>12</v>
      </c>
      <c r="I2927">
        <v>0</v>
      </c>
      <c r="J2927">
        <v>12</v>
      </c>
      <c r="K2927">
        <v>30</v>
      </c>
      <c r="L2927">
        <v>2022</v>
      </c>
      <c r="N2927" t="s">
        <v>47</v>
      </c>
      <c r="O2927" t="s">
        <v>47</v>
      </c>
      <c r="P2927" t="s">
        <v>4332</v>
      </c>
    </row>
    <row r="2928" spans="1:16" x14ac:dyDescent="0.3">
      <c r="A2928" t="s">
        <v>4324</v>
      </c>
      <c r="B2928" t="s">
        <v>225</v>
      </c>
      <c r="C2928">
        <v>30</v>
      </c>
      <c r="D2928" t="s">
        <v>10</v>
      </c>
      <c r="E2928" t="s">
        <v>784</v>
      </c>
      <c r="F2928" s="43">
        <v>44803.479166666664</v>
      </c>
      <c r="G2928" s="43">
        <v>44803.5</v>
      </c>
      <c r="H2928">
        <v>11</v>
      </c>
      <c r="I2928">
        <v>30</v>
      </c>
      <c r="J2928">
        <v>12</v>
      </c>
      <c r="K2928">
        <v>0</v>
      </c>
      <c r="L2928">
        <v>2022</v>
      </c>
      <c r="N2928" t="s">
        <v>47</v>
      </c>
      <c r="O2928" t="s">
        <v>47</v>
      </c>
      <c r="P2928" t="s">
        <v>4325</v>
      </c>
    </row>
    <row r="2929" spans="1:16" x14ac:dyDescent="0.3">
      <c r="A2929" t="s">
        <v>17</v>
      </c>
      <c r="C2929">
        <v>30</v>
      </c>
      <c r="D2929" t="s">
        <v>10</v>
      </c>
      <c r="F2929" s="43">
        <v>44803.458333333336</v>
      </c>
      <c r="G2929" s="43">
        <v>44803.479166666664</v>
      </c>
      <c r="H2929">
        <v>11</v>
      </c>
      <c r="I2929">
        <v>0</v>
      </c>
      <c r="J2929">
        <v>11</v>
      </c>
      <c r="K2929">
        <v>30</v>
      </c>
      <c r="L2929">
        <v>2022</v>
      </c>
      <c r="N2929" t="s">
        <v>47</v>
      </c>
      <c r="O2929" t="s">
        <v>47</v>
      </c>
      <c r="P2929" t="s">
        <v>4327</v>
      </c>
    </row>
    <row r="2930" spans="1:16" x14ac:dyDescent="0.3">
      <c r="A2930" t="s">
        <v>1419</v>
      </c>
      <c r="B2930" t="s">
        <v>20</v>
      </c>
      <c r="C2930">
        <v>30</v>
      </c>
      <c r="D2930" t="s">
        <v>10</v>
      </c>
      <c r="E2930" t="s">
        <v>2404</v>
      </c>
      <c r="F2930" s="43">
        <v>44803.375</v>
      </c>
      <c r="G2930" s="43">
        <v>44803.395833333336</v>
      </c>
      <c r="H2930">
        <v>9</v>
      </c>
      <c r="I2930">
        <v>0</v>
      </c>
      <c r="J2930">
        <v>9</v>
      </c>
      <c r="K2930">
        <v>30</v>
      </c>
      <c r="L2930">
        <v>2022</v>
      </c>
      <c r="N2930" t="s">
        <v>47</v>
      </c>
      <c r="O2930" t="s">
        <v>47</v>
      </c>
      <c r="P2930" t="s">
        <v>4326</v>
      </c>
    </row>
    <row r="2931" spans="1:16" x14ac:dyDescent="0.3">
      <c r="A2931" t="s">
        <v>3973</v>
      </c>
      <c r="B2931" t="s">
        <v>20</v>
      </c>
      <c r="C2931">
        <v>120</v>
      </c>
      <c r="D2931" t="s">
        <v>10</v>
      </c>
      <c r="E2931" t="s">
        <v>3974</v>
      </c>
      <c r="F2931" s="43">
        <v>44803.25</v>
      </c>
      <c r="G2931" s="43">
        <v>44803.333333333336</v>
      </c>
      <c r="H2931">
        <v>6</v>
      </c>
      <c r="I2931">
        <v>0</v>
      </c>
      <c r="J2931">
        <v>8</v>
      </c>
      <c r="K2931">
        <v>0</v>
      </c>
      <c r="L2931">
        <v>2022</v>
      </c>
      <c r="N2931" t="s">
        <v>1399</v>
      </c>
      <c r="O2931" t="s">
        <v>1241</v>
      </c>
      <c r="P2931" t="s">
        <v>3975</v>
      </c>
    </row>
    <row r="2932" spans="1:16" x14ac:dyDescent="0.3">
      <c r="A2932" t="s">
        <v>3706</v>
      </c>
      <c r="B2932" t="s">
        <v>223</v>
      </c>
      <c r="C2932">
        <v>30</v>
      </c>
      <c r="D2932" t="s">
        <v>10</v>
      </c>
      <c r="E2932" t="s">
        <v>4306</v>
      </c>
      <c r="F2932" s="43">
        <v>44803.208333333336</v>
      </c>
      <c r="G2932" s="43">
        <v>44803.229166666664</v>
      </c>
      <c r="H2932">
        <v>5</v>
      </c>
      <c r="I2932">
        <v>0</v>
      </c>
      <c r="J2932">
        <v>5</v>
      </c>
      <c r="K2932">
        <v>30</v>
      </c>
      <c r="L2932">
        <v>2022</v>
      </c>
      <c r="N2932" t="s">
        <v>629</v>
      </c>
      <c r="O2932" t="s">
        <v>47</v>
      </c>
      <c r="P2932" t="s">
        <v>4307</v>
      </c>
    </row>
    <row r="2933" spans="1:16" x14ac:dyDescent="0.3">
      <c r="A2933" t="s">
        <v>4321</v>
      </c>
      <c r="B2933" t="s">
        <v>20</v>
      </c>
      <c r="C2933">
        <v>45</v>
      </c>
      <c r="D2933" t="s">
        <v>10</v>
      </c>
      <c r="E2933" t="s">
        <v>4322</v>
      </c>
      <c r="F2933" s="43">
        <v>44802.791666666664</v>
      </c>
      <c r="G2933" s="43">
        <v>44802.822916666664</v>
      </c>
      <c r="H2933">
        <v>19</v>
      </c>
      <c r="I2933">
        <v>0</v>
      </c>
      <c r="J2933">
        <v>19</v>
      </c>
      <c r="K2933">
        <v>45</v>
      </c>
      <c r="L2933">
        <v>2022</v>
      </c>
      <c r="N2933" t="s">
        <v>47</v>
      </c>
      <c r="O2933" t="s">
        <v>47</v>
      </c>
      <c r="P2933" t="s">
        <v>4323</v>
      </c>
    </row>
    <row r="2934" spans="1:16" x14ac:dyDescent="0.3">
      <c r="A2934" t="s">
        <v>4302</v>
      </c>
      <c r="B2934" t="s">
        <v>20</v>
      </c>
      <c r="C2934">
        <v>25</v>
      </c>
      <c r="D2934" t="s">
        <v>10</v>
      </c>
      <c r="E2934" t="s">
        <v>3548</v>
      </c>
      <c r="F2934" s="43">
        <v>44802.75</v>
      </c>
      <c r="G2934" s="43">
        <v>44802.767361111109</v>
      </c>
      <c r="H2934">
        <v>18</v>
      </c>
      <c r="I2934">
        <v>0</v>
      </c>
      <c r="J2934">
        <v>18</v>
      </c>
      <c r="K2934">
        <v>25</v>
      </c>
      <c r="L2934">
        <v>2022</v>
      </c>
      <c r="N2934" t="s">
        <v>1271</v>
      </c>
      <c r="O2934" t="s">
        <v>1272</v>
      </c>
      <c r="P2934" t="s">
        <v>4303</v>
      </c>
    </row>
    <row r="2935" spans="1:16" x14ac:dyDescent="0.3">
      <c r="A2935" t="s">
        <v>4315</v>
      </c>
      <c r="B2935" t="s">
        <v>6</v>
      </c>
      <c r="C2935">
        <v>30</v>
      </c>
      <c r="D2935" t="s">
        <v>10</v>
      </c>
      <c r="E2935" t="s">
        <v>449</v>
      </c>
      <c r="F2935" s="43">
        <v>44802.673611111109</v>
      </c>
      <c r="G2935" s="43">
        <v>44802.694444444445</v>
      </c>
      <c r="H2935">
        <v>16</v>
      </c>
      <c r="I2935">
        <v>10</v>
      </c>
      <c r="J2935">
        <v>16</v>
      </c>
      <c r="K2935">
        <v>40</v>
      </c>
      <c r="L2935">
        <v>2022</v>
      </c>
      <c r="N2935" t="s">
        <v>47</v>
      </c>
      <c r="O2935" t="s">
        <v>47</v>
      </c>
      <c r="P2935" t="s">
        <v>4316</v>
      </c>
    </row>
    <row r="2936" spans="1:16" x14ac:dyDescent="0.3">
      <c r="A2936" t="s">
        <v>4313</v>
      </c>
      <c r="B2936" t="s">
        <v>223</v>
      </c>
      <c r="C2936">
        <v>55</v>
      </c>
      <c r="D2936" t="s">
        <v>10</v>
      </c>
      <c r="E2936" t="s">
        <v>4260</v>
      </c>
      <c r="F2936" s="43">
        <v>44802.635416666664</v>
      </c>
      <c r="G2936" s="43">
        <v>44802.673611111109</v>
      </c>
      <c r="H2936">
        <v>15</v>
      </c>
      <c r="I2936">
        <v>15</v>
      </c>
      <c r="J2936">
        <v>16</v>
      </c>
      <c r="K2936">
        <v>10</v>
      </c>
      <c r="L2936">
        <v>2022</v>
      </c>
      <c r="N2936" t="s">
        <v>47</v>
      </c>
      <c r="O2936" t="s">
        <v>47</v>
      </c>
      <c r="P2936" t="s">
        <v>4314</v>
      </c>
    </row>
    <row r="2937" spans="1:16" x14ac:dyDescent="0.3">
      <c r="A2937" t="s">
        <v>4310</v>
      </c>
      <c r="B2937" t="s">
        <v>223</v>
      </c>
      <c r="C2937">
        <v>50</v>
      </c>
      <c r="D2937" t="s">
        <v>10</v>
      </c>
      <c r="E2937" t="s">
        <v>4260</v>
      </c>
      <c r="F2937" s="43">
        <v>44802.604166666664</v>
      </c>
      <c r="G2937" s="43">
        <v>44802.638888888891</v>
      </c>
      <c r="H2937">
        <v>14</v>
      </c>
      <c r="I2937">
        <v>30</v>
      </c>
      <c r="J2937">
        <v>15</v>
      </c>
      <c r="K2937">
        <v>20</v>
      </c>
      <c r="L2937">
        <v>2022</v>
      </c>
      <c r="N2937" t="s">
        <v>47</v>
      </c>
      <c r="O2937" t="s">
        <v>47</v>
      </c>
      <c r="P2937" t="s">
        <v>4311</v>
      </c>
    </row>
    <row r="2938" spans="1:16" x14ac:dyDescent="0.3">
      <c r="A2938" t="s">
        <v>4310</v>
      </c>
      <c r="B2938" t="s">
        <v>223</v>
      </c>
      <c r="C2938">
        <v>30</v>
      </c>
      <c r="D2938" t="s">
        <v>10</v>
      </c>
      <c r="E2938" t="s">
        <v>4260</v>
      </c>
      <c r="F2938" s="43">
        <v>44802.5625</v>
      </c>
      <c r="G2938" s="43">
        <v>44802.583333333336</v>
      </c>
      <c r="H2938">
        <v>13</v>
      </c>
      <c r="I2938">
        <v>30</v>
      </c>
      <c r="J2938">
        <v>14</v>
      </c>
      <c r="K2938">
        <v>0</v>
      </c>
      <c r="L2938">
        <v>2022</v>
      </c>
      <c r="N2938" t="s">
        <v>47</v>
      </c>
      <c r="O2938" t="s">
        <v>47</v>
      </c>
      <c r="P2938" t="s">
        <v>4312</v>
      </c>
    </row>
    <row r="2939" spans="1:16" x14ac:dyDescent="0.3">
      <c r="A2939" t="s">
        <v>4319</v>
      </c>
      <c r="B2939" t="s">
        <v>31</v>
      </c>
      <c r="C2939">
        <v>90</v>
      </c>
      <c r="D2939" t="s">
        <v>10</v>
      </c>
      <c r="F2939" s="43">
        <v>44802.5</v>
      </c>
      <c r="G2939" s="43">
        <v>44802.5625</v>
      </c>
      <c r="H2939">
        <v>12</v>
      </c>
      <c r="I2939">
        <v>0</v>
      </c>
      <c r="J2939">
        <v>13</v>
      </c>
      <c r="K2939">
        <v>30</v>
      </c>
      <c r="L2939">
        <v>2022</v>
      </c>
      <c r="N2939" t="s">
        <v>47</v>
      </c>
      <c r="O2939" t="s">
        <v>47</v>
      </c>
      <c r="P2939" t="s">
        <v>4320</v>
      </c>
    </row>
    <row r="2940" spans="1:16" x14ac:dyDescent="0.3">
      <c r="A2940" t="s">
        <v>446</v>
      </c>
      <c r="C2940">
        <v>40</v>
      </c>
      <c r="D2940" t="s">
        <v>10</v>
      </c>
      <c r="F2940" s="43">
        <v>44802.472222222219</v>
      </c>
      <c r="G2940" s="43">
        <v>44802.5</v>
      </c>
      <c r="H2940">
        <v>11</v>
      </c>
      <c r="I2940">
        <v>20</v>
      </c>
      <c r="J2940">
        <v>12</v>
      </c>
      <c r="K2940">
        <v>0</v>
      </c>
      <c r="L2940">
        <v>2022</v>
      </c>
      <c r="N2940" t="s">
        <v>47</v>
      </c>
      <c r="O2940" t="s">
        <v>47</v>
      </c>
      <c r="P2940" t="s">
        <v>4309</v>
      </c>
    </row>
    <row r="2941" spans="1:16" x14ac:dyDescent="0.3">
      <c r="A2941" t="s">
        <v>4298</v>
      </c>
      <c r="B2941" t="s">
        <v>109</v>
      </c>
      <c r="C2941">
        <v>50</v>
      </c>
      <c r="D2941" t="s">
        <v>10</v>
      </c>
      <c r="E2941" t="s">
        <v>461</v>
      </c>
      <c r="F2941" s="43">
        <v>44802.4375</v>
      </c>
      <c r="G2941" s="43">
        <v>44802.472222222219</v>
      </c>
      <c r="H2941">
        <v>10</v>
      </c>
      <c r="I2941">
        <v>30</v>
      </c>
      <c r="J2941">
        <v>11</v>
      </c>
      <c r="K2941">
        <v>20</v>
      </c>
      <c r="L2941">
        <v>2022</v>
      </c>
      <c r="N2941" t="s">
        <v>47</v>
      </c>
      <c r="O2941" t="s">
        <v>47</v>
      </c>
      <c r="P2941" t="s">
        <v>4308</v>
      </c>
    </row>
    <row r="2942" spans="1:16" x14ac:dyDescent="0.3">
      <c r="A2942" t="s">
        <v>4298</v>
      </c>
      <c r="B2942" t="s">
        <v>109</v>
      </c>
      <c r="C2942">
        <v>30</v>
      </c>
      <c r="D2942" t="s">
        <v>10</v>
      </c>
      <c r="E2942" t="s">
        <v>461</v>
      </c>
      <c r="F2942" s="43">
        <v>44802.395833333336</v>
      </c>
      <c r="G2942" s="43">
        <v>44802.416666666664</v>
      </c>
      <c r="H2942">
        <v>9</v>
      </c>
      <c r="I2942">
        <v>30</v>
      </c>
      <c r="J2942">
        <v>10</v>
      </c>
      <c r="K2942">
        <v>0</v>
      </c>
      <c r="L2942">
        <v>2022</v>
      </c>
      <c r="N2942" t="s">
        <v>47</v>
      </c>
      <c r="O2942" t="s">
        <v>47</v>
      </c>
      <c r="P2942" t="s">
        <v>4304</v>
      </c>
    </row>
    <row r="2943" spans="1:16" x14ac:dyDescent="0.3">
      <c r="A2943" t="s">
        <v>4298</v>
      </c>
      <c r="B2943" t="s">
        <v>109</v>
      </c>
      <c r="C2943">
        <v>30</v>
      </c>
      <c r="D2943" t="s">
        <v>10</v>
      </c>
      <c r="E2943" t="s">
        <v>461</v>
      </c>
      <c r="F2943" s="43">
        <v>44802.354166666664</v>
      </c>
      <c r="G2943" s="43">
        <v>44802.375</v>
      </c>
      <c r="H2943">
        <v>8</v>
      </c>
      <c r="I2943">
        <v>30</v>
      </c>
      <c r="J2943">
        <v>9</v>
      </c>
      <c r="K2943">
        <v>0</v>
      </c>
      <c r="L2943">
        <v>2022</v>
      </c>
      <c r="N2943" t="s">
        <v>47</v>
      </c>
      <c r="O2943" t="s">
        <v>47</v>
      </c>
      <c r="P2943" t="s">
        <v>4305</v>
      </c>
    </row>
    <row r="2944" spans="1:16" x14ac:dyDescent="0.3">
      <c r="A2944" t="s">
        <v>4317</v>
      </c>
      <c r="B2944" t="s">
        <v>31</v>
      </c>
      <c r="C2944">
        <v>90</v>
      </c>
      <c r="D2944" t="s">
        <v>10</v>
      </c>
      <c r="F2944" s="43">
        <v>44802.291666666664</v>
      </c>
      <c r="G2944" s="43">
        <v>44802.354166666664</v>
      </c>
      <c r="H2944">
        <v>7</v>
      </c>
      <c r="I2944">
        <v>0</v>
      </c>
      <c r="J2944">
        <v>8</v>
      </c>
      <c r="K2944">
        <v>30</v>
      </c>
      <c r="L2944">
        <v>2022</v>
      </c>
      <c r="N2944" t="s">
        <v>47</v>
      </c>
      <c r="O2944" t="s">
        <v>47</v>
      </c>
      <c r="P2944" t="s">
        <v>4318</v>
      </c>
    </row>
    <row r="2945" spans="1:16" x14ac:dyDescent="0.3">
      <c r="A2945" t="s">
        <v>3706</v>
      </c>
      <c r="B2945" t="s">
        <v>223</v>
      </c>
      <c r="C2945">
        <v>60</v>
      </c>
      <c r="D2945" t="s">
        <v>10</v>
      </c>
      <c r="E2945" t="s">
        <v>4223</v>
      </c>
      <c r="F2945" s="43">
        <v>44802.25</v>
      </c>
      <c r="G2945" s="43">
        <v>44802.291666666664</v>
      </c>
      <c r="H2945">
        <v>6</v>
      </c>
      <c r="I2945">
        <v>0</v>
      </c>
      <c r="J2945">
        <v>7</v>
      </c>
      <c r="K2945">
        <v>0</v>
      </c>
      <c r="L2945">
        <v>2022</v>
      </c>
      <c r="N2945" t="s">
        <v>629</v>
      </c>
      <c r="O2945" t="s">
        <v>47</v>
      </c>
      <c r="P2945" t="s">
        <v>4224</v>
      </c>
    </row>
    <row r="2946" spans="1:16" x14ac:dyDescent="0.3">
      <c r="A2946" t="s">
        <v>4295</v>
      </c>
      <c r="B2946" t="s">
        <v>223</v>
      </c>
      <c r="C2946">
        <v>45</v>
      </c>
      <c r="D2946" t="s">
        <v>10</v>
      </c>
      <c r="E2946" t="s">
        <v>4260</v>
      </c>
      <c r="F2946" s="43">
        <v>44802.21875</v>
      </c>
      <c r="G2946" s="43">
        <v>44802.25</v>
      </c>
      <c r="H2946">
        <v>5</v>
      </c>
      <c r="I2946">
        <v>15</v>
      </c>
      <c r="J2946">
        <v>6</v>
      </c>
      <c r="K2946">
        <v>0</v>
      </c>
      <c r="L2946">
        <v>2022</v>
      </c>
      <c r="N2946" t="s">
        <v>47</v>
      </c>
      <c r="O2946" t="s">
        <v>47</v>
      </c>
      <c r="P2946" t="s">
        <v>4301</v>
      </c>
    </row>
    <row r="2947" spans="1:16" x14ac:dyDescent="0.3">
      <c r="A2947" t="s">
        <v>4298</v>
      </c>
      <c r="B2947" t="s">
        <v>109</v>
      </c>
      <c r="C2947">
        <v>60</v>
      </c>
      <c r="D2947" t="s">
        <v>10</v>
      </c>
      <c r="E2947" t="s">
        <v>461</v>
      </c>
      <c r="F2947" s="43">
        <v>44801.770833333336</v>
      </c>
      <c r="G2947" s="43">
        <v>44801.8125</v>
      </c>
      <c r="H2947">
        <v>18</v>
      </c>
      <c r="I2947">
        <v>30</v>
      </c>
      <c r="J2947">
        <v>19</v>
      </c>
      <c r="K2947">
        <v>30</v>
      </c>
      <c r="L2947">
        <v>2022</v>
      </c>
      <c r="N2947" t="s">
        <v>47</v>
      </c>
      <c r="O2947" t="s">
        <v>47</v>
      </c>
      <c r="P2947" t="s">
        <v>4300</v>
      </c>
    </row>
    <row r="2948" spans="1:16" x14ac:dyDescent="0.3">
      <c r="A2948" t="s">
        <v>4298</v>
      </c>
      <c r="B2948" t="s">
        <v>109</v>
      </c>
      <c r="C2948">
        <v>60</v>
      </c>
      <c r="D2948" t="s">
        <v>10</v>
      </c>
      <c r="E2948" t="s">
        <v>461</v>
      </c>
      <c r="F2948" s="43">
        <v>44801.652777777781</v>
      </c>
      <c r="G2948" s="43">
        <v>44801.694444444445</v>
      </c>
      <c r="H2948">
        <v>15</v>
      </c>
      <c r="I2948">
        <v>40</v>
      </c>
      <c r="J2948">
        <v>16</v>
      </c>
      <c r="K2948">
        <v>40</v>
      </c>
      <c r="L2948">
        <v>2022</v>
      </c>
      <c r="N2948" t="s">
        <v>47</v>
      </c>
      <c r="O2948" t="s">
        <v>47</v>
      </c>
      <c r="P2948" t="s">
        <v>4299</v>
      </c>
    </row>
    <row r="2949" spans="1:16" x14ac:dyDescent="0.3">
      <c r="A2949" t="s">
        <v>4274</v>
      </c>
      <c r="B2949" t="s">
        <v>109</v>
      </c>
      <c r="C2949">
        <v>30</v>
      </c>
      <c r="D2949" t="s">
        <v>10</v>
      </c>
      <c r="E2949" t="s">
        <v>461</v>
      </c>
      <c r="F2949" s="43">
        <v>44801.604166666664</v>
      </c>
      <c r="G2949" s="43">
        <v>44801.625</v>
      </c>
      <c r="H2949">
        <v>14</v>
      </c>
      <c r="I2949">
        <v>30</v>
      </c>
      <c r="J2949">
        <v>15</v>
      </c>
      <c r="K2949">
        <v>0</v>
      </c>
      <c r="L2949">
        <v>2022</v>
      </c>
      <c r="N2949" t="s">
        <v>47</v>
      </c>
      <c r="O2949" t="s">
        <v>47</v>
      </c>
      <c r="P2949" t="s">
        <v>4297</v>
      </c>
    </row>
    <row r="2950" spans="1:16" x14ac:dyDescent="0.3">
      <c r="A2950" t="s">
        <v>4295</v>
      </c>
      <c r="B2950" t="s">
        <v>223</v>
      </c>
      <c r="C2950">
        <v>30</v>
      </c>
      <c r="D2950" t="s">
        <v>10</v>
      </c>
      <c r="E2950" t="s">
        <v>4260</v>
      </c>
      <c r="F2950" s="43">
        <v>44801.583333333336</v>
      </c>
      <c r="G2950" s="43">
        <v>44801.604166666664</v>
      </c>
      <c r="H2950">
        <v>14</v>
      </c>
      <c r="I2950">
        <v>0</v>
      </c>
      <c r="J2950">
        <v>14</v>
      </c>
      <c r="K2950">
        <v>30</v>
      </c>
      <c r="L2950">
        <v>2022</v>
      </c>
      <c r="N2950" t="s">
        <v>47</v>
      </c>
      <c r="O2950" t="s">
        <v>47</v>
      </c>
      <c r="P2950" t="s">
        <v>4296</v>
      </c>
    </row>
    <row r="2951" spans="1:16" x14ac:dyDescent="0.3">
      <c r="A2951" t="s">
        <v>827</v>
      </c>
      <c r="B2951" t="s">
        <v>6</v>
      </c>
      <c r="C2951">
        <v>45</v>
      </c>
      <c r="D2951" t="s">
        <v>10</v>
      </c>
      <c r="E2951" t="s">
        <v>515</v>
      </c>
      <c r="F2951" s="43">
        <v>44801.5</v>
      </c>
      <c r="G2951" s="43">
        <v>44801.53125</v>
      </c>
      <c r="H2951">
        <v>12</v>
      </c>
      <c r="I2951">
        <v>0</v>
      </c>
      <c r="J2951">
        <v>12</v>
      </c>
      <c r="K2951">
        <v>45</v>
      </c>
      <c r="L2951">
        <v>2022</v>
      </c>
      <c r="N2951" t="s">
        <v>47</v>
      </c>
      <c r="O2951" t="s">
        <v>47</v>
      </c>
      <c r="P2951" t="s">
        <v>4267</v>
      </c>
    </row>
    <row r="2952" spans="1:16" x14ac:dyDescent="0.3">
      <c r="A2952" t="s">
        <v>4268</v>
      </c>
      <c r="B2952" t="s">
        <v>6</v>
      </c>
      <c r="C2952">
        <v>30</v>
      </c>
      <c r="D2952" t="s">
        <v>10</v>
      </c>
      <c r="E2952" t="s">
        <v>4269</v>
      </c>
      <c r="F2952" s="43">
        <v>44801.395833333336</v>
      </c>
      <c r="G2952" s="43">
        <v>44801.416666666664</v>
      </c>
      <c r="H2952">
        <v>9</v>
      </c>
      <c r="I2952">
        <v>30</v>
      </c>
      <c r="J2952">
        <v>10</v>
      </c>
      <c r="K2952">
        <v>0</v>
      </c>
      <c r="L2952">
        <v>2022</v>
      </c>
      <c r="N2952" t="s">
        <v>47</v>
      </c>
      <c r="O2952" t="s">
        <v>47</v>
      </c>
      <c r="P2952" t="s">
        <v>4270</v>
      </c>
    </row>
    <row r="2953" spans="1:16" x14ac:dyDescent="0.3">
      <c r="A2953" t="s">
        <v>4271</v>
      </c>
      <c r="B2953" t="s">
        <v>6</v>
      </c>
      <c r="C2953">
        <v>30</v>
      </c>
      <c r="D2953" t="s">
        <v>10</v>
      </c>
      <c r="E2953" t="s">
        <v>649</v>
      </c>
      <c r="F2953" s="43">
        <v>44801.375</v>
      </c>
      <c r="G2953" s="43">
        <v>44801.395833333336</v>
      </c>
      <c r="H2953">
        <v>9</v>
      </c>
      <c r="I2953">
        <v>0</v>
      </c>
      <c r="J2953">
        <v>9</v>
      </c>
      <c r="K2953">
        <v>30</v>
      </c>
      <c r="L2953">
        <v>2022</v>
      </c>
      <c r="N2953" t="s">
        <v>47</v>
      </c>
      <c r="O2953" t="s">
        <v>47</v>
      </c>
      <c r="P2953" t="s">
        <v>4272</v>
      </c>
    </row>
    <row r="2954" spans="1:16" x14ac:dyDescent="0.3">
      <c r="A2954" t="s">
        <v>4265</v>
      </c>
      <c r="B2954" t="s">
        <v>6</v>
      </c>
      <c r="C2954">
        <v>60</v>
      </c>
      <c r="D2954" t="s">
        <v>10</v>
      </c>
      <c r="E2954" t="s">
        <v>649</v>
      </c>
      <c r="F2954" s="43">
        <v>44801.270833333336</v>
      </c>
      <c r="G2954" s="43">
        <v>44801.3125</v>
      </c>
      <c r="H2954">
        <v>6</v>
      </c>
      <c r="I2954">
        <v>30</v>
      </c>
      <c r="J2954">
        <v>7</v>
      </c>
      <c r="K2954">
        <v>30</v>
      </c>
      <c r="L2954">
        <v>2022</v>
      </c>
      <c r="N2954" t="s">
        <v>47</v>
      </c>
      <c r="O2954" t="s">
        <v>47</v>
      </c>
      <c r="P2954" t="s">
        <v>4273</v>
      </c>
    </row>
    <row r="2955" spans="1:16" x14ac:dyDescent="0.3">
      <c r="A2955" t="s">
        <v>4274</v>
      </c>
      <c r="B2955" t="s">
        <v>109</v>
      </c>
      <c r="C2955">
        <v>60</v>
      </c>
      <c r="D2955" t="s">
        <v>10</v>
      </c>
      <c r="E2955" t="s">
        <v>461</v>
      </c>
      <c r="F2955" s="43">
        <v>44800.770833333336</v>
      </c>
      <c r="G2955" s="43">
        <v>44800.8125</v>
      </c>
      <c r="H2955">
        <v>18</v>
      </c>
      <c r="I2955">
        <v>30</v>
      </c>
      <c r="J2955">
        <v>19</v>
      </c>
      <c r="K2955">
        <v>30</v>
      </c>
      <c r="L2955">
        <v>2022</v>
      </c>
      <c r="N2955" t="s">
        <v>47</v>
      </c>
      <c r="O2955" t="s">
        <v>47</v>
      </c>
      <c r="P2955" t="s">
        <v>4275</v>
      </c>
    </row>
    <row r="2956" spans="1:16" x14ac:dyDescent="0.3">
      <c r="A2956" t="s">
        <v>3149</v>
      </c>
      <c r="B2956" t="s">
        <v>223</v>
      </c>
      <c r="C2956">
        <v>30</v>
      </c>
      <c r="D2956" t="s">
        <v>10</v>
      </c>
      <c r="E2956" t="s">
        <v>4260</v>
      </c>
      <c r="F2956" s="43">
        <v>44800.677083333336</v>
      </c>
      <c r="G2956" s="43">
        <v>44800.697916666664</v>
      </c>
      <c r="H2956">
        <v>16</v>
      </c>
      <c r="I2956">
        <v>15</v>
      </c>
      <c r="J2956">
        <v>16</v>
      </c>
      <c r="K2956">
        <v>45</v>
      </c>
      <c r="L2956">
        <v>2022</v>
      </c>
      <c r="N2956" t="s">
        <v>47</v>
      </c>
      <c r="O2956" t="s">
        <v>47</v>
      </c>
      <c r="P2956" t="s">
        <v>4276</v>
      </c>
    </row>
    <row r="2957" spans="1:16" x14ac:dyDescent="0.3">
      <c r="A2957" t="s">
        <v>4277</v>
      </c>
      <c r="B2957" t="s">
        <v>6</v>
      </c>
      <c r="C2957">
        <v>50</v>
      </c>
      <c r="D2957" t="s">
        <v>10</v>
      </c>
      <c r="E2957" t="s">
        <v>649</v>
      </c>
      <c r="F2957" s="43">
        <v>44800.625</v>
      </c>
      <c r="G2957" s="43">
        <v>44800.659722222219</v>
      </c>
      <c r="H2957">
        <v>15</v>
      </c>
      <c r="I2957">
        <v>0</v>
      </c>
      <c r="J2957">
        <v>15</v>
      </c>
      <c r="K2957">
        <v>50</v>
      </c>
      <c r="L2957">
        <v>2022</v>
      </c>
      <c r="N2957" t="s">
        <v>47</v>
      </c>
      <c r="O2957" t="s">
        <v>47</v>
      </c>
      <c r="P2957" t="s">
        <v>4278</v>
      </c>
    </row>
    <row r="2958" spans="1:16" x14ac:dyDescent="0.3">
      <c r="A2958" t="s">
        <v>4279</v>
      </c>
      <c r="B2958" t="s">
        <v>225</v>
      </c>
      <c r="C2958">
        <v>150</v>
      </c>
      <c r="D2958" t="s">
        <v>10</v>
      </c>
      <c r="E2958" t="s">
        <v>784</v>
      </c>
      <c r="F2958" s="43">
        <v>44800.5</v>
      </c>
      <c r="G2958" s="43">
        <v>44800.604166666664</v>
      </c>
      <c r="H2958">
        <v>12</v>
      </c>
      <c r="I2958">
        <v>0</v>
      </c>
      <c r="J2958">
        <v>14</v>
      </c>
      <c r="K2958">
        <v>30</v>
      </c>
      <c r="L2958">
        <v>2022</v>
      </c>
      <c r="N2958" t="s">
        <v>47</v>
      </c>
      <c r="O2958" t="s">
        <v>47</v>
      </c>
      <c r="P2958" t="s">
        <v>4280</v>
      </c>
    </row>
    <row r="2959" spans="1:16" x14ac:dyDescent="0.3">
      <c r="A2959" t="s">
        <v>4265</v>
      </c>
      <c r="B2959" t="s">
        <v>6</v>
      </c>
      <c r="C2959">
        <v>45</v>
      </c>
      <c r="D2959" t="s">
        <v>10</v>
      </c>
      <c r="E2959" t="s">
        <v>649</v>
      </c>
      <c r="F2959" s="43">
        <v>44800.416666666664</v>
      </c>
      <c r="G2959" s="43">
        <v>44800.447916666664</v>
      </c>
      <c r="H2959">
        <v>10</v>
      </c>
      <c r="I2959">
        <v>0</v>
      </c>
      <c r="J2959">
        <v>10</v>
      </c>
      <c r="K2959">
        <v>45</v>
      </c>
      <c r="L2959">
        <v>2022</v>
      </c>
      <c r="N2959" t="s">
        <v>47</v>
      </c>
      <c r="O2959" t="s">
        <v>47</v>
      </c>
      <c r="P2959" t="s">
        <v>4285</v>
      </c>
    </row>
    <row r="2960" spans="1:16" x14ac:dyDescent="0.3">
      <c r="A2960" t="s">
        <v>4265</v>
      </c>
      <c r="B2960" t="s">
        <v>6</v>
      </c>
      <c r="C2960">
        <v>90</v>
      </c>
      <c r="D2960" t="s">
        <v>10</v>
      </c>
      <c r="E2960" t="s">
        <v>649</v>
      </c>
      <c r="F2960" s="43">
        <v>44800.25</v>
      </c>
      <c r="G2960" s="43">
        <v>44800.3125</v>
      </c>
      <c r="H2960">
        <v>6</v>
      </c>
      <c r="I2960">
        <v>0</v>
      </c>
      <c r="J2960">
        <v>7</v>
      </c>
      <c r="K2960">
        <v>30</v>
      </c>
      <c r="L2960">
        <v>2022</v>
      </c>
      <c r="N2960" t="s">
        <v>47</v>
      </c>
      <c r="O2960" t="s">
        <v>47</v>
      </c>
      <c r="P2960" t="s">
        <v>4266</v>
      </c>
    </row>
    <row r="2961" spans="1:18" x14ac:dyDescent="0.3">
      <c r="A2961" t="s">
        <v>4257</v>
      </c>
      <c r="C2961">
        <v>95</v>
      </c>
      <c r="D2961" t="s">
        <v>10</v>
      </c>
      <c r="F2961" s="43">
        <v>44799.760416666664</v>
      </c>
      <c r="G2961" s="43">
        <v>44799.826388888891</v>
      </c>
      <c r="H2961">
        <v>18</v>
      </c>
      <c r="I2961">
        <v>15</v>
      </c>
      <c r="J2961">
        <v>19</v>
      </c>
      <c r="K2961">
        <v>50</v>
      </c>
      <c r="L2961">
        <v>2022</v>
      </c>
      <c r="N2961" t="s">
        <v>47</v>
      </c>
      <c r="O2961" t="s">
        <v>47</v>
      </c>
      <c r="P2961" t="s">
        <v>4258</v>
      </c>
      <c r="Q2961" t="s">
        <v>6</v>
      </c>
      <c r="R2961" s="41" t="s">
        <v>9112</v>
      </c>
    </row>
    <row r="2962" spans="1:18" x14ac:dyDescent="0.3">
      <c r="A2962" t="s">
        <v>4259</v>
      </c>
      <c r="B2962" t="s">
        <v>223</v>
      </c>
      <c r="C2962">
        <v>60</v>
      </c>
      <c r="D2962" t="s">
        <v>10</v>
      </c>
      <c r="E2962" t="s">
        <v>4260</v>
      </c>
      <c r="F2962" s="43">
        <v>44799.645833333336</v>
      </c>
      <c r="G2962" s="43">
        <v>44799.6875</v>
      </c>
      <c r="H2962">
        <v>15</v>
      </c>
      <c r="I2962">
        <v>30</v>
      </c>
      <c r="J2962">
        <v>16</v>
      </c>
      <c r="K2962">
        <v>30</v>
      </c>
      <c r="L2962">
        <v>2022</v>
      </c>
      <c r="N2962" t="s">
        <v>47</v>
      </c>
      <c r="O2962" t="s">
        <v>47</v>
      </c>
      <c r="P2962" t="s">
        <v>4261</v>
      </c>
    </row>
    <row r="2963" spans="1:18" x14ac:dyDescent="0.3">
      <c r="A2963" t="s">
        <v>7</v>
      </c>
      <c r="B2963" t="s">
        <v>6</v>
      </c>
      <c r="C2963">
        <v>30</v>
      </c>
      <c r="D2963" t="s">
        <v>10</v>
      </c>
      <c r="E2963" t="s">
        <v>449</v>
      </c>
      <c r="F2963" s="43">
        <v>44799.583333333336</v>
      </c>
      <c r="G2963" s="43">
        <v>44799.604166666664</v>
      </c>
      <c r="H2963">
        <v>14</v>
      </c>
      <c r="I2963">
        <v>0</v>
      </c>
      <c r="J2963">
        <v>14</v>
      </c>
      <c r="K2963">
        <v>30</v>
      </c>
      <c r="L2963">
        <v>2022</v>
      </c>
      <c r="N2963" t="s">
        <v>47</v>
      </c>
      <c r="O2963" t="s">
        <v>47</v>
      </c>
      <c r="P2963" t="s">
        <v>4262</v>
      </c>
    </row>
    <row r="2964" spans="1:18" x14ac:dyDescent="0.3">
      <c r="A2964" t="s">
        <v>4230</v>
      </c>
      <c r="B2964" t="s">
        <v>20</v>
      </c>
      <c r="C2964">
        <v>30</v>
      </c>
      <c r="D2964" t="s">
        <v>10</v>
      </c>
      <c r="E2964" t="s">
        <v>4231</v>
      </c>
      <c r="F2964" s="43">
        <v>44799.5625</v>
      </c>
      <c r="G2964" s="43">
        <v>44799.583333333336</v>
      </c>
      <c r="H2964">
        <v>13</v>
      </c>
      <c r="I2964">
        <v>30</v>
      </c>
      <c r="J2964">
        <v>14</v>
      </c>
      <c r="K2964">
        <v>0</v>
      </c>
      <c r="L2964">
        <v>2022</v>
      </c>
      <c r="N2964" t="s">
        <v>570</v>
      </c>
      <c r="O2964" t="s">
        <v>47</v>
      </c>
      <c r="P2964" t="s">
        <v>4232</v>
      </c>
    </row>
    <row r="2965" spans="1:18" x14ac:dyDescent="0.3">
      <c r="A2965" t="s">
        <v>4220</v>
      </c>
      <c r="B2965" t="s">
        <v>20</v>
      </c>
      <c r="C2965">
        <v>30</v>
      </c>
      <c r="D2965" t="s">
        <v>10</v>
      </c>
      <c r="E2965" t="s">
        <v>4221</v>
      </c>
      <c r="F2965" s="43">
        <v>44799.541666666664</v>
      </c>
      <c r="G2965" s="43">
        <v>44799.5625</v>
      </c>
      <c r="H2965">
        <v>13</v>
      </c>
      <c r="I2965">
        <v>0</v>
      </c>
      <c r="J2965">
        <v>13</v>
      </c>
      <c r="K2965">
        <v>30</v>
      </c>
      <c r="L2965">
        <v>2022</v>
      </c>
      <c r="N2965" t="s">
        <v>47</v>
      </c>
      <c r="O2965" t="s">
        <v>47</v>
      </c>
      <c r="P2965" t="s">
        <v>4264</v>
      </c>
    </row>
    <row r="2966" spans="1:18" x14ac:dyDescent="0.3">
      <c r="A2966" t="s">
        <v>8</v>
      </c>
      <c r="B2966" t="s">
        <v>6</v>
      </c>
      <c r="C2966">
        <v>30</v>
      </c>
      <c r="D2966" t="s">
        <v>10</v>
      </c>
      <c r="F2966" s="43">
        <v>44799.520833333336</v>
      </c>
      <c r="G2966" s="43">
        <v>44799.541666666664</v>
      </c>
      <c r="H2966">
        <v>12</v>
      </c>
      <c r="I2966">
        <v>30</v>
      </c>
      <c r="J2966">
        <v>13</v>
      </c>
      <c r="K2966">
        <v>0</v>
      </c>
      <c r="L2966">
        <v>2022</v>
      </c>
      <c r="N2966" t="s">
        <v>47</v>
      </c>
      <c r="O2966" t="s">
        <v>47</v>
      </c>
      <c r="P2966" t="s">
        <v>4263</v>
      </c>
    </row>
    <row r="2967" spans="1:18" x14ac:dyDescent="0.3">
      <c r="A2967" t="s">
        <v>4225</v>
      </c>
      <c r="C2967">
        <v>30</v>
      </c>
      <c r="D2967" t="s">
        <v>10</v>
      </c>
      <c r="E2967" t="s">
        <v>4226</v>
      </c>
      <c r="F2967" s="43">
        <v>44799.458333333336</v>
      </c>
      <c r="G2967" s="43">
        <v>44799.479166666664</v>
      </c>
      <c r="H2967">
        <v>11</v>
      </c>
      <c r="I2967">
        <v>0</v>
      </c>
      <c r="J2967">
        <v>11</v>
      </c>
      <c r="K2967">
        <v>30</v>
      </c>
      <c r="L2967">
        <v>2022</v>
      </c>
      <c r="N2967" t="s">
        <v>4227</v>
      </c>
      <c r="O2967" t="s">
        <v>48</v>
      </c>
      <c r="P2967" t="s">
        <v>4228</v>
      </c>
    </row>
    <row r="2968" spans="1:18" x14ac:dyDescent="0.3">
      <c r="A2968" t="s">
        <v>1222</v>
      </c>
      <c r="C2968">
        <v>30</v>
      </c>
      <c r="D2968" t="s">
        <v>10</v>
      </c>
      <c r="F2968" s="43">
        <v>44799.416666666664</v>
      </c>
      <c r="G2968" s="43">
        <v>44799.4375</v>
      </c>
      <c r="H2968">
        <v>10</v>
      </c>
      <c r="I2968">
        <v>0</v>
      </c>
      <c r="J2968">
        <v>10</v>
      </c>
      <c r="K2968">
        <v>30</v>
      </c>
      <c r="L2968">
        <v>2022</v>
      </c>
      <c r="N2968" t="s">
        <v>47</v>
      </c>
      <c r="O2968" t="s">
        <v>47</v>
      </c>
      <c r="P2968" t="s">
        <v>4219</v>
      </c>
    </row>
    <row r="2969" spans="1:18" x14ac:dyDescent="0.3">
      <c r="A2969" t="s">
        <v>4220</v>
      </c>
      <c r="B2969" t="s">
        <v>109</v>
      </c>
      <c r="C2969">
        <v>30</v>
      </c>
      <c r="D2969" t="s">
        <v>10</v>
      </c>
      <c r="E2969" t="s">
        <v>4221</v>
      </c>
      <c r="F2969" s="43">
        <v>44799.395833333336</v>
      </c>
      <c r="G2969" s="43">
        <v>44799.416666666664</v>
      </c>
      <c r="H2969">
        <v>9</v>
      </c>
      <c r="I2969">
        <v>30</v>
      </c>
      <c r="J2969">
        <v>10</v>
      </c>
      <c r="K2969">
        <v>0</v>
      </c>
      <c r="L2969">
        <v>2022</v>
      </c>
      <c r="N2969" t="s">
        <v>47</v>
      </c>
      <c r="O2969" t="s">
        <v>47</v>
      </c>
      <c r="P2969" t="s">
        <v>4222</v>
      </c>
    </row>
    <row r="2970" spans="1:18" x14ac:dyDescent="0.3">
      <c r="A2970" t="s">
        <v>3976</v>
      </c>
      <c r="B2970" t="s">
        <v>20</v>
      </c>
      <c r="C2970">
        <v>120</v>
      </c>
      <c r="D2970" t="s">
        <v>10</v>
      </c>
      <c r="E2970" t="s">
        <v>3974</v>
      </c>
      <c r="F2970" s="43">
        <v>44799.25</v>
      </c>
      <c r="G2970" s="43">
        <v>44799.333333333336</v>
      </c>
      <c r="H2970">
        <v>6</v>
      </c>
      <c r="I2970">
        <v>0</v>
      </c>
      <c r="J2970">
        <v>8</v>
      </c>
      <c r="K2970">
        <v>0</v>
      </c>
      <c r="L2970">
        <v>2022</v>
      </c>
      <c r="N2970" t="s">
        <v>1399</v>
      </c>
      <c r="O2970" t="s">
        <v>1241</v>
      </c>
      <c r="P2970" t="s">
        <v>3977</v>
      </c>
    </row>
    <row r="2971" spans="1:18" x14ac:dyDescent="0.3">
      <c r="A2971" t="s">
        <v>4220</v>
      </c>
      <c r="B2971" t="s">
        <v>109</v>
      </c>
      <c r="C2971">
        <v>60</v>
      </c>
      <c r="D2971" t="s">
        <v>10</v>
      </c>
      <c r="E2971" t="s">
        <v>4221</v>
      </c>
      <c r="F2971" s="43">
        <v>44799.208333333336</v>
      </c>
      <c r="G2971" s="43">
        <v>44799.25</v>
      </c>
      <c r="H2971">
        <v>5</v>
      </c>
      <c r="I2971">
        <v>0</v>
      </c>
      <c r="J2971">
        <v>6</v>
      </c>
      <c r="K2971">
        <v>0</v>
      </c>
      <c r="L2971">
        <v>2022</v>
      </c>
      <c r="N2971" t="s">
        <v>47</v>
      </c>
      <c r="O2971" t="s">
        <v>47</v>
      </c>
      <c r="P2971" t="s">
        <v>4229</v>
      </c>
    </row>
    <row r="2972" spans="1:18" x14ac:dyDescent="0.3">
      <c r="A2972" t="s">
        <v>4025</v>
      </c>
      <c r="C2972">
        <v>0</v>
      </c>
      <c r="D2972" t="s">
        <v>10</v>
      </c>
      <c r="E2972" t="s">
        <v>4026</v>
      </c>
      <c r="F2972" s="43">
        <v>44799.166666666664</v>
      </c>
      <c r="G2972" s="43">
        <v>44799.166666666664</v>
      </c>
      <c r="H2972">
        <v>4</v>
      </c>
      <c r="I2972">
        <v>0</v>
      </c>
      <c r="J2972">
        <v>4</v>
      </c>
      <c r="K2972">
        <v>0</v>
      </c>
      <c r="L2972">
        <v>2022</v>
      </c>
      <c r="N2972" t="s">
        <v>4027</v>
      </c>
      <c r="O2972" t="s">
        <v>458</v>
      </c>
      <c r="P2972" t="s">
        <v>4028</v>
      </c>
    </row>
    <row r="2973" spans="1:18" x14ac:dyDescent="0.3">
      <c r="A2973" t="s">
        <v>8</v>
      </c>
      <c r="B2973" t="s">
        <v>6</v>
      </c>
      <c r="C2973">
        <v>15</v>
      </c>
      <c r="D2973" t="s">
        <v>10</v>
      </c>
      <c r="F2973" s="43">
        <v>44798.826388888891</v>
      </c>
      <c r="G2973" s="43">
        <v>44798.836805555555</v>
      </c>
      <c r="H2973">
        <v>19</v>
      </c>
      <c r="I2973">
        <v>50</v>
      </c>
      <c r="J2973">
        <v>20</v>
      </c>
      <c r="K2973">
        <v>5</v>
      </c>
      <c r="L2973">
        <v>2022</v>
      </c>
      <c r="N2973" t="s">
        <v>47</v>
      </c>
      <c r="O2973" t="s">
        <v>47</v>
      </c>
      <c r="P2973" t="s">
        <v>4233</v>
      </c>
    </row>
    <row r="2974" spans="1:18" x14ac:dyDescent="0.3">
      <c r="A2974" t="s">
        <v>4220</v>
      </c>
      <c r="B2974" t="s">
        <v>109</v>
      </c>
      <c r="C2974">
        <v>60</v>
      </c>
      <c r="D2974" t="s">
        <v>10</v>
      </c>
      <c r="E2974" t="s">
        <v>4221</v>
      </c>
      <c r="F2974" s="43">
        <v>44798.770833333336</v>
      </c>
      <c r="G2974" s="43">
        <v>44798.8125</v>
      </c>
      <c r="H2974">
        <v>18</v>
      </c>
      <c r="I2974">
        <v>30</v>
      </c>
      <c r="J2974">
        <v>19</v>
      </c>
      <c r="K2974">
        <v>30</v>
      </c>
      <c r="L2974">
        <v>2022</v>
      </c>
      <c r="N2974" t="s">
        <v>47</v>
      </c>
      <c r="O2974" t="s">
        <v>47</v>
      </c>
      <c r="P2974" t="s">
        <v>4234</v>
      </c>
    </row>
    <row r="2975" spans="1:18" x14ac:dyDescent="0.3">
      <c r="A2975" t="s">
        <v>4220</v>
      </c>
      <c r="B2975" t="s">
        <v>109</v>
      </c>
      <c r="C2975">
        <v>90</v>
      </c>
      <c r="D2975" t="s">
        <v>10</v>
      </c>
      <c r="E2975" t="s">
        <v>4221</v>
      </c>
      <c r="F2975" s="43">
        <v>44798.666666666664</v>
      </c>
      <c r="G2975" s="43">
        <v>44798.729166666664</v>
      </c>
      <c r="H2975">
        <v>16</v>
      </c>
      <c r="I2975">
        <v>0</v>
      </c>
      <c r="J2975">
        <v>17</v>
      </c>
      <c r="K2975">
        <v>30</v>
      </c>
      <c r="L2975">
        <v>2022</v>
      </c>
      <c r="N2975" t="s">
        <v>47</v>
      </c>
      <c r="O2975" t="s">
        <v>47</v>
      </c>
      <c r="P2975" t="s">
        <v>4235</v>
      </c>
    </row>
    <row r="2976" spans="1:18" x14ac:dyDescent="0.3">
      <c r="A2976" t="s">
        <v>4220</v>
      </c>
      <c r="B2976" t="s">
        <v>109</v>
      </c>
      <c r="C2976">
        <v>60</v>
      </c>
      <c r="D2976" t="s">
        <v>10</v>
      </c>
      <c r="E2976" t="s">
        <v>4221</v>
      </c>
      <c r="F2976" s="43">
        <v>44798.604166666664</v>
      </c>
      <c r="G2976" s="43">
        <v>44798.645833333336</v>
      </c>
      <c r="H2976">
        <v>14</v>
      </c>
      <c r="I2976">
        <v>30</v>
      </c>
      <c r="J2976">
        <v>15</v>
      </c>
      <c r="K2976">
        <v>30</v>
      </c>
      <c r="L2976">
        <v>2022</v>
      </c>
      <c r="N2976" t="s">
        <v>47</v>
      </c>
      <c r="O2976" t="s">
        <v>47</v>
      </c>
      <c r="P2976" t="s">
        <v>4236</v>
      </c>
    </row>
    <row r="2977" spans="1:16" x14ac:dyDescent="0.3">
      <c r="A2977" t="s">
        <v>4190</v>
      </c>
      <c r="B2977" t="s">
        <v>225</v>
      </c>
      <c r="C2977">
        <v>60</v>
      </c>
      <c r="D2977" t="s">
        <v>10</v>
      </c>
      <c r="E2977" t="s">
        <v>3867</v>
      </c>
      <c r="F2977" s="43">
        <v>44798.541666666664</v>
      </c>
      <c r="G2977" s="43">
        <v>44798.583333333336</v>
      </c>
      <c r="H2977">
        <v>13</v>
      </c>
      <c r="I2977">
        <v>0</v>
      </c>
      <c r="J2977">
        <v>14</v>
      </c>
      <c r="K2977">
        <v>0</v>
      </c>
      <c r="L2977">
        <v>2022</v>
      </c>
      <c r="N2977" t="s">
        <v>4191</v>
      </c>
      <c r="O2977" t="s">
        <v>47</v>
      </c>
      <c r="P2977" t="s">
        <v>4192</v>
      </c>
    </row>
    <row r="2978" spans="1:16" x14ac:dyDescent="0.3">
      <c r="A2978" t="s">
        <v>7</v>
      </c>
      <c r="B2978" t="s">
        <v>6</v>
      </c>
      <c r="C2978">
        <v>30</v>
      </c>
      <c r="D2978" t="s">
        <v>10</v>
      </c>
      <c r="E2978" t="s">
        <v>449</v>
      </c>
      <c r="F2978" s="43">
        <v>44798.520833333336</v>
      </c>
      <c r="G2978" s="43">
        <v>44798.541666666664</v>
      </c>
      <c r="H2978">
        <v>12</v>
      </c>
      <c r="I2978">
        <v>30</v>
      </c>
      <c r="J2978">
        <v>13</v>
      </c>
      <c r="K2978">
        <v>0</v>
      </c>
      <c r="L2978">
        <v>2022</v>
      </c>
      <c r="N2978" t="s">
        <v>47</v>
      </c>
      <c r="O2978" t="s">
        <v>47</v>
      </c>
      <c r="P2978" t="s">
        <v>4237</v>
      </c>
    </row>
    <row r="2979" spans="1:16" x14ac:dyDescent="0.3">
      <c r="A2979" t="s">
        <v>4246</v>
      </c>
      <c r="C2979">
        <v>30</v>
      </c>
      <c r="D2979" t="s">
        <v>10</v>
      </c>
      <c r="E2979" t="s">
        <v>501</v>
      </c>
      <c r="F2979" s="43">
        <v>44798.479166666664</v>
      </c>
      <c r="G2979" s="43">
        <v>44798.5</v>
      </c>
      <c r="H2979">
        <v>11</v>
      </c>
      <c r="I2979">
        <v>30</v>
      </c>
      <c r="J2979">
        <v>12</v>
      </c>
      <c r="K2979">
        <v>0</v>
      </c>
      <c r="L2979">
        <v>2022</v>
      </c>
      <c r="N2979" t="s">
        <v>4247</v>
      </c>
      <c r="O2979" t="s">
        <v>47</v>
      </c>
      <c r="P2979" t="s">
        <v>4248</v>
      </c>
    </row>
    <row r="2980" spans="1:16" x14ac:dyDescent="0.3">
      <c r="A2980" t="s">
        <v>3978</v>
      </c>
      <c r="B2980" t="s">
        <v>20</v>
      </c>
      <c r="C2980">
        <v>90</v>
      </c>
      <c r="D2980" t="s">
        <v>10</v>
      </c>
      <c r="E2980" t="s">
        <v>3974</v>
      </c>
      <c r="F2980" s="43">
        <v>44798.395833333336</v>
      </c>
      <c r="G2980" s="43">
        <v>44798.458333333336</v>
      </c>
      <c r="H2980">
        <v>9</v>
      </c>
      <c r="I2980">
        <v>30</v>
      </c>
      <c r="J2980">
        <v>11</v>
      </c>
      <c r="K2980">
        <v>0</v>
      </c>
      <c r="L2980">
        <v>2022</v>
      </c>
      <c r="N2980" t="s">
        <v>1399</v>
      </c>
      <c r="O2980" t="s">
        <v>1241</v>
      </c>
      <c r="P2980" t="s">
        <v>3979</v>
      </c>
    </row>
    <row r="2981" spans="1:16" x14ac:dyDescent="0.3">
      <c r="A2981" t="s">
        <v>4220</v>
      </c>
      <c r="B2981" t="s">
        <v>109</v>
      </c>
      <c r="C2981">
        <v>60</v>
      </c>
      <c r="D2981" t="s">
        <v>10</v>
      </c>
      <c r="E2981" t="s">
        <v>4221</v>
      </c>
      <c r="F2981" s="43">
        <v>44798.333333333336</v>
      </c>
      <c r="G2981" s="43">
        <v>44798.375</v>
      </c>
      <c r="H2981">
        <v>8</v>
      </c>
      <c r="I2981">
        <v>0</v>
      </c>
      <c r="J2981">
        <v>9</v>
      </c>
      <c r="K2981">
        <v>0</v>
      </c>
      <c r="L2981">
        <v>2022</v>
      </c>
      <c r="N2981" t="s">
        <v>47</v>
      </c>
      <c r="O2981" t="s">
        <v>47</v>
      </c>
      <c r="P2981" t="s">
        <v>4238</v>
      </c>
    </row>
    <row r="2982" spans="1:16" x14ac:dyDescent="0.3">
      <c r="A2982" t="s">
        <v>4003</v>
      </c>
      <c r="B2982" t="s">
        <v>20</v>
      </c>
      <c r="C2982">
        <v>60</v>
      </c>
      <c r="D2982" t="s">
        <v>10</v>
      </c>
      <c r="E2982" t="s">
        <v>4004</v>
      </c>
      <c r="F2982" s="43">
        <v>44798.291666666664</v>
      </c>
      <c r="G2982" s="43">
        <v>44798.333333333336</v>
      </c>
      <c r="H2982">
        <v>7</v>
      </c>
      <c r="I2982">
        <v>0</v>
      </c>
      <c r="J2982">
        <v>8</v>
      </c>
      <c r="K2982">
        <v>0</v>
      </c>
      <c r="L2982">
        <v>2022</v>
      </c>
      <c r="N2982" t="s">
        <v>4005</v>
      </c>
      <c r="O2982" t="s">
        <v>4006</v>
      </c>
      <c r="P2982" t="s">
        <v>4007</v>
      </c>
    </row>
    <row r="2983" spans="1:16" x14ac:dyDescent="0.3">
      <c r="A2983" t="s">
        <v>4220</v>
      </c>
      <c r="B2983" t="s">
        <v>109</v>
      </c>
      <c r="C2983">
        <v>60</v>
      </c>
      <c r="D2983" t="s">
        <v>10</v>
      </c>
      <c r="E2983" t="s">
        <v>4221</v>
      </c>
      <c r="F2983" s="43">
        <v>44798.25</v>
      </c>
      <c r="G2983" s="43">
        <v>44798.291666666664</v>
      </c>
      <c r="H2983">
        <v>6</v>
      </c>
      <c r="I2983">
        <v>0</v>
      </c>
      <c r="J2983">
        <v>7</v>
      </c>
      <c r="K2983">
        <v>0</v>
      </c>
      <c r="L2983">
        <v>2022</v>
      </c>
      <c r="N2983" t="s">
        <v>47</v>
      </c>
      <c r="O2983" t="s">
        <v>47</v>
      </c>
      <c r="P2983" t="s">
        <v>4239</v>
      </c>
    </row>
    <row r="2984" spans="1:16" x14ac:dyDescent="0.3">
      <c r="A2984" t="s">
        <v>1222</v>
      </c>
      <c r="C2984">
        <v>30</v>
      </c>
      <c r="D2984" t="s">
        <v>10</v>
      </c>
      <c r="F2984" s="43">
        <v>44798.229166666664</v>
      </c>
      <c r="G2984" s="43">
        <v>44798.25</v>
      </c>
      <c r="H2984">
        <v>5</v>
      </c>
      <c r="I2984">
        <v>30</v>
      </c>
      <c r="J2984">
        <v>6</v>
      </c>
      <c r="K2984">
        <v>0</v>
      </c>
      <c r="L2984">
        <v>2022</v>
      </c>
      <c r="N2984" t="s">
        <v>47</v>
      </c>
      <c r="O2984" t="s">
        <v>47</v>
      </c>
      <c r="P2984" t="s">
        <v>4240</v>
      </c>
    </row>
    <row r="2985" spans="1:16" x14ac:dyDescent="0.3">
      <c r="A2985" t="s">
        <v>17</v>
      </c>
      <c r="B2985" t="s">
        <v>6</v>
      </c>
      <c r="C2985">
        <v>30</v>
      </c>
      <c r="D2985" t="s">
        <v>10</v>
      </c>
      <c r="E2985" t="s">
        <v>515</v>
      </c>
      <c r="F2985" s="43">
        <v>44798.208333333336</v>
      </c>
      <c r="G2985" s="43">
        <v>44798.229166666664</v>
      </c>
      <c r="H2985">
        <v>5</v>
      </c>
      <c r="I2985">
        <v>0</v>
      </c>
      <c r="J2985">
        <v>5</v>
      </c>
      <c r="K2985">
        <v>30</v>
      </c>
      <c r="L2985">
        <v>2022</v>
      </c>
      <c r="N2985" t="s">
        <v>47</v>
      </c>
      <c r="O2985" t="s">
        <v>47</v>
      </c>
      <c r="P2985" t="s">
        <v>4241</v>
      </c>
    </row>
    <row r="2986" spans="1:16" x14ac:dyDescent="0.3">
      <c r="A2986" t="s">
        <v>4220</v>
      </c>
      <c r="B2986" t="s">
        <v>109</v>
      </c>
      <c r="C2986">
        <v>60</v>
      </c>
      <c r="D2986" t="s">
        <v>10</v>
      </c>
      <c r="E2986" t="s">
        <v>4221</v>
      </c>
      <c r="F2986" s="43">
        <v>44797.756944444445</v>
      </c>
      <c r="G2986" s="43">
        <v>44797.798611111109</v>
      </c>
      <c r="H2986">
        <v>18</v>
      </c>
      <c r="I2986">
        <v>10</v>
      </c>
      <c r="J2986">
        <v>19</v>
      </c>
      <c r="K2986">
        <v>10</v>
      </c>
      <c r="L2986">
        <v>2022</v>
      </c>
      <c r="N2986" t="s">
        <v>47</v>
      </c>
      <c r="O2986" t="s">
        <v>47</v>
      </c>
      <c r="P2986" t="s">
        <v>4242</v>
      </c>
    </row>
    <row r="2987" spans="1:16" x14ac:dyDescent="0.3">
      <c r="A2987" t="s">
        <v>1305</v>
      </c>
      <c r="C2987">
        <v>30</v>
      </c>
      <c r="D2987" t="s">
        <v>10</v>
      </c>
      <c r="F2987" s="43">
        <v>44797.708333333336</v>
      </c>
      <c r="G2987" s="43">
        <v>44797.729166666664</v>
      </c>
      <c r="H2987">
        <v>17</v>
      </c>
      <c r="I2987">
        <v>0</v>
      </c>
      <c r="J2987">
        <v>17</v>
      </c>
      <c r="K2987">
        <v>30</v>
      </c>
      <c r="L2987">
        <v>2022</v>
      </c>
      <c r="N2987" t="s">
        <v>47</v>
      </c>
      <c r="O2987" t="s">
        <v>47</v>
      </c>
      <c r="P2987" t="s">
        <v>4243</v>
      </c>
    </row>
    <row r="2988" spans="1:16" x14ac:dyDescent="0.3">
      <c r="A2988" t="s">
        <v>4220</v>
      </c>
      <c r="B2988" t="s">
        <v>109</v>
      </c>
      <c r="C2988">
        <v>60</v>
      </c>
      <c r="D2988" t="s">
        <v>10</v>
      </c>
      <c r="E2988" t="s">
        <v>4221</v>
      </c>
      <c r="F2988" s="43">
        <v>44797.666666666664</v>
      </c>
      <c r="G2988" s="43">
        <v>44797.708333333336</v>
      </c>
      <c r="H2988">
        <v>16</v>
      </c>
      <c r="I2988">
        <v>0</v>
      </c>
      <c r="J2988">
        <v>17</v>
      </c>
      <c r="K2988">
        <v>0</v>
      </c>
      <c r="L2988">
        <v>2022</v>
      </c>
      <c r="N2988" t="s">
        <v>47</v>
      </c>
      <c r="O2988" t="s">
        <v>47</v>
      </c>
      <c r="P2988" t="s">
        <v>4244</v>
      </c>
    </row>
    <row r="2989" spans="1:16" x14ac:dyDescent="0.3">
      <c r="A2989" t="s">
        <v>4220</v>
      </c>
      <c r="B2989" t="s">
        <v>109</v>
      </c>
      <c r="C2989">
        <v>120</v>
      </c>
      <c r="D2989" t="s">
        <v>10</v>
      </c>
      <c r="E2989" t="s">
        <v>4221</v>
      </c>
      <c r="F2989" s="43">
        <v>44797.5625</v>
      </c>
      <c r="G2989" s="43">
        <v>44797.645833333336</v>
      </c>
      <c r="H2989">
        <v>13</v>
      </c>
      <c r="I2989">
        <v>30</v>
      </c>
      <c r="J2989">
        <v>15</v>
      </c>
      <c r="K2989">
        <v>30</v>
      </c>
      <c r="L2989">
        <v>2022</v>
      </c>
      <c r="N2989" t="s">
        <v>47</v>
      </c>
      <c r="O2989" t="s">
        <v>47</v>
      </c>
      <c r="P2989" t="s">
        <v>4245</v>
      </c>
    </row>
    <row r="2990" spans="1:16" x14ac:dyDescent="0.3">
      <c r="A2990" t="s">
        <v>3906</v>
      </c>
      <c r="B2990" t="s">
        <v>20</v>
      </c>
      <c r="C2990">
        <v>30</v>
      </c>
      <c r="D2990" t="s">
        <v>10</v>
      </c>
      <c r="E2990" t="s">
        <v>3907</v>
      </c>
      <c r="F2990" s="43">
        <v>44797.479166666664</v>
      </c>
      <c r="G2990" s="43">
        <v>44797.5</v>
      </c>
      <c r="H2990">
        <v>11</v>
      </c>
      <c r="I2990">
        <v>30</v>
      </c>
      <c r="J2990">
        <v>12</v>
      </c>
      <c r="K2990">
        <v>0</v>
      </c>
      <c r="L2990">
        <v>2022</v>
      </c>
      <c r="N2990" t="s">
        <v>3908</v>
      </c>
      <c r="O2990" t="s">
        <v>48</v>
      </c>
      <c r="P2990" t="s">
        <v>3909</v>
      </c>
    </row>
    <row r="2991" spans="1:16" x14ac:dyDescent="0.3">
      <c r="A2991" t="s">
        <v>3986</v>
      </c>
      <c r="B2991" t="s">
        <v>20</v>
      </c>
      <c r="C2991">
        <v>90</v>
      </c>
      <c r="D2991" t="s">
        <v>10</v>
      </c>
      <c r="E2991" t="s">
        <v>3987</v>
      </c>
      <c r="F2991" s="43">
        <v>44797.416666666664</v>
      </c>
      <c r="G2991" s="43">
        <v>44797.479166666664</v>
      </c>
      <c r="H2991">
        <v>10</v>
      </c>
      <c r="I2991">
        <v>0</v>
      </c>
      <c r="J2991">
        <v>11</v>
      </c>
      <c r="K2991">
        <v>30</v>
      </c>
      <c r="L2991">
        <v>2022</v>
      </c>
      <c r="N2991" t="s">
        <v>3988</v>
      </c>
      <c r="O2991" t="s">
        <v>3989</v>
      </c>
      <c r="P2991" t="s">
        <v>3990</v>
      </c>
    </row>
    <row r="2992" spans="1:16" x14ac:dyDescent="0.3">
      <c r="A2992" t="s">
        <v>4249</v>
      </c>
      <c r="B2992" t="s">
        <v>109</v>
      </c>
      <c r="C2992">
        <v>60</v>
      </c>
      <c r="D2992" t="s">
        <v>10</v>
      </c>
      <c r="E2992" t="s">
        <v>933</v>
      </c>
      <c r="F2992" s="43">
        <v>44797.375</v>
      </c>
      <c r="G2992" s="43">
        <v>44797.416666666664</v>
      </c>
      <c r="H2992">
        <v>9</v>
      </c>
      <c r="I2992">
        <v>0</v>
      </c>
      <c r="J2992">
        <v>10</v>
      </c>
      <c r="K2992">
        <v>0</v>
      </c>
      <c r="L2992">
        <v>2022</v>
      </c>
      <c r="N2992" t="s">
        <v>47</v>
      </c>
      <c r="O2992" t="s">
        <v>47</v>
      </c>
      <c r="P2992" t="s">
        <v>4250</v>
      </c>
    </row>
    <row r="2993" spans="1:16" x14ac:dyDescent="0.3">
      <c r="A2993" t="s">
        <v>607</v>
      </c>
      <c r="B2993" t="s">
        <v>31</v>
      </c>
      <c r="C2993">
        <v>60</v>
      </c>
      <c r="D2993" t="s">
        <v>10</v>
      </c>
      <c r="E2993" t="s">
        <v>608</v>
      </c>
      <c r="F2993" s="43">
        <v>44797.333333333336</v>
      </c>
      <c r="G2993" s="43">
        <v>44797.375</v>
      </c>
      <c r="H2993">
        <v>8</v>
      </c>
      <c r="I2993">
        <v>0</v>
      </c>
      <c r="J2993">
        <v>9</v>
      </c>
      <c r="K2993">
        <v>0</v>
      </c>
      <c r="L2993">
        <v>2022</v>
      </c>
      <c r="N2993" t="s">
        <v>47</v>
      </c>
      <c r="O2993" t="s">
        <v>47</v>
      </c>
      <c r="P2993" t="s">
        <v>609</v>
      </c>
    </row>
    <row r="2994" spans="1:16" x14ac:dyDescent="0.3">
      <c r="A2994" t="s">
        <v>8</v>
      </c>
      <c r="C2994">
        <v>45</v>
      </c>
      <c r="D2994" t="s">
        <v>10</v>
      </c>
      <c r="F2994" s="43">
        <v>44797.3125</v>
      </c>
      <c r="G2994" s="43">
        <v>44797.34375</v>
      </c>
      <c r="H2994">
        <v>7</v>
      </c>
      <c r="I2994">
        <v>30</v>
      </c>
      <c r="J2994">
        <v>8</v>
      </c>
      <c r="K2994">
        <v>15</v>
      </c>
      <c r="L2994">
        <v>2022</v>
      </c>
      <c r="N2994" t="s">
        <v>47</v>
      </c>
      <c r="O2994" t="s">
        <v>47</v>
      </c>
      <c r="P2994" t="s">
        <v>4251</v>
      </c>
    </row>
    <row r="2995" spans="1:16" x14ac:dyDescent="0.3">
      <c r="A2995" t="s">
        <v>4252</v>
      </c>
      <c r="B2995" t="s">
        <v>109</v>
      </c>
      <c r="C2995">
        <v>60</v>
      </c>
      <c r="D2995" t="s">
        <v>10</v>
      </c>
      <c r="E2995" t="s">
        <v>933</v>
      </c>
      <c r="F2995" s="43">
        <v>44797.236111111109</v>
      </c>
      <c r="G2995" s="43">
        <v>44797.277777777781</v>
      </c>
      <c r="H2995">
        <v>5</v>
      </c>
      <c r="I2995">
        <v>40</v>
      </c>
      <c r="J2995">
        <v>6</v>
      </c>
      <c r="K2995">
        <v>40</v>
      </c>
      <c r="L2995">
        <v>2022</v>
      </c>
      <c r="N2995" t="s">
        <v>47</v>
      </c>
      <c r="O2995" t="s">
        <v>47</v>
      </c>
      <c r="P2995" t="s">
        <v>4253</v>
      </c>
    </row>
    <row r="2996" spans="1:16" x14ac:dyDescent="0.3">
      <c r="A2996" t="s">
        <v>4254</v>
      </c>
      <c r="B2996" t="s">
        <v>109</v>
      </c>
      <c r="C2996">
        <v>75</v>
      </c>
      <c r="D2996" t="s">
        <v>10</v>
      </c>
      <c r="E2996" t="s">
        <v>933</v>
      </c>
      <c r="F2996" s="43">
        <v>44797.166666666664</v>
      </c>
      <c r="G2996" s="43">
        <v>44797.21875</v>
      </c>
      <c r="H2996">
        <v>4</v>
      </c>
      <c r="I2996">
        <v>0</v>
      </c>
      <c r="J2996">
        <v>5</v>
      </c>
      <c r="K2996">
        <v>15</v>
      </c>
      <c r="L2996">
        <v>2022</v>
      </c>
      <c r="N2996" t="s">
        <v>47</v>
      </c>
      <c r="O2996" t="s">
        <v>47</v>
      </c>
      <c r="P2996" t="s">
        <v>4255</v>
      </c>
    </row>
    <row r="2997" spans="1:16" x14ac:dyDescent="0.3">
      <c r="A2997" t="s">
        <v>4254</v>
      </c>
      <c r="B2997" t="s">
        <v>109</v>
      </c>
      <c r="C2997">
        <v>45</v>
      </c>
      <c r="D2997" t="s">
        <v>10</v>
      </c>
      <c r="E2997" t="s">
        <v>933</v>
      </c>
      <c r="F2997" s="43">
        <v>44796.791666666664</v>
      </c>
      <c r="G2997" s="43">
        <v>44796.822916666664</v>
      </c>
      <c r="H2997">
        <v>19</v>
      </c>
      <c r="I2997">
        <v>0</v>
      </c>
      <c r="J2997">
        <v>19</v>
      </c>
      <c r="K2997">
        <v>45</v>
      </c>
      <c r="L2997">
        <v>2022</v>
      </c>
      <c r="N2997" t="s">
        <v>47</v>
      </c>
      <c r="O2997" t="s">
        <v>47</v>
      </c>
      <c r="P2997" t="s">
        <v>4256</v>
      </c>
    </row>
    <row r="2998" spans="1:16" x14ac:dyDescent="0.3">
      <c r="A2998" t="s">
        <v>8</v>
      </c>
      <c r="B2998" t="s">
        <v>6</v>
      </c>
      <c r="C2998">
        <v>30</v>
      </c>
      <c r="D2998" t="s">
        <v>10</v>
      </c>
      <c r="F2998" s="1">
        <v>44796.729166666664</v>
      </c>
      <c r="G2998" s="43">
        <v>44796.75</v>
      </c>
      <c r="H2998">
        <v>17</v>
      </c>
      <c r="I2998">
        <v>30</v>
      </c>
      <c r="J2998">
        <v>18</v>
      </c>
      <c r="K2998">
        <v>0</v>
      </c>
      <c r="L2998">
        <v>2022</v>
      </c>
      <c r="N2998" t="s">
        <v>47</v>
      </c>
      <c r="O2998" t="s">
        <v>47</v>
      </c>
      <c r="P2998" t="s">
        <v>4467</v>
      </c>
    </row>
    <row r="2999" spans="1:16" x14ac:dyDescent="0.3">
      <c r="A2999" t="s">
        <v>4216</v>
      </c>
      <c r="B2999" t="s">
        <v>109</v>
      </c>
      <c r="C2999">
        <v>30</v>
      </c>
      <c r="D2999" t="s">
        <v>10</v>
      </c>
      <c r="E2999" t="s">
        <v>933</v>
      </c>
      <c r="F2999" s="43">
        <v>44796.708333333336</v>
      </c>
      <c r="G2999" s="43">
        <v>44796.729166666664</v>
      </c>
      <c r="H2999">
        <v>17</v>
      </c>
      <c r="I2999">
        <v>0</v>
      </c>
      <c r="J2999">
        <v>17</v>
      </c>
      <c r="K2999">
        <v>30</v>
      </c>
      <c r="L2999">
        <v>2022</v>
      </c>
      <c r="N2999" t="s">
        <v>47</v>
      </c>
      <c r="O2999" t="s">
        <v>47</v>
      </c>
      <c r="P2999" t="s">
        <v>4217</v>
      </c>
    </row>
    <row r="3000" spans="1:16" x14ac:dyDescent="0.3">
      <c r="A3000" t="s">
        <v>7</v>
      </c>
      <c r="B3000" t="s">
        <v>6</v>
      </c>
      <c r="C3000">
        <v>45</v>
      </c>
      <c r="D3000" t="s">
        <v>10</v>
      </c>
      <c r="E3000" t="s">
        <v>449</v>
      </c>
      <c r="F3000" s="43">
        <v>44796.677083333336</v>
      </c>
      <c r="G3000" s="43">
        <v>44796.708333333336</v>
      </c>
      <c r="H3000">
        <v>16</v>
      </c>
      <c r="I3000">
        <v>15</v>
      </c>
      <c r="J3000">
        <v>17</v>
      </c>
      <c r="K3000">
        <v>0</v>
      </c>
      <c r="L3000">
        <v>2022</v>
      </c>
      <c r="N3000" t="s">
        <v>47</v>
      </c>
      <c r="O3000" t="s">
        <v>47</v>
      </c>
      <c r="P3000" t="s">
        <v>4218</v>
      </c>
    </row>
    <row r="3001" spans="1:16" x14ac:dyDescent="0.3">
      <c r="A3001" t="s">
        <v>4214</v>
      </c>
      <c r="C3001">
        <v>20</v>
      </c>
      <c r="D3001" t="s">
        <v>10</v>
      </c>
      <c r="F3001" s="43">
        <v>44796.638888888891</v>
      </c>
      <c r="G3001" s="43">
        <v>44796.652777777781</v>
      </c>
      <c r="H3001">
        <v>15</v>
      </c>
      <c r="I3001">
        <v>20</v>
      </c>
      <c r="J3001">
        <v>15</v>
      </c>
      <c r="K3001">
        <v>40</v>
      </c>
      <c r="L3001">
        <v>2022</v>
      </c>
      <c r="N3001" t="s">
        <v>47</v>
      </c>
      <c r="O3001" t="s">
        <v>47</v>
      </c>
      <c r="P3001" t="s">
        <v>4215</v>
      </c>
    </row>
    <row r="3002" spans="1:16" x14ac:dyDescent="0.3">
      <c r="A3002" t="s">
        <v>4212</v>
      </c>
      <c r="C3002">
        <v>20</v>
      </c>
      <c r="D3002" t="s">
        <v>10</v>
      </c>
      <c r="F3002" s="43">
        <v>44796.625</v>
      </c>
      <c r="G3002" s="43">
        <v>44796.638888888891</v>
      </c>
      <c r="H3002">
        <v>15</v>
      </c>
      <c r="I3002">
        <v>0</v>
      </c>
      <c r="J3002">
        <v>15</v>
      </c>
      <c r="K3002">
        <v>20</v>
      </c>
      <c r="L3002">
        <v>2022</v>
      </c>
      <c r="N3002" t="s">
        <v>47</v>
      </c>
      <c r="O3002" t="s">
        <v>47</v>
      </c>
      <c r="P3002" t="s">
        <v>4213</v>
      </c>
    </row>
    <row r="3003" spans="1:16" x14ac:dyDescent="0.3">
      <c r="A3003" t="s">
        <v>4195</v>
      </c>
      <c r="C3003">
        <v>30</v>
      </c>
      <c r="D3003" t="s">
        <v>10</v>
      </c>
      <c r="F3003" s="43">
        <v>44796.604166666664</v>
      </c>
      <c r="G3003" s="43">
        <v>44796.625</v>
      </c>
      <c r="H3003">
        <v>14</v>
      </c>
      <c r="I3003">
        <v>30</v>
      </c>
      <c r="J3003">
        <v>15</v>
      </c>
      <c r="K3003">
        <v>0</v>
      </c>
      <c r="L3003">
        <v>2022</v>
      </c>
      <c r="N3003" t="s">
        <v>47</v>
      </c>
      <c r="O3003" t="s">
        <v>47</v>
      </c>
      <c r="P3003" t="s">
        <v>4196</v>
      </c>
    </row>
    <row r="3004" spans="1:16" x14ac:dyDescent="0.3">
      <c r="A3004" t="s">
        <v>4197</v>
      </c>
      <c r="B3004" t="s">
        <v>109</v>
      </c>
      <c r="C3004">
        <v>30</v>
      </c>
      <c r="D3004" t="s">
        <v>10</v>
      </c>
      <c r="E3004" t="s">
        <v>933</v>
      </c>
      <c r="F3004" s="43">
        <v>44796.583333333336</v>
      </c>
      <c r="G3004" s="43">
        <v>44796.604166666664</v>
      </c>
      <c r="H3004">
        <v>14</v>
      </c>
      <c r="I3004">
        <v>0</v>
      </c>
      <c r="J3004">
        <v>14</v>
      </c>
      <c r="K3004">
        <v>30</v>
      </c>
      <c r="L3004">
        <v>2022</v>
      </c>
      <c r="N3004" t="s">
        <v>47</v>
      </c>
      <c r="O3004" t="s">
        <v>47</v>
      </c>
      <c r="P3004" t="s">
        <v>4198</v>
      </c>
    </row>
    <row r="3005" spans="1:16" x14ac:dyDescent="0.3">
      <c r="A3005" t="s">
        <v>17</v>
      </c>
      <c r="B3005" t="s">
        <v>6</v>
      </c>
      <c r="C3005">
        <v>20</v>
      </c>
      <c r="D3005" t="s">
        <v>10</v>
      </c>
      <c r="E3005" t="s">
        <v>515</v>
      </c>
      <c r="F3005" s="43">
        <v>44796.5</v>
      </c>
      <c r="G3005" s="43">
        <v>44796.513888888891</v>
      </c>
      <c r="H3005">
        <v>12</v>
      </c>
      <c r="I3005">
        <v>0</v>
      </c>
      <c r="J3005">
        <v>12</v>
      </c>
      <c r="K3005">
        <v>20</v>
      </c>
      <c r="L3005">
        <v>2022</v>
      </c>
      <c r="N3005" t="s">
        <v>47</v>
      </c>
      <c r="O3005" t="s">
        <v>47</v>
      </c>
      <c r="P3005" t="s">
        <v>4199</v>
      </c>
    </row>
    <row r="3006" spans="1:16" x14ac:dyDescent="0.3">
      <c r="A3006" t="s">
        <v>3901</v>
      </c>
      <c r="B3006" t="s">
        <v>20</v>
      </c>
      <c r="C3006">
        <v>45</v>
      </c>
      <c r="D3006" t="s">
        <v>10</v>
      </c>
      <c r="E3006" t="s">
        <v>3902</v>
      </c>
      <c r="F3006" s="43">
        <v>44796.4375</v>
      </c>
      <c r="G3006" s="43">
        <v>44796.46875</v>
      </c>
      <c r="H3006">
        <v>10</v>
      </c>
      <c r="I3006">
        <v>30</v>
      </c>
      <c r="J3006">
        <v>11</v>
      </c>
      <c r="K3006">
        <v>15</v>
      </c>
      <c r="L3006">
        <v>2022</v>
      </c>
      <c r="N3006" t="s">
        <v>4137</v>
      </c>
      <c r="O3006" t="s">
        <v>3904</v>
      </c>
      <c r="P3006" t="s">
        <v>4138</v>
      </c>
    </row>
    <row r="3007" spans="1:16" x14ac:dyDescent="0.3">
      <c r="A3007" t="s">
        <v>655</v>
      </c>
      <c r="B3007" t="s">
        <v>109</v>
      </c>
      <c r="C3007">
        <v>60</v>
      </c>
      <c r="D3007" t="s">
        <v>10</v>
      </c>
      <c r="E3007" t="s">
        <v>461</v>
      </c>
      <c r="F3007" s="43">
        <v>44796.375</v>
      </c>
      <c r="G3007" s="43">
        <v>44796.416666666664</v>
      </c>
      <c r="H3007">
        <v>9</v>
      </c>
      <c r="I3007">
        <v>0</v>
      </c>
      <c r="J3007">
        <v>10</v>
      </c>
      <c r="K3007">
        <v>0</v>
      </c>
      <c r="L3007">
        <v>2022</v>
      </c>
      <c r="N3007" t="s">
        <v>47</v>
      </c>
      <c r="O3007" t="s">
        <v>47</v>
      </c>
      <c r="P3007" t="s">
        <v>4201</v>
      </c>
    </row>
    <row r="3008" spans="1:16" x14ac:dyDescent="0.3">
      <c r="A3008" t="s">
        <v>4202</v>
      </c>
      <c r="C3008">
        <v>30</v>
      </c>
      <c r="D3008" t="s">
        <v>10</v>
      </c>
      <c r="F3008" s="43">
        <v>44796.333333333336</v>
      </c>
      <c r="G3008" s="43">
        <v>44796.354166666664</v>
      </c>
      <c r="H3008">
        <v>8</v>
      </c>
      <c r="I3008">
        <v>0</v>
      </c>
      <c r="J3008">
        <v>8</v>
      </c>
      <c r="K3008">
        <v>30</v>
      </c>
      <c r="L3008">
        <v>2022</v>
      </c>
      <c r="N3008" t="s">
        <v>47</v>
      </c>
      <c r="O3008" t="s">
        <v>47</v>
      </c>
      <c r="P3008" t="s">
        <v>4203</v>
      </c>
    </row>
    <row r="3009" spans="1:16" x14ac:dyDescent="0.3">
      <c r="A3009" t="s">
        <v>4166</v>
      </c>
      <c r="C3009">
        <v>0</v>
      </c>
      <c r="D3009" t="s">
        <v>10</v>
      </c>
      <c r="E3009" t="s">
        <v>4167</v>
      </c>
      <c r="F3009" s="43">
        <v>44796.270833333336</v>
      </c>
      <c r="G3009" s="43">
        <v>44796.270833333336</v>
      </c>
      <c r="H3009">
        <v>6</v>
      </c>
      <c r="I3009">
        <v>30</v>
      </c>
      <c r="J3009">
        <v>6</v>
      </c>
      <c r="K3009">
        <v>30</v>
      </c>
      <c r="L3009">
        <v>2022</v>
      </c>
      <c r="N3009" t="s">
        <v>4168</v>
      </c>
      <c r="O3009" t="s">
        <v>47</v>
      </c>
      <c r="P3009" t="s">
        <v>4169</v>
      </c>
    </row>
    <row r="3010" spans="1:16" x14ac:dyDescent="0.3">
      <c r="A3010" t="s">
        <v>655</v>
      </c>
      <c r="B3010" t="s">
        <v>109</v>
      </c>
      <c r="C3010">
        <v>40</v>
      </c>
      <c r="D3010" t="s">
        <v>10</v>
      </c>
      <c r="E3010" t="s">
        <v>461</v>
      </c>
      <c r="F3010" s="43">
        <v>44796.270833333336</v>
      </c>
      <c r="G3010" s="43">
        <v>44796.298611111109</v>
      </c>
      <c r="H3010">
        <v>6</v>
      </c>
      <c r="I3010">
        <v>30</v>
      </c>
      <c r="J3010">
        <v>7</v>
      </c>
      <c r="K3010">
        <v>10</v>
      </c>
      <c r="L3010">
        <v>2022</v>
      </c>
      <c r="N3010" t="s">
        <v>47</v>
      </c>
      <c r="O3010" t="s">
        <v>47</v>
      </c>
      <c r="P3010" t="s">
        <v>4204</v>
      </c>
    </row>
    <row r="3011" spans="1:16" x14ac:dyDescent="0.3">
      <c r="A3011" t="s">
        <v>8</v>
      </c>
      <c r="C3011">
        <v>30</v>
      </c>
      <c r="D3011" t="s">
        <v>10</v>
      </c>
      <c r="F3011" s="43">
        <v>44796.25</v>
      </c>
      <c r="G3011" s="43">
        <v>44796.270833333336</v>
      </c>
      <c r="H3011">
        <v>6</v>
      </c>
      <c r="I3011">
        <v>0</v>
      </c>
      <c r="J3011">
        <v>6</v>
      </c>
      <c r="K3011">
        <v>30</v>
      </c>
      <c r="L3011">
        <v>2022</v>
      </c>
      <c r="N3011" t="s">
        <v>47</v>
      </c>
      <c r="O3011" t="s">
        <v>47</v>
      </c>
      <c r="P3011" t="s">
        <v>4200</v>
      </c>
    </row>
    <row r="3012" spans="1:16" x14ac:dyDescent="0.3">
      <c r="A3012" t="s">
        <v>4205</v>
      </c>
      <c r="C3012">
        <v>30</v>
      </c>
      <c r="D3012" t="s">
        <v>10</v>
      </c>
      <c r="F3012" s="43">
        <v>44796.229166666664</v>
      </c>
      <c r="G3012" s="43">
        <v>44796.25</v>
      </c>
      <c r="H3012">
        <v>5</v>
      </c>
      <c r="I3012">
        <v>30</v>
      </c>
      <c r="J3012">
        <v>6</v>
      </c>
      <c r="K3012">
        <v>0</v>
      </c>
      <c r="L3012">
        <v>2022</v>
      </c>
      <c r="N3012" t="s">
        <v>47</v>
      </c>
      <c r="O3012" t="s">
        <v>47</v>
      </c>
      <c r="P3012" t="s">
        <v>4206</v>
      </c>
    </row>
    <row r="3013" spans="1:16" x14ac:dyDescent="0.3">
      <c r="A3013" t="s">
        <v>655</v>
      </c>
      <c r="B3013" t="s">
        <v>109</v>
      </c>
      <c r="C3013">
        <v>60</v>
      </c>
      <c r="D3013" t="s">
        <v>10</v>
      </c>
      <c r="E3013" t="s">
        <v>461</v>
      </c>
      <c r="F3013" s="43">
        <v>44795.75</v>
      </c>
      <c r="G3013" s="43">
        <v>44795.791666666664</v>
      </c>
      <c r="H3013">
        <v>18</v>
      </c>
      <c r="I3013">
        <v>0</v>
      </c>
      <c r="J3013">
        <v>19</v>
      </c>
      <c r="K3013">
        <v>0</v>
      </c>
      <c r="L3013">
        <v>2022</v>
      </c>
      <c r="N3013" t="s">
        <v>47</v>
      </c>
      <c r="O3013" t="s">
        <v>47</v>
      </c>
      <c r="P3013" t="s">
        <v>4208</v>
      </c>
    </row>
    <row r="3014" spans="1:16" x14ac:dyDescent="0.3">
      <c r="A3014" t="s">
        <v>8</v>
      </c>
      <c r="B3014" t="s">
        <v>6</v>
      </c>
      <c r="C3014">
        <v>30</v>
      </c>
      <c r="D3014" t="s">
        <v>10</v>
      </c>
      <c r="F3014" s="43">
        <v>44795.6875</v>
      </c>
      <c r="G3014" s="43">
        <v>44795.708333333336</v>
      </c>
      <c r="H3014">
        <v>16</v>
      </c>
      <c r="I3014">
        <v>30</v>
      </c>
      <c r="J3014">
        <v>17</v>
      </c>
      <c r="K3014">
        <v>0</v>
      </c>
      <c r="L3014">
        <v>2022</v>
      </c>
      <c r="N3014" t="s">
        <v>47</v>
      </c>
      <c r="O3014" t="s">
        <v>47</v>
      </c>
      <c r="P3014" t="s">
        <v>4207</v>
      </c>
    </row>
    <row r="3015" spans="1:16" x14ac:dyDescent="0.3">
      <c r="A3015" t="s">
        <v>4209</v>
      </c>
      <c r="C3015">
        <v>30</v>
      </c>
      <c r="D3015" t="s">
        <v>10</v>
      </c>
      <c r="F3015" s="43">
        <v>44795.645833333336</v>
      </c>
      <c r="G3015" s="43">
        <v>44795.666666666664</v>
      </c>
      <c r="H3015">
        <v>15</v>
      </c>
      <c r="I3015">
        <v>30</v>
      </c>
      <c r="J3015">
        <v>16</v>
      </c>
      <c r="K3015">
        <v>0</v>
      </c>
      <c r="L3015">
        <v>2022</v>
      </c>
      <c r="N3015" t="s">
        <v>47</v>
      </c>
      <c r="O3015" t="s">
        <v>47</v>
      </c>
      <c r="P3015" t="s">
        <v>4210</v>
      </c>
    </row>
    <row r="3016" spans="1:16" x14ac:dyDescent="0.3">
      <c r="A3016" t="s">
        <v>7</v>
      </c>
      <c r="B3016" t="s">
        <v>6</v>
      </c>
      <c r="C3016">
        <v>45</v>
      </c>
      <c r="D3016" t="s">
        <v>10</v>
      </c>
      <c r="E3016" t="s">
        <v>449</v>
      </c>
      <c r="F3016" s="43">
        <v>44795.614583333336</v>
      </c>
      <c r="G3016" s="43">
        <v>44795.645833333336</v>
      </c>
      <c r="H3016">
        <v>14</v>
      </c>
      <c r="I3016">
        <v>45</v>
      </c>
      <c r="J3016">
        <v>15</v>
      </c>
      <c r="K3016">
        <v>30</v>
      </c>
      <c r="L3016">
        <v>2022</v>
      </c>
      <c r="N3016" t="s">
        <v>47</v>
      </c>
      <c r="O3016" t="s">
        <v>47</v>
      </c>
      <c r="P3016" t="s">
        <v>4211</v>
      </c>
    </row>
    <row r="3017" spans="1:16" x14ac:dyDescent="0.3">
      <c r="A3017" t="s">
        <v>4193</v>
      </c>
      <c r="B3017" t="s">
        <v>225</v>
      </c>
      <c r="C3017">
        <v>45</v>
      </c>
      <c r="D3017" t="s">
        <v>10</v>
      </c>
      <c r="E3017" t="s">
        <v>784</v>
      </c>
      <c r="F3017" s="43">
        <v>44795.583333333336</v>
      </c>
      <c r="G3017" s="43">
        <v>44795.614583333336</v>
      </c>
      <c r="H3017">
        <v>14</v>
      </c>
      <c r="I3017">
        <v>0</v>
      </c>
      <c r="J3017">
        <v>14</v>
      </c>
      <c r="K3017">
        <v>45</v>
      </c>
      <c r="L3017">
        <v>2022</v>
      </c>
      <c r="N3017" t="s">
        <v>47</v>
      </c>
      <c r="O3017" t="s">
        <v>47</v>
      </c>
      <c r="P3017" t="s">
        <v>4194</v>
      </c>
    </row>
    <row r="3018" spans="1:16" x14ac:dyDescent="0.3">
      <c r="A3018" t="s">
        <v>4170</v>
      </c>
      <c r="C3018">
        <v>30</v>
      </c>
      <c r="D3018" t="s">
        <v>10</v>
      </c>
      <c r="F3018" s="43">
        <v>44795.541666666664</v>
      </c>
      <c r="G3018" s="43">
        <v>44795.5625</v>
      </c>
      <c r="H3018">
        <v>13</v>
      </c>
      <c r="I3018">
        <v>0</v>
      </c>
      <c r="J3018">
        <v>13</v>
      </c>
      <c r="K3018">
        <v>30</v>
      </c>
      <c r="L3018">
        <v>2022</v>
      </c>
      <c r="N3018" t="s">
        <v>47</v>
      </c>
      <c r="O3018" t="s">
        <v>47</v>
      </c>
      <c r="P3018" t="s">
        <v>4171</v>
      </c>
    </row>
    <row r="3019" spans="1:16" x14ac:dyDescent="0.3">
      <c r="A3019" t="s">
        <v>4172</v>
      </c>
      <c r="C3019">
        <v>15</v>
      </c>
      <c r="D3019" t="s">
        <v>10</v>
      </c>
      <c r="F3019" s="43">
        <v>44795.5</v>
      </c>
      <c r="G3019" s="43">
        <v>44795.510416666664</v>
      </c>
      <c r="H3019">
        <v>12</v>
      </c>
      <c r="I3019">
        <v>0</v>
      </c>
      <c r="J3019">
        <v>12</v>
      </c>
      <c r="K3019">
        <v>15</v>
      </c>
      <c r="L3019">
        <v>2022</v>
      </c>
      <c r="N3019" t="s">
        <v>47</v>
      </c>
      <c r="O3019" t="s">
        <v>47</v>
      </c>
      <c r="P3019" t="s">
        <v>4173</v>
      </c>
    </row>
    <row r="3020" spans="1:16" x14ac:dyDescent="0.3">
      <c r="A3020" t="s">
        <v>17</v>
      </c>
      <c r="B3020" t="s">
        <v>6</v>
      </c>
      <c r="C3020">
        <v>30</v>
      </c>
      <c r="D3020" t="s">
        <v>10</v>
      </c>
      <c r="E3020" t="s">
        <v>515</v>
      </c>
      <c r="F3020" s="43">
        <v>44795.479166666664</v>
      </c>
      <c r="G3020" s="43">
        <v>44795.5</v>
      </c>
      <c r="H3020">
        <v>11</v>
      </c>
      <c r="I3020">
        <v>30</v>
      </c>
      <c r="J3020">
        <v>12</v>
      </c>
      <c r="K3020">
        <v>0</v>
      </c>
      <c r="L3020">
        <v>2022</v>
      </c>
      <c r="N3020" t="s">
        <v>47</v>
      </c>
      <c r="O3020" t="s">
        <v>47</v>
      </c>
      <c r="P3020" t="s">
        <v>4174</v>
      </c>
    </row>
    <row r="3021" spans="1:16" x14ac:dyDescent="0.3">
      <c r="A3021" t="s">
        <v>4175</v>
      </c>
      <c r="C3021">
        <v>15</v>
      </c>
      <c r="D3021" t="s">
        <v>10</v>
      </c>
      <c r="F3021" s="43">
        <v>44795.447916666664</v>
      </c>
      <c r="G3021" s="43">
        <v>44795.458333333336</v>
      </c>
      <c r="H3021">
        <v>10</v>
      </c>
      <c r="I3021">
        <v>45</v>
      </c>
      <c r="J3021">
        <v>11</v>
      </c>
      <c r="K3021">
        <v>0</v>
      </c>
      <c r="L3021">
        <v>2022</v>
      </c>
      <c r="N3021" t="s">
        <v>47</v>
      </c>
      <c r="O3021" t="s">
        <v>47</v>
      </c>
      <c r="P3021" t="s">
        <v>4176</v>
      </c>
    </row>
    <row r="3022" spans="1:16" x14ac:dyDescent="0.3">
      <c r="A3022" t="s">
        <v>1256</v>
      </c>
      <c r="C3022">
        <v>30</v>
      </c>
      <c r="D3022" t="s">
        <v>10</v>
      </c>
      <c r="F3022" s="43">
        <v>44795.395833333336</v>
      </c>
      <c r="G3022" s="43">
        <v>44795.416666666664</v>
      </c>
      <c r="H3022">
        <v>9</v>
      </c>
      <c r="I3022">
        <v>30</v>
      </c>
      <c r="J3022">
        <v>10</v>
      </c>
      <c r="K3022">
        <v>0</v>
      </c>
      <c r="L3022">
        <v>2022</v>
      </c>
      <c r="N3022" t="s">
        <v>47</v>
      </c>
      <c r="O3022" t="s">
        <v>47</v>
      </c>
      <c r="P3022" t="s">
        <v>4178</v>
      </c>
    </row>
    <row r="3023" spans="1:16" x14ac:dyDescent="0.3">
      <c r="A3023" t="s">
        <v>17</v>
      </c>
      <c r="B3023" t="s">
        <v>6</v>
      </c>
      <c r="C3023">
        <v>30</v>
      </c>
      <c r="D3023" t="s">
        <v>10</v>
      </c>
      <c r="E3023" t="s">
        <v>515</v>
      </c>
      <c r="F3023" s="43">
        <v>44795.354166666664</v>
      </c>
      <c r="G3023" s="43">
        <v>44795.375</v>
      </c>
      <c r="H3023">
        <v>8</v>
      </c>
      <c r="I3023">
        <v>30</v>
      </c>
      <c r="J3023">
        <v>9</v>
      </c>
      <c r="K3023">
        <v>0</v>
      </c>
      <c r="L3023">
        <v>2022</v>
      </c>
      <c r="N3023" t="s">
        <v>47</v>
      </c>
      <c r="O3023" t="s">
        <v>47</v>
      </c>
      <c r="P3023" t="s">
        <v>4177</v>
      </c>
    </row>
    <row r="3024" spans="1:16" x14ac:dyDescent="0.3">
      <c r="A3024" t="s">
        <v>4068</v>
      </c>
      <c r="C3024">
        <v>60</v>
      </c>
      <c r="D3024" t="s">
        <v>10</v>
      </c>
      <c r="E3024" t="s">
        <v>4069</v>
      </c>
      <c r="F3024" s="43">
        <v>44795.3125</v>
      </c>
      <c r="G3024" s="43">
        <v>44795.354166666664</v>
      </c>
      <c r="H3024">
        <v>7</v>
      </c>
      <c r="I3024">
        <v>30</v>
      </c>
      <c r="J3024">
        <v>8</v>
      </c>
      <c r="K3024">
        <v>30</v>
      </c>
      <c r="L3024">
        <v>2022</v>
      </c>
      <c r="N3024" t="s">
        <v>974</v>
      </c>
      <c r="O3024" t="s">
        <v>975</v>
      </c>
      <c r="P3024" t="s">
        <v>4070</v>
      </c>
    </row>
    <row r="3025" spans="1:16" x14ac:dyDescent="0.3">
      <c r="A3025" t="s">
        <v>4179</v>
      </c>
      <c r="C3025">
        <v>35</v>
      </c>
      <c r="D3025" t="s">
        <v>10</v>
      </c>
      <c r="F3025" s="43">
        <v>44795.277777777781</v>
      </c>
      <c r="G3025" s="43">
        <v>44795.302083333336</v>
      </c>
      <c r="H3025">
        <v>6</v>
      </c>
      <c r="I3025">
        <v>40</v>
      </c>
      <c r="J3025">
        <v>7</v>
      </c>
      <c r="K3025">
        <v>15</v>
      </c>
      <c r="L3025">
        <v>2022</v>
      </c>
      <c r="N3025" t="s">
        <v>47</v>
      </c>
      <c r="O3025" t="s">
        <v>47</v>
      </c>
      <c r="P3025" t="s">
        <v>4180</v>
      </c>
    </row>
    <row r="3026" spans="1:16" x14ac:dyDescent="0.3">
      <c r="A3026" t="s">
        <v>4181</v>
      </c>
      <c r="C3026">
        <v>30</v>
      </c>
      <c r="D3026" t="s">
        <v>10</v>
      </c>
      <c r="F3026" s="43">
        <v>44795.229166666664</v>
      </c>
      <c r="G3026" s="43">
        <v>44795.25</v>
      </c>
      <c r="H3026">
        <v>5</v>
      </c>
      <c r="I3026">
        <v>30</v>
      </c>
      <c r="J3026">
        <v>6</v>
      </c>
      <c r="K3026">
        <v>0</v>
      </c>
      <c r="L3026">
        <v>2022</v>
      </c>
      <c r="N3026" t="s">
        <v>47</v>
      </c>
      <c r="O3026" t="s">
        <v>47</v>
      </c>
      <c r="P3026" t="s">
        <v>4182</v>
      </c>
    </row>
    <row r="3027" spans="1:16" x14ac:dyDescent="0.3">
      <c r="A3027" t="s">
        <v>4183</v>
      </c>
      <c r="B3027" t="s">
        <v>6</v>
      </c>
      <c r="C3027">
        <v>30</v>
      </c>
      <c r="D3027" t="s">
        <v>10</v>
      </c>
      <c r="E3027" t="s">
        <v>1075</v>
      </c>
      <c r="F3027" s="43">
        <v>44795.208333333336</v>
      </c>
      <c r="G3027" s="43">
        <v>44795.229166666664</v>
      </c>
      <c r="H3027">
        <v>5</v>
      </c>
      <c r="I3027">
        <v>0</v>
      </c>
      <c r="J3027">
        <v>5</v>
      </c>
      <c r="K3027">
        <v>30</v>
      </c>
      <c r="L3027">
        <v>2022</v>
      </c>
      <c r="N3027" t="s">
        <v>47</v>
      </c>
      <c r="O3027" t="s">
        <v>47</v>
      </c>
      <c r="P3027" t="s">
        <v>4184</v>
      </c>
    </row>
    <row r="3028" spans="1:16" x14ac:dyDescent="0.3">
      <c r="A3028" t="s">
        <v>1081</v>
      </c>
      <c r="B3028" t="s">
        <v>6</v>
      </c>
      <c r="C3028">
        <v>60</v>
      </c>
      <c r="D3028" t="s">
        <v>10</v>
      </c>
      <c r="E3028" t="s">
        <v>1075</v>
      </c>
      <c r="F3028" s="43">
        <v>44794.75</v>
      </c>
      <c r="G3028" s="43">
        <v>44794.791666666664</v>
      </c>
      <c r="H3028">
        <v>18</v>
      </c>
      <c r="I3028">
        <v>0</v>
      </c>
      <c r="J3028">
        <v>19</v>
      </c>
      <c r="K3028">
        <v>0</v>
      </c>
      <c r="L3028">
        <v>2022</v>
      </c>
      <c r="N3028" t="s">
        <v>47</v>
      </c>
      <c r="O3028" t="s">
        <v>47</v>
      </c>
      <c r="P3028" t="s">
        <v>4189</v>
      </c>
    </row>
    <row r="3029" spans="1:16" x14ac:dyDescent="0.3">
      <c r="A3029" t="s">
        <v>4164</v>
      </c>
      <c r="B3029" t="s">
        <v>223</v>
      </c>
      <c r="C3029">
        <v>45</v>
      </c>
      <c r="D3029" t="s">
        <v>10</v>
      </c>
      <c r="E3029" t="s">
        <v>617</v>
      </c>
      <c r="F3029" s="43">
        <v>44794.71875</v>
      </c>
      <c r="G3029" s="43">
        <v>44794.75</v>
      </c>
      <c r="H3029">
        <v>17</v>
      </c>
      <c r="I3029">
        <v>15</v>
      </c>
      <c r="J3029">
        <v>18</v>
      </c>
      <c r="K3029">
        <v>0</v>
      </c>
      <c r="L3029">
        <v>2022</v>
      </c>
      <c r="N3029" t="s">
        <v>47</v>
      </c>
      <c r="O3029" t="s">
        <v>47</v>
      </c>
      <c r="P3029" t="s">
        <v>4165</v>
      </c>
    </row>
    <row r="3030" spans="1:16" x14ac:dyDescent="0.3">
      <c r="A3030" t="s">
        <v>4033</v>
      </c>
      <c r="B3030" t="s">
        <v>225</v>
      </c>
      <c r="C3030">
        <v>60</v>
      </c>
      <c r="D3030" t="s">
        <v>10</v>
      </c>
      <c r="E3030" t="s">
        <v>3864</v>
      </c>
      <c r="F3030" s="43">
        <v>44794.625</v>
      </c>
      <c r="G3030" s="43">
        <v>44794.666666666664</v>
      </c>
      <c r="H3030">
        <v>15</v>
      </c>
      <c r="I3030">
        <v>0</v>
      </c>
      <c r="J3030">
        <v>16</v>
      </c>
      <c r="K3030">
        <v>0</v>
      </c>
      <c r="L3030">
        <v>2022</v>
      </c>
      <c r="N3030" t="s">
        <v>3865</v>
      </c>
      <c r="O3030" t="s">
        <v>47</v>
      </c>
      <c r="P3030" t="s">
        <v>4082</v>
      </c>
    </row>
    <row r="3031" spans="1:16" x14ac:dyDescent="0.3">
      <c r="A3031" t="s">
        <v>4162</v>
      </c>
      <c r="B3031" t="s">
        <v>223</v>
      </c>
      <c r="C3031">
        <v>20</v>
      </c>
      <c r="D3031" t="s">
        <v>10</v>
      </c>
      <c r="E3031" t="s">
        <v>617</v>
      </c>
      <c r="F3031" s="43">
        <v>44794.611111111109</v>
      </c>
      <c r="G3031" s="43">
        <v>44794.625</v>
      </c>
      <c r="H3031">
        <v>14</v>
      </c>
      <c r="I3031">
        <v>40</v>
      </c>
      <c r="J3031">
        <v>15</v>
      </c>
      <c r="K3031">
        <v>0</v>
      </c>
      <c r="L3031">
        <v>2022</v>
      </c>
      <c r="N3031" t="s">
        <v>47</v>
      </c>
      <c r="O3031" t="s">
        <v>47</v>
      </c>
      <c r="P3031" t="s">
        <v>4163</v>
      </c>
    </row>
    <row r="3032" spans="1:16" x14ac:dyDescent="0.3">
      <c r="A3032" t="s">
        <v>4160</v>
      </c>
      <c r="B3032" t="s">
        <v>225</v>
      </c>
      <c r="C3032">
        <v>20</v>
      </c>
      <c r="D3032" t="s">
        <v>10</v>
      </c>
      <c r="E3032" t="s">
        <v>784</v>
      </c>
      <c r="F3032" s="43">
        <v>44794.597222222219</v>
      </c>
      <c r="G3032" s="43">
        <v>44794.611111111109</v>
      </c>
      <c r="H3032">
        <v>14</v>
      </c>
      <c r="I3032">
        <v>20</v>
      </c>
      <c r="J3032">
        <v>14</v>
      </c>
      <c r="K3032">
        <v>40</v>
      </c>
      <c r="L3032">
        <v>2022</v>
      </c>
      <c r="N3032" t="s">
        <v>47</v>
      </c>
      <c r="O3032" t="s">
        <v>47</v>
      </c>
      <c r="P3032" t="s">
        <v>4161</v>
      </c>
    </row>
    <row r="3033" spans="1:16" x14ac:dyDescent="0.3">
      <c r="A3033" t="s">
        <v>4157</v>
      </c>
      <c r="B3033" t="s">
        <v>223</v>
      </c>
      <c r="C3033">
        <v>30</v>
      </c>
      <c r="D3033" t="s">
        <v>10</v>
      </c>
      <c r="E3033" t="s">
        <v>617</v>
      </c>
      <c r="F3033" s="43">
        <v>44794.5625</v>
      </c>
      <c r="G3033" s="43">
        <v>44794.583333333336</v>
      </c>
      <c r="H3033">
        <v>13</v>
      </c>
      <c r="I3033">
        <v>30</v>
      </c>
      <c r="J3033">
        <v>14</v>
      </c>
      <c r="K3033">
        <v>0</v>
      </c>
      <c r="L3033">
        <v>2022</v>
      </c>
      <c r="N3033" t="s">
        <v>47</v>
      </c>
      <c r="O3033" t="s">
        <v>47</v>
      </c>
      <c r="P3033" t="s">
        <v>4159</v>
      </c>
    </row>
    <row r="3034" spans="1:16" x14ac:dyDescent="0.3">
      <c r="A3034" t="s">
        <v>4157</v>
      </c>
      <c r="B3034" t="s">
        <v>223</v>
      </c>
      <c r="C3034">
        <v>60</v>
      </c>
      <c r="D3034" t="s">
        <v>10</v>
      </c>
      <c r="E3034" t="s">
        <v>617</v>
      </c>
      <c r="F3034" s="43">
        <v>44794.479166666664</v>
      </c>
      <c r="G3034" s="43">
        <v>44794.520833333336</v>
      </c>
      <c r="H3034">
        <v>11</v>
      </c>
      <c r="I3034">
        <v>30</v>
      </c>
      <c r="J3034">
        <v>12</v>
      </c>
      <c r="K3034">
        <v>30</v>
      </c>
      <c r="L3034">
        <v>2022</v>
      </c>
      <c r="N3034" t="s">
        <v>47</v>
      </c>
      <c r="O3034" t="s">
        <v>47</v>
      </c>
      <c r="P3034" t="s">
        <v>4158</v>
      </c>
    </row>
    <row r="3035" spans="1:16" x14ac:dyDescent="0.3">
      <c r="A3035" t="s">
        <v>4153</v>
      </c>
      <c r="B3035" t="s">
        <v>223</v>
      </c>
      <c r="C3035">
        <v>70</v>
      </c>
      <c r="D3035" t="s">
        <v>10</v>
      </c>
      <c r="E3035" t="s">
        <v>617</v>
      </c>
      <c r="F3035" s="43">
        <v>44793.791666666664</v>
      </c>
      <c r="G3035" s="43">
        <v>44793.840277777781</v>
      </c>
      <c r="H3035">
        <v>19</v>
      </c>
      <c r="I3035">
        <v>0</v>
      </c>
      <c r="J3035">
        <v>20</v>
      </c>
      <c r="K3035">
        <v>10</v>
      </c>
      <c r="L3035">
        <v>2022</v>
      </c>
      <c r="N3035" t="s">
        <v>47</v>
      </c>
      <c r="O3035" t="s">
        <v>47</v>
      </c>
      <c r="P3035" t="s">
        <v>4154</v>
      </c>
    </row>
    <row r="3036" spans="1:16" x14ac:dyDescent="0.3">
      <c r="A3036" t="s">
        <v>4155</v>
      </c>
      <c r="B3036" t="s">
        <v>31</v>
      </c>
      <c r="C3036">
        <v>60</v>
      </c>
      <c r="D3036" t="s">
        <v>10</v>
      </c>
      <c r="F3036" s="43">
        <v>44793.708333333336</v>
      </c>
      <c r="G3036" s="43">
        <v>44793.75</v>
      </c>
      <c r="H3036">
        <v>17</v>
      </c>
      <c r="I3036">
        <v>0</v>
      </c>
      <c r="J3036">
        <v>18</v>
      </c>
      <c r="K3036">
        <v>0</v>
      </c>
      <c r="L3036">
        <v>2022</v>
      </c>
      <c r="N3036" t="s">
        <v>47</v>
      </c>
      <c r="O3036" t="s">
        <v>47</v>
      </c>
      <c r="P3036" t="s">
        <v>4156</v>
      </c>
    </row>
    <row r="3037" spans="1:16" x14ac:dyDescent="0.3">
      <c r="A3037" t="s">
        <v>4151</v>
      </c>
      <c r="B3037" t="s">
        <v>109</v>
      </c>
      <c r="C3037">
        <v>15</v>
      </c>
      <c r="D3037" t="s">
        <v>10</v>
      </c>
      <c r="E3037" t="s">
        <v>3874</v>
      </c>
      <c r="F3037" s="43">
        <v>44793.701388888891</v>
      </c>
      <c r="G3037" s="43">
        <v>44793.711805555555</v>
      </c>
      <c r="H3037">
        <v>16</v>
      </c>
      <c r="I3037">
        <v>50</v>
      </c>
      <c r="J3037">
        <v>17</v>
      </c>
      <c r="K3037">
        <v>5</v>
      </c>
      <c r="L3037">
        <v>2022</v>
      </c>
      <c r="N3037" t="s">
        <v>47</v>
      </c>
      <c r="O3037" t="s">
        <v>47</v>
      </c>
      <c r="P3037" t="s">
        <v>4152</v>
      </c>
    </row>
    <row r="3038" spans="1:16" x14ac:dyDescent="0.3">
      <c r="A3038" t="s">
        <v>4149</v>
      </c>
      <c r="B3038" t="s">
        <v>223</v>
      </c>
      <c r="C3038">
        <v>40</v>
      </c>
      <c r="D3038" t="s">
        <v>10</v>
      </c>
      <c r="E3038" t="s">
        <v>617</v>
      </c>
      <c r="F3038" s="43">
        <v>44793.666666666664</v>
      </c>
      <c r="G3038" s="43">
        <v>44793.694444444445</v>
      </c>
      <c r="H3038">
        <v>16</v>
      </c>
      <c r="I3038">
        <v>0</v>
      </c>
      <c r="J3038">
        <v>16</v>
      </c>
      <c r="K3038">
        <v>40</v>
      </c>
      <c r="L3038">
        <v>2022</v>
      </c>
      <c r="N3038" t="s">
        <v>47</v>
      </c>
      <c r="O3038" t="s">
        <v>47</v>
      </c>
      <c r="P3038" t="s">
        <v>4150</v>
      </c>
    </row>
    <row r="3039" spans="1:16" x14ac:dyDescent="0.3">
      <c r="A3039" t="s">
        <v>4147</v>
      </c>
      <c r="B3039" t="s">
        <v>223</v>
      </c>
      <c r="C3039">
        <v>30</v>
      </c>
      <c r="D3039" t="s">
        <v>10</v>
      </c>
      <c r="E3039" t="s">
        <v>617</v>
      </c>
      <c r="F3039" s="43">
        <v>44793.618055555555</v>
      </c>
      <c r="G3039" s="43">
        <v>44793.638888888891</v>
      </c>
      <c r="H3039">
        <v>14</v>
      </c>
      <c r="I3039">
        <v>50</v>
      </c>
      <c r="J3039">
        <v>15</v>
      </c>
      <c r="K3039">
        <v>20</v>
      </c>
      <c r="L3039">
        <v>2022</v>
      </c>
      <c r="N3039" t="s">
        <v>47</v>
      </c>
      <c r="O3039" t="s">
        <v>47</v>
      </c>
      <c r="P3039" t="s">
        <v>4148</v>
      </c>
    </row>
    <row r="3040" spans="1:16" x14ac:dyDescent="0.3">
      <c r="A3040" t="s">
        <v>4145</v>
      </c>
      <c r="B3040" t="s">
        <v>223</v>
      </c>
      <c r="C3040">
        <v>90</v>
      </c>
      <c r="D3040" t="s">
        <v>10</v>
      </c>
      <c r="E3040" t="s">
        <v>617</v>
      </c>
      <c r="F3040" s="43">
        <v>44793.541666666664</v>
      </c>
      <c r="G3040" s="43">
        <v>44793.604166666664</v>
      </c>
      <c r="H3040">
        <v>13</v>
      </c>
      <c r="I3040">
        <v>0</v>
      </c>
      <c r="J3040">
        <v>14</v>
      </c>
      <c r="K3040">
        <v>30</v>
      </c>
      <c r="L3040">
        <v>2022</v>
      </c>
      <c r="N3040" t="s">
        <v>47</v>
      </c>
      <c r="O3040" t="s">
        <v>47</v>
      </c>
      <c r="P3040" t="s">
        <v>4146</v>
      </c>
    </row>
    <row r="3041" spans="1:16" x14ac:dyDescent="0.3">
      <c r="A3041" t="s">
        <v>4142</v>
      </c>
      <c r="B3041" t="s">
        <v>109</v>
      </c>
      <c r="C3041">
        <v>60</v>
      </c>
      <c r="D3041" t="s">
        <v>10</v>
      </c>
      <c r="E3041" t="s">
        <v>3874</v>
      </c>
      <c r="F3041" s="43">
        <v>44793.166666666664</v>
      </c>
      <c r="G3041" s="43">
        <v>44793.208333333336</v>
      </c>
      <c r="H3041">
        <v>4</v>
      </c>
      <c r="I3041">
        <v>0</v>
      </c>
      <c r="J3041">
        <v>5</v>
      </c>
      <c r="K3041">
        <v>0</v>
      </c>
      <c r="L3041">
        <v>2022</v>
      </c>
      <c r="N3041" t="s">
        <v>47</v>
      </c>
      <c r="O3041" t="s">
        <v>47</v>
      </c>
      <c r="P3041" t="s">
        <v>4143</v>
      </c>
    </row>
    <row r="3042" spans="1:16" x14ac:dyDescent="0.3">
      <c r="A3042" t="s">
        <v>4142</v>
      </c>
      <c r="B3042" t="s">
        <v>109</v>
      </c>
      <c r="C3042">
        <v>20</v>
      </c>
      <c r="D3042" t="s">
        <v>10</v>
      </c>
      <c r="E3042" t="s">
        <v>3874</v>
      </c>
      <c r="F3042" s="43">
        <v>44792.833333333336</v>
      </c>
      <c r="G3042" s="43">
        <v>44792.847222222219</v>
      </c>
      <c r="H3042">
        <v>20</v>
      </c>
      <c r="I3042">
        <v>0</v>
      </c>
      <c r="J3042">
        <v>20</v>
      </c>
      <c r="K3042">
        <v>20</v>
      </c>
      <c r="L3042">
        <v>2022</v>
      </c>
      <c r="N3042" t="s">
        <v>47</v>
      </c>
      <c r="O3042" t="s">
        <v>47</v>
      </c>
      <c r="P3042" t="s">
        <v>4144</v>
      </c>
    </row>
    <row r="3043" spans="1:16" x14ac:dyDescent="0.3">
      <c r="A3043" t="s">
        <v>3236</v>
      </c>
      <c r="B3043" t="s">
        <v>223</v>
      </c>
      <c r="C3043">
        <v>30</v>
      </c>
      <c r="D3043" t="s">
        <v>10</v>
      </c>
      <c r="E3043" t="s">
        <v>617</v>
      </c>
      <c r="F3043" s="43">
        <v>44792.8125</v>
      </c>
      <c r="G3043" s="43">
        <v>44792.833333333336</v>
      </c>
      <c r="H3043">
        <v>19</v>
      </c>
      <c r="I3043">
        <v>30</v>
      </c>
      <c r="J3043">
        <v>20</v>
      </c>
      <c r="K3043">
        <v>0</v>
      </c>
      <c r="L3043">
        <v>2022</v>
      </c>
      <c r="N3043" t="s">
        <v>47</v>
      </c>
      <c r="O3043" t="s">
        <v>47</v>
      </c>
      <c r="P3043" t="s">
        <v>4140</v>
      </c>
    </row>
    <row r="3044" spans="1:16" x14ac:dyDescent="0.3">
      <c r="A3044" t="s">
        <v>1030</v>
      </c>
      <c r="B3044" t="s">
        <v>31</v>
      </c>
      <c r="C3044">
        <v>60</v>
      </c>
      <c r="D3044" t="s">
        <v>10</v>
      </c>
      <c r="F3044" s="43">
        <v>44792.729166666664</v>
      </c>
      <c r="G3044" s="43">
        <v>44792.770833333336</v>
      </c>
      <c r="H3044">
        <v>17</v>
      </c>
      <c r="I3044">
        <v>30</v>
      </c>
      <c r="J3044">
        <v>18</v>
      </c>
      <c r="K3044">
        <v>30</v>
      </c>
      <c r="L3044">
        <v>2022</v>
      </c>
      <c r="N3044" t="s">
        <v>47</v>
      </c>
      <c r="O3044" t="s">
        <v>47</v>
      </c>
      <c r="P3044" t="s">
        <v>4141</v>
      </c>
    </row>
    <row r="3045" spans="1:16" x14ac:dyDescent="0.3">
      <c r="A3045" t="s">
        <v>7</v>
      </c>
      <c r="B3045" t="s">
        <v>6</v>
      </c>
      <c r="C3045">
        <v>60</v>
      </c>
      <c r="D3045" t="s">
        <v>10</v>
      </c>
      <c r="E3045" t="s">
        <v>449</v>
      </c>
      <c r="F3045" s="43">
        <v>44792.6875</v>
      </c>
      <c r="G3045" s="43">
        <v>44792.729166666664</v>
      </c>
      <c r="H3045">
        <v>16</v>
      </c>
      <c r="I3045">
        <v>30</v>
      </c>
      <c r="J3045">
        <v>17</v>
      </c>
      <c r="K3045">
        <v>30</v>
      </c>
      <c r="L3045">
        <v>2022</v>
      </c>
      <c r="N3045" t="s">
        <v>47</v>
      </c>
      <c r="O3045" t="s">
        <v>47</v>
      </c>
      <c r="P3045" t="s">
        <v>4139</v>
      </c>
    </row>
    <row r="3046" spans="1:16" x14ac:dyDescent="0.3">
      <c r="A3046" t="s">
        <v>4083</v>
      </c>
      <c r="B3046" t="s">
        <v>109</v>
      </c>
      <c r="C3046">
        <v>90</v>
      </c>
      <c r="D3046" t="s">
        <v>10</v>
      </c>
      <c r="E3046" t="s">
        <v>4061</v>
      </c>
      <c r="F3046" s="43">
        <v>44792.59375</v>
      </c>
      <c r="G3046" s="43">
        <v>44792.65625</v>
      </c>
      <c r="H3046">
        <v>14</v>
      </c>
      <c r="I3046">
        <v>15</v>
      </c>
      <c r="J3046">
        <v>15</v>
      </c>
      <c r="K3046">
        <v>45</v>
      </c>
      <c r="L3046">
        <v>2022</v>
      </c>
      <c r="N3046" t="s">
        <v>4084</v>
      </c>
      <c r="O3046" t="s">
        <v>47</v>
      </c>
      <c r="P3046" t="s">
        <v>4085</v>
      </c>
    </row>
    <row r="3047" spans="1:16" x14ac:dyDescent="0.3">
      <c r="A3047" t="s">
        <v>4124</v>
      </c>
      <c r="C3047">
        <v>30</v>
      </c>
      <c r="D3047" t="s">
        <v>10</v>
      </c>
      <c r="E3047" t="s">
        <v>4125</v>
      </c>
      <c r="F3047" s="43">
        <v>44792.541666666664</v>
      </c>
      <c r="G3047" s="43">
        <v>44792.5625</v>
      </c>
      <c r="H3047">
        <v>13</v>
      </c>
      <c r="I3047">
        <v>0</v>
      </c>
      <c r="J3047">
        <v>13</v>
      </c>
      <c r="K3047">
        <v>30</v>
      </c>
      <c r="L3047">
        <v>2022</v>
      </c>
      <c r="N3047" t="s">
        <v>2176</v>
      </c>
      <c r="O3047" t="s">
        <v>48</v>
      </c>
      <c r="P3047" t="s">
        <v>4126</v>
      </c>
    </row>
    <row r="3048" spans="1:16" x14ac:dyDescent="0.3">
      <c r="A3048" t="s">
        <v>1655</v>
      </c>
      <c r="B3048" t="s">
        <v>109</v>
      </c>
      <c r="C3048">
        <v>45</v>
      </c>
      <c r="D3048" t="s">
        <v>10</v>
      </c>
      <c r="E3048" t="s">
        <v>981</v>
      </c>
      <c r="F3048" s="43">
        <v>44792.510416666664</v>
      </c>
      <c r="G3048" s="43">
        <v>44792.541666666664</v>
      </c>
      <c r="H3048">
        <v>12</v>
      </c>
      <c r="I3048">
        <v>15</v>
      </c>
      <c r="J3048">
        <v>13</v>
      </c>
      <c r="K3048">
        <v>0</v>
      </c>
      <c r="L3048">
        <v>2022</v>
      </c>
      <c r="N3048" t="s">
        <v>47</v>
      </c>
      <c r="O3048" t="s">
        <v>47</v>
      </c>
      <c r="P3048" t="s">
        <v>4120</v>
      </c>
    </row>
    <row r="3049" spans="1:16" x14ac:dyDescent="0.3">
      <c r="A3049" t="s">
        <v>827</v>
      </c>
      <c r="B3049" t="s">
        <v>6</v>
      </c>
      <c r="C3049">
        <v>15</v>
      </c>
      <c r="D3049" t="s">
        <v>10</v>
      </c>
      <c r="E3049" t="s">
        <v>515</v>
      </c>
      <c r="F3049" s="43">
        <v>44792.5</v>
      </c>
      <c r="G3049" s="43">
        <v>44792.510416666664</v>
      </c>
      <c r="H3049">
        <v>12</v>
      </c>
      <c r="I3049">
        <v>0</v>
      </c>
      <c r="J3049">
        <v>12</v>
      </c>
      <c r="K3049">
        <v>15</v>
      </c>
      <c r="L3049">
        <v>2022</v>
      </c>
      <c r="N3049" t="s">
        <v>47</v>
      </c>
      <c r="O3049" t="s">
        <v>47</v>
      </c>
      <c r="P3049" t="s">
        <v>4121</v>
      </c>
    </row>
    <row r="3050" spans="1:16" x14ac:dyDescent="0.3">
      <c r="A3050" t="s">
        <v>4122</v>
      </c>
      <c r="B3050" t="s">
        <v>109</v>
      </c>
      <c r="C3050">
        <v>15</v>
      </c>
      <c r="D3050" t="s">
        <v>10</v>
      </c>
      <c r="E3050" t="s">
        <v>4089</v>
      </c>
      <c r="F3050" s="43">
        <v>44792.458333333336</v>
      </c>
      <c r="G3050" s="43">
        <v>44792.46875</v>
      </c>
      <c r="H3050">
        <v>11</v>
      </c>
      <c r="I3050">
        <v>0</v>
      </c>
      <c r="J3050">
        <v>11</v>
      </c>
      <c r="K3050">
        <v>15</v>
      </c>
      <c r="L3050">
        <v>2022</v>
      </c>
      <c r="N3050" t="s">
        <v>47</v>
      </c>
      <c r="O3050" t="s">
        <v>47</v>
      </c>
      <c r="P3050" t="s">
        <v>4123</v>
      </c>
    </row>
    <row r="3051" spans="1:16" x14ac:dyDescent="0.3">
      <c r="A3051" t="s">
        <v>4075</v>
      </c>
      <c r="B3051" t="s">
        <v>20</v>
      </c>
      <c r="C3051">
        <v>60</v>
      </c>
      <c r="D3051" t="s">
        <v>10</v>
      </c>
      <c r="E3051" t="s">
        <v>4076</v>
      </c>
      <c r="F3051" s="43">
        <v>44792.416666666664</v>
      </c>
      <c r="G3051" s="43">
        <v>44792.458333333336</v>
      </c>
      <c r="H3051">
        <v>10</v>
      </c>
      <c r="I3051">
        <v>0</v>
      </c>
      <c r="J3051">
        <v>11</v>
      </c>
      <c r="K3051">
        <v>0</v>
      </c>
      <c r="L3051">
        <v>2022</v>
      </c>
      <c r="N3051" t="s">
        <v>4077</v>
      </c>
      <c r="O3051" t="s">
        <v>4078</v>
      </c>
      <c r="P3051" t="s">
        <v>4079</v>
      </c>
    </row>
    <row r="3052" spans="1:16" x14ac:dyDescent="0.3">
      <c r="A3052" t="s">
        <v>4127</v>
      </c>
      <c r="B3052" t="s">
        <v>109</v>
      </c>
      <c r="C3052">
        <v>30</v>
      </c>
      <c r="D3052" t="s">
        <v>10</v>
      </c>
      <c r="E3052" t="s">
        <v>4089</v>
      </c>
      <c r="F3052" s="43">
        <v>44792.395833333336</v>
      </c>
      <c r="G3052" s="43">
        <v>44792.416666666664</v>
      </c>
      <c r="H3052">
        <v>9</v>
      </c>
      <c r="I3052">
        <v>30</v>
      </c>
      <c r="J3052">
        <v>10</v>
      </c>
      <c r="K3052">
        <v>0</v>
      </c>
      <c r="L3052">
        <v>2022</v>
      </c>
      <c r="N3052" t="s">
        <v>47</v>
      </c>
      <c r="O3052" t="s">
        <v>47</v>
      </c>
      <c r="P3052" t="s">
        <v>4128</v>
      </c>
    </row>
    <row r="3053" spans="1:16" x14ac:dyDescent="0.3">
      <c r="A3053" t="s">
        <v>4094</v>
      </c>
      <c r="B3053" t="s">
        <v>20</v>
      </c>
      <c r="C3053">
        <v>60</v>
      </c>
      <c r="D3053" t="s">
        <v>10</v>
      </c>
      <c r="E3053" t="s">
        <v>4095</v>
      </c>
      <c r="F3053" s="43">
        <v>44792.333333333336</v>
      </c>
      <c r="G3053" s="43">
        <v>44792.375</v>
      </c>
      <c r="H3053">
        <v>8</v>
      </c>
      <c r="I3053">
        <v>0</v>
      </c>
      <c r="J3053">
        <v>9</v>
      </c>
      <c r="K3053">
        <v>0</v>
      </c>
      <c r="L3053">
        <v>2022</v>
      </c>
      <c r="N3053" t="s">
        <v>4096</v>
      </c>
      <c r="O3053" t="s">
        <v>458</v>
      </c>
      <c r="P3053" t="s">
        <v>4097</v>
      </c>
    </row>
    <row r="3054" spans="1:16" x14ac:dyDescent="0.3">
      <c r="A3054" t="s">
        <v>4129</v>
      </c>
      <c r="B3054" t="s">
        <v>109</v>
      </c>
      <c r="C3054">
        <v>15</v>
      </c>
      <c r="D3054" t="s">
        <v>10</v>
      </c>
      <c r="E3054" t="s">
        <v>981</v>
      </c>
      <c r="F3054" s="43">
        <v>44792.302083333336</v>
      </c>
      <c r="G3054" s="43">
        <v>44792.3125</v>
      </c>
      <c r="H3054">
        <v>7</v>
      </c>
      <c r="I3054">
        <v>15</v>
      </c>
      <c r="J3054">
        <v>7</v>
      </c>
      <c r="K3054">
        <v>30</v>
      </c>
      <c r="L3054">
        <v>2022</v>
      </c>
      <c r="N3054" t="s">
        <v>47</v>
      </c>
      <c r="O3054" t="s">
        <v>47</v>
      </c>
      <c r="P3054" t="s">
        <v>4130</v>
      </c>
    </row>
    <row r="3055" spans="1:16" x14ac:dyDescent="0.3">
      <c r="A3055" t="s">
        <v>4131</v>
      </c>
      <c r="B3055" t="s">
        <v>109</v>
      </c>
      <c r="C3055">
        <v>15</v>
      </c>
      <c r="D3055" t="s">
        <v>10</v>
      </c>
      <c r="E3055" t="s">
        <v>461</v>
      </c>
      <c r="F3055" s="43">
        <v>44792.25</v>
      </c>
      <c r="G3055" s="43">
        <v>44792.260416666664</v>
      </c>
      <c r="H3055">
        <v>6</v>
      </c>
      <c r="I3055">
        <v>0</v>
      </c>
      <c r="J3055">
        <v>6</v>
      </c>
      <c r="K3055">
        <v>15</v>
      </c>
      <c r="L3055">
        <v>2022</v>
      </c>
      <c r="N3055" t="s">
        <v>47</v>
      </c>
      <c r="O3055" t="s">
        <v>47</v>
      </c>
      <c r="P3055" t="s">
        <v>4132</v>
      </c>
    </row>
    <row r="3056" spans="1:16" x14ac:dyDescent="0.3">
      <c r="A3056" t="s">
        <v>4133</v>
      </c>
      <c r="C3056">
        <v>30</v>
      </c>
      <c r="D3056" t="s">
        <v>10</v>
      </c>
      <c r="F3056" s="43">
        <v>44792.229166666664</v>
      </c>
      <c r="G3056" s="43">
        <v>44792.25</v>
      </c>
      <c r="H3056">
        <v>5</v>
      </c>
      <c r="I3056">
        <v>30</v>
      </c>
      <c r="J3056">
        <v>6</v>
      </c>
      <c r="K3056">
        <v>0</v>
      </c>
      <c r="L3056">
        <v>2022</v>
      </c>
      <c r="N3056" t="s">
        <v>47</v>
      </c>
      <c r="O3056" t="s">
        <v>47</v>
      </c>
      <c r="P3056" t="s">
        <v>4134</v>
      </c>
    </row>
    <row r="3057" spans="1:16" x14ac:dyDescent="0.3">
      <c r="A3057" t="s">
        <v>4135</v>
      </c>
      <c r="C3057">
        <v>30</v>
      </c>
      <c r="D3057" t="s">
        <v>10</v>
      </c>
      <c r="F3057" s="43">
        <v>44792.208333333336</v>
      </c>
      <c r="G3057" s="43">
        <v>44792.229166666664</v>
      </c>
      <c r="H3057">
        <v>5</v>
      </c>
      <c r="I3057">
        <v>0</v>
      </c>
      <c r="J3057">
        <v>5</v>
      </c>
      <c r="K3057">
        <v>30</v>
      </c>
      <c r="L3057">
        <v>2022</v>
      </c>
      <c r="N3057" t="s">
        <v>47</v>
      </c>
      <c r="O3057" t="s">
        <v>47</v>
      </c>
      <c r="P3057" t="s">
        <v>4136</v>
      </c>
    </row>
    <row r="3058" spans="1:16" x14ac:dyDescent="0.3">
      <c r="A3058" t="s">
        <v>4088</v>
      </c>
      <c r="B3058" t="s">
        <v>109</v>
      </c>
      <c r="C3058">
        <v>30</v>
      </c>
      <c r="D3058" t="s">
        <v>10</v>
      </c>
      <c r="E3058" t="s">
        <v>4089</v>
      </c>
      <c r="F3058" s="43">
        <v>44791.802083333336</v>
      </c>
      <c r="G3058" s="43">
        <v>44791.822916666664</v>
      </c>
      <c r="H3058">
        <v>19</v>
      </c>
      <c r="I3058">
        <v>15</v>
      </c>
      <c r="J3058">
        <v>19</v>
      </c>
      <c r="K3058">
        <v>45</v>
      </c>
      <c r="L3058">
        <v>2022</v>
      </c>
      <c r="N3058" t="s">
        <v>47</v>
      </c>
      <c r="O3058" t="s">
        <v>47</v>
      </c>
      <c r="P3058" t="s">
        <v>4117</v>
      </c>
    </row>
    <row r="3059" spans="1:16" x14ac:dyDescent="0.3">
      <c r="A3059" t="s">
        <v>4088</v>
      </c>
      <c r="B3059" t="s">
        <v>109</v>
      </c>
      <c r="C3059">
        <v>30</v>
      </c>
      <c r="D3059" t="s">
        <v>10</v>
      </c>
      <c r="E3059" t="s">
        <v>4089</v>
      </c>
      <c r="F3059" s="43">
        <v>44791.770833333336</v>
      </c>
      <c r="G3059" s="43">
        <v>44791.791666666664</v>
      </c>
      <c r="H3059">
        <v>18</v>
      </c>
      <c r="I3059">
        <v>30</v>
      </c>
      <c r="J3059">
        <v>19</v>
      </c>
      <c r="K3059">
        <v>0</v>
      </c>
      <c r="L3059">
        <v>2022</v>
      </c>
      <c r="N3059" t="s">
        <v>47</v>
      </c>
      <c r="O3059" t="s">
        <v>47</v>
      </c>
      <c r="P3059" t="s">
        <v>4116</v>
      </c>
    </row>
    <row r="3060" spans="1:16" x14ac:dyDescent="0.3">
      <c r="A3060" t="s">
        <v>1030</v>
      </c>
      <c r="B3060" t="s">
        <v>31</v>
      </c>
      <c r="C3060">
        <v>60</v>
      </c>
      <c r="D3060" t="s">
        <v>10</v>
      </c>
      <c r="F3060" s="43">
        <v>44791.708333333336</v>
      </c>
      <c r="G3060" s="43">
        <v>44791.75</v>
      </c>
      <c r="H3060">
        <v>17</v>
      </c>
      <c r="I3060">
        <v>0</v>
      </c>
      <c r="J3060">
        <v>18</v>
      </c>
      <c r="K3060">
        <v>0</v>
      </c>
      <c r="L3060">
        <v>2022</v>
      </c>
      <c r="N3060" t="s">
        <v>47</v>
      </c>
      <c r="O3060" t="s">
        <v>47</v>
      </c>
      <c r="P3060" t="s">
        <v>4119</v>
      </c>
    </row>
    <row r="3061" spans="1:16" x14ac:dyDescent="0.3">
      <c r="A3061" t="s">
        <v>4114</v>
      </c>
      <c r="B3061" t="s">
        <v>6</v>
      </c>
      <c r="C3061">
        <v>50</v>
      </c>
      <c r="D3061" t="s">
        <v>10</v>
      </c>
      <c r="F3061" s="43">
        <v>44791.666666666664</v>
      </c>
      <c r="G3061" s="43">
        <v>44791.701388888891</v>
      </c>
      <c r="H3061">
        <v>16</v>
      </c>
      <c r="I3061">
        <v>0</v>
      </c>
      <c r="J3061">
        <v>16</v>
      </c>
      <c r="K3061">
        <v>50</v>
      </c>
      <c r="L3061">
        <v>2022</v>
      </c>
      <c r="N3061" t="s">
        <v>47</v>
      </c>
      <c r="O3061" t="s">
        <v>47</v>
      </c>
      <c r="P3061" t="s">
        <v>4115</v>
      </c>
    </row>
    <row r="3062" spans="1:16" x14ac:dyDescent="0.3">
      <c r="A3062" t="s">
        <v>4012</v>
      </c>
      <c r="B3062" t="s">
        <v>20</v>
      </c>
      <c r="C3062">
        <v>30</v>
      </c>
      <c r="D3062" t="s">
        <v>10</v>
      </c>
      <c r="F3062" s="43">
        <v>44791.625</v>
      </c>
      <c r="G3062" s="43">
        <v>44791.645833333336</v>
      </c>
      <c r="H3062">
        <v>15</v>
      </c>
      <c r="I3062">
        <v>0</v>
      </c>
      <c r="J3062">
        <v>15</v>
      </c>
      <c r="K3062">
        <v>30</v>
      </c>
      <c r="L3062">
        <v>2022</v>
      </c>
      <c r="N3062" t="s">
        <v>4013</v>
      </c>
      <c r="O3062" t="s">
        <v>4014</v>
      </c>
      <c r="P3062" t="s">
        <v>4015</v>
      </c>
    </row>
    <row r="3063" spans="1:16" x14ac:dyDescent="0.3">
      <c r="A3063" t="s">
        <v>4086</v>
      </c>
      <c r="C3063">
        <v>30</v>
      </c>
      <c r="D3063" t="s">
        <v>10</v>
      </c>
      <c r="E3063" t="s">
        <v>501</v>
      </c>
      <c r="F3063" s="43">
        <v>44791.604166666664</v>
      </c>
      <c r="G3063" s="43">
        <v>44791.625</v>
      </c>
      <c r="H3063">
        <v>14</v>
      </c>
      <c r="I3063">
        <v>30</v>
      </c>
      <c r="J3063">
        <v>15</v>
      </c>
      <c r="K3063">
        <v>0</v>
      </c>
      <c r="L3063">
        <v>2022</v>
      </c>
      <c r="N3063" t="s">
        <v>4062</v>
      </c>
      <c r="O3063" t="s">
        <v>47</v>
      </c>
      <c r="P3063" t="s">
        <v>4087</v>
      </c>
    </row>
    <row r="3064" spans="1:16" x14ac:dyDescent="0.3">
      <c r="A3064" t="s">
        <v>3998</v>
      </c>
      <c r="B3064" t="s">
        <v>20</v>
      </c>
      <c r="C3064">
        <v>60</v>
      </c>
      <c r="D3064" t="s">
        <v>10</v>
      </c>
      <c r="E3064" t="s">
        <v>3999</v>
      </c>
      <c r="F3064" s="43">
        <v>44791.5625</v>
      </c>
      <c r="G3064" s="43">
        <v>44791.604166666664</v>
      </c>
      <c r="H3064">
        <v>13</v>
      </c>
      <c r="I3064">
        <v>30</v>
      </c>
      <c r="J3064">
        <v>14</v>
      </c>
      <c r="K3064">
        <v>30</v>
      </c>
      <c r="L3064">
        <v>2022</v>
      </c>
      <c r="N3064" t="s">
        <v>4000</v>
      </c>
      <c r="O3064" t="s">
        <v>683</v>
      </c>
      <c r="P3064" t="s">
        <v>4001</v>
      </c>
    </row>
    <row r="3065" spans="1:16" x14ac:dyDescent="0.3">
      <c r="A3065" t="s">
        <v>4088</v>
      </c>
      <c r="B3065" t="s">
        <v>109</v>
      </c>
      <c r="C3065">
        <v>30</v>
      </c>
      <c r="D3065" t="s">
        <v>10</v>
      </c>
      <c r="E3065" t="s">
        <v>4089</v>
      </c>
      <c r="F3065" s="43">
        <v>44791.534722222219</v>
      </c>
      <c r="G3065" s="43">
        <v>44791.555555555555</v>
      </c>
      <c r="H3065">
        <v>12</v>
      </c>
      <c r="I3065">
        <v>50</v>
      </c>
      <c r="J3065">
        <v>13</v>
      </c>
      <c r="K3065">
        <v>20</v>
      </c>
      <c r="L3065">
        <v>2022</v>
      </c>
      <c r="N3065" t="s">
        <v>47</v>
      </c>
      <c r="O3065" t="s">
        <v>47</v>
      </c>
      <c r="P3065" t="s">
        <v>4090</v>
      </c>
    </row>
    <row r="3066" spans="1:16" x14ac:dyDescent="0.3">
      <c r="A3066" t="s">
        <v>4091</v>
      </c>
      <c r="C3066">
        <v>15</v>
      </c>
      <c r="D3066" t="s">
        <v>10</v>
      </c>
      <c r="F3066" s="43">
        <v>44791.479166666664</v>
      </c>
      <c r="G3066" s="43">
        <v>44791.489583333336</v>
      </c>
      <c r="H3066">
        <v>11</v>
      </c>
      <c r="I3066">
        <v>30</v>
      </c>
      <c r="J3066">
        <v>11</v>
      </c>
      <c r="K3066">
        <v>45</v>
      </c>
      <c r="L3066">
        <v>2022</v>
      </c>
      <c r="N3066" t="s">
        <v>47</v>
      </c>
      <c r="O3066" t="s">
        <v>47</v>
      </c>
      <c r="P3066" t="s">
        <v>4092</v>
      </c>
    </row>
    <row r="3067" spans="1:16" x14ac:dyDescent="0.3">
      <c r="A3067" t="s">
        <v>9</v>
      </c>
      <c r="B3067" t="s">
        <v>6</v>
      </c>
      <c r="C3067">
        <v>30</v>
      </c>
      <c r="D3067" t="s">
        <v>10</v>
      </c>
      <c r="E3067" t="s">
        <v>449</v>
      </c>
      <c r="F3067" s="43">
        <v>44791.458333333336</v>
      </c>
      <c r="G3067" s="43">
        <v>44791.479166666664</v>
      </c>
      <c r="H3067">
        <v>11</v>
      </c>
      <c r="I3067">
        <v>0</v>
      </c>
      <c r="J3067">
        <v>11</v>
      </c>
      <c r="K3067">
        <v>30</v>
      </c>
      <c r="L3067">
        <v>2022</v>
      </c>
      <c r="N3067" t="s">
        <v>47</v>
      </c>
      <c r="O3067" t="s">
        <v>47</v>
      </c>
      <c r="P3067" t="s">
        <v>4093</v>
      </c>
    </row>
    <row r="3068" spans="1:16" x14ac:dyDescent="0.3">
      <c r="A3068" t="s">
        <v>4071</v>
      </c>
      <c r="B3068" t="s">
        <v>20</v>
      </c>
      <c r="C3068">
        <v>30</v>
      </c>
      <c r="D3068" t="s">
        <v>10</v>
      </c>
      <c r="E3068" t="s">
        <v>4072</v>
      </c>
      <c r="F3068" s="43">
        <v>44791.4375</v>
      </c>
      <c r="G3068" s="43">
        <v>44791.458333333336</v>
      </c>
      <c r="H3068">
        <v>10</v>
      </c>
      <c r="I3068">
        <v>30</v>
      </c>
      <c r="J3068">
        <v>11</v>
      </c>
      <c r="K3068">
        <v>0</v>
      </c>
      <c r="L3068">
        <v>2022</v>
      </c>
      <c r="N3068" t="s">
        <v>4073</v>
      </c>
      <c r="O3068" t="s">
        <v>48</v>
      </c>
      <c r="P3068" t="s">
        <v>4074</v>
      </c>
    </row>
    <row r="3069" spans="1:16" x14ac:dyDescent="0.3">
      <c r="A3069" t="s">
        <v>4109</v>
      </c>
      <c r="B3069" t="s">
        <v>6</v>
      </c>
      <c r="C3069">
        <v>30</v>
      </c>
      <c r="D3069" t="s">
        <v>10</v>
      </c>
      <c r="E3069" t="s">
        <v>449</v>
      </c>
      <c r="F3069" s="43">
        <v>44791.416666666664</v>
      </c>
      <c r="G3069" s="43">
        <v>44791.4375</v>
      </c>
      <c r="H3069">
        <v>10</v>
      </c>
      <c r="I3069">
        <v>0</v>
      </c>
      <c r="J3069">
        <v>10</v>
      </c>
      <c r="K3069">
        <v>30</v>
      </c>
      <c r="L3069">
        <v>2022</v>
      </c>
      <c r="N3069" t="s">
        <v>47</v>
      </c>
      <c r="O3069" t="s">
        <v>47</v>
      </c>
      <c r="P3069" t="s">
        <v>4110</v>
      </c>
    </row>
    <row r="3070" spans="1:16" x14ac:dyDescent="0.3">
      <c r="A3070" t="s">
        <v>4111</v>
      </c>
      <c r="B3070" t="s">
        <v>20</v>
      </c>
      <c r="C3070">
        <v>60</v>
      </c>
      <c r="D3070" t="s">
        <v>10</v>
      </c>
      <c r="E3070" t="s">
        <v>4112</v>
      </c>
      <c r="F3070" s="43">
        <v>44791.375</v>
      </c>
      <c r="G3070" s="43">
        <v>44791.416666666664</v>
      </c>
      <c r="H3070">
        <v>9</v>
      </c>
      <c r="I3070">
        <v>0</v>
      </c>
      <c r="J3070">
        <v>10</v>
      </c>
      <c r="K3070">
        <v>0</v>
      </c>
      <c r="L3070">
        <v>2022</v>
      </c>
      <c r="N3070" t="s">
        <v>4031</v>
      </c>
      <c r="O3070" t="s">
        <v>458</v>
      </c>
      <c r="P3070" t="s">
        <v>4113</v>
      </c>
    </row>
    <row r="3071" spans="1:16" x14ac:dyDescent="0.3">
      <c r="A3071" t="s">
        <v>4016</v>
      </c>
      <c r="B3071" t="s">
        <v>109</v>
      </c>
      <c r="C3071">
        <v>10</v>
      </c>
      <c r="D3071" t="s">
        <v>10</v>
      </c>
      <c r="E3071" t="s">
        <v>480</v>
      </c>
      <c r="F3071" s="43">
        <v>44791.333333333336</v>
      </c>
      <c r="G3071" s="43">
        <v>44791.340277777781</v>
      </c>
      <c r="H3071">
        <v>8</v>
      </c>
      <c r="I3071">
        <v>0</v>
      </c>
      <c r="J3071">
        <v>8</v>
      </c>
      <c r="K3071">
        <v>10</v>
      </c>
      <c r="L3071">
        <v>2022</v>
      </c>
      <c r="N3071" t="s">
        <v>47</v>
      </c>
      <c r="O3071" t="s">
        <v>47</v>
      </c>
      <c r="P3071" t="s">
        <v>4098</v>
      </c>
    </row>
    <row r="3072" spans="1:16" x14ac:dyDescent="0.3">
      <c r="A3072" t="s">
        <v>4099</v>
      </c>
      <c r="B3072" t="s">
        <v>109</v>
      </c>
      <c r="C3072">
        <v>15</v>
      </c>
      <c r="D3072" t="s">
        <v>10</v>
      </c>
      <c r="E3072" t="s">
        <v>480</v>
      </c>
      <c r="F3072" s="43">
        <v>44791.322916666664</v>
      </c>
      <c r="G3072" s="43">
        <v>44791.333333333336</v>
      </c>
      <c r="H3072">
        <v>7</v>
      </c>
      <c r="I3072">
        <v>45</v>
      </c>
      <c r="J3072">
        <v>8</v>
      </c>
      <c r="K3072">
        <v>0</v>
      </c>
      <c r="L3072">
        <v>2022</v>
      </c>
      <c r="N3072" t="s">
        <v>3891</v>
      </c>
      <c r="O3072" t="s">
        <v>49</v>
      </c>
      <c r="P3072" t="s">
        <v>4100</v>
      </c>
    </row>
    <row r="3073" spans="1:16" x14ac:dyDescent="0.3">
      <c r="A3073" t="s">
        <v>1185</v>
      </c>
      <c r="C3073">
        <v>40</v>
      </c>
      <c r="D3073" t="s">
        <v>10</v>
      </c>
      <c r="F3073" s="43">
        <v>44791.25</v>
      </c>
      <c r="G3073" s="43">
        <v>44791.277777777781</v>
      </c>
      <c r="H3073">
        <v>6</v>
      </c>
      <c r="I3073">
        <v>0</v>
      </c>
      <c r="J3073">
        <v>6</v>
      </c>
      <c r="K3073">
        <v>40</v>
      </c>
      <c r="L3073">
        <v>2022</v>
      </c>
      <c r="N3073" t="s">
        <v>47</v>
      </c>
      <c r="O3073" t="s">
        <v>47</v>
      </c>
      <c r="P3073" t="s">
        <v>4101</v>
      </c>
    </row>
    <row r="3074" spans="1:16" x14ac:dyDescent="0.3">
      <c r="A3074" t="s">
        <v>4102</v>
      </c>
      <c r="C3074">
        <v>45</v>
      </c>
      <c r="D3074" t="s">
        <v>10</v>
      </c>
      <c r="F3074" s="43">
        <v>44791.197916666664</v>
      </c>
      <c r="G3074" s="43">
        <v>44791.229166666664</v>
      </c>
      <c r="H3074">
        <v>4</v>
      </c>
      <c r="I3074">
        <v>45</v>
      </c>
      <c r="J3074">
        <v>5</v>
      </c>
      <c r="K3074">
        <v>30</v>
      </c>
      <c r="L3074">
        <v>2022</v>
      </c>
      <c r="N3074" t="s">
        <v>47</v>
      </c>
      <c r="O3074" t="s">
        <v>47</v>
      </c>
      <c r="P3074" t="s">
        <v>4103</v>
      </c>
    </row>
    <row r="3075" spans="1:16" x14ac:dyDescent="0.3">
      <c r="A3075" t="s">
        <v>4104</v>
      </c>
      <c r="B3075" t="s">
        <v>109</v>
      </c>
      <c r="C3075">
        <v>30</v>
      </c>
      <c r="D3075" t="s">
        <v>10</v>
      </c>
      <c r="E3075" t="s">
        <v>4105</v>
      </c>
      <c r="F3075" s="43">
        <v>44791.177083333336</v>
      </c>
      <c r="G3075" s="43">
        <v>44791.197916666664</v>
      </c>
      <c r="H3075">
        <v>4</v>
      </c>
      <c r="I3075">
        <v>15</v>
      </c>
      <c r="J3075">
        <v>4</v>
      </c>
      <c r="K3075">
        <v>45</v>
      </c>
      <c r="L3075">
        <v>2022</v>
      </c>
      <c r="N3075" t="s">
        <v>47</v>
      </c>
      <c r="O3075" t="s">
        <v>47</v>
      </c>
      <c r="P3075" t="s">
        <v>4106</v>
      </c>
    </row>
    <row r="3076" spans="1:16" x14ac:dyDescent="0.3">
      <c r="A3076" t="s">
        <v>4107</v>
      </c>
      <c r="B3076" t="s">
        <v>6</v>
      </c>
      <c r="C3076">
        <v>30</v>
      </c>
      <c r="D3076" t="s">
        <v>10</v>
      </c>
      <c r="F3076" s="43">
        <v>44790.8125</v>
      </c>
      <c r="G3076" s="43">
        <v>44790.833333333336</v>
      </c>
      <c r="H3076">
        <v>19</v>
      </c>
      <c r="I3076">
        <v>30</v>
      </c>
      <c r="J3076">
        <v>20</v>
      </c>
      <c r="K3076">
        <v>0</v>
      </c>
      <c r="L3076">
        <v>2022</v>
      </c>
      <c r="N3076" t="s">
        <v>47</v>
      </c>
      <c r="O3076" t="s">
        <v>47</v>
      </c>
      <c r="P3076" t="s">
        <v>4108</v>
      </c>
    </row>
    <row r="3077" spans="1:16" x14ac:dyDescent="0.3">
      <c r="A3077" t="s">
        <v>4080</v>
      </c>
      <c r="C3077">
        <v>35</v>
      </c>
      <c r="D3077" t="s">
        <v>10</v>
      </c>
      <c r="F3077" s="43">
        <v>44790.770833333336</v>
      </c>
      <c r="G3077" s="43">
        <v>44790.795138888891</v>
      </c>
      <c r="H3077">
        <v>18</v>
      </c>
      <c r="I3077">
        <v>30</v>
      </c>
      <c r="J3077">
        <v>19</v>
      </c>
      <c r="K3077">
        <v>5</v>
      </c>
      <c r="L3077">
        <v>2022</v>
      </c>
      <c r="N3077" t="s">
        <v>47</v>
      </c>
      <c r="O3077" t="s">
        <v>47</v>
      </c>
      <c r="P3077" t="s">
        <v>4081</v>
      </c>
    </row>
    <row r="3078" spans="1:16" x14ac:dyDescent="0.3">
      <c r="A3078" t="s">
        <v>1030</v>
      </c>
      <c r="B3078" t="s">
        <v>31</v>
      </c>
      <c r="C3078">
        <v>60</v>
      </c>
      <c r="D3078" t="s">
        <v>10</v>
      </c>
      <c r="F3078" s="43">
        <v>44790.708333333336</v>
      </c>
      <c r="G3078" s="43">
        <v>44790.75</v>
      </c>
      <c r="H3078">
        <v>17</v>
      </c>
      <c r="I3078">
        <v>0</v>
      </c>
      <c r="J3078">
        <v>18</v>
      </c>
      <c r="K3078">
        <v>0</v>
      </c>
      <c r="L3078">
        <v>2022</v>
      </c>
      <c r="N3078" t="s">
        <v>47</v>
      </c>
      <c r="O3078" t="s">
        <v>47</v>
      </c>
      <c r="P3078" t="s">
        <v>4118</v>
      </c>
    </row>
    <row r="3079" spans="1:16" x14ac:dyDescent="0.3">
      <c r="A3079" t="s">
        <v>4054</v>
      </c>
      <c r="B3079" t="s">
        <v>109</v>
      </c>
      <c r="C3079">
        <v>30</v>
      </c>
      <c r="D3079" t="s">
        <v>10</v>
      </c>
      <c r="E3079" t="s">
        <v>981</v>
      </c>
      <c r="F3079" s="43">
        <v>44790.6875</v>
      </c>
      <c r="G3079" s="43">
        <v>44790.708333333336</v>
      </c>
      <c r="H3079">
        <v>16</v>
      </c>
      <c r="I3079">
        <v>30</v>
      </c>
      <c r="J3079">
        <v>17</v>
      </c>
      <c r="K3079">
        <v>0</v>
      </c>
      <c r="L3079">
        <v>2022</v>
      </c>
      <c r="N3079" t="s">
        <v>47</v>
      </c>
      <c r="O3079" t="s">
        <v>47</v>
      </c>
      <c r="P3079" t="s">
        <v>4055</v>
      </c>
    </row>
    <row r="3080" spans="1:16" x14ac:dyDescent="0.3">
      <c r="A3080" t="s">
        <v>4060</v>
      </c>
      <c r="B3080" t="s">
        <v>109</v>
      </c>
      <c r="C3080">
        <v>30</v>
      </c>
      <c r="D3080" t="s">
        <v>10</v>
      </c>
      <c r="E3080" t="s">
        <v>4061</v>
      </c>
      <c r="F3080" s="43">
        <v>44790.666666666664</v>
      </c>
      <c r="G3080" s="43">
        <v>44790.6875</v>
      </c>
      <c r="H3080">
        <v>16</v>
      </c>
      <c r="I3080">
        <v>0</v>
      </c>
      <c r="J3080">
        <v>16</v>
      </c>
      <c r="K3080">
        <v>30</v>
      </c>
      <c r="L3080">
        <v>2022</v>
      </c>
      <c r="N3080" t="s">
        <v>4062</v>
      </c>
      <c r="O3080" t="s">
        <v>47</v>
      </c>
      <c r="P3080" t="s">
        <v>4063</v>
      </c>
    </row>
    <row r="3081" spans="1:16" x14ac:dyDescent="0.3">
      <c r="A3081" t="s">
        <v>4051</v>
      </c>
      <c r="B3081" t="s">
        <v>109</v>
      </c>
      <c r="C3081">
        <v>30</v>
      </c>
      <c r="D3081" t="s">
        <v>10</v>
      </c>
      <c r="E3081" t="s">
        <v>461</v>
      </c>
      <c r="F3081" s="43">
        <v>44790.645833333336</v>
      </c>
      <c r="G3081" s="43">
        <v>44790.666666666664</v>
      </c>
      <c r="H3081">
        <v>15</v>
      </c>
      <c r="I3081">
        <v>30</v>
      </c>
      <c r="J3081">
        <v>16</v>
      </c>
      <c r="K3081">
        <v>0</v>
      </c>
      <c r="L3081">
        <v>2022</v>
      </c>
      <c r="N3081" t="s">
        <v>47</v>
      </c>
      <c r="O3081" t="s">
        <v>47</v>
      </c>
      <c r="P3081" t="s">
        <v>4052</v>
      </c>
    </row>
    <row r="3082" spans="1:16" x14ac:dyDescent="0.3">
      <c r="A3082" t="s">
        <v>1655</v>
      </c>
      <c r="B3082" t="s">
        <v>109</v>
      </c>
      <c r="C3082">
        <v>30</v>
      </c>
      <c r="D3082" t="s">
        <v>10</v>
      </c>
      <c r="E3082" t="s">
        <v>981</v>
      </c>
      <c r="F3082" s="43">
        <v>44790.625</v>
      </c>
      <c r="G3082" s="43">
        <v>44790.645833333336</v>
      </c>
      <c r="H3082">
        <v>15</v>
      </c>
      <c r="I3082">
        <v>0</v>
      </c>
      <c r="J3082">
        <v>15</v>
      </c>
      <c r="K3082">
        <v>30</v>
      </c>
      <c r="L3082">
        <v>2022</v>
      </c>
      <c r="N3082" t="s">
        <v>47</v>
      </c>
      <c r="O3082" t="s">
        <v>47</v>
      </c>
      <c r="P3082" t="s">
        <v>4053</v>
      </c>
    </row>
    <row r="3083" spans="1:16" x14ac:dyDescent="0.3">
      <c r="A3083" t="s">
        <v>4056</v>
      </c>
      <c r="B3083" t="s">
        <v>109</v>
      </c>
      <c r="C3083">
        <v>30</v>
      </c>
      <c r="D3083" t="s">
        <v>10</v>
      </c>
      <c r="E3083" t="s">
        <v>981</v>
      </c>
      <c r="F3083" s="43">
        <v>44790.583333333336</v>
      </c>
      <c r="G3083" s="43">
        <v>44790.604166666664</v>
      </c>
      <c r="H3083">
        <v>14</v>
      </c>
      <c r="I3083">
        <v>0</v>
      </c>
      <c r="J3083">
        <v>14</v>
      </c>
      <c r="K3083">
        <v>30</v>
      </c>
      <c r="L3083">
        <v>2022</v>
      </c>
      <c r="N3083" t="s">
        <v>47</v>
      </c>
      <c r="O3083" t="s">
        <v>47</v>
      </c>
      <c r="P3083" t="s">
        <v>4057</v>
      </c>
    </row>
    <row r="3084" spans="1:16" x14ac:dyDescent="0.3">
      <c r="A3084" t="s">
        <v>4058</v>
      </c>
      <c r="B3084" t="s">
        <v>109</v>
      </c>
      <c r="C3084">
        <v>15</v>
      </c>
      <c r="D3084" t="s">
        <v>10</v>
      </c>
      <c r="E3084" t="s">
        <v>3830</v>
      </c>
      <c r="F3084" s="43">
        <v>44790.572916666664</v>
      </c>
      <c r="G3084" s="43">
        <v>44790.583333333336</v>
      </c>
      <c r="H3084">
        <v>13</v>
      </c>
      <c r="I3084">
        <v>45</v>
      </c>
      <c r="J3084">
        <v>14</v>
      </c>
      <c r="K3084">
        <v>0</v>
      </c>
      <c r="L3084">
        <v>2022</v>
      </c>
      <c r="N3084" t="s">
        <v>47</v>
      </c>
      <c r="O3084" t="s">
        <v>47</v>
      </c>
      <c r="P3084" t="s">
        <v>4059</v>
      </c>
    </row>
    <row r="3085" spans="1:16" x14ac:dyDescent="0.3">
      <c r="A3085" t="s">
        <v>3912</v>
      </c>
      <c r="B3085" t="s">
        <v>20</v>
      </c>
      <c r="C3085">
        <v>60</v>
      </c>
      <c r="D3085" t="s">
        <v>10</v>
      </c>
      <c r="E3085" t="s">
        <v>3913</v>
      </c>
      <c r="F3085" s="43">
        <v>44790.5</v>
      </c>
      <c r="G3085" s="43">
        <v>44790.541666666664</v>
      </c>
      <c r="H3085">
        <v>12</v>
      </c>
      <c r="I3085">
        <v>0</v>
      </c>
      <c r="J3085">
        <v>13</v>
      </c>
      <c r="K3085">
        <v>0</v>
      </c>
      <c r="L3085">
        <v>2022</v>
      </c>
      <c r="N3085" t="s">
        <v>3914</v>
      </c>
      <c r="O3085" t="s">
        <v>48</v>
      </c>
      <c r="P3085" t="s">
        <v>3915</v>
      </c>
    </row>
    <row r="3086" spans="1:16" x14ac:dyDescent="0.3">
      <c r="A3086" t="s">
        <v>3890</v>
      </c>
      <c r="B3086" t="s">
        <v>20</v>
      </c>
      <c r="C3086">
        <v>40</v>
      </c>
      <c r="D3086" t="s">
        <v>10</v>
      </c>
      <c r="E3086" t="s">
        <v>480</v>
      </c>
      <c r="F3086" s="43">
        <v>44790.458333333336</v>
      </c>
      <c r="G3086" s="43">
        <v>44790.486111111109</v>
      </c>
      <c r="H3086">
        <v>11</v>
      </c>
      <c r="I3086">
        <v>0</v>
      </c>
      <c r="J3086">
        <v>11</v>
      </c>
      <c r="K3086">
        <v>40</v>
      </c>
      <c r="L3086">
        <v>2022</v>
      </c>
      <c r="N3086" t="s">
        <v>3891</v>
      </c>
      <c r="O3086" t="s">
        <v>49</v>
      </c>
      <c r="P3086" t="s">
        <v>3892</v>
      </c>
    </row>
    <row r="3087" spans="1:16" x14ac:dyDescent="0.3">
      <c r="A3087" t="s">
        <v>4064</v>
      </c>
      <c r="B3087" t="s">
        <v>109</v>
      </c>
      <c r="C3087">
        <v>35</v>
      </c>
      <c r="D3087" t="s">
        <v>10</v>
      </c>
      <c r="E3087" t="s">
        <v>3830</v>
      </c>
      <c r="F3087" s="43">
        <v>44790.423611111109</v>
      </c>
      <c r="G3087" s="43">
        <v>44790.447916666664</v>
      </c>
      <c r="H3087">
        <v>10</v>
      </c>
      <c r="I3087">
        <v>10</v>
      </c>
      <c r="J3087">
        <v>10</v>
      </c>
      <c r="K3087">
        <v>45</v>
      </c>
      <c r="L3087">
        <v>2022</v>
      </c>
      <c r="N3087" t="s">
        <v>47</v>
      </c>
      <c r="O3087" t="s">
        <v>47</v>
      </c>
      <c r="P3087" t="s">
        <v>4065</v>
      </c>
    </row>
    <row r="3088" spans="1:16" x14ac:dyDescent="0.3">
      <c r="A3088" t="s">
        <v>4037</v>
      </c>
      <c r="C3088">
        <v>60</v>
      </c>
      <c r="D3088" t="s">
        <v>10</v>
      </c>
      <c r="E3088" t="s">
        <v>501</v>
      </c>
      <c r="F3088" s="43">
        <v>44790.375</v>
      </c>
      <c r="G3088" s="43">
        <v>44790.416666666664</v>
      </c>
      <c r="H3088">
        <v>9</v>
      </c>
      <c r="I3088">
        <v>0</v>
      </c>
      <c r="J3088">
        <v>10</v>
      </c>
      <c r="K3088">
        <v>0</v>
      </c>
      <c r="L3088">
        <v>2022</v>
      </c>
      <c r="N3088" t="s">
        <v>1764</v>
      </c>
      <c r="O3088" t="s">
        <v>47</v>
      </c>
      <c r="P3088" t="s">
        <v>4038</v>
      </c>
    </row>
    <row r="3089" spans="1:16" x14ac:dyDescent="0.3">
      <c r="A3089" t="s">
        <v>4045</v>
      </c>
      <c r="B3089" t="s">
        <v>20</v>
      </c>
      <c r="C3089">
        <v>60</v>
      </c>
      <c r="D3089" t="s">
        <v>10</v>
      </c>
      <c r="F3089" s="43">
        <v>44790.291666666664</v>
      </c>
      <c r="G3089" s="43">
        <v>44790.333333333336</v>
      </c>
      <c r="H3089">
        <v>7</v>
      </c>
      <c r="I3089">
        <v>0</v>
      </c>
      <c r="J3089">
        <v>8</v>
      </c>
      <c r="K3089">
        <v>0</v>
      </c>
      <c r="L3089">
        <v>2022</v>
      </c>
      <c r="N3089" t="s">
        <v>4046</v>
      </c>
      <c r="O3089" t="s">
        <v>4047</v>
      </c>
      <c r="P3089" t="s">
        <v>4048</v>
      </c>
    </row>
    <row r="3090" spans="1:16" x14ac:dyDescent="0.3">
      <c r="A3090" t="s">
        <v>4066</v>
      </c>
      <c r="B3090" t="s">
        <v>109</v>
      </c>
      <c r="C3090">
        <v>60</v>
      </c>
      <c r="D3090" t="s">
        <v>10</v>
      </c>
      <c r="E3090" t="s">
        <v>584</v>
      </c>
      <c r="F3090" s="43">
        <v>44790.25</v>
      </c>
      <c r="G3090" s="43">
        <v>44790.291666666664</v>
      </c>
      <c r="H3090">
        <v>6</v>
      </c>
      <c r="I3090">
        <v>0</v>
      </c>
      <c r="J3090">
        <v>7</v>
      </c>
      <c r="K3090">
        <v>0</v>
      </c>
      <c r="L3090">
        <v>2022</v>
      </c>
      <c r="N3090" t="s">
        <v>47</v>
      </c>
      <c r="O3090" t="s">
        <v>47</v>
      </c>
      <c r="P3090" t="s">
        <v>4067</v>
      </c>
    </row>
    <row r="3091" spans="1:16" x14ac:dyDescent="0.3">
      <c r="A3091" t="s">
        <v>4049</v>
      </c>
      <c r="B3091" t="s">
        <v>109</v>
      </c>
      <c r="C3091">
        <v>30</v>
      </c>
      <c r="D3091" t="s">
        <v>10</v>
      </c>
      <c r="E3091" t="s">
        <v>3830</v>
      </c>
      <c r="F3091" s="43">
        <v>44789.833333333336</v>
      </c>
      <c r="G3091" s="43">
        <v>44789.854166666664</v>
      </c>
      <c r="H3091">
        <v>20</v>
      </c>
      <c r="I3091">
        <v>0</v>
      </c>
      <c r="J3091">
        <v>20</v>
      </c>
      <c r="K3091">
        <v>30</v>
      </c>
      <c r="L3091">
        <v>2022</v>
      </c>
      <c r="N3091" t="s">
        <v>47</v>
      </c>
      <c r="O3091" t="s">
        <v>47</v>
      </c>
      <c r="P3091" t="s">
        <v>4050</v>
      </c>
    </row>
    <row r="3092" spans="1:16" x14ac:dyDescent="0.3">
      <c r="A3092" t="s">
        <v>586</v>
      </c>
      <c r="B3092" t="s">
        <v>109</v>
      </c>
      <c r="C3092">
        <v>15</v>
      </c>
      <c r="D3092" t="s">
        <v>10</v>
      </c>
      <c r="E3092" t="s">
        <v>584</v>
      </c>
      <c r="F3092" s="43">
        <v>44789.8125</v>
      </c>
      <c r="G3092" s="43">
        <v>44789.822916666664</v>
      </c>
      <c r="H3092">
        <v>19</v>
      </c>
      <c r="I3092">
        <v>30</v>
      </c>
      <c r="J3092">
        <v>19</v>
      </c>
      <c r="K3092">
        <v>45</v>
      </c>
      <c r="L3092">
        <v>2022</v>
      </c>
      <c r="N3092" t="s">
        <v>47</v>
      </c>
      <c r="O3092" t="s">
        <v>47</v>
      </c>
      <c r="P3092" t="s">
        <v>4044</v>
      </c>
    </row>
    <row r="3093" spans="1:16" x14ac:dyDescent="0.3">
      <c r="A3093" t="s">
        <v>4042</v>
      </c>
      <c r="B3093" t="s">
        <v>31</v>
      </c>
      <c r="C3093">
        <v>60</v>
      </c>
      <c r="D3093" t="s">
        <v>10</v>
      </c>
      <c r="F3093" s="43">
        <v>44789.708333333336</v>
      </c>
      <c r="G3093" s="43">
        <v>44789.75</v>
      </c>
      <c r="H3093">
        <v>17</v>
      </c>
      <c r="I3093">
        <v>0</v>
      </c>
      <c r="J3093">
        <v>18</v>
      </c>
      <c r="K3093">
        <v>0</v>
      </c>
      <c r="L3093">
        <v>2022</v>
      </c>
      <c r="N3093" t="s">
        <v>47</v>
      </c>
      <c r="O3093" t="s">
        <v>47</v>
      </c>
      <c r="P3093" t="s">
        <v>4043</v>
      </c>
    </row>
    <row r="3094" spans="1:16" x14ac:dyDescent="0.3">
      <c r="A3094" t="s">
        <v>4039</v>
      </c>
      <c r="B3094" t="s">
        <v>109</v>
      </c>
      <c r="C3094">
        <v>45</v>
      </c>
      <c r="D3094" t="s">
        <v>10</v>
      </c>
      <c r="E3094" t="s">
        <v>3830</v>
      </c>
      <c r="F3094" s="43">
        <v>44789.666666666664</v>
      </c>
      <c r="G3094" s="43">
        <v>44789.697916666664</v>
      </c>
      <c r="H3094">
        <v>16</v>
      </c>
      <c r="I3094">
        <v>0</v>
      </c>
      <c r="J3094">
        <v>16</v>
      </c>
      <c r="K3094">
        <v>45</v>
      </c>
      <c r="L3094">
        <v>2022</v>
      </c>
      <c r="N3094" t="s">
        <v>47</v>
      </c>
      <c r="O3094" t="s">
        <v>47</v>
      </c>
      <c r="P3094" t="s">
        <v>4040</v>
      </c>
    </row>
    <row r="3095" spans="1:16" x14ac:dyDescent="0.3">
      <c r="A3095" t="s">
        <v>4033</v>
      </c>
      <c r="B3095" t="s">
        <v>225</v>
      </c>
      <c r="C3095">
        <v>60</v>
      </c>
      <c r="D3095" t="s">
        <v>10</v>
      </c>
      <c r="E3095" t="s">
        <v>3867</v>
      </c>
      <c r="F3095" s="43">
        <v>44789.625</v>
      </c>
      <c r="G3095" s="43">
        <v>44789.666666666664</v>
      </c>
      <c r="H3095">
        <v>15</v>
      </c>
      <c r="I3095">
        <v>0</v>
      </c>
      <c r="J3095">
        <v>16</v>
      </c>
      <c r="K3095">
        <v>0</v>
      </c>
      <c r="L3095">
        <v>2022</v>
      </c>
      <c r="N3095" t="s">
        <v>3865</v>
      </c>
      <c r="O3095" t="s">
        <v>47</v>
      </c>
      <c r="P3095" t="s">
        <v>4034</v>
      </c>
    </row>
    <row r="3096" spans="1:16" x14ac:dyDescent="0.3">
      <c r="A3096" t="s">
        <v>4020</v>
      </c>
      <c r="B3096" t="s">
        <v>225</v>
      </c>
      <c r="C3096">
        <v>45</v>
      </c>
      <c r="D3096" t="s">
        <v>10</v>
      </c>
      <c r="E3096" t="s">
        <v>784</v>
      </c>
      <c r="F3096" s="43">
        <v>44789.59375</v>
      </c>
      <c r="G3096" s="43">
        <v>44789.625</v>
      </c>
      <c r="H3096">
        <v>14</v>
      </c>
      <c r="I3096">
        <v>15</v>
      </c>
      <c r="J3096">
        <v>15</v>
      </c>
      <c r="K3096">
        <v>0</v>
      </c>
      <c r="L3096">
        <v>2022</v>
      </c>
      <c r="N3096" t="s">
        <v>47</v>
      </c>
      <c r="O3096" t="s">
        <v>47</v>
      </c>
      <c r="P3096" t="s">
        <v>4021</v>
      </c>
    </row>
    <row r="3097" spans="1:16" x14ac:dyDescent="0.3">
      <c r="A3097" t="s">
        <v>4008</v>
      </c>
      <c r="B3097" t="s">
        <v>225</v>
      </c>
      <c r="C3097">
        <v>45</v>
      </c>
      <c r="D3097" t="s">
        <v>10</v>
      </c>
      <c r="E3097" t="s">
        <v>4009</v>
      </c>
      <c r="F3097" s="43">
        <v>44789.53125</v>
      </c>
      <c r="G3097" s="43">
        <v>44789.5625</v>
      </c>
      <c r="H3097">
        <v>12</v>
      </c>
      <c r="I3097">
        <v>45</v>
      </c>
      <c r="J3097">
        <v>13</v>
      </c>
      <c r="K3097">
        <v>30</v>
      </c>
      <c r="L3097">
        <v>2022</v>
      </c>
      <c r="N3097" t="s">
        <v>4010</v>
      </c>
      <c r="O3097" t="s">
        <v>975</v>
      </c>
      <c r="P3097" t="s">
        <v>4011</v>
      </c>
    </row>
    <row r="3098" spans="1:16" x14ac:dyDescent="0.3">
      <c r="A3098" t="s">
        <v>3893</v>
      </c>
      <c r="B3098" t="s">
        <v>20</v>
      </c>
      <c r="C3098">
        <v>50</v>
      </c>
      <c r="D3098" t="s">
        <v>10</v>
      </c>
      <c r="F3098" s="43">
        <v>44789.5</v>
      </c>
      <c r="G3098" s="43">
        <v>44789.534722222219</v>
      </c>
      <c r="H3098">
        <v>12</v>
      </c>
      <c r="I3098">
        <v>0</v>
      </c>
      <c r="J3098">
        <v>12</v>
      </c>
      <c r="K3098">
        <v>50</v>
      </c>
      <c r="L3098">
        <v>2022</v>
      </c>
      <c r="N3098" t="s">
        <v>3894</v>
      </c>
      <c r="O3098" t="s">
        <v>49</v>
      </c>
      <c r="P3098" t="s">
        <v>3895</v>
      </c>
    </row>
    <row r="3099" spans="1:16" x14ac:dyDescent="0.3">
      <c r="A3099" t="s">
        <v>4029</v>
      </c>
      <c r="B3099" t="s">
        <v>20</v>
      </c>
      <c r="C3099">
        <v>60</v>
      </c>
      <c r="D3099" t="s">
        <v>10</v>
      </c>
      <c r="E3099" t="s">
        <v>4030</v>
      </c>
      <c r="F3099" s="43">
        <v>44789.458333333336</v>
      </c>
      <c r="G3099" s="43">
        <v>44789.5</v>
      </c>
      <c r="H3099">
        <v>11</v>
      </c>
      <c r="I3099">
        <v>0</v>
      </c>
      <c r="J3099">
        <v>12</v>
      </c>
      <c r="K3099">
        <v>0</v>
      </c>
      <c r="L3099">
        <v>2022</v>
      </c>
      <c r="N3099" t="s">
        <v>4031</v>
      </c>
      <c r="O3099" t="s">
        <v>458</v>
      </c>
      <c r="P3099" t="s">
        <v>4032</v>
      </c>
    </row>
    <row r="3100" spans="1:16" x14ac:dyDescent="0.3">
      <c r="A3100" t="s">
        <v>3878</v>
      </c>
      <c r="B3100" t="s">
        <v>20</v>
      </c>
      <c r="C3100">
        <v>30</v>
      </c>
      <c r="D3100" t="s">
        <v>10</v>
      </c>
      <c r="E3100" t="s">
        <v>501</v>
      </c>
      <c r="F3100" s="43">
        <v>44789.4375</v>
      </c>
      <c r="G3100" s="43">
        <v>44789.458333333336</v>
      </c>
      <c r="H3100">
        <v>10</v>
      </c>
      <c r="I3100">
        <v>30</v>
      </c>
      <c r="J3100">
        <v>11</v>
      </c>
      <c r="K3100">
        <v>0</v>
      </c>
      <c r="L3100">
        <v>2022</v>
      </c>
      <c r="N3100" t="s">
        <v>3879</v>
      </c>
      <c r="O3100" t="s">
        <v>47</v>
      </c>
      <c r="P3100" t="s">
        <v>3880</v>
      </c>
    </row>
    <row r="3101" spans="1:16" x14ac:dyDescent="0.3">
      <c r="A3101" t="s">
        <v>467</v>
      </c>
      <c r="B3101" t="s">
        <v>20</v>
      </c>
      <c r="C3101">
        <v>60</v>
      </c>
      <c r="D3101" t="s">
        <v>10</v>
      </c>
      <c r="E3101" t="s">
        <v>468</v>
      </c>
      <c r="F3101" s="43">
        <v>44789.375</v>
      </c>
      <c r="G3101" s="43">
        <v>44789.416666666664</v>
      </c>
      <c r="H3101">
        <v>9</v>
      </c>
      <c r="I3101">
        <v>0</v>
      </c>
      <c r="J3101">
        <v>10</v>
      </c>
      <c r="K3101">
        <v>0</v>
      </c>
      <c r="L3101">
        <v>2022</v>
      </c>
      <c r="N3101" t="s">
        <v>469</v>
      </c>
      <c r="O3101" t="s">
        <v>458</v>
      </c>
      <c r="P3101" t="s">
        <v>470</v>
      </c>
    </row>
    <row r="3102" spans="1:16" x14ac:dyDescent="0.3">
      <c r="A3102" t="s">
        <v>3899</v>
      </c>
      <c r="C3102">
        <v>30</v>
      </c>
      <c r="D3102" t="s">
        <v>10</v>
      </c>
      <c r="E3102" t="s">
        <v>93</v>
      </c>
      <c r="F3102" s="43">
        <v>44789.333333333336</v>
      </c>
      <c r="G3102" s="43">
        <v>44789.354166666664</v>
      </c>
      <c r="H3102">
        <v>8</v>
      </c>
      <c r="I3102">
        <v>0</v>
      </c>
      <c r="J3102">
        <v>8</v>
      </c>
      <c r="K3102">
        <v>30</v>
      </c>
      <c r="L3102">
        <v>2022</v>
      </c>
      <c r="N3102" t="s">
        <v>1849</v>
      </c>
      <c r="O3102" t="s">
        <v>47</v>
      </c>
      <c r="P3102" t="s">
        <v>3900</v>
      </c>
    </row>
    <row r="3103" spans="1:16" x14ac:dyDescent="0.3">
      <c r="A3103" t="s">
        <v>827</v>
      </c>
      <c r="B3103" t="s">
        <v>6</v>
      </c>
      <c r="C3103">
        <v>60</v>
      </c>
      <c r="D3103" t="s">
        <v>10</v>
      </c>
      <c r="E3103" t="s">
        <v>515</v>
      </c>
      <c r="F3103" s="43">
        <v>44789.25</v>
      </c>
      <c r="G3103" s="43">
        <v>44789.291666666664</v>
      </c>
      <c r="H3103">
        <v>6</v>
      </c>
      <c r="I3103">
        <v>0</v>
      </c>
      <c r="J3103">
        <v>7</v>
      </c>
      <c r="K3103">
        <v>0</v>
      </c>
      <c r="L3103">
        <v>2022</v>
      </c>
      <c r="N3103" t="s">
        <v>47</v>
      </c>
      <c r="O3103" t="s">
        <v>47</v>
      </c>
      <c r="P3103" t="s">
        <v>4024</v>
      </c>
    </row>
    <row r="3104" spans="1:16" x14ac:dyDescent="0.3">
      <c r="A3104" t="s">
        <v>2392</v>
      </c>
      <c r="C3104">
        <v>30</v>
      </c>
      <c r="D3104" t="s">
        <v>10</v>
      </c>
      <c r="F3104" s="43">
        <v>44789.229166666664</v>
      </c>
      <c r="G3104" s="43">
        <v>44789.25</v>
      </c>
      <c r="H3104">
        <v>5</v>
      </c>
      <c r="I3104">
        <v>30</v>
      </c>
      <c r="J3104">
        <v>6</v>
      </c>
      <c r="K3104">
        <v>0</v>
      </c>
      <c r="L3104">
        <v>2022</v>
      </c>
      <c r="N3104" t="s">
        <v>47</v>
      </c>
      <c r="O3104" t="s">
        <v>47</v>
      </c>
      <c r="P3104" t="s">
        <v>4023</v>
      </c>
    </row>
    <row r="3105" spans="1:16" x14ac:dyDescent="0.3">
      <c r="A3105" t="s">
        <v>8</v>
      </c>
      <c r="B3105" t="s">
        <v>6</v>
      </c>
      <c r="C3105">
        <v>30</v>
      </c>
      <c r="D3105" t="s">
        <v>10</v>
      </c>
      <c r="F3105" s="43">
        <v>44789.208333333336</v>
      </c>
      <c r="G3105" s="43">
        <v>44789.229166666664</v>
      </c>
      <c r="H3105">
        <v>5</v>
      </c>
      <c r="I3105">
        <v>0</v>
      </c>
      <c r="J3105">
        <v>5</v>
      </c>
      <c r="K3105">
        <v>30</v>
      </c>
      <c r="L3105">
        <v>2022</v>
      </c>
      <c r="N3105" t="s">
        <v>47</v>
      </c>
      <c r="O3105" t="s">
        <v>47</v>
      </c>
      <c r="P3105" t="s">
        <v>4022</v>
      </c>
    </row>
    <row r="3106" spans="1:16" x14ac:dyDescent="0.3">
      <c r="A3106" t="s">
        <v>1030</v>
      </c>
      <c r="B3106" t="s">
        <v>31</v>
      </c>
      <c r="C3106">
        <v>45</v>
      </c>
      <c r="D3106" t="s">
        <v>10</v>
      </c>
      <c r="F3106" s="43">
        <v>44788.8125</v>
      </c>
      <c r="G3106" s="43">
        <v>44788.84375</v>
      </c>
      <c r="H3106">
        <v>19</v>
      </c>
      <c r="I3106">
        <v>30</v>
      </c>
      <c r="J3106">
        <v>20</v>
      </c>
      <c r="K3106">
        <v>15</v>
      </c>
      <c r="L3106">
        <v>2022</v>
      </c>
      <c r="N3106" t="s">
        <v>47</v>
      </c>
      <c r="O3106" t="s">
        <v>47</v>
      </c>
      <c r="P3106" t="s">
        <v>4041</v>
      </c>
    </row>
    <row r="3107" spans="1:16" x14ac:dyDescent="0.3">
      <c r="A3107" t="s">
        <v>4035</v>
      </c>
      <c r="C3107">
        <v>60</v>
      </c>
      <c r="D3107" t="s">
        <v>10</v>
      </c>
      <c r="F3107" s="43">
        <v>44788.770833333336</v>
      </c>
      <c r="G3107" s="43">
        <v>44788.8125</v>
      </c>
      <c r="H3107">
        <v>18</v>
      </c>
      <c r="I3107">
        <v>30</v>
      </c>
      <c r="J3107">
        <v>19</v>
      </c>
      <c r="K3107">
        <v>30</v>
      </c>
      <c r="L3107">
        <v>2022</v>
      </c>
      <c r="N3107" t="s">
        <v>47</v>
      </c>
      <c r="O3107" t="s">
        <v>47</v>
      </c>
      <c r="P3107" t="s">
        <v>4036</v>
      </c>
    </row>
    <row r="3108" spans="1:16" x14ac:dyDescent="0.3">
      <c r="A3108" t="s">
        <v>4018</v>
      </c>
      <c r="C3108">
        <v>30</v>
      </c>
      <c r="D3108" t="s">
        <v>10</v>
      </c>
      <c r="F3108" s="43">
        <v>44788.729166666664</v>
      </c>
      <c r="G3108" s="43">
        <v>44788.75</v>
      </c>
      <c r="H3108">
        <v>17</v>
      </c>
      <c r="I3108">
        <v>30</v>
      </c>
      <c r="J3108">
        <v>18</v>
      </c>
      <c r="K3108">
        <v>0</v>
      </c>
      <c r="L3108">
        <v>2022</v>
      </c>
      <c r="N3108" t="s">
        <v>47</v>
      </c>
      <c r="O3108" t="s">
        <v>47</v>
      </c>
      <c r="P3108" t="s">
        <v>4019</v>
      </c>
    </row>
    <row r="3109" spans="1:16" x14ac:dyDescent="0.3">
      <c r="A3109" t="s">
        <v>4016</v>
      </c>
      <c r="B3109" t="s">
        <v>20</v>
      </c>
      <c r="C3109">
        <v>45</v>
      </c>
      <c r="D3109" t="s">
        <v>10</v>
      </c>
      <c r="E3109" t="s">
        <v>480</v>
      </c>
      <c r="F3109" s="43">
        <v>44788.6875</v>
      </c>
      <c r="G3109" s="43">
        <v>44788.71875</v>
      </c>
      <c r="H3109">
        <v>16</v>
      </c>
      <c r="I3109">
        <v>30</v>
      </c>
      <c r="J3109">
        <v>17</v>
      </c>
      <c r="K3109">
        <v>15</v>
      </c>
      <c r="L3109">
        <v>2022</v>
      </c>
      <c r="N3109" t="s">
        <v>47</v>
      </c>
      <c r="O3109" t="s">
        <v>47</v>
      </c>
      <c r="P3109" t="s">
        <v>4017</v>
      </c>
    </row>
    <row r="3110" spans="1:16" x14ac:dyDescent="0.3">
      <c r="A3110" t="s">
        <v>9</v>
      </c>
      <c r="B3110" t="s">
        <v>6</v>
      </c>
      <c r="C3110">
        <v>55</v>
      </c>
      <c r="D3110" t="s">
        <v>10</v>
      </c>
      <c r="E3110" t="s">
        <v>449</v>
      </c>
      <c r="F3110" s="43">
        <v>44788.65625</v>
      </c>
      <c r="G3110" s="43">
        <v>44788.694444444445</v>
      </c>
      <c r="H3110">
        <v>15</v>
      </c>
      <c r="I3110">
        <v>45</v>
      </c>
      <c r="J3110">
        <v>16</v>
      </c>
      <c r="K3110">
        <v>40</v>
      </c>
      <c r="L3110">
        <v>2022</v>
      </c>
      <c r="N3110" t="s">
        <v>47</v>
      </c>
      <c r="O3110" t="s">
        <v>47</v>
      </c>
      <c r="P3110" t="s">
        <v>4002</v>
      </c>
    </row>
    <row r="3111" spans="1:16" x14ac:dyDescent="0.3">
      <c r="A3111" t="s">
        <v>3994</v>
      </c>
      <c r="B3111" t="s">
        <v>109</v>
      </c>
      <c r="C3111">
        <v>45</v>
      </c>
      <c r="D3111" t="s">
        <v>10</v>
      </c>
      <c r="E3111" t="s">
        <v>480</v>
      </c>
      <c r="F3111" s="43">
        <v>44788.614583333336</v>
      </c>
      <c r="G3111" s="43">
        <v>44788.645833333336</v>
      </c>
      <c r="H3111">
        <v>14</v>
      </c>
      <c r="I3111">
        <v>45</v>
      </c>
      <c r="J3111">
        <v>15</v>
      </c>
      <c r="K3111">
        <v>30</v>
      </c>
      <c r="L3111">
        <v>2022</v>
      </c>
      <c r="N3111" t="s">
        <v>47</v>
      </c>
      <c r="O3111" t="s">
        <v>47</v>
      </c>
      <c r="P3111" t="s">
        <v>3995</v>
      </c>
    </row>
    <row r="3112" spans="1:16" x14ac:dyDescent="0.3">
      <c r="A3112" t="s">
        <v>3996</v>
      </c>
      <c r="B3112" t="s">
        <v>109</v>
      </c>
      <c r="C3112">
        <v>60</v>
      </c>
      <c r="D3112" t="s">
        <v>10</v>
      </c>
      <c r="E3112" t="s">
        <v>480</v>
      </c>
      <c r="F3112" s="43">
        <v>44788.569444444445</v>
      </c>
      <c r="G3112" s="43">
        <v>44788.611111111109</v>
      </c>
      <c r="H3112">
        <v>13</v>
      </c>
      <c r="I3112">
        <v>40</v>
      </c>
      <c r="J3112">
        <v>14</v>
      </c>
      <c r="K3112">
        <v>40</v>
      </c>
      <c r="L3112">
        <v>2022</v>
      </c>
      <c r="N3112" t="s">
        <v>47</v>
      </c>
      <c r="O3112" t="s">
        <v>47</v>
      </c>
      <c r="P3112" t="s">
        <v>3997</v>
      </c>
    </row>
    <row r="3113" spans="1:16" x14ac:dyDescent="0.3">
      <c r="A3113" t="s">
        <v>3991</v>
      </c>
      <c r="B3113" t="s">
        <v>6</v>
      </c>
      <c r="C3113">
        <v>10</v>
      </c>
      <c r="D3113" t="s">
        <v>10</v>
      </c>
      <c r="F3113" s="43">
        <v>44788.559027777781</v>
      </c>
      <c r="G3113" s="43">
        <v>44788.565972222219</v>
      </c>
      <c r="H3113">
        <v>13</v>
      </c>
      <c r="I3113">
        <v>25</v>
      </c>
      <c r="J3113">
        <v>13</v>
      </c>
      <c r="K3113">
        <v>35</v>
      </c>
      <c r="L3113">
        <v>2022</v>
      </c>
      <c r="N3113" t="s">
        <v>47</v>
      </c>
      <c r="O3113" t="s">
        <v>47</v>
      </c>
      <c r="P3113" t="s">
        <v>3992</v>
      </c>
    </row>
    <row r="3114" spans="1:16" x14ac:dyDescent="0.3">
      <c r="A3114" t="s">
        <v>3970</v>
      </c>
      <c r="C3114">
        <v>45</v>
      </c>
      <c r="D3114" t="s">
        <v>10</v>
      </c>
      <c r="F3114" s="43">
        <v>44788.5</v>
      </c>
      <c r="G3114" s="43">
        <v>44788.53125</v>
      </c>
      <c r="H3114">
        <v>12</v>
      </c>
      <c r="I3114">
        <v>0</v>
      </c>
      <c r="J3114">
        <v>12</v>
      </c>
      <c r="K3114">
        <v>45</v>
      </c>
      <c r="L3114">
        <v>2022</v>
      </c>
      <c r="N3114" t="s">
        <v>47</v>
      </c>
      <c r="O3114" t="s">
        <v>47</v>
      </c>
      <c r="P3114" t="s">
        <v>3971</v>
      </c>
    </row>
    <row r="3115" spans="1:16" x14ac:dyDescent="0.3">
      <c r="A3115" t="s">
        <v>8</v>
      </c>
      <c r="B3115" t="s">
        <v>6</v>
      </c>
      <c r="C3115">
        <v>15</v>
      </c>
      <c r="D3115" t="s">
        <v>10</v>
      </c>
      <c r="F3115" s="43">
        <v>44788.489583333336</v>
      </c>
      <c r="G3115" s="43">
        <v>44788.5</v>
      </c>
      <c r="H3115">
        <v>11</v>
      </c>
      <c r="I3115">
        <v>45</v>
      </c>
      <c r="J3115">
        <v>12</v>
      </c>
      <c r="K3115">
        <v>0</v>
      </c>
      <c r="L3115">
        <v>2022</v>
      </c>
      <c r="N3115" t="s">
        <v>47</v>
      </c>
      <c r="O3115" t="s">
        <v>47</v>
      </c>
      <c r="P3115" t="s">
        <v>3993</v>
      </c>
    </row>
    <row r="3116" spans="1:16" x14ac:dyDescent="0.3">
      <c r="A3116" t="s">
        <v>3932</v>
      </c>
      <c r="B3116" t="s">
        <v>20</v>
      </c>
      <c r="C3116">
        <v>60</v>
      </c>
      <c r="D3116" t="s">
        <v>10</v>
      </c>
      <c r="E3116" t="s">
        <v>804</v>
      </c>
      <c r="F3116" s="43">
        <v>44788.416666666664</v>
      </c>
      <c r="G3116" s="43">
        <v>44788.458333333336</v>
      </c>
      <c r="H3116">
        <v>10</v>
      </c>
      <c r="I3116">
        <v>0</v>
      </c>
      <c r="J3116">
        <v>11</v>
      </c>
      <c r="K3116">
        <v>0</v>
      </c>
      <c r="L3116">
        <v>2022</v>
      </c>
      <c r="N3116" t="s">
        <v>1399</v>
      </c>
      <c r="O3116" t="s">
        <v>1241</v>
      </c>
      <c r="P3116" t="s">
        <v>3933</v>
      </c>
    </row>
    <row r="3117" spans="1:16" x14ac:dyDescent="0.3">
      <c r="A3117" t="s">
        <v>3901</v>
      </c>
      <c r="B3117" t="s">
        <v>20</v>
      </c>
      <c r="C3117">
        <v>30</v>
      </c>
      <c r="D3117" t="s">
        <v>10</v>
      </c>
      <c r="E3117" t="s">
        <v>3902</v>
      </c>
      <c r="F3117" s="43">
        <v>44788.395833333336</v>
      </c>
      <c r="G3117" s="43">
        <v>44788.416666666664</v>
      </c>
      <c r="H3117">
        <v>9</v>
      </c>
      <c r="I3117">
        <v>30</v>
      </c>
      <c r="J3117">
        <v>10</v>
      </c>
      <c r="K3117">
        <v>0</v>
      </c>
      <c r="L3117">
        <v>2022</v>
      </c>
      <c r="N3117" t="s">
        <v>3903</v>
      </c>
      <c r="O3117" t="s">
        <v>3904</v>
      </c>
      <c r="P3117" t="s">
        <v>3905</v>
      </c>
    </row>
    <row r="3118" spans="1:16" x14ac:dyDescent="0.3">
      <c r="A3118" t="s">
        <v>8</v>
      </c>
      <c r="B3118" t="s">
        <v>6</v>
      </c>
      <c r="C3118">
        <v>30</v>
      </c>
      <c r="D3118" t="s">
        <v>10</v>
      </c>
      <c r="F3118" s="43">
        <v>44788.333333333336</v>
      </c>
      <c r="G3118" s="43">
        <v>44788.354166666664</v>
      </c>
      <c r="H3118">
        <v>8</v>
      </c>
      <c r="I3118">
        <v>0</v>
      </c>
      <c r="J3118">
        <v>8</v>
      </c>
      <c r="K3118">
        <v>30</v>
      </c>
      <c r="L3118">
        <v>2022</v>
      </c>
      <c r="N3118" t="s">
        <v>47</v>
      </c>
      <c r="O3118" t="s">
        <v>47</v>
      </c>
      <c r="P3118" t="s">
        <v>3972</v>
      </c>
    </row>
    <row r="3119" spans="1:16" x14ac:dyDescent="0.3">
      <c r="A3119" t="s">
        <v>3980</v>
      </c>
      <c r="C3119">
        <v>15</v>
      </c>
      <c r="D3119" t="s">
        <v>10</v>
      </c>
      <c r="E3119" t="s">
        <v>3981</v>
      </c>
      <c r="F3119" s="43">
        <v>44788.28125</v>
      </c>
      <c r="G3119" s="43">
        <v>44788.291666666664</v>
      </c>
      <c r="H3119">
        <v>6</v>
      </c>
      <c r="I3119">
        <v>45</v>
      </c>
      <c r="J3119">
        <v>7</v>
      </c>
      <c r="K3119">
        <v>0</v>
      </c>
      <c r="L3119">
        <v>2022</v>
      </c>
      <c r="N3119" t="s">
        <v>47</v>
      </c>
      <c r="O3119" t="s">
        <v>47</v>
      </c>
      <c r="P3119" t="s">
        <v>3982</v>
      </c>
    </row>
    <row r="3120" spans="1:16" x14ac:dyDescent="0.3">
      <c r="A3120" t="s">
        <v>3983</v>
      </c>
      <c r="B3120" t="s">
        <v>223</v>
      </c>
      <c r="C3120">
        <v>60</v>
      </c>
      <c r="D3120" t="s">
        <v>10</v>
      </c>
      <c r="E3120" t="s">
        <v>3984</v>
      </c>
      <c r="F3120" s="43">
        <v>44788.239583333336</v>
      </c>
      <c r="G3120" s="43">
        <v>44788.28125</v>
      </c>
      <c r="H3120">
        <v>5</v>
      </c>
      <c r="I3120">
        <v>45</v>
      </c>
      <c r="J3120">
        <v>6</v>
      </c>
      <c r="K3120">
        <v>45</v>
      </c>
      <c r="L3120">
        <v>2022</v>
      </c>
      <c r="N3120" t="s">
        <v>47</v>
      </c>
      <c r="O3120" t="s">
        <v>47</v>
      </c>
      <c r="P3120" t="s">
        <v>3985</v>
      </c>
    </row>
    <row r="3121" spans="1:16" x14ac:dyDescent="0.3">
      <c r="A3121" t="s">
        <v>3956</v>
      </c>
      <c r="B3121" t="s">
        <v>3381</v>
      </c>
      <c r="C3121">
        <v>60</v>
      </c>
      <c r="D3121" t="s">
        <v>10</v>
      </c>
      <c r="E3121" t="s">
        <v>3957</v>
      </c>
      <c r="F3121" s="43">
        <v>44787.791666666664</v>
      </c>
      <c r="G3121" s="43">
        <v>44787.833333333336</v>
      </c>
      <c r="H3121">
        <v>19</v>
      </c>
      <c r="I3121">
        <v>0</v>
      </c>
      <c r="J3121">
        <v>20</v>
      </c>
      <c r="K3121">
        <v>0</v>
      </c>
      <c r="L3121">
        <v>2022</v>
      </c>
      <c r="N3121" t="s">
        <v>47</v>
      </c>
      <c r="O3121" t="s">
        <v>47</v>
      </c>
      <c r="P3121" t="s">
        <v>3969</v>
      </c>
    </row>
    <row r="3122" spans="1:16" x14ac:dyDescent="0.3">
      <c r="A3122" t="s">
        <v>3967</v>
      </c>
      <c r="B3122" t="s">
        <v>223</v>
      </c>
      <c r="C3122">
        <v>60</v>
      </c>
      <c r="D3122" t="s">
        <v>10</v>
      </c>
      <c r="E3122" t="s">
        <v>617</v>
      </c>
      <c r="F3122" s="43">
        <v>44787.729166666664</v>
      </c>
      <c r="G3122" s="43">
        <v>44787.770833333336</v>
      </c>
      <c r="H3122">
        <v>17</v>
      </c>
      <c r="I3122">
        <v>30</v>
      </c>
      <c r="J3122">
        <v>18</v>
      </c>
      <c r="K3122">
        <v>30</v>
      </c>
      <c r="L3122">
        <v>2022</v>
      </c>
      <c r="N3122" t="s">
        <v>47</v>
      </c>
      <c r="O3122" t="s">
        <v>47</v>
      </c>
      <c r="P3122" t="s">
        <v>3968</v>
      </c>
    </row>
    <row r="3123" spans="1:16" x14ac:dyDescent="0.3">
      <c r="A3123" t="s">
        <v>3965</v>
      </c>
      <c r="B3123" t="s">
        <v>223</v>
      </c>
      <c r="C3123">
        <v>30</v>
      </c>
      <c r="D3123" t="s">
        <v>10</v>
      </c>
      <c r="E3123" t="s">
        <v>617</v>
      </c>
      <c r="F3123" s="43">
        <v>44787.666666666664</v>
      </c>
      <c r="G3123" s="43">
        <v>44787.6875</v>
      </c>
      <c r="H3123">
        <v>16</v>
      </c>
      <c r="I3123">
        <v>0</v>
      </c>
      <c r="J3123">
        <v>16</v>
      </c>
      <c r="K3123">
        <v>30</v>
      </c>
      <c r="L3123">
        <v>2022</v>
      </c>
      <c r="N3123" t="s">
        <v>47</v>
      </c>
      <c r="O3123" t="s">
        <v>47</v>
      </c>
      <c r="P3123" t="s">
        <v>3966</v>
      </c>
    </row>
    <row r="3124" spans="1:16" x14ac:dyDescent="0.3">
      <c r="A3124" t="s">
        <v>3956</v>
      </c>
      <c r="B3124" t="s">
        <v>6</v>
      </c>
      <c r="C3124">
        <v>20</v>
      </c>
      <c r="D3124" t="s">
        <v>10</v>
      </c>
      <c r="E3124" t="s">
        <v>3957</v>
      </c>
      <c r="F3124" s="43">
        <v>44787.604166666664</v>
      </c>
      <c r="G3124" s="43">
        <v>44787.618055555555</v>
      </c>
      <c r="H3124">
        <v>14</v>
      </c>
      <c r="I3124">
        <v>30</v>
      </c>
      <c r="J3124">
        <v>14</v>
      </c>
      <c r="K3124">
        <v>50</v>
      </c>
      <c r="L3124">
        <v>2022</v>
      </c>
      <c r="N3124" t="s">
        <v>47</v>
      </c>
      <c r="O3124" t="s">
        <v>47</v>
      </c>
      <c r="P3124" t="s">
        <v>3958</v>
      </c>
    </row>
    <row r="3125" spans="1:16" x14ac:dyDescent="0.3">
      <c r="A3125" t="s">
        <v>3956</v>
      </c>
      <c r="B3125" t="s">
        <v>6</v>
      </c>
      <c r="C3125">
        <v>25</v>
      </c>
      <c r="D3125" t="s">
        <v>10</v>
      </c>
      <c r="E3125" t="s">
        <v>3957</v>
      </c>
      <c r="F3125" s="43">
        <v>44787.572916666664</v>
      </c>
      <c r="G3125" s="43">
        <v>44787.590277777781</v>
      </c>
      <c r="H3125">
        <v>13</v>
      </c>
      <c r="I3125">
        <v>45</v>
      </c>
      <c r="J3125">
        <v>14</v>
      </c>
      <c r="K3125">
        <v>10</v>
      </c>
      <c r="L3125">
        <v>2022</v>
      </c>
      <c r="N3125" t="s">
        <v>47</v>
      </c>
      <c r="O3125" t="s">
        <v>47</v>
      </c>
      <c r="P3125" t="s">
        <v>3959</v>
      </c>
    </row>
    <row r="3126" spans="1:16" x14ac:dyDescent="0.3">
      <c r="A3126" t="s">
        <v>3960</v>
      </c>
      <c r="B3126" t="s">
        <v>6</v>
      </c>
      <c r="C3126">
        <v>30</v>
      </c>
      <c r="D3126" t="s">
        <v>10</v>
      </c>
      <c r="E3126" t="s">
        <v>3957</v>
      </c>
      <c r="F3126" s="43">
        <v>44787.541666666664</v>
      </c>
      <c r="G3126" s="43">
        <v>44787.5625</v>
      </c>
      <c r="H3126">
        <v>13</v>
      </c>
      <c r="I3126">
        <v>0</v>
      </c>
      <c r="J3126">
        <v>13</v>
      </c>
      <c r="K3126">
        <v>30</v>
      </c>
      <c r="L3126">
        <v>2022</v>
      </c>
      <c r="N3126" t="s">
        <v>47</v>
      </c>
      <c r="O3126" t="s">
        <v>47</v>
      </c>
      <c r="P3126" t="s">
        <v>3961</v>
      </c>
    </row>
    <row r="3127" spans="1:16" x14ac:dyDescent="0.3">
      <c r="A3127" t="s">
        <v>3960</v>
      </c>
      <c r="B3127" t="s">
        <v>6</v>
      </c>
      <c r="C3127">
        <v>30</v>
      </c>
      <c r="D3127" t="s">
        <v>10</v>
      </c>
      <c r="E3127" t="s">
        <v>3957</v>
      </c>
      <c r="F3127" s="43">
        <v>44787.5</v>
      </c>
      <c r="G3127" s="43">
        <v>44787.520833333336</v>
      </c>
      <c r="H3127">
        <v>12</v>
      </c>
      <c r="I3127">
        <v>0</v>
      </c>
      <c r="J3127">
        <v>12</v>
      </c>
      <c r="K3127">
        <v>30</v>
      </c>
      <c r="L3127">
        <v>2022</v>
      </c>
      <c r="N3127" t="s">
        <v>47</v>
      </c>
      <c r="O3127" t="s">
        <v>47</v>
      </c>
      <c r="P3127" t="s">
        <v>3964</v>
      </c>
    </row>
    <row r="3128" spans="1:16" x14ac:dyDescent="0.3">
      <c r="A3128" t="s">
        <v>3962</v>
      </c>
      <c r="B3128" t="s">
        <v>223</v>
      </c>
      <c r="C3128">
        <v>60</v>
      </c>
      <c r="D3128" t="s">
        <v>10</v>
      </c>
      <c r="E3128" t="s">
        <v>617</v>
      </c>
      <c r="F3128" s="43">
        <v>44787.229166666664</v>
      </c>
      <c r="G3128" s="43">
        <v>44787.270833333336</v>
      </c>
      <c r="H3128">
        <v>5</v>
      </c>
      <c r="I3128">
        <v>30</v>
      </c>
      <c r="J3128">
        <v>6</v>
      </c>
      <c r="K3128">
        <v>30</v>
      </c>
      <c r="L3128">
        <v>2022</v>
      </c>
      <c r="N3128" t="s">
        <v>47</v>
      </c>
      <c r="O3128" t="s">
        <v>47</v>
      </c>
      <c r="P3128" t="s">
        <v>3963</v>
      </c>
    </row>
    <row r="3129" spans="1:16" x14ac:dyDescent="0.3">
      <c r="A3129" t="s">
        <v>3941</v>
      </c>
      <c r="C3129">
        <v>30</v>
      </c>
      <c r="D3129" t="s">
        <v>10</v>
      </c>
      <c r="F3129" s="43">
        <v>44786.666666666664</v>
      </c>
      <c r="G3129" s="43">
        <v>44786.6875</v>
      </c>
      <c r="H3129">
        <v>16</v>
      </c>
      <c r="I3129">
        <v>0</v>
      </c>
      <c r="J3129">
        <v>16</v>
      </c>
      <c r="K3129">
        <v>30</v>
      </c>
      <c r="L3129">
        <v>2022</v>
      </c>
      <c r="N3129" t="s">
        <v>47</v>
      </c>
      <c r="O3129" t="s">
        <v>47</v>
      </c>
      <c r="P3129" t="s">
        <v>3942</v>
      </c>
    </row>
    <row r="3130" spans="1:16" x14ac:dyDescent="0.3">
      <c r="A3130" t="s">
        <v>3943</v>
      </c>
      <c r="C3130">
        <v>30</v>
      </c>
      <c r="D3130" t="s">
        <v>10</v>
      </c>
      <c r="F3130" s="43">
        <v>44786.4375</v>
      </c>
      <c r="G3130" s="43">
        <v>44786.458333333336</v>
      </c>
      <c r="H3130">
        <v>10</v>
      </c>
      <c r="I3130">
        <v>30</v>
      </c>
      <c r="J3130">
        <v>11</v>
      </c>
      <c r="K3130">
        <v>0</v>
      </c>
      <c r="L3130">
        <v>2022</v>
      </c>
      <c r="N3130" t="s">
        <v>47</v>
      </c>
      <c r="O3130" t="s">
        <v>47</v>
      </c>
      <c r="P3130" t="s">
        <v>3944</v>
      </c>
    </row>
    <row r="3131" spans="1:16" x14ac:dyDescent="0.3">
      <c r="A3131" t="s">
        <v>3945</v>
      </c>
      <c r="B3131" t="s">
        <v>6</v>
      </c>
      <c r="C3131">
        <v>20</v>
      </c>
      <c r="D3131" t="s">
        <v>10</v>
      </c>
      <c r="E3131" t="s">
        <v>438</v>
      </c>
      <c r="F3131" s="43">
        <v>44786.322916666664</v>
      </c>
      <c r="G3131" s="43">
        <v>44786.336805555555</v>
      </c>
      <c r="H3131">
        <v>7</v>
      </c>
      <c r="I3131">
        <v>45</v>
      </c>
      <c r="J3131">
        <v>8</v>
      </c>
      <c r="K3131">
        <v>5</v>
      </c>
      <c r="L3131">
        <v>2022</v>
      </c>
      <c r="N3131" t="s">
        <v>47</v>
      </c>
      <c r="O3131" t="s">
        <v>47</v>
      </c>
      <c r="P3131" t="s">
        <v>3946</v>
      </c>
    </row>
    <row r="3132" spans="1:16" x14ac:dyDescent="0.3">
      <c r="A3132" t="s">
        <v>3947</v>
      </c>
      <c r="B3132" t="s">
        <v>223</v>
      </c>
      <c r="C3132">
        <v>20</v>
      </c>
      <c r="D3132" t="s">
        <v>10</v>
      </c>
      <c r="E3132" t="s">
        <v>617</v>
      </c>
      <c r="F3132" s="43">
        <v>44786.291666666664</v>
      </c>
      <c r="G3132" s="43">
        <v>44786.305555555555</v>
      </c>
      <c r="H3132">
        <v>7</v>
      </c>
      <c r="I3132">
        <v>0</v>
      </c>
      <c r="J3132">
        <v>7</v>
      </c>
      <c r="K3132">
        <v>20</v>
      </c>
      <c r="L3132">
        <v>2022</v>
      </c>
      <c r="N3132" t="s">
        <v>47</v>
      </c>
      <c r="O3132" t="s">
        <v>47</v>
      </c>
      <c r="P3132" t="s">
        <v>3948</v>
      </c>
    </row>
    <row r="3133" spans="1:16" x14ac:dyDescent="0.3">
      <c r="A3133" t="s">
        <v>3949</v>
      </c>
      <c r="B3133" t="s">
        <v>6</v>
      </c>
      <c r="C3133">
        <v>30</v>
      </c>
      <c r="D3133" t="s">
        <v>10</v>
      </c>
      <c r="E3133" t="s">
        <v>438</v>
      </c>
      <c r="F3133" s="43">
        <v>44786.270833333336</v>
      </c>
      <c r="G3133" s="43">
        <v>44786.291666666664</v>
      </c>
      <c r="H3133">
        <v>6</v>
      </c>
      <c r="I3133">
        <v>30</v>
      </c>
      <c r="J3133">
        <v>7</v>
      </c>
      <c r="K3133">
        <v>0</v>
      </c>
      <c r="L3133">
        <v>2022</v>
      </c>
      <c r="N3133" t="s">
        <v>47</v>
      </c>
      <c r="O3133" t="s">
        <v>47</v>
      </c>
      <c r="P3133" t="s">
        <v>3950</v>
      </c>
    </row>
    <row r="3134" spans="1:16" x14ac:dyDescent="0.3">
      <c r="A3134" t="s">
        <v>3949</v>
      </c>
      <c r="B3134" t="s">
        <v>6</v>
      </c>
      <c r="C3134">
        <v>60</v>
      </c>
      <c r="D3134" t="s">
        <v>10</v>
      </c>
      <c r="E3134" t="s">
        <v>438</v>
      </c>
      <c r="F3134" s="43">
        <v>44786.1875</v>
      </c>
      <c r="G3134" s="43">
        <v>44786.229166666664</v>
      </c>
      <c r="H3134">
        <v>4</v>
      </c>
      <c r="I3134">
        <v>30</v>
      </c>
      <c r="J3134">
        <v>5</v>
      </c>
      <c r="K3134">
        <v>30</v>
      </c>
      <c r="L3134">
        <v>2022</v>
      </c>
      <c r="N3134" t="s">
        <v>47</v>
      </c>
      <c r="O3134" t="s">
        <v>47</v>
      </c>
      <c r="P3134" t="s">
        <v>3951</v>
      </c>
    </row>
    <row r="3135" spans="1:16" x14ac:dyDescent="0.3">
      <c r="A3135" t="s">
        <v>3952</v>
      </c>
      <c r="B3135" t="s">
        <v>6</v>
      </c>
      <c r="C3135">
        <v>60</v>
      </c>
      <c r="D3135" t="s">
        <v>10</v>
      </c>
      <c r="E3135" t="s">
        <v>438</v>
      </c>
      <c r="F3135" s="43">
        <v>44785.791666666664</v>
      </c>
      <c r="G3135" s="43">
        <v>44785.833333333336</v>
      </c>
      <c r="H3135">
        <v>19</v>
      </c>
      <c r="I3135">
        <v>0</v>
      </c>
      <c r="J3135">
        <v>20</v>
      </c>
      <c r="K3135">
        <v>0</v>
      </c>
      <c r="L3135">
        <v>2022</v>
      </c>
      <c r="N3135" t="s">
        <v>47</v>
      </c>
      <c r="O3135" t="s">
        <v>47</v>
      </c>
      <c r="P3135" t="s">
        <v>3953</v>
      </c>
    </row>
    <row r="3136" spans="1:16" x14ac:dyDescent="0.3">
      <c r="A3136" t="s">
        <v>3954</v>
      </c>
      <c r="B3136" t="s">
        <v>223</v>
      </c>
      <c r="C3136">
        <v>30</v>
      </c>
      <c r="D3136" t="s">
        <v>10</v>
      </c>
      <c r="E3136" t="s">
        <v>617</v>
      </c>
      <c r="F3136" s="43">
        <v>44785.770833333336</v>
      </c>
      <c r="G3136" s="43">
        <v>44785.791666666664</v>
      </c>
      <c r="H3136">
        <v>18</v>
      </c>
      <c r="I3136">
        <v>30</v>
      </c>
      <c r="J3136">
        <v>19</v>
      </c>
      <c r="K3136">
        <v>0</v>
      </c>
      <c r="L3136">
        <v>2022</v>
      </c>
      <c r="N3136" t="s">
        <v>47</v>
      </c>
      <c r="O3136" t="s">
        <v>47</v>
      </c>
      <c r="P3136" t="s">
        <v>3955</v>
      </c>
    </row>
    <row r="3137" spans="1:16" x14ac:dyDescent="0.3">
      <c r="A3137" t="s">
        <v>3939</v>
      </c>
      <c r="B3137" t="s">
        <v>6</v>
      </c>
      <c r="C3137">
        <v>20</v>
      </c>
      <c r="D3137" t="s">
        <v>10</v>
      </c>
      <c r="F3137" s="43">
        <v>44785.736111111109</v>
      </c>
      <c r="G3137" s="43">
        <v>44785.75</v>
      </c>
      <c r="H3137">
        <v>17</v>
      </c>
      <c r="I3137">
        <v>40</v>
      </c>
      <c r="J3137">
        <v>18</v>
      </c>
      <c r="K3137">
        <v>0</v>
      </c>
      <c r="L3137">
        <v>2022</v>
      </c>
      <c r="N3137" t="s">
        <v>47</v>
      </c>
      <c r="O3137" t="s">
        <v>47</v>
      </c>
      <c r="P3137" t="s">
        <v>3940</v>
      </c>
    </row>
    <row r="3138" spans="1:16" x14ac:dyDescent="0.3">
      <c r="A3138" t="s">
        <v>1341</v>
      </c>
      <c r="C3138">
        <v>25</v>
      </c>
      <c r="D3138" t="s">
        <v>10</v>
      </c>
      <c r="F3138" s="43">
        <v>44785.71875</v>
      </c>
      <c r="G3138" s="43">
        <v>44785.736111111109</v>
      </c>
      <c r="H3138">
        <v>17</v>
      </c>
      <c r="I3138">
        <v>15</v>
      </c>
      <c r="J3138">
        <v>17</v>
      </c>
      <c r="K3138">
        <v>40</v>
      </c>
      <c r="L3138">
        <v>2022</v>
      </c>
      <c r="N3138" t="s">
        <v>47</v>
      </c>
      <c r="O3138" t="s">
        <v>47</v>
      </c>
      <c r="P3138" t="s">
        <v>3938</v>
      </c>
    </row>
    <row r="3139" spans="1:16" x14ac:dyDescent="0.3">
      <c r="A3139" t="s">
        <v>1030</v>
      </c>
      <c r="B3139" t="s">
        <v>31</v>
      </c>
      <c r="C3139">
        <v>60</v>
      </c>
      <c r="D3139" t="s">
        <v>10</v>
      </c>
      <c r="F3139" s="43">
        <v>44785.666666666664</v>
      </c>
      <c r="G3139" s="43">
        <v>44785.708333333336</v>
      </c>
      <c r="H3139">
        <v>16</v>
      </c>
      <c r="I3139">
        <v>0</v>
      </c>
      <c r="J3139">
        <v>17</v>
      </c>
      <c r="K3139">
        <v>0</v>
      </c>
      <c r="L3139">
        <v>2022</v>
      </c>
      <c r="N3139" t="s">
        <v>47</v>
      </c>
      <c r="O3139" t="s">
        <v>47</v>
      </c>
      <c r="P3139" t="s">
        <v>4187</v>
      </c>
    </row>
    <row r="3140" spans="1:16" x14ac:dyDescent="0.3">
      <c r="A3140" t="s">
        <v>3920</v>
      </c>
      <c r="B3140" t="s">
        <v>6</v>
      </c>
      <c r="C3140">
        <v>60</v>
      </c>
      <c r="D3140" t="s">
        <v>10</v>
      </c>
      <c r="E3140" t="s">
        <v>438</v>
      </c>
      <c r="F3140" s="43">
        <v>44785.625</v>
      </c>
      <c r="G3140" s="43">
        <v>44785.666666666664</v>
      </c>
      <c r="H3140">
        <v>15</v>
      </c>
      <c r="I3140">
        <v>0</v>
      </c>
      <c r="J3140">
        <v>16</v>
      </c>
      <c r="K3140">
        <v>0</v>
      </c>
      <c r="L3140">
        <v>2022</v>
      </c>
      <c r="N3140" t="s">
        <v>47</v>
      </c>
      <c r="O3140" t="s">
        <v>47</v>
      </c>
      <c r="P3140" t="s">
        <v>3921</v>
      </c>
    </row>
    <row r="3141" spans="1:16" x14ac:dyDescent="0.3">
      <c r="A3141" t="s">
        <v>8</v>
      </c>
      <c r="B3141" t="s">
        <v>6</v>
      </c>
      <c r="C3141">
        <v>30</v>
      </c>
      <c r="D3141" t="s">
        <v>10</v>
      </c>
      <c r="F3141" s="43">
        <v>44785.5625</v>
      </c>
      <c r="G3141" s="43">
        <v>44785.583333333336</v>
      </c>
      <c r="H3141">
        <v>13</v>
      </c>
      <c r="I3141">
        <v>30</v>
      </c>
      <c r="J3141">
        <v>14</v>
      </c>
      <c r="K3141">
        <v>0</v>
      </c>
      <c r="L3141">
        <v>2022</v>
      </c>
      <c r="N3141" t="s">
        <v>47</v>
      </c>
      <c r="O3141" t="s">
        <v>47</v>
      </c>
      <c r="P3141" t="s">
        <v>3922</v>
      </c>
    </row>
    <row r="3142" spans="1:16" x14ac:dyDescent="0.3">
      <c r="A3142" t="s">
        <v>416</v>
      </c>
      <c r="B3142" t="s">
        <v>20</v>
      </c>
      <c r="C3142">
        <v>30</v>
      </c>
      <c r="D3142" t="s">
        <v>10</v>
      </c>
      <c r="E3142" t="s">
        <v>501</v>
      </c>
      <c r="F3142" s="43">
        <v>44785.541666666664</v>
      </c>
      <c r="G3142" s="43">
        <v>44785.5625</v>
      </c>
      <c r="H3142">
        <v>13</v>
      </c>
      <c r="I3142">
        <v>0</v>
      </c>
      <c r="J3142">
        <v>13</v>
      </c>
      <c r="K3142">
        <v>30</v>
      </c>
      <c r="L3142">
        <v>2022</v>
      </c>
      <c r="N3142" t="s">
        <v>3870</v>
      </c>
      <c r="O3142" t="s">
        <v>47</v>
      </c>
      <c r="P3142" t="s">
        <v>3871</v>
      </c>
    </row>
    <row r="3143" spans="1:16" x14ac:dyDescent="0.3">
      <c r="A3143" t="s">
        <v>3936</v>
      </c>
      <c r="C3143">
        <v>45</v>
      </c>
      <c r="D3143" t="s">
        <v>10</v>
      </c>
      <c r="E3143" t="s">
        <v>501</v>
      </c>
      <c r="F3143" s="43">
        <v>44785.458333333336</v>
      </c>
      <c r="G3143" s="43">
        <v>44785.489583333336</v>
      </c>
      <c r="H3143">
        <v>11</v>
      </c>
      <c r="I3143">
        <v>0</v>
      </c>
      <c r="J3143">
        <v>11</v>
      </c>
      <c r="K3143">
        <v>45</v>
      </c>
      <c r="L3143">
        <v>2022</v>
      </c>
      <c r="N3143" t="s">
        <v>502</v>
      </c>
      <c r="O3143" t="s">
        <v>47</v>
      </c>
      <c r="P3143" t="s">
        <v>3937</v>
      </c>
    </row>
    <row r="3144" spans="1:16" x14ac:dyDescent="0.3">
      <c r="A3144" t="s">
        <v>8</v>
      </c>
      <c r="B3144" t="s">
        <v>6</v>
      </c>
      <c r="C3144">
        <v>15</v>
      </c>
      <c r="D3144" t="s">
        <v>10</v>
      </c>
      <c r="F3144" s="43">
        <v>44785.4375</v>
      </c>
      <c r="G3144" s="43">
        <v>44785.447916666664</v>
      </c>
      <c r="H3144">
        <v>10</v>
      </c>
      <c r="I3144">
        <v>30</v>
      </c>
      <c r="J3144">
        <v>10</v>
      </c>
      <c r="K3144">
        <v>45</v>
      </c>
      <c r="L3144">
        <v>2022</v>
      </c>
      <c r="N3144" t="s">
        <v>47</v>
      </c>
      <c r="O3144" t="s">
        <v>47</v>
      </c>
      <c r="P3144" t="s">
        <v>3923</v>
      </c>
    </row>
    <row r="3145" spans="1:16" x14ac:dyDescent="0.3">
      <c r="A3145" t="s">
        <v>3863</v>
      </c>
      <c r="B3145" t="s">
        <v>225</v>
      </c>
      <c r="C3145">
        <v>60</v>
      </c>
      <c r="D3145" t="s">
        <v>10</v>
      </c>
      <c r="E3145" t="s">
        <v>3864</v>
      </c>
      <c r="F3145" s="43">
        <v>44785.395833333336</v>
      </c>
      <c r="G3145" s="43">
        <v>44785.4375</v>
      </c>
      <c r="H3145">
        <v>9</v>
      </c>
      <c r="I3145">
        <v>30</v>
      </c>
      <c r="J3145">
        <v>10</v>
      </c>
      <c r="K3145">
        <v>30</v>
      </c>
      <c r="L3145">
        <v>2022</v>
      </c>
      <c r="N3145" t="s">
        <v>3865</v>
      </c>
      <c r="O3145" t="s">
        <v>47</v>
      </c>
      <c r="P3145" t="s">
        <v>3866</v>
      </c>
    </row>
    <row r="3146" spans="1:16" x14ac:dyDescent="0.3">
      <c r="A3146" t="s">
        <v>3706</v>
      </c>
      <c r="C3146">
        <v>30</v>
      </c>
      <c r="D3146" t="s">
        <v>10</v>
      </c>
      <c r="F3146" s="43">
        <v>44785.375</v>
      </c>
      <c r="G3146" s="43">
        <v>44785.395833333336</v>
      </c>
      <c r="H3146">
        <v>9</v>
      </c>
      <c r="I3146">
        <v>0</v>
      </c>
      <c r="J3146">
        <v>9</v>
      </c>
      <c r="K3146">
        <v>30</v>
      </c>
      <c r="L3146">
        <v>2022</v>
      </c>
      <c r="N3146" t="s">
        <v>629</v>
      </c>
      <c r="O3146" t="s">
        <v>47</v>
      </c>
      <c r="P3146" t="s">
        <v>3911</v>
      </c>
    </row>
    <row r="3147" spans="1:16" x14ac:dyDescent="0.3">
      <c r="A3147" t="s">
        <v>8</v>
      </c>
      <c r="B3147" t="s">
        <v>6</v>
      </c>
      <c r="C3147">
        <v>30</v>
      </c>
      <c r="D3147" t="s">
        <v>10</v>
      </c>
      <c r="F3147" s="43">
        <v>44785.333333333336</v>
      </c>
      <c r="G3147" s="43">
        <v>44785.354166666664</v>
      </c>
      <c r="H3147">
        <v>8</v>
      </c>
      <c r="I3147">
        <v>0</v>
      </c>
      <c r="J3147">
        <v>8</v>
      </c>
      <c r="K3147">
        <v>30</v>
      </c>
      <c r="L3147">
        <v>2022</v>
      </c>
      <c r="N3147" t="s">
        <v>47</v>
      </c>
      <c r="O3147" t="s">
        <v>47</v>
      </c>
      <c r="P3147" t="s">
        <v>3924</v>
      </c>
    </row>
    <row r="3148" spans="1:16" x14ac:dyDescent="0.3">
      <c r="A3148" t="s">
        <v>3930</v>
      </c>
      <c r="C3148">
        <v>15</v>
      </c>
      <c r="D3148" t="s">
        <v>10</v>
      </c>
      <c r="F3148" s="43">
        <v>44785.270833333336</v>
      </c>
      <c r="G3148" s="43">
        <v>44785.28125</v>
      </c>
      <c r="H3148">
        <v>6</v>
      </c>
      <c r="I3148">
        <v>30</v>
      </c>
      <c r="J3148">
        <v>6</v>
      </c>
      <c r="K3148">
        <v>45</v>
      </c>
      <c r="L3148">
        <v>2022</v>
      </c>
      <c r="N3148" t="s">
        <v>47</v>
      </c>
      <c r="O3148" t="s">
        <v>47</v>
      </c>
      <c r="P3148" t="s">
        <v>3931</v>
      </c>
    </row>
    <row r="3149" spans="1:16" x14ac:dyDescent="0.3">
      <c r="A3149" t="s">
        <v>3934</v>
      </c>
      <c r="B3149" t="s">
        <v>6</v>
      </c>
      <c r="C3149">
        <v>75</v>
      </c>
      <c r="D3149" t="s">
        <v>10</v>
      </c>
      <c r="F3149" s="43">
        <v>44785.197916666664</v>
      </c>
      <c r="G3149" s="43">
        <v>44785.25</v>
      </c>
      <c r="H3149">
        <v>4</v>
      </c>
      <c r="I3149">
        <v>45</v>
      </c>
      <c r="J3149">
        <v>6</v>
      </c>
      <c r="K3149">
        <v>0</v>
      </c>
      <c r="L3149">
        <v>2022</v>
      </c>
      <c r="N3149" t="s">
        <v>47</v>
      </c>
      <c r="O3149" t="s">
        <v>47</v>
      </c>
      <c r="P3149" t="s">
        <v>3935</v>
      </c>
    </row>
    <row r="3150" spans="1:16" x14ac:dyDescent="0.3">
      <c r="A3150" t="s">
        <v>1030</v>
      </c>
      <c r="B3150" t="s">
        <v>31</v>
      </c>
      <c r="C3150">
        <v>60</v>
      </c>
      <c r="D3150" t="s">
        <v>10</v>
      </c>
      <c r="F3150" s="43">
        <v>44784.8125</v>
      </c>
      <c r="G3150" s="43">
        <v>44784.854166666664</v>
      </c>
      <c r="H3150">
        <v>19</v>
      </c>
      <c r="I3150">
        <v>30</v>
      </c>
      <c r="J3150">
        <v>20</v>
      </c>
      <c r="K3150">
        <v>30</v>
      </c>
      <c r="L3150">
        <v>2022</v>
      </c>
      <c r="N3150" t="s">
        <v>47</v>
      </c>
      <c r="O3150" t="s">
        <v>47</v>
      </c>
      <c r="P3150" t="s">
        <v>4185</v>
      </c>
    </row>
    <row r="3151" spans="1:16" x14ac:dyDescent="0.3">
      <c r="A3151" t="s">
        <v>3918</v>
      </c>
      <c r="C3151">
        <v>60</v>
      </c>
      <c r="D3151" t="s">
        <v>10</v>
      </c>
      <c r="F3151" s="43">
        <v>44784.760416666664</v>
      </c>
      <c r="G3151" s="43">
        <v>44784.802083333336</v>
      </c>
      <c r="H3151">
        <v>18</v>
      </c>
      <c r="I3151">
        <v>15</v>
      </c>
      <c r="J3151">
        <v>19</v>
      </c>
      <c r="K3151">
        <v>15</v>
      </c>
      <c r="L3151">
        <v>2022</v>
      </c>
      <c r="N3151" t="s">
        <v>47</v>
      </c>
      <c r="O3151" t="s">
        <v>47</v>
      </c>
      <c r="P3151" t="s">
        <v>3919</v>
      </c>
    </row>
    <row r="3152" spans="1:16" x14ac:dyDescent="0.3">
      <c r="A3152" t="s">
        <v>7</v>
      </c>
      <c r="B3152" t="s">
        <v>6</v>
      </c>
      <c r="C3152">
        <v>15</v>
      </c>
      <c r="D3152" t="s">
        <v>10</v>
      </c>
      <c r="E3152" t="s">
        <v>449</v>
      </c>
      <c r="F3152" s="43">
        <v>44784.708333333336</v>
      </c>
      <c r="G3152" s="43">
        <v>44784.71875</v>
      </c>
      <c r="H3152">
        <v>17</v>
      </c>
      <c r="I3152">
        <v>0</v>
      </c>
      <c r="J3152">
        <v>17</v>
      </c>
      <c r="K3152">
        <v>15</v>
      </c>
      <c r="L3152">
        <v>2022</v>
      </c>
      <c r="N3152" t="s">
        <v>47</v>
      </c>
      <c r="O3152" t="s">
        <v>47</v>
      </c>
      <c r="P3152" t="s">
        <v>3916</v>
      </c>
    </row>
    <row r="3153" spans="1:16" x14ac:dyDescent="0.3">
      <c r="A3153" t="s">
        <v>8</v>
      </c>
      <c r="B3153" t="s">
        <v>6</v>
      </c>
      <c r="C3153">
        <v>90</v>
      </c>
      <c r="D3153" t="s">
        <v>10</v>
      </c>
      <c r="F3153" s="43">
        <v>44784.645833333336</v>
      </c>
      <c r="G3153" s="43">
        <v>44784.708333333336</v>
      </c>
      <c r="H3153">
        <v>15</v>
      </c>
      <c r="I3153">
        <v>30</v>
      </c>
      <c r="J3153">
        <v>17</v>
      </c>
      <c r="K3153">
        <v>0</v>
      </c>
      <c r="L3153">
        <v>2022</v>
      </c>
      <c r="N3153" t="s">
        <v>47</v>
      </c>
      <c r="O3153" t="s">
        <v>47</v>
      </c>
      <c r="P3153" t="s">
        <v>3917</v>
      </c>
    </row>
    <row r="3154" spans="1:16" x14ac:dyDescent="0.3">
      <c r="A3154" t="s">
        <v>8</v>
      </c>
      <c r="B3154" t="s">
        <v>6</v>
      </c>
      <c r="C3154">
        <v>30</v>
      </c>
      <c r="D3154" t="s">
        <v>10</v>
      </c>
      <c r="F3154" s="43">
        <v>44784.604166666664</v>
      </c>
      <c r="G3154" s="43">
        <v>44784.625</v>
      </c>
      <c r="H3154">
        <v>14</v>
      </c>
      <c r="I3154">
        <v>30</v>
      </c>
      <c r="J3154">
        <v>15</v>
      </c>
      <c r="K3154">
        <v>0</v>
      </c>
      <c r="L3154">
        <v>2022</v>
      </c>
      <c r="N3154" t="s">
        <v>47</v>
      </c>
      <c r="O3154" t="s">
        <v>47</v>
      </c>
      <c r="P3154" t="s">
        <v>3910</v>
      </c>
    </row>
    <row r="3155" spans="1:16" x14ac:dyDescent="0.3">
      <c r="A3155" t="s">
        <v>500</v>
      </c>
      <c r="B3155" t="s">
        <v>20</v>
      </c>
      <c r="C3155">
        <v>30</v>
      </c>
      <c r="D3155" t="s">
        <v>10</v>
      </c>
      <c r="E3155" t="s">
        <v>501</v>
      </c>
      <c r="F3155" s="43">
        <v>44784.416666666664</v>
      </c>
      <c r="G3155" s="43">
        <v>44784.4375</v>
      </c>
      <c r="H3155">
        <v>10</v>
      </c>
      <c r="I3155">
        <v>0</v>
      </c>
      <c r="J3155">
        <v>10</v>
      </c>
      <c r="K3155">
        <v>30</v>
      </c>
      <c r="L3155">
        <v>2022</v>
      </c>
      <c r="N3155" t="s">
        <v>502</v>
      </c>
      <c r="O3155" t="s">
        <v>47</v>
      </c>
      <c r="P3155" t="s">
        <v>503</v>
      </c>
    </row>
    <row r="3156" spans="1:16" x14ac:dyDescent="0.3">
      <c r="A3156" t="s">
        <v>3850</v>
      </c>
      <c r="C3156">
        <v>90</v>
      </c>
      <c r="D3156" t="s">
        <v>10</v>
      </c>
      <c r="E3156" t="s">
        <v>21</v>
      </c>
      <c r="F3156" s="43">
        <v>44784.291666666664</v>
      </c>
      <c r="G3156" s="43">
        <v>44784.354166666664</v>
      </c>
      <c r="H3156">
        <v>7</v>
      </c>
      <c r="I3156">
        <v>0</v>
      </c>
      <c r="J3156">
        <v>8</v>
      </c>
      <c r="K3156">
        <v>30</v>
      </c>
      <c r="L3156">
        <v>2022</v>
      </c>
      <c r="N3156" t="s">
        <v>3851</v>
      </c>
      <c r="O3156" t="s">
        <v>50</v>
      </c>
      <c r="P3156" t="s">
        <v>3852</v>
      </c>
    </row>
    <row r="3157" spans="1:16" x14ac:dyDescent="0.3">
      <c r="A3157" t="s">
        <v>735</v>
      </c>
      <c r="C3157">
        <v>60</v>
      </c>
      <c r="D3157" t="s">
        <v>10</v>
      </c>
      <c r="F3157" s="43">
        <v>44784.239583333336</v>
      </c>
      <c r="G3157" s="43">
        <v>44784.28125</v>
      </c>
      <c r="H3157">
        <v>5</v>
      </c>
      <c r="I3157">
        <v>45</v>
      </c>
      <c r="J3157">
        <v>6</v>
      </c>
      <c r="K3157">
        <v>45</v>
      </c>
      <c r="L3157">
        <v>2022</v>
      </c>
      <c r="N3157" t="s">
        <v>47</v>
      </c>
      <c r="O3157" t="s">
        <v>47</v>
      </c>
      <c r="P3157" t="s">
        <v>3872</v>
      </c>
    </row>
    <row r="3158" spans="1:16" x14ac:dyDescent="0.3">
      <c r="A3158" t="s">
        <v>3873</v>
      </c>
      <c r="B3158" t="s">
        <v>109</v>
      </c>
      <c r="C3158">
        <v>30</v>
      </c>
      <c r="D3158" t="s">
        <v>10</v>
      </c>
      <c r="E3158" t="s">
        <v>3874</v>
      </c>
      <c r="F3158" s="43">
        <v>44783.8125</v>
      </c>
      <c r="G3158" s="43">
        <v>44783.833333333336</v>
      </c>
      <c r="H3158">
        <v>19</v>
      </c>
      <c r="I3158">
        <v>30</v>
      </c>
      <c r="J3158">
        <v>20</v>
      </c>
      <c r="K3158">
        <v>0</v>
      </c>
      <c r="L3158">
        <v>2022</v>
      </c>
      <c r="N3158" t="s">
        <v>47</v>
      </c>
      <c r="O3158" t="s">
        <v>47</v>
      </c>
      <c r="P3158" t="s">
        <v>3875</v>
      </c>
    </row>
    <row r="3159" spans="1:16" x14ac:dyDescent="0.3">
      <c r="A3159" t="s">
        <v>3873</v>
      </c>
      <c r="B3159" t="s">
        <v>109</v>
      </c>
      <c r="C3159">
        <v>60</v>
      </c>
      <c r="D3159" t="s">
        <v>10</v>
      </c>
      <c r="E3159" t="s">
        <v>3874</v>
      </c>
      <c r="F3159" s="43">
        <v>44783.75</v>
      </c>
      <c r="G3159" s="43">
        <v>44783.791666666664</v>
      </c>
      <c r="H3159">
        <v>18</v>
      </c>
      <c r="I3159">
        <v>0</v>
      </c>
      <c r="J3159">
        <v>19</v>
      </c>
      <c r="K3159">
        <v>0</v>
      </c>
      <c r="L3159">
        <v>2022</v>
      </c>
      <c r="N3159" t="s">
        <v>47</v>
      </c>
      <c r="O3159" t="s">
        <v>47</v>
      </c>
      <c r="P3159" t="s">
        <v>3876</v>
      </c>
    </row>
    <row r="3160" spans="1:16" x14ac:dyDescent="0.3">
      <c r="A3160" t="s">
        <v>1030</v>
      </c>
      <c r="B3160" t="s">
        <v>31</v>
      </c>
      <c r="C3160">
        <v>60</v>
      </c>
      <c r="D3160" t="s">
        <v>10</v>
      </c>
      <c r="F3160" s="43">
        <v>44783.708333333336</v>
      </c>
      <c r="G3160" s="43">
        <v>44783.75</v>
      </c>
      <c r="H3160">
        <v>17</v>
      </c>
      <c r="I3160">
        <v>0</v>
      </c>
      <c r="J3160">
        <v>18</v>
      </c>
      <c r="K3160">
        <v>0</v>
      </c>
      <c r="L3160">
        <v>2022</v>
      </c>
      <c r="N3160" t="s">
        <v>47</v>
      </c>
      <c r="O3160" t="s">
        <v>47</v>
      </c>
      <c r="P3160" t="s">
        <v>4186</v>
      </c>
    </row>
    <row r="3161" spans="1:16" x14ac:dyDescent="0.3">
      <c r="A3161" t="s">
        <v>8</v>
      </c>
      <c r="B3161" t="s">
        <v>6</v>
      </c>
      <c r="C3161">
        <v>15</v>
      </c>
      <c r="D3161" t="s">
        <v>10</v>
      </c>
      <c r="F3161" s="43">
        <v>44783.701388888891</v>
      </c>
      <c r="G3161" s="43">
        <v>44783.711805555555</v>
      </c>
      <c r="H3161">
        <v>16</v>
      </c>
      <c r="I3161">
        <v>50</v>
      </c>
      <c r="J3161">
        <v>17</v>
      </c>
      <c r="K3161">
        <v>5</v>
      </c>
      <c r="L3161">
        <v>2022</v>
      </c>
      <c r="N3161" t="s">
        <v>47</v>
      </c>
      <c r="O3161" t="s">
        <v>47</v>
      </c>
      <c r="P3161" t="s">
        <v>3877</v>
      </c>
    </row>
    <row r="3162" spans="1:16" x14ac:dyDescent="0.3">
      <c r="A3162" t="s">
        <v>3863</v>
      </c>
      <c r="B3162" t="s">
        <v>225</v>
      </c>
      <c r="C3162">
        <v>90</v>
      </c>
      <c r="D3162" t="s">
        <v>10</v>
      </c>
      <c r="E3162" t="s">
        <v>3867</v>
      </c>
      <c r="F3162" s="43">
        <v>44783.625</v>
      </c>
      <c r="G3162" s="43">
        <v>44783.6875</v>
      </c>
      <c r="H3162">
        <v>15</v>
      </c>
      <c r="I3162">
        <v>0</v>
      </c>
      <c r="J3162">
        <v>16</v>
      </c>
      <c r="K3162">
        <v>30</v>
      </c>
      <c r="L3162">
        <v>2022</v>
      </c>
      <c r="N3162" t="s">
        <v>3865</v>
      </c>
      <c r="O3162" t="s">
        <v>47</v>
      </c>
      <c r="P3162" t="s">
        <v>3868</v>
      </c>
    </row>
    <row r="3163" spans="1:16" x14ac:dyDescent="0.3">
      <c r="A3163" t="s">
        <v>3881</v>
      </c>
      <c r="B3163" t="s">
        <v>225</v>
      </c>
      <c r="C3163">
        <v>60</v>
      </c>
      <c r="D3163" t="s">
        <v>10</v>
      </c>
      <c r="E3163" t="s">
        <v>784</v>
      </c>
      <c r="F3163" s="43">
        <v>44783.583333333336</v>
      </c>
      <c r="G3163" s="43">
        <v>44783.625</v>
      </c>
      <c r="H3163">
        <v>14</v>
      </c>
      <c r="I3163">
        <v>0</v>
      </c>
      <c r="J3163">
        <v>15</v>
      </c>
      <c r="K3163">
        <v>0</v>
      </c>
      <c r="L3163">
        <v>2022</v>
      </c>
      <c r="N3163" t="s">
        <v>47</v>
      </c>
      <c r="O3163" t="s">
        <v>47</v>
      </c>
      <c r="P3163" t="s">
        <v>3882</v>
      </c>
    </row>
    <row r="3164" spans="1:16" x14ac:dyDescent="0.3">
      <c r="A3164" t="s">
        <v>3896</v>
      </c>
      <c r="B3164" t="s">
        <v>20</v>
      </c>
      <c r="C3164">
        <v>40</v>
      </c>
      <c r="D3164" t="s">
        <v>10</v>
      </c>
      <c r="E3164" t="s">
        <v>480</v>
      </c>
      <c r="F3164" s="43">
        <v>44783.520833333336</v>
      </c>
      <c r="G3164" s="43">
        <v>44783.548611111109</v>
      </c>
      <c r="H3164">
        <v>12</v>
      </c>
      <c r="I3164">
        <v>30</v>
      </c>
      <c r="J3164">
        <v>13</v>
      </c>
      <c r="K3164">
        <v>10</v>
      </c>
      <c r="L3164">
        <v>2022</v>
      </c>
      <c r="N3164" t="s">
        <v>3897</v>
      </c>
      <c r="O3164" t="s">
        <v>49</v>
      </c>
      <c r="P3164" t="s">
        <v>3898</v>
      </c>
    </row>
    <row r="3165" spans="1:16" x14ac:dyDescent="0.3">
      <c r="A3165" t="s">
        <v>455</v>
      </c>
      <c r="B3165" t="s">
        <v>20</v>
      </c>
      <c r="C3165">
        <v>60</v>
      </c>
      <c r="D3165" t="s">
        <v>10</v>
      </c>
      <c r="E3165" t="s">
        <v>456</v>
      </c>
      <c r="F3165" s="1">
        <v>44783.416666666664</v>
      </c>
      <c r="G3165" s="1">
        <v>44783.458333333336</v>
      </c>
      <c r="H3165">
        <v>10</v>
      </c>
      <c r="I3165">
        <v>0</v>
      </c>
      <c r="J3165">
        <v>11</v>
      </c>
      <c r="K3165">
        <v>0</v>
      </c>
      <c r="L3165">
        <v>2022</v>
      </c>
      <c r="N3165" t="s">
        <v>457</v>
      </c>
      <c r="O3165" t="s">
        <v>458</v>
      </c>
      <c r="P3165" t="s">
        <v>459</v>
      </c>
    </row>
    <row r="3166" spans="1:16" x14ac:dyDescent="0.3">
      <c r="A3166" t="s">
        <v>3885</v>
      </c>
      <c r="B3166" t="s">
        <v>109</v>
      </c>
      <c r="C3166">
        <v>60</v>
      </c>
      <c r="D3166" t="s">
        <v>10</v>
      </c>
      <c r="E3166" t="s">
        <v>461</v>
      </c>
      <c r="F3166" s="43">
        <v>44783.3125</v>
      </c>
      <c r="G3166" s="43">
        <v>44783.354166666664</v>
      </c>
      <c r="H3166">
        <v>7</v>
      </c>
      <c r="I3166">
        <v>30</v>
      </c>
      <c r="J3166">
        <v>8</v>
      </c>
      <c r="K3166">
        <v>30</v>
      </c>
      <c r="L3166">
        <v>2022</v>
      </c>
      <c r="N3166" t="s">
        <v>47</v>
      </c>
      <c r="O3166" t="s">
        <v>47</v>
      </c>
      <c r="P3166" t="s">
        <v>3886</v>
      </c>
    </row>
    <row r="3167" spans="1:16" x14ac:dyDescent="0.3">
      <c r="A3167" t="s">
        <v>1419</v>
      </c>
      <c r="C3167">
        <v>30</v>
      </c>
      <c r="D3167" t="s">
        <v>10</v>
      </c>
      <c r="F3167" s="43">
        <v>44783.28125</v>
      </c>
      <c r="G3167" s="43">
        <v>44783.302083333336</v>
      </c>
      <c r="H3167">
        <v>6</v>
      </c>
      <c r="I3167">
        <v>45</v>
      </c>
      <c r="J3167">
        <v>7</v>
      </c>
      <c r="K3167">
        <v>15</v>
      </c>
      <c r="L3167">
        <v>2022</v>
      </c>
      <c r="N3167" t="s">
        <v>47</v>
      </c>
      <c r="O3167" t="s">
        <v>47</v>
      </c>
      <c r="P3167" t="s">
        <v>3884</v>
      </c>
    </row>
    <row r="3168" spans="1:16" x14ac:dyDescent="0.3">
      <c r="A3168" t="s">
        <v>1139</v>
      </c>
      <c r="C3168">
        <v>15</v>
      </c>
      <c r="D3168" t="s">
        <v>10</v>
      </c>
      <c r="F3168" s="43">
        <v>44783.25</v>
      </c>
      <c r="G3168" s="43">
        <v>44783.260416666664</v>
      </c>
      <c r="H3168">
        <v>6</v>
      </c>
      <c r="I3168">
        <v>0</v>
      </c>
      <c r="J3168">
        <v>6</v>
      </c>
      <c r="K3168">
        <v>15</v>
      </c>
      <c r="L3168">
        <v>2022</v>
      </c>
      <c r="N3168" t="s">
        <v>47</v>
      </c>
      <c r="O3168" t="s">
        <v>47</v>
      </c>
      <c r="P3168" t="s">
        <v>3883</v>
      </c>
    </row>
    <row r="3169" spans="1:16" x14ac:dyDescent="0.3">
      <c r="A3169" t="s">
        <v>3887</v>
      </c>
      <c r="C3169">
        <v>30</v>
      </c>
      <c r="D3169" t="s">
        <v>10</v>
      </c>
      <c r="F3169" s="43">
        <v>44782.854166666664</v>
      </c>
      <c r="G3169" s="43">
        <v>44782.875</v>
      </c>
      <c r="H3169">
        <v>20</v>
      </c>
      <c r="I3169">
        <v>30</v>
      </c>
      <c r="J3169">
        <v>21</v>
      </c>
      <c r="K3169">
        <v>0</v>
      </c>
      <c r="L3169">
        <v>2022</v>
      </c>
      <c r="N3169" t="s">
        <v>47</v>
      </c>
      <c r="O3169" t="s">
        <v>47</v>
      </c>
      <c r="P3169" t="s">
        <v>3888</v>
      </c>
    </row>
    <row r="3170" spans="1:16" x14ac:dyDescent="0.3">
      <c r="A3170" t="s">
        <v>1030</v>
      </c>
      <c r="B3170" t="s">
        <v>31</v>
      </c>
      <c r="C3170">
        <v>60</v>
      </c>
      <c r="D3170" t="s">
        <v>10</v>
      </c>
      <c r="F3170" s="43">
        <v>44782.8125</v>
      </c>
      <c r="G3170" s="43">
        <v>44782.854166666664</v>
      </c>
      <c r="H3170">
        <v>19</v>
      </c>
      <c r="I3170">
        <v>30</v>
      </c>
      <c r="J3170">
        <v>20</v>
      </c>
      <c r="K3170">
        <v>30</v>
      </c>
      <c r="L3170">
        <v>2022</v>
      </c>
      <c r="N3170" t="s">
        <v>47</v>
      </c>
      <c r="O3170" t="s">
        <v>47</v>
      </c>
      <c r="P3170" t="s">
        <v>4188</v>
      </c>
    </row>
    <row r="3171" spans="1:16" x14ac:dyDescent="0.3">
      <c r="A3171" t="s">
        <v>1750</v>
      </c>
      <c r="B3171" t="s">
        <v>20</v>
      </c>
      <c r="C3171">
        <v>15</v>
      </c>
      <c r="D3171" t="s">
        <v>10</v>
      </c>
      <c r="E3171" t="s">
        <v>790</v>
      </c>
      <c r="F3171" s="43">
        <v>44782.791666666664</v>
      </c>
      <c r="G3171" s="43">
        <v>44782.802083333336</v>
      </c>
      <c r="H3171">
        <v>19</v>
      </c>
      <c r="I3171">
        <v>0</v>
      </c>
      <c r="J3171">
        <v>19</v>
      </c>
      <c r="K3171">
        <v>15</v>
      </c>
      <c r="L3171">
        <v>2022</v>
      </c>
      <c r="N3171" t="s">
        <v>47</v>
      </c>
      <c r="O3171" t="s">
        <v>47</v>
      </c>
      <c r="P3171" t="s">
        <v>3889</v>
      </c>
    </row>
    <row r="3172" spans="1:16" x14ac:dyDescent="0.3">
      <c r="A3172" t="s">
        <v>3853</v>
      </c>
      <c r="B3172" t="s">
        <v>109</v>
      </c>
      <c r="C3172">
        <v>90</v>
      </c>
      <c r="D3172" t="s">
        <v>10</v>
      </c>
      <c r="F3172" s="43">
        <v>44782.645833333336</v>
      </c>
      <c r="G3172" s="43">
        <v>44782.708333333336</v>
      </c>
      <c r="H3172">
        <v>15</v>
      </c>
      <c r="I3172">
        <v>30</v>
      </c>
      <c r="J3172">
        <v>17</v>
      </c>
      <c r="K3172">
        <v>0</v>
      </c>
      <c r="L3172">
        <v>2022</v>
      </c>
      <c r="O3172" t="s">
        <v>47</v>
      </c>
      <c r="P3172" t="s">
        <v>3854</v>
      </c>
    </row>
    <row r="3173" spans="1:16" x14ac:dyDescent="0.3">
      <c r="A3173" t="s">
        <v>680</v>
      </c>
      <c r="B3173" t="s">
        <v>20</v>
      </c>
      <c r="C3173">
        <v>90</v>
      </c>
      <c r="D3173" t="s">
        <v>10</v>
      </c>
      <c r="E3173" t="s">
        <v>681</v>
      </c>
      <c r="F3173" s="43">
        <v>44782.583333333336</v>
      </c>
      <c r="G3173" s="43">
        <v>44782.645833333336</v>
      </c>
      <c r="H3173">
        <v>14</v>
      </c>
      <c r="I3173">
        <v>0</v>
      </c>
      <c r="J3173">
        <v>15</v>
      </c>
      <c r="K3173">
        <v>30</v>
      </c>
      <c r="L3173">
        <v>2022</v>
      </c>
      <c r="N3173" t="s">
        <v>682</v>
      </c>
      <c r="O3173" t="s">
        <v>683</v>
      </c>
      <c r="P3173" t="s">
        <v>684</v>
      </c>
    </row>
    <row r="3174" spans="1:16" x14ac:dyDescent="0.3">
      <c r="A3174" t="s">
        <v>3855</v>
      </c>
      <c r="B3174" t="s">
        <v>109</v>
      </c>
      <c r="C3174">
        <v>120</v>
      </c>
      <c r="D3174" t="s">
        <v>10</v>
      </c>
      <c r="E3174" t="s">
        <v>3856</v>
      </c>
      <c r="F3174" s="43">
        <v>44782.5</v>
      </c>
      <c r="G3174" s="43">
        <v>44782.583333333336</v>
      </c>
      <c r="H3174">
        <v>12</v>
      </c>
      <c r="I3174">
        <v>0</v>
      </c>
      <c r="J3174">
        <v>14</v>
      </c>
      <c r="K3174">
        <v>0</v>
      </c>
      <c r="L3174">
        <v>2022</v>
      </c>
      <c r="N3174" t="s">
        <v>47</v>
      </c>
      <c r="O3174" t="s">
        <v>47</v>
      </c>
      <c r="P3174" t="s">
        <v>3857</v>
      </c>
    </row>
    <row r="3175" spans="1:16" x14ac:dyDescent="0.3">
      <c r="A3175" t="s">
        <v>463</v>
      </c>
      <c r="B3175" t="s">
        <v>20</v>
      </c>
      <c r="C3175">
        <v>60</v>
      </c>
      <c r="D3175" t="s">
        <v>10</v>
      </c>
      <c r="E3175" t="s">
        <v>464</v>
      </c>
      <c r="F3175" s="43">
        <v>44782.416666666664</v>
      </c>
      <c r="G3175" s="43">
        <v>44782.458333333336</v>
      </c>
      <c r="H3175">
        <v>10</v>
      </c>
      <c r="I3175">
        <v>0</v>
      </c>
      <c r="J3175">
        <v>11</v>
      </c>
      <c r="K3175">
        <v>0</v>
      </c>
      <c r="L3175">
        <v>2022</v>
      </c>
      <c r="N3175" t="s">
        <v>465</v>
      </c>
      <c r="O3175" t="s">
        <v>458</v>
      </c>
      <c r="P3175" t="s">
        <v>466</v>
      </c>
    </row>
    <row r="3176" spans="1:16" x14ac:dyDescent="0.3">
      <c r="A3176" t="s">
        <v>529</v>
      </c>
      <c r="B3176" t="s">
        <v>225</v>
      </c>
      <c r="C3176">
        <v>30</v>
      </c>
      <c r="D3176" t="s">
        <v>10</v>
      </c>
      <c r="E3176" t="s">
        <v>501</v>
      </c>
      <c r="F3176" s="43">
        <v>44782.34375</v>
      </c>
      <c r="G3176" s="43">
        <v>44782.364583333336</v>
      </c>
      <c r="H3176">
        <v>8</v>
      </c>
      <c r="I3176">
        <v>15</v>
      </c>
      <c r="J3176">
        <v>8</v>
      </c>
      <c r="K3176">
        <v>45</v>
      </c>
      <c r="L3176">
        <v>2022</v>
      </c>
      <c r="N3176" t="s">
        <v>530</v>
      </c>
      <c r="O3176" t="s">
        <v>47</v>
      </c>
      <c r="P3176" t="s">
        <v>531</v>
      </c>
    </row>
    <row r="3177" spans="1:16" x14ac:dyDescent="0.3">
      <c r="A3177" t="s">
        <v>3642</v>
      </c>
      <c r="B3177" t="s">
        <v>20</v>
      </c>
      <c r="C3177">
        <v>60</v>
      </c>
      <c r="D3177" t="s">
        <v>10</v>
      </c>
      <c r="E3177" t="s">
        <v>804</v>
      </c>
      <c r="F3177" s="43">
        <v>44782.270833333336</v>
      </c>
      <c r="G3177" s="43">
        <v>44782.3125</v>
      </c>
      <c r="H3177">
        <v>6</v>
      </c>
      <c r="I3177">
        <v>30</v>
      </c>
      <c r="J3177">
        <v>7</v>
      </c>
      <c r="K3177">
        <v>30</v>
      </c>
      <c r="L3177">
        <v>2022</v>
      </c>
      <c r="N3177" t="s">
        <v>1399</v>
      </c>
      <c r="O3177" t="s">
        <v>1241</v>
      </c>
      <c r="P3177" t="s">
        <v>3869</v>
      </c>
    </row>
    <row r="3178" spans="1:16" x14ac:dyDescent="0.3">
      <c r="A3178" t="s">
        <v>3861</v>
      </c>
      <c r="B3178" t="s">
        <v>109</v>
      </c>
      <c r="C3178">
        <v>40</v>
      </c>
      <c r="D3178" t="s">
        <v>10</v>
      </c>
      <c r="E3178" t="s">
        <v>981</v>
      </c>
      <c r="F3178" s="43">
        <v>44781.75</v>
      </c>
      <c r="G3178" s="43">
        <v>44781.777777777781</v>
      </c>
      <c r="H3178">
        <v>18</v>
      </c>
      <c r="I3178">
        <v>0</v>
      </c>
      <c r="J3178">
        <v>18</v>
      </c>
      <c r="K3178">
        <v>40</v>
      </c>
      <c r="L3178">
        <v>2022</v>
      </c>
      <c r="N3178" t="s">
        <v>47</v>
      </c>
      <c r="O3178" t="s">
        <v>47</v>
      </c>
      <c r="P3178" t="s">
        <v>3862</v>
      </c>
    </row>
    <row r="3179" spans="1:16" x14ac:dyDescent="0.3">
      <c r="A3179" t="s">
        <v>7</v>
      </c>
      <c r="B3179" t="s">
        <v>6</v>
      </c>
      <c r="C3179">
        <v>30</v>
      </c>
      <c r="D3179" t="s">
        <v>10</v>
      </c>
      <c r="E3179" t="s">
        <v>449</v>
      </c>
      <c r="F3179" s="43">
        <v>44781.729166666664</v>
      </c>
      <c r="G3179" s="43">
        <v>44781.75</v>
      </c>
      <c r="H3179">
        <v>17</v>
      </c>
      <c r="I3179">
        <v>30</v>
      </c>
      <c r="J3179">
        <v>18</v>
      </c>
      <c r="K3179">
        <v>0</v>
      </c>
      <c r="L3179">
        <v>2022</v>
      </c>
      <c r="N3179" t="s">
        <v>47</v>
      </c>
      <c r="O3179" t="s">
        <v>47</v>
      </c>
      <c r="P3179" t="s">
        <v>3860</v>
      </c>
    </row>
    <row r="3180" spans="1:16" x14ac:dyDescent="0.3">
      <c r="A3180" t="s">
        <v>3842</v>
      </c>
      <c r="B3180" t="s">
        <v>109</v>
      </c>
      <c r="C3180">
        <v>60</v>
      </c>
      <c r="D3180" t="s">
        <v>10</v>
      </c>
      <c r="E3180" t="s">
        <v>3843</v>
      </c>
      <c r="F3180" s="43">
        <v>44781.6875</v>
      </c>
      <c r="G3180" s="43">
        <v>44781.729166666664</v>
      </c>
      <c r="H3180">
        <v>16</v>
      </c>
      <c r="I3180">
        <v>30</v>
      </c>
      <c r="J3180">
        <v>17</v>
      </c>
      <c r="K3180">
        <v>30</v>
      </c>
      <c r="L3180">
        <v>2022</v>
      </c>
      <c r="N3180" t="s">
        <v>1052</v>
      </c>
      <c r="O3180" t="s">
        <v>683</v>
      </c>
      <c r="P3180" t="s">
        <v>3844</v>
      </c>
    </row>
    <row r="3181" spans="1:16" x14ac:dyDescent="0.3">
      <c r="A3181" t="s">
        <v>1037</v>
      </c>
      <c r="B3181" t="s">
        <v>31</v>
      </c>
      <c r="C3181">
        <v>30</v>
      </c>
      <c r="D3181" t="s">
        <v>10</v>
      </c>
      <c r="F3181" s="43">
        <v>44781.635416666664</v>
      </c>
      <c r="G3181" s="43">
        <v>44781.65625</v>
      </c>
      <c r="H3181">
        <v>15</v>
      </c>
      <c r="I3181">
        <v>15</v>
      </c>
      <c r="J3181">
        <v>15</v>
      </c>
      <c r="K3181">
        <v>45</v>
      </c>
      <c r="L3181">
        <v>2022</v>
      </c>
      <c r="N3181" t="s">
        <v>47</v>
      </c>
      <c r="O3181" t="s">
        <v>47</v>
      </c>
      <c r="P3181" t="s">
        <v>1038</v>
      </c>
    </row>
    <row r="3182" spans="1:16" x14ac:dyDescent="0.3">
      <c r="A3182" t="s">
        <v>3836</v>
      </c>
      <c r="B3182" t="s">
        <v>109</v>
      </c>
      <c r="C3182">
        <v>75</v>
      </c>
      <c r="D3182" t="s">
        <v>10</v>
      </c>
      <c r="E3182" t="s">
        <v>981</v>
      </c>
      <c r="F3182" s="43">
        <v>44781.583333333336</v>
      </c>
      <c r="G3182" s="43">
        <v>44781.635416666664</v>
      </c>
      <c r="H3182">
        <v>14</v>
      </c>
      <c r="I3182">
        <v>0</v>
      </c>
      <c r="J3182">
        <v>15</v>
      </c>
      <c r="K3182">
        <v>15</v>
      </c>
      <c r="L3182">
        <v>2022</v>
      </c>
      <c r="N3182" t="s">
        <v>47</v>
      </c>
      <c r="O3182" t="s">
        <v>47</v>
      </c>
      <c r="P3182" t="s">
        <v>3837</v>
      </c>
    </row>
    <row r="3183" spans="1:16" x14ac:dyDescent="0.3">
      <c r="A3183" t="s">
        <v>3836</v>
      </c>
      <c r="B3183" t="s">
        <v>109</v>
      </c>
      <c r="C3183">
        <v>20</v>
      </c>
      <c r="D3183" t="s">
        <v>10</v>
      </c>
      <c r="E3183" t="s">
        <v>981</v>
      </c>
      <c r="F3183" s="43">
        <v>44781.552083333336</v>
      </c>
      <c r="G3183" s="43">
        <v>44781.565972222219</v>
      </c>
      <c r="H3183">
        <v>13</v>
      </c>
      <c r="I3183">
        <v>15</v>
      </c>
      <c r="J3183">
        <v>13</v>
      </c>
      <c r="K3183">
        <v>35</v>
      </c>
      <c r="L3183">
        <v>2022</v>
      </c>
      <c r="N3183" t="s">
        <v>47</v>
      </c>
      <c r="O3183" t="s">
        <v>47</v>
      </c>
      <c r="P3183" t="s">
        <v>3838</v>
      </c>
    </row>
    <row r="3184" spans="1:16" x14ac:dyDescent="0.3">
      <c r="A3184" t="s">
        <v>3839</v>
      </c>
      <c r="B3184" t="s">
        <v>109</v>
      </c>
      <c r="C3184">
        <v>60</v>
      </c>
      <c r="D3184" t="s">
        <v>10</v>
      </c>
      <c r="E3184" t="s">
        <v>981</v>
      </c>
      <c r="F3184" s="43">
        <v>44781.5</v>
      </c>
      <c r="G3184" s="43">
        <v>44781.541666666664</v>
      </c>
      <c r="H3184">
        <v>12</v>
      </c>
      <c r="I3184">
        <v>0</v>
      </c>
      <c r="J3184">
        <v>13</v>
      </c>
      <c r="K3184">
        <v>0</v>
      </c>
      <c r="L3184">
        <v>2022</v>
      </c>
      <c r="N3184" t="s">
        <v>47</v>
      </c>
      <c r="O3184" t="s">
        <v>47</v>
      </c>
      <c r="P3184" t="s">
        <v>3840</v>
      </c>
    </row>
    <row r="3185" spans="1:16" x14ac:dyDescent="0.3">
      <c r="A3185" t="s">
        <v>2046</v>
      </c>
      <c r="C3185">
        <v>30</v>
      </c>
      <c r="D3185" t="s">
        <v>10</v>
      </c>
      <c r="F3185" s="43">
        <v>44781.479166666664</v>
      </c>
      <c r="G3185" s="43">
        <v>44781.5</v>
      </c>
      <c r="H3185">
        <v>11</v>
      </c>
      <c r="I3185">
        <v>30</v>
      </c>
      <c r="J3185">
        <v>12</v>
      </c>
      <c r="K3185">
        <v>0</v>
      </c>
      <c r="L3185">
        <v>2022</v>
      </c>
      <c r="N3185" t="s">
        <v>47</v>
      </c>
      <c r="O3185" t="s">
        <v>47</v>
      </c>
      <c r="P3185" t="s">
        <v>3841</v>
      </c>
    </row>
    <row r="3186" spans="1:16" x14ac:dyDescent="0.3">
      <c r="A3186" t="s">
        <v>3846</v>
      </c>
      <c r="C3186">
        <v>30</v>
      </c>
      <c r="D3186" t="s">
        <v>10</v>
      </c>
      <c r="F3186" s="43">
        <v>44781.4375</v>
      </c>
      <c r="G3186" s="43">
        <v>44781.458333333336</v>
      </c>
      <c r="H3186">
        <v>10</v>
      </c>
      <c r="I3186">
        <v>30</v>
      </c>
      <c r="J3186">
        <v>11</v>
      </c>
      <c r="K3186">
        <v>0</v>
      </c>
      <c r="L3186">
        <v>2022</v>
      </c>
      <c r="N3186" t="s">
        <v>47</v>
      </c>
      <c r="O3186" t="s">
        <v>47</v>
      </c>
      <c r="P3186" t="s">
        <v>3847</v>
      </c>
    </row>
    <row r="3187" spans="1:16" x14ac:dyDescent="0.3">
      <c r="A3187" t="s">
        <v>8</v>
      </c>
      <c r="B3187" t="s">
        <v>6</v>
      </c>
      <c r="C3187">
        <v>15</v>
      </c>
      <c r="D3187" t="s">
        <v>10</v>
      </c>
      <c r="F3187" s="43">
        <v>44781.427083333336</v>
      </c>
      <c r="G3187" s="43">
        <v>44781.4375</v>
      </c>
      <c r="H3187">
        <v>10</v>
      </c>
      <c r="I3187">
        <v>15</v>
      </c>
      <c r="J3187">
        <v>10</v>
      </c>
      <c r="K3187">
        <v>30</v>
      </c>
      <c r="L3187">
        <v>2022</v>
      </c>
      <c r="N3187" t="s">
        <v>47</v>
      </c>
      <c r="O3187" t="s">
        <v>47</v>
      </c>
      <c r="P3187" t="s">
        <v>3845</v>
      </c>
    </row>
    <row r="3188" spans="1:16" x14ac:dyDescent="0.3">
      <c r="A3188" t="s">
        <v>3848</v>
      </c>
      <c r="B3188" t="s">
        <v>109</v>
      </c>
      <c r="C3188">
        <v>60</v>
      </c>
      <c r="D3188" t="s">
        <v>10</v>
      </c>
      <c r="E3188" t="s">
        <v>981</v>
      </c>
      <c r="F3188" s="43">
        <v>44781.333333333336</v>
      </c>
      <c r="G3188" s="43">
        <v>44781.375</v>
      </c>
      <c r="H3188">
        <v>8</v>
      </c>
      <c r="I3188">
        <v>0</v>
      </c>
      <c r="J3188">
        <v>9</v>
      </c>
      <c r="K3188">
        <v>0</v>
      </c>
      <c r="L3188">
        <v>2022</v>
      </c>
      <c r="N3188" t="s">
        <v>47</v>
      </c>
      <c r="O3188" t="s">
        <v>47</v>
      </c>
      <c r="P3188" t="s">
        <v>3849</v>
      </c>
    </row>
    <row r="3189" spans="1:16" x14ac:dyDescent="0.3">
      <c r="A3189" t="s">
        <v>3858</v>
      </c>
      <c r="B3189" t="s">
        <v>109</v>
      </c>
      <c r="C3189">
        <v>75</v>
      </c>
      <c r="D3189" t="s">
        <v>10</v>
      </c>
      <c r="E3189" t="s">
        <v>3830</v>
      </c>
      <c r="F3189" s="43">
        <v>44781.229166666664</v>
      </c>
      <c r="G3189" s="43">
        <v>44781.28125</v>
      </c>
      <c r="H3189">
        <v>5</v>
      </c>
      <c r="I3189">
        <v>30</v>
      </c>
      <c r="J3189">
        <v>6</v>
      </c>
      <c r="K3189">
        <v>45</v>
      </c>
      <c r="L3189">
        <v>2022</v>
      </c>
      <c r="N3189" t="s">
        <v>47</v>
      </c>
      <c r="O3189" t="s">
        <v>47</v>
      </c>
      <c r="P3189" t="s">
        <v>3859</v>
      </c>
    </row>
    <row r="3190" spans="1:16" x14ac:dyDescent="0.3">
      <c r="A3190" t="s">
        <v>3832</v>
      </c>
      <c r="B3190" t="s">
        <v>109</v>
      </c>
      <c r="C3190">
        <v>60</v>
      </c>
      <c r="D3190" t="s">
        <v>10</v>
      </c>
      <c r="E3190" t="s">
        <v>3830</v>
      </c>
      <c r="F3190" s="43">
        <v>44780.791666666664</v>
      </c>
      <c r="G3190" s="43">
        <v>44780.833333333336</v>
      </c>
      <c r="H3190">
        <v>19</v>
      </c>
      <c r="I3190">
        <v>0</v>
      </c>
      <c r="J3190">
        <v>20</v>
      </c>
      <c r="K3190">
        <v>0</v>
      </c>
      <c r="L3190">
        <v>2022</v>
      </c>
      <c r="N3190" t="s">
        <v>47</v>
      </c>
      <c r="O3190" t="s">
        <v>47</v>
      </c>
      <c r="P3190" t="s">
        <v>3833</v>
      </c>
    </row>
    <row r="3191" spans="1:16" x14ac:dyDescent="0.3">
      <c r="A3191" t="s">
        <v>3829</v>
      </c>
      <c r="B3191" t="s">
        <v>109</v>
      </c>
      <c r="C3191">
        <v>15</v>
      </c>
      <c r="D3191" t="s">
        <v>10</v>
      </c>
      <c r="E3191" t="s">
        <v>3830</v>
      </c>
      <c r="F3191" s="43">
        <v>44780.739583333336</v>
      </c>
      <c r="G3191" s="43">
        <v>44780.75</v>
      </c>
      <c r="H3191">
        <v>17</v>
      </c>
      <c r="I3191">
        <v>45</v>
      </c>
      <c r="J3191">
        <v>18</v>
      </c>
      <c r="K3191">
        <v>0</v>
      </c>
      <c r="L3191">
        <v>2022</v>
      </c>
      <c r="N3191" t="s">
        <v>47</v>
      </c>
      <c r="O3191" t="s">
        <v>47</v>
      </c>
      <c r="P3191" t="s">
        <v>3831</v>
      </c>
    </row>
    <row r="3192" spans="1:16" x14ac:dyDescent="0.3">
      <c r="A3192" t="s">
        <v>3827</v>
      </c>
      <c r="B3192" t="s">
        <v>6</v>
      </c>
      <c r="C3192">
        <v>75</v>
      </c>
      <c r="D3192" t="s">
        <v>10</v>
      </c>
      <c r="F3192" s="43">
        <v>44780.677083333336</v>
      </c>
      <c r="G3192" s="43">
        <v>44780.729166666664</v>
      </c>
      <c r="H3192">
        <v>16</v>
      </c>
      <c r="I3192">
        <v>15</v>
      </c>
      <c r="J3192">
        <v>17</v>
      </c>
      <c r="K3192">
        <v>30</v>
      </c>
      <c r="L3192">
        <v>2022</v>
      </c>
      <c r="N3192" t="s">
        <v>47</v>
      </c>
      <c r="O3192" t="s">
        <v>47</v>
      </c>
      <c r="P3192" t="s">
        <v>3828</v>
      </c>
    </row>
    <row r="3193" spans="1:16" x14ac:dyDescent="0.3">
      <c r="A3193" t="s">
        <v>3825</v>
      </c>
      <c r="B3193" t="s">
        <v>6</v>
      </c>
      <c r="C3193">
        <v>30</v>
      </c>
      <c r="D3193" t="s">
        <v>10</v>
      </c>
      <c r="E3193" t="s">
        <v>438</v>
      </c>
      <c r="F3193" s="43">
        <v>44780.625</v>
      </c>
      <c r="G3193" s="43">
        <v>44780.645833333336</v>
      </c>
      <c r="H3193">
        <v>15</v>
      </c>
      <c r="I3193">
        <v>0</v>
      </c>
      <c r="J3193">
        <v>15</v>
      </c>
      <c r="K3193">
        <v>30</v>
      </c>
      <c r="L3193">
        <v>2022</v>
      </c>
      <c r="N3193" t="s">
        <v>47</v>
      </c>
      <c r="O3193" t="s">
        <v>47</v>
      </c>
      <c r="P3193" t="s">
        <v>3826</v>
      </c>
    </row>
    <row r="3194" spans="1:16" x14ac:dyDescent="0.3">
      <c r="A3194" t="s">
        <v>3786</v>
      </c>
      <c r="B3194" t="s">
        <v>6</v>
      </c>
      <c r="C3194">
        <v>40</v>
      </c>
      <c r="D3194" t="s">
        <v>10</v>
      </c>
      <c r="E3194" t="s">
        <v>438</v>
      </c>
      <c r="F3194" s="43">
        <v>44780.5625</v>
      </c>
      <c r="G3194" s="43">
        <v>44780.590277777781</v>
      </c>
      <c r="H3194">
        <v>13</v>
      </c>
      <c r="I3194">
        <v>30</v>
      </c>
      <c r="J3194">
        <v>14</v>
      </c>
      <c r="K3194">
        <v>10</v>
      </c>
      <c r="L3194">
        <v>2022</v>
      </c>
      <c r="N3194" t="s">
        <v>47</v>
      </c>
      <c r="O3194" t="s">
        <v>47</v>
      </c>
      <c r="P3194" t="s">
        <v>3787</v>
      </c>
    </row>
    <row r="3195" spans="1:16" x14ac:dyDescent="0.3">
      <c r="A3195" t="s">
        <v>3788</v>
      </c>
      <c r="C3195">
        <v>30</v>
      </c>
      <c r="D3195" t="s">
        <v>10</v>
      </c>
      <c r="F3195" s="43">
        <v>44780.416666666664</v>
      </c>
      <c r="G3195" s="43">
        <v>44780.4375</v>
      </c>
      <c r="H3195">
        <v>10</v>
      </c>
      <c r="I3195">
        <v>0</v>
      </c>
      <c r="J3195">
        <v>10</v>
      </c>
      <c r="K3195">
        <v>30</v>
      </c>
      <c r="L3195">
        <v>2022</v>
      </c>
      <c r="N3195" t="s">
        <v>47</v>
      </c>
      <c r="O3195" t="s">
        <v>47</v>
      </c>
      <c r="P3195" t="s">
        <v>3789</v>
      </c>
    </row>
    <row r="3196" spans="1:16" x14ac:dyDescent="0.3">
      <c r="A3196" t="s">
        <v>3790</v>
      </c>
      <c r="B3196" t="s">
        <v>6</v>
      </c>
      <c r="C3196">
        <v>35</v>
      </c>
      <c r="D3196" t="s">
        <v>10</v>
      </c>
      <c r="E3196" t="s">
        <v>3791</v>
      </c>
      <c r="F3196" s="43">
        <v>44780.364583333336</v>
      </c>
      <c r="G3196" s="43">
        <v>44780.388888888891</v>
      </c>
      <c r="H3196">
        <v>8</v>
      </c>
      <c r="I3196">
        <v>45</v>
      </c>
      <c r="J3196">
        <v>9</v>
      </c>
      <c r="K3196">
        <v>20</v>
      </c>
      <c r="L3196">
        <v>2022</v>
      </c>
      <c r="N3196" t="s">
        <v>47</v>
      </c>
      <c r="O3196" t="s">
        <v>47</v>
      </c>
      <c r="P3196" t="s">
        <v>3792</v>
      </c>
    </row>
    <row r="3197" spans="1:16" x14ac:dyDescent="0.3">
      <c r="A3197" t="s">
        <v>777</v>
      </c>
      <c r="B3197" t="s">
        <v>6</v>
      </c>
      <c r="C3197">
        <v>80</v>
      </c>
      <c r="D3197" t="s">
        <v>10</v>
      </c>
      <c r="F3197" s="43">
        <v>44780.208333333336</v>
      </c>
      <c r="G3197" s="43">
        <v>44780.263888888891</v>
      </c>
      <c r="H3197">
        <v>5</v>
      </c>
      <c r="I3197">
        <v>0</v>
      </c>
      <c r="J3197">
        <v>6</v>
      </c>
      <c r="K3197">
        <v>20</v>
      </c>
      <c r="L3197">
        <v>2022</v>
      </c>
      <c r="N3197" t="s">
        <v>47</v>
      </c>
      <c r="O3197" t="s">
        <v>47</v>
      </c>
      <c r="P3197" t="s">
        <v>3793</v>
      </c>
    </row>
    <row r="3198" spans="1:16" x14ac:dyDescent="0.3">
      <c r="A3198" t="s">
        <v>777</v>
      </c>
      <c r="B3198" t="s">
        <v>6</v>
      </c>
      <c r="C3198">
        <v>45</v>
      </c>
      <c r="D3198" t="s">
        <v>10</v>
      </c>
      <c r="F3198" s="43">
        <v>44779.833333333336</v>
      </c>
      <c r="G3198" s="43">
        <v>44779.864583333336</v>
      </c>
      <c r="H3198">
        <v>20</v>
      </c>
      <c r="I3198">
        <v>0</v>
      </c>
      <c r="J3198">
        <v>20</v>
      </c>
      <c r="K3198">
        <v>45</v>
      </c>
      <c r="L3198">
        <v>2022</v>
      </c>
      <c r="N3198" t="s">
        <v>47</v>
      </c>
      <c r="O3198" t="s">
        <v>47</v>
      </c>
      <c r="P3198" t="s">
        <v>3794</v>
      </c>
    </row>
    <row r="3199" spans="1:16" x14ac:dyDescent="0.3">
      <c r="A3199" t="s">
        <v>777</v>
      </c>
      <c r="B3199" t="s">
        <v>6</v>
      </c>
      <c r="C3199">
        <v>50</v>
      </c>
      <c r="D3199" t="s">
        <v>10</v>
      </c>
      <c r="F3199" s="43">
        <v>44779.729166666664</v>
      </c>
      <c r="G3199" s="43">
        <v>44779.763888888891</v>
      </c>
      <c r="H3199">
        <v>17</v>
      </c>
      <c r="I3199">
        <v>30</v>
      </c>
      <c r="J3199">
        <v>18</v>
      </c>
      <c r="K3199">
        <v>20</v>
      </c>
      <c r="L3199">
        <v>2022</v>
      </c>
      <c r="N3199" t="s">
        <v>47</v>
      </c>
      <c r="O3199" t="s">
        <v>47</v>
      </c>
      <c r="P3199" t="s">
        <v>3815</v>
      </c>
    </row>
    <row r="3200" spans="1:16" x14ac:dyDescent="0.3">
      <c r="A3200" t="s">
        <v>777</v>
      </c>
      <c r="B3200" t="s">
        <v>6</v>
      </c>
      <c r="C3200">
        <v>40</v>
      </c>
      <c r="D3200" t="s">
        <v>10</v>
      </c>
      <c r="F3200" s="43">
        <v>44779.6875</v>
      </c>
      <c r="G3200" s="43">
        <v>44779.715277777781</v>
      </c>
      <c r="H3200">
        <v>16</v>
      </c>
      <c r="I3200">
        <v>30</v>
      </c>
      <c r="J3200">
        <v>17</v>
      </c>
      <c r="K3200">
        <v>10</v>
      </c>
      <c r="L3200">
        <v>2022</v>
      </c>
      <c r="N3200" t="s">
        <v>47</v>
      </c>
      <c r="O3200" t="s">
        <v>47</v>
      </c>
      <c r="P3200" t="s">
        <v>3824</v>
      </c>
    </row>
    <row r="3201" spans="1:16" x14ac:dyDescent="0.3">
      <c r="A3201" t="s">
        <v>3784</v>
      </c>
      <c r="B3201" t="s">
        <v>6</v>
      </c>
      <c r="C3201">
        <v>45</v>
      </c>
      <c r="D3201" t="s">
        <v>10</v>
      </c>
      <c r="E3201" t="s">
        <v>435</v>
      </c>
      <c r="F3201" s="43">
        <v>44779.625</v>
      </c>
      <c r="G3201" s="43">
        <v>44779.65625</v>
      </c>
      <c r="H3201">
        <v>15</v>
      </c>
      <c r="I3201">
        <v>0</v>
      </c>
      <c r="J3201">
        <v>15</v>
      </c>
      <c r="K3201">
        <v>45</v>
      </c>
      <c r="L3201">
        <v>2022</v>
      </c>
      <c r="N3201" t="s">
        <v>47</v>
      </c>
      <c r="O3201" t="s">
        <v>47</v>
      </c>
      <c r="P3201" t="s">
        <v>3785</v>
      </c>
    </row>
    <row r="3202" spans="1:16" x14ac:dyDescent="0.3">
      <c r="A3202" t="s">
        <v>3781</v>
      </c>
      <c r="B3202" t="s">
        <v>225</v>
      </c>
      <c r="C3202">
        <v>120</v>
      </c>
      <c r="D3202" t="s">
        <v>10</v>
      </c>
      <c r="E3202" t="s">
        <v>3782</v>
      </c>
      <c r="F3202" s="43">
        <v>44779.5</v>
      </c>
      <c r="G3202" s="43">
        <v>44779.583333333336</v>
      </c>
      <c r="H3202">
        <v>12</v>
      </c>
      <c r="I3202">
        <v>0</v>
      </c>
      <c r="J3202">
        <v>14</v>
      </c>
      <c r="K3202">
        <v>0</v>
      </c>
      <c r="L3202">
        <v>2022</v>
      </c>
      <c r="N3202" t="s">
        <v>47</v>
      </c>
      <c r="O3202" t="s">
        <v>47</v>
      </c>
      <c r="P3202" t="s">
        <v>3783</v>
      </c>
    </row>
    <row r="3203" spans="1:16" x14ac:dyDescent="0.3">
      <c r="A3203" t="s">
        <v>434</v>
      </c>
      <c r="B3203" t="s">
        <v>6</v>
      </c>
      <c r="C3203">
        <v>45</v>
      </c>
      <c r="D3203" t="s">
        <v>10</v>
      </c>
      <c r="E3203" t="s">
        <v>435</v>
      </c>
      <c r="F3203" s="1">
        <v>44779.40625</v>
      </c>
      <c r="G3203" s="1">
        <v>44779.4375</v>
      </c>
      <c r="H3203">
        <v>9</v>
      </c>
      <c r="I3203">
        <v>45</v>
      </c>
      <c r="J3203">
        <v>10</v>
      </c>
      <c r="K3203">
        <v>30</v>
      </c>
      <c r="L3203">
        <v>2022</v>
      </c>
      <c r="N3203" t="s">
        <v>47</v>
      </c>
      <c r="O3203" t="s">
        <v>47</v>
      </c>
      <c r="P3203" t="s">
        <v>436</v>
      </c>
    </row>
    <row r="3204" spans="1:16" x14ac:dyDescent="0.3">
      <c r="A3204" t="s">
        <v>437</v>
      </c>
      <c r="B3204" t="s">
        <v>6</v>
      </c>
      <c r="C3204">
        <v>75</v>
      </c>
      <c r="D3204" t="s">
        <v>10</v>
      </c>
      <c r="E3204" t="s">
        <v>438</v>
      </c>
      <c r="F3204" s="1">
        <v>44779.229166666664</v>
      </c>
      <c r="G3204" s="43">
        <v>44779.28125</v>
      </c>
      <c r="H3204">
        <v>5</v>
      </c>
      <c r="I3204">
        <v>30</v>
      </c>
      <c r="J3204">
        <v>6</v>
      </c>
      <c r="K3204">
        <v>45</v>
      </c>
      <c r="L3204">
        <v>2022</v>
      </c>
      <c r="N3204" t="s">
        <v>47</v>
      </c>
      <c r="O3204" t="s">
        <v>47</v>
      </c>
      <c r="P3204" t="s">
        <v>439</v>
      </c>
    </row>
    <row r="3205" spans="1:16" x14ac:dyDescent="0.3">
      <c r="A3205" t="s">
        <v>440</v>
      </c>
      <c r="B3205" t="s">
        <v>6</v>
      </c>
      <c r="C3205">
        <v>60</v>
      </c>
      <c r="D3205" t="s">
        <v>10</v>
      </c>
      <c r="E3205" t="s">
        <v>438</v>
      </c>
      <c r="F3205" s="1">
        <v>44778.770833333336</v>
      </c>
      <c r="G3205" s="1">
        <v>44778.8125</v>
      </c>
      <c r="H3205">
        <v>18</v>
      </c>
      <c r="I3205">
        <v>30</v>
      </c>
      <c r="J3205">
        <v>19</v>
      </c>
      <c r="K3205">
        <v>30</v>
      </c>
      <c r="L3205">
        <v>2022</v>
      </c>
      <c r="N3205" t="s">
        <v>47</v>
      </c>
      <c r="O3205" t="s">
        <v>47</v>
      </c>
      <c r="P3205" t="s">
        <v>441</v>
      </c>
    </row>
    <row r="3206" spans="1:16" x14ac:dyDescent="0.3">
      <c r="A3206" t="s">
        <v>442</v>
      </c>
      <c r="B3206" t="s">
        <v>6</v>
      </c>
      <c r="C3206">
        <v>40</v>
      </c>
      <c r="D3206" t="s">
        <v>10</v>
      </c>
      <c r="E3206" t="s">
        <v>438</v>
      </c>
      <c r="F3206" s="43">
        <v>44778.722222222219</v>
      </c>
      <c r="G3206" s="43">
        <v>44778.75</v>
      </c>
      <c r="H3206">
        <v>17</v>
      </c>
      <c r="I3206">
        <v>20</v>
      </c>
      <c r="J3206">
        <v>18</v>
      </c>
      <c r="K3206">
        <v>0</v>
      </c>
      <c r="L3206">
        <v>2022</v>
      </c>
      <c r="N3206" t="s">
        <v>47</v>
      </c>
      <c r="O3206" t="s">
        <v>47</v>
      </c>
      <c r="P3206" t="s">
        <v>443</v>
      </c>
    </row>
    <row r="3207" spans="1:16" x14ac:dyDescent="0.3">
      <c r="A3207" t="s">
        <v>440</v>
      </c>
      <c r="B3207" t="s">
        <v>6</v>
      </c>
      <c r="C3207">
        <v>30</v>
      </c>
      <c r="D3207" t="s">
        <v>10</v>
      </c>
      <c r="E3207" t="s">
        <v>438</v>
      </c>
      <c r="F3207" s="43">
        <v>44778.666666666664</v>
      </c>
      <c r="G3207" s="43">
        <v>44778.6875</v>
      </c>
      <c r="H3207">
        <v>16</v>
      </c>
      <c r="I3207">
        <v>0</v>
      </c>
      <c r="J3207">
        <v>16</v>
      </c>
      <c r="K3207">
        <v>30</v>
      </c>
      <c r="L3207">
        <v>2022</v>
      </c>
      <c r="N3207" t="s">
        <v>47</v>
      </c>
      <c r="O3207" t="s">
        <v>47</v>
      </c>
      <c r="P3207" t="s">
        <v>444</v>
      </c>
    </row>
    <row r="3208" spans="1:16" x14ac:dyDescent="0.3">
      <c r="A3208" t="s">
        <v>7</v>
      </c>
      <c r="B3208" t="s">
        <v>6</v>
      </c>
      <c r="C3208">
        <v>30</v>
      </c>
      <c r="D3208" t="s">
        <v>10</v>
      </c>
      <c r="E3208" t="s">
        <v>449</v>
      </c>
      <c r="F3208" s="1">
        <v>44778.645833333336</v>
      </c>
      <c r="G3208" s="1">
        <v>44778.666666666664</v>
      </c>
      <c r="H3208">
        <v>15</v>
      </c>
      <c r="I3208">
        <v>30</v>
      </c>
      <c r="J3208">
        <v>16</v>
      </c>
      <c r="K3208">
        <v>0</v>
      </c>
      <c r="L3208">
        <v>2022</v>
      </c>
      <c r="N3208" t="s">
        <v>47</v>
      </c>
      <c r="O3208" t="s">
        <v>47</v>
      </c>
      <c r="P3208" t="s">
        <v>450</v>
      </c>
    </row>
    <row r="3209" spans="1:16" x14ac:dyDescent="0.3">
      <c r="A3209" t="s">
        <v>560</v>
      </c>
      <c r="C3209">
        <v>30</v>
      </c>
      <c r="D3209" t="s">
        <v>10</v>
      </c>
      <c r="E3209" t="s">
        <v>501</v>
      </c>
      <c r="F3209" s="43">
        <v>44778.625</v>
      </c>
      <c r="G3209" s="43">
        <v>44778.645833333336</v>
      </c>
      <c r="H3209">
        <v>15</v>
      </c>
      <c r="I3209">
        <v>0</v>
      </c>
      <c r="J3209">
        <v>15</v>
      </c>
      <c r="K3209">
        <v>30</v>
      </c>
      <c r="L3209">
        <v>2022</v>
      </c>
      <c r="N3209" t="s">
        <v>561</v>
      </c>
      <c r="O3209" t="s">
        <v>47</v>
      </c>
      <c r="P3209" t="s">
        <v>562</v>
      </c>
    </row>
    <row r="3210" spans="1:16" x14ac:dyDescent="0.3">
      <c r="A3210" t="s">
        <v>440</v>
      </c>
      <c r="B3210" t="s">
        <v>6</v>
      </c>
      <c r="C3210">
        <v>30</v>
      </c>
      <c r="D3210" t="s">
        <v>10</v>
      </c>
      <c r="E3210" t="s">
        <v>438</v>
      </c>
      <c r="F3210" s="1">
        <v>44778.604166666664</v>
      </c>
      <c r="G3210" s="1">
        <v>44778.625</v>
      </c>
      <c r="H3210">
        <v>14</v>
      </c>
      <c r="I3210">
        <v>30</v>
      </c>
      <c r="J3210">
        <v>15</v>
      </c>
      <c r="K3210">
        <v>0</v>
      </c>
      <c r="L3210">
        <v>2022</v>
      </c>
      <c r="N3210" t="s">
        <v>47</v>
      </c>
      <c r="O3210" t="s">
        <v>47</v>
      </c>
      <c r="P3210" t="s">
        <v>445</v>
      </c>
    </row>
    <row r="3211" spans="1:16" x14ac:dyDescent="0.3">
      <c r="A3211" t="s">
        <v>446</v>
      </c>
      <c r="B3211" t="s">
        <v>6</v>
      </c>
      <c r="C3211">
        <v>30</v>
      </c>
      <c r="D3211" t="s">
        <v>10</v>
      </c>
      <c r="E3211" t="s">
        <v>447</v>
      </c>
      <c r="F3211" s="43">
        <v>44778.583333333336</v>
      </c>
      <c r="G3211" s="43">
        <v>44778.604166666664</v>
      </c>
      <c r="H3211">
        <v>14</v>
      </c>
      <c r="I3211">
        <v>0</v>
      </c>
      <c r="J3211">
        <v>14</v>
      </c>
      <c r="K3211">
        <v>30</v>
      </c>
      <c r="L3211">
        <v>2022</v>
      </c>
      <c r="N3211" t="s">
        <v>47</v>
      </c>
      <c r="O3211" t="s">
        <v>47</v>
      </c>
      <c r="P3211" t="s">
        <v>448</v>
      </c>
    </row>
    <row r="3212" spans="1:16" x14ac:dyDescent="0.3">
      <c r="A3212" t="s">
        <v>437</v>
      </c>
      <c r="B3212" t="s">
        <v>6</v>
      </c>
      <c r="C3212">
        <v>60</v>
      </c>
      <c r="D3212" t="s">
        <v>10</v>
      </c>
      <c r="E3212" t="s">
        <v>438</v>
      </c>
      <c r="F3212" s="43">
        <v>44778.541666666664</v>
      </c>
      <c r="G3212" s="43">
        <v>44778.583333333336</v>
      </c>
      <c r="H3212">
        <v>13</v>
      </c>
      <c r="I3212">
        <v>0</v>
      </c>
      <c r="J3212">
        <v>14</v>
      </c>
      <c r="K3212">
        <v>0</v>
      </c>
      <c r="L3212">
        <v>2022</v>
      </c>
      <c r="N3212" t="s">
        <v>47</v>
      </c>
      <c r="O3212" t="s">
        <v>47</v>
      </c>
      <c r="P3212" t="s">
        <v>451</v>
      </c>
    </row>
    <row r="3213" spans="1:16" x14ac:dyDescent="0.3">
      <c r="A3213" t="s">
        <v>452</v>
      </c>
      <c r="B3213" t="s">
        <v>109</v>
      </c>
      <c r="C3213">
        <v>30</v>
      </c>
      <c r="D3213" t="s">
        <v>10</v>
      </c>
      <c r="E3213" t="s">
        <v>453</v>
      </c>
      <c r="F3213" s="43">
        <v>44778.479166666664</v>
      </c>
      <c r="G3213" s="43">
        <v>44778.5</v>
      </c>
      <c r="H3213">
        <v>11</v>
      </c>
      <c r="I3213">
        <v>30</v>
      </c>
      <c r="J3213">
        <v>12</v>
      </c>
      <c r="K3213">
        <v>0</v>
      </c>
      <c r="L3213">
        <v>2022</v>
      </c>
      <c r="N3213" t="s">
        <v>47</v>
      </c>
      <c r="O3213" t="s">
        <v>47</v>
      </c>
      <c r="P3213" t="s">
        <v>454</v>
      </c>
    </row>
    <row r="3214" spans="1:16" x14ac:dyDescent="0.3">
      <c r="A3214" t="s">
        <v>517</v>
      </c>
      <c r="B3214" t="s">
        <v>109</v>
      </c>
      <c r="C3214">
        <v>30</v>
      </c>
      <c r="D3214" t="s">
        <v>10</v>
      </c>
      <c r="E3214" t="s">
        <v>518</v>
      </c>
      <c r="F3214" s="43">
        <v>44778.458333333336</v>
      </c>
      <c r="G3214" s="43">
        <v>44778.479166666664</v>
      </c>
      <c r="H3214">
        <v>11</v>
      </c>
      <c r="I3214">
        <v>0</v>
      </c>
      <c r="J3214">
        <v>11</v>
      </c>
      <c r="K3214">
        <v>30</v>
      </c>
      <c r="L3214">
        <v>2022</v>
      </c>
      <c r="N3214" t="s">
        <v>519</v>
      </c>
      <c r="O3214" t="s">
        <v>47</v>
      </c>
      <c r="P3214" t="s">
        <v>520</v>
      </c>
    </row>
    <row r="3215" spans="1:16" x14ac:dyDescent="0.3">
      <c r="A3215" t="s">
        <v>540</v>
      </c>
      <c r="B3215" t="s">
        <v>20</v>
      </c>
      <c r="C3215">
        <v>30</v>
      </c>
      <c r="D3215" t="s">
        <v>10</v>
      </c>
      <c r="E3215" t="s">
        <v>541</v>
      </c>
      <c r="F3215" s="43">
        <v>44778.333333333336</v>
      </c>
      <c r="G3215" s="43">
        <v>44778.354166666664</v>
      </c>
      <c r="H3215">
        <v>8</v>
      </c>
      <c r="I3215">
        <v>0</v>
      </c>
      <c r="J3215">
        <v>8</v>
      </c>
      <c r="K3215">
        <v>30</v>
      </c>
      <c r="L3215">
        <v>2022</v>
      </c>
      <c r="N3215" t="s">
        <v>542</v>
      </c>
      <c r="O3215" t="s">
        <v>47</v>
      </c>
      <c r="P3215" t="s">
        <v>543</v>
      </c>
    </row>
    <row r="3216" spans="1:16" x14ac:dyDescent="0.3">
      <c r="A3216" t="s">
        <v>460</v>
      </c>
      <c r="B3216" t="s">
        <v>109</v>
      </c>
      <c r="C3216">
        <v>45</v>
      </c>
      <c r="D3216" t="s">
        <v>10</v>
      </c>
      <c r="E3216" t="s">
        <v>461</v>
      </c>
      <c r="F3216" s="43">
        <v>44778.270833333336</v>
      </c>
      <c r="G3216" s="43">
        <v>44778.302083333336</v>
      </c>
      <c r="H3216">
        <v>6</v>
      </c>
      <c r="I3216">
        <v>30</v>
      </c>
      <c r="J3216">
        <v>7</v>
      </c>
      <c r="K3216">
        <v>15</v>
      </c>
      <c r="L3216">
        <v>2022</v>
      </c>
      <c r="N3216" t="s">
        <v>47</v>
      </c>
      <c r="O3216" t="s">
        <v>47</v>
      </c>
      <c r="P3216" t="s">
        <v>462</v>
      </c>
    </row>
    <row r="3217" spans="1:16" x14ac:dyDescent="0.3">
      <c r="A3217" t="s">
        <v>486</v>
      </c>
      <c r="B3217" t="s">
        <v>109</v>
      </c>
      <c r="C3217">
        <v>30</v>
      </c>
      <c r="D3217" t="s">
        <v>10</v>
      </c>
      <c r="E3217" t="s">
        <v>487</v>
      </c>
      <c r="F3217" s="43">
        <v>44778.25</v>
      </c>
      <c r="G3217" s="43">
        <v>44778.270833333336</v>
      </c>
      <c r="H3217">
        <v>6</v>
      </c>
      <c r="I3217">
        <v>0</v>
      </c>
      <c r="J3217">
        <v>6</v>
      </c>
      <c r="K3217">
        <v>30</v>
      </c>
      <c r="L3217">
        <v>2022</v>
      </c>
      <c r="N3217" t="s">
        <v>465</v>
      </c>
      <c r="O3217" t="s">
        <v>458</v>
      </c>
      <c r="P3217" t="s">
        <v>488</v>
      </c>
    </row>
    <row r="3218" spans="1:16" x14ac:dyDescent="0.3">
      <c r="A3218" t="s">
        <v>576</v>
      </c>
      <c r="B3218" t="s">
        <v>20</v>
      </c>
      <c r="C3218">
        <v>60</v>
      </c>
      <c r="D3218" t="s">
        <v>10</v>
      </c>
      <c r="E3218" t="s">
        <v>577</v>
      </c>
      <c r="F3218" s="43">
        <v>44778.166666666664</v>
      </c>
      <c r="G3218" s="43">
        <v>44778.208333333336</v>
      </c>
      <c r="H3218">
        <v>4</v>
      </c>
      <c r="I3218">
        <v>0</v>
      </c>
      <c r="J3218">
        <v>5</v>
      </c>
      <c r="K3218">
        <v>0</v>
      </c>
      <c r="L3218">
        <v>2022</v>
      </c>
      <c r="N3218" t="s">
        <v>578</v>
      </c>
      <c r="O3218" t="s">
        <v>458</v>
      </c>
      <c r="P3218" t="s">
        <v>579</v>
      </c>
    </row>
    <row r="3219" spans="1:16" x14ac:dyDescent="0.3">
      <c r="A3219" t="s">
        <v>471</v>
      </c>
      <c r="B3219" t="s">
        <v>6</v>
      </c>
      <c r="C3219">
        <v>60</v>
      </c>
      <c r="D3219" t="s">
        <v>10</v>
      </c>
      <c r="E3219" t="s">
        <v>438</v>
      </c>
      <c r="F3219" s="43">
        <v>44777.802083333336</v>
      </c>
      <c r="G3219" s="43">
        <v>44777.84375</v>
      </c>
      <c r="H3219">
        <v>19</v>
      </c>
      <c r="I3219">
        <v>15</v>
      </c>
      <c r="J3219">
        <v>20</v>
      </c>
      <c r="K3219">
        <v>15</v>
      </c>
      <c r="L3219">
        <v>2022</v>
      </c>
      <c r="N3219" t="s">
        <v>47</v>
      </c>
      <c r="O3219" t="s">
        <v>47</v>
      </c>
      <c r="P3219" t="s">
        <v>472</v>
      </c>
    </row>
    <row r="3220" spans="1:16" x14ac:dyDescent="0.3">
      <c r="A3220" t="s">
        <v>7</v>
      </c>
      <c r="B3220" t="s">
        <v>6</v>
      </c>
      <c r="C3220">
        <v>30</v>
      </c>
      <c r="D3220" t="s">
        <v>10</v>
      </c>
      <c r="E3220" t="s">
        <v>449</v>
      </c>
      <c r="F3220" s="43">
        <v>44777.729166666664</v>
      </c>
      <c r="G3220" s="43">
        <v>44777.75</v>
      </c>
      <c r="H3220">
        <v>17</v>
      </c>
      <c r="I3220">
        <v>30</v>
      </c>
      <c r="J3220">
        <v>18</v>
      </c>
      <c r="K3220">
        <v>0</v>
      </c>
      <c r="L3220">
        <v>2022</v>
      </c>
      <c r="N3220" t="s">
        <v>47</v>
      </c>
      <c r="O3220" t="s">
        <v>47</v>
      </c>
      <c r="P3220" t="s">
        <v>473</v>
      </c>
    </row>
    <row r="3221" spans="1:16" x14ac:dyDescent="0.3">
      <c r="A3221" t="s">
        <v>474</v>
      </c>
      <c r="B3221" t="s">
        <v>6</v>
      </c>
      <c r="C3221">
        <v>15</v>
      </c>
      <c r="D3221" t="s">
        <v>10</v>
      </c>
      <c r="E3221" t="s">
        <v>438</v>
      </c>
      <c r="F3221" s="43">
        <v>44777.71875</v>
      </c>
      <c r="G3221" s="43">
        <v>44777.729166666664</v>
      </c>
      <c r="H3221">
        <v>17</v>
      </c>
      <c r="I3221">
        <v>15</v>
      </c>
      <c r="J3221">
        <v>17</v>
      </c>
      <c r="K3221">
        <v>30</v>
      </c>
      <c r="L3221">
        <v>2022</v>
      </c>
      <c r="N3221" t="s">
        <v>47</v>
      </c>
      <c r="O3221" t="s">
        <v>47</v>
      </c>
      <c r="P3221" t="s">
        <v>475</v>
      </c>
    </row>
    <row r="3222" spans="1:16" x14ac:dyDescent="0.3">
      <c r="A3222" t="s">
        <v>476</v>
      </c>
      <c r="B3222" t="s">
        <v>6</v>
      </c>
      <c r="C3222">
        <v>70</v>
      </c>
      <c r="D3222" t="s">
        <v>10</v>
      </c>
      <c r="E3222" t="s">
        <v>477</v>
      </c>
      <c r="F3222" s="43">
        <v>44777.666666666664</v>
      </c>
      <c r="G3222" s="43">
        <v>44777.715277777781</v>
      </c>
      <c r="H3222">
        <v>16</v>
      </c>
      <c r="I3222">
        <v>0</v>
      </c>
      <c r="J3222">
        <v>17</v>
      </c>
      <c r="K3222">
        <v>10</v>
      </c>
      <c r="L3222">
        <v>2022</v>
      </c>
      <c r="N3222" t="s">
        <v>47</v>
      </c>
      <c r="O3222" t="s">
        <v>47</v>
      </c>
      <c r="P3222" t="s">
        <v>478</v>
      </c>
    </row>
    <row r="3223" spans="1:16" x14ac:dyDescent="0.3">
      <c r="A3223" t="s">
        <v>446</v>
      </c>
      <c r="B3223" t="s">
        <v>6</v>
      </c>
      <c r="C3223">
        <v>30</v>
      </c>
      <c r="D3223" t="s">
        <v>10</v>
      </c>
      <c r="E3223" t="s">
        <v>447</v>
      </c>
      <c r="F3223" s="43">
        <v>44777.604166666664</v>
      </c>
      <c r="G3223" s="43">
        <v>44777.625</v>
      </c>
      <c r="H3223">
        <v>14</v>
      </c>
      <c r="I3223">
        <v>30</v>
      </c>
      <c r="J3223">
        <v>15</v>
      </c>
      <c r="K3223">
        <v>0</v>
      </c>
      <c r="L3223">
        <v>2022</v>
      </c>
      <c r="N3223" t="s">
        <v>47</v>
      </c>
      <c r="O3223" t="s">
        <v>47</v>
      </c>
      <c r="P3223" t="s">
        <v>483</v>
      </c>
    </row>
    <row r="3224" spans="1:16" x14ac:dyDescent="0.3">
      <c r="A3224" t="s">
        <v>677</v>
      </c>
      <c r="B3224" t="s">
        <v>20</v>
      </c>
      <c r="C3224">
        <v>50</v>
      </c>
      <c r="D3224" t="s">
        <v>10</v>
      </c>
      <c r="E3224" t="s">
        <v>480</v>
      </c>
      <c r="F3224" s="43">
        <v>44777.5625</v>
      </c>
      <c r="G3224" s="43">
        <v>44777.597222222219</v>
      </c>
      <c r="H3224">
        <v>13</v>
      </c>
      <c r="I3224">
        <v>30</v>
      </c>
      <c r="J3224">
        <v>14</v>
      </c>
      <c r="K3224">
        <v>20</v>
      </c>
      <c r="L3224">
        <v>2022</v>
      </c>
      <c r="N3224" t="s">
        <v>678</v>
      </c>
      <c r="O3224" t="s">
        <v>49</v>
      </c>
      <c r="P3224" t="s">
        <v>679</v>
      </c>
    </row>
    <row r="3225" spans="1:16" x14ac:dyDescent="0.3">
      <c r="A3225" t="s">
        <v>479</v>
      </c>
      <c r="B3225" t="s">
        <v>109</v>
      </c>
      <c r="C3225">
        <v>30</v>
      </c>
      <c r="D3225" t="s">
        <v>10</v>
      </c>
      <c r="E3225" t="s">
        <v>480</v>
      </c>
      <c r="F3225" s="43">
        <v>44777.541666666664</v>
      </c>
      <c r="G3225" s="43">
        <v>44777.5625</v>
      </c>
      <c r="H3225">
        <v>13</v>
      </c>
      <c r="I3225">
        <v>0</v>
      </c>
      <c r="J3225">
        <v>13</v>
      </c>
      <c r="K3225">
        <v>30</v>
      </c>
      <c r="L3225">
        <v>2022</v>
      </c>
      <c r="N3225" t="s">
        <v>47</v>
      </c>
      <c r="O3225" t="s">
        <v>47</v>
      </c>
      <c r="P3225" t="s">
        <v>481</v>
      </c>
    </row>
    <row r="3226" spans="1:16" x14ac:dyDescent="0.3">
      <c r="A3226" t="s">
        <v>547</v>
      </c>
      <c r="B3226" t="s">
        <v>109</v>
      </c>
      <c r="C3226">
        <v>60</v>
      </c>
      <c r="D3226" t="s">
        <v>10</v>
      </c>
      <c r="E3226" t="s">
        <v>548</v>
      </c>
      <c r="F3226" s="43">
        <v>44777.5</v>
      </c>
      <c r="G3226" s="43">
        <v>44777.541666666664</v>
      </c>
      <c r="H3226">
        <v>12</v>
      </c>
      <c r="I3226">
        <v>0</v>
      </c>
      <c r="J3226">
        <v>13</v>
      </c>
      <c r="K3226">
        <v>0</v>
      </c>
      <c r="L3226">
        <v>2022</v>
      </c>
      <c r="N3226" t="s">
        <v>549</v>
      </c>
      <c r="O3226" t="s">
        <v>458</v>
      </c>
      <c r="P3226" t="s">
        <v>550</v>
      </c>
    </row>
    <row r="3227" spans="1:16" x14ac:dyDescent="0.3">
      <c r="A3227" t="s">
        <v>484</v>
      </c>
      <c r="B3227" t="s">
        <v>109</v>
      </c>
      <c r="C3227">
        <v>45</v>
      </c>
      <c r="D3227" t="s">
        <v>10</v>
      </c>
      <c r="E3227" t="s">
        <v>461</v>
      </c>
      <c r="F3227" s="43">
        <v>44777.458333333336</v>
      </c>
      <c r="G3227" s="43">
        <v>44777.489583333336</v>
      </c>
      <c r="H3227">
        <v>11</v>
      </c>
      <c r="I3227">
        <v>0</v>
      </c>
      <c r="J3227">
        <v>11</v>
      </c>
      <c r="K3227">
        <v>45</v>
      </c>
      <c r="L3227">
        <v>2022</v>
      </c>
      <c r="N3227" t="s">
        <v>47</v>
      </c>
      <c r="O3227" t="s">
        <v>47</v>
      </c>
      <c r="P3227" t="s">
        <v>485</v>
      </c>
    </row>
    <row r="3228" spans="1:16" x14ac:dyDescent="0.3">
      <c r="A3228" t="s">
        <v>525</v>
      </c>
      <c r="B3228" t="s">
        <v>109</v>
      </c>
      <c r="C3228">
        <v>45</v>
      </c>
      <c r="D3228" t="s">
        <v>10</v>
      </c>
      <c r="E3228" t="s">
        <v>526</v>
      </c>
      <c r="F3228" s="43">
        <v>44777.416666666664</v>
      </c>
      <c r="G3228" s="43">
        <v>44777.447916666664</v>
      </c>
      <c r="H3228">
        <v>10</v>
      </c>
      <c r="I3228">
        <v>0</v>
      </c>
      <c r="J3228">
        <v>10</v>
      </c>
      <c r="K3228">
        <v>45</v>
      </c>
      <c r="L3228">
        <v>2022</v>
      </c>
      <c r="N3228" t="s">
        <v>527</v>
      </c>
      <c r="O3228" t="s">
        <v>48</v>
      </c>
      <c r="P3228" t="s">
        <v>528</v>
      </c>
    </row>
    <row r="3229" spans="1:16" x14ac:dyDescent="0.3">
      <c r="A3229" t="s">
        <v>521</v>
      </c>
      <c r="B3229" t="s">
        <v>109</v>
      </c>
      <c r="C3229">
        <v>30</v>
      </c>
      <c r="D3229" t="s">
        <v>10</v>
      </c>
      <c r="E3229" t="s">
        <v>522</v>
      </c>
      <c r="F3229" s="43">
        <v>44777.375</v>
      </c>
      <c r="G3229" s="43">
        <v>44777.395833333336</v>
      </c>
      <c r="H3229">
        <v>9</v>
      </c>
      <c r="I3229">
        <v>0</v>
      </c>
      <c r="J3229">
        <v>9</v>
      </c>
      <c r="K3229">
        <v>30</v>
      </c>
      <c r="L3229">
        <v>2022</v>
      </c>
      <c r="N3229" t="s">
        <v>523</v>
      </c>
      <c r="O3229" t="s">
        <v>48</v>
      </c>
      <c r="P3229" t="s">
        <v>524</v>
      </c>
    </row>
    <row r="3230" spans="1:16" x14ac:dyDescent="0.3">
      <c r="A3230" t="s">
        <v>489</v>
      </c>
      <c r="B3230" t="s">
        <v>109</v>
      </c>
      <c r="C3230">
        <v>30</v>
      </c>
      <c r="D3230" t="s">
        <v>10</v>
      </c>
      <c r="E3230" t="s">
        <v>490</v>
      </c>
      <c r="F3230" s="43">
        <v>44777.354166666664</v>
      </c>
      <c r="G3230" s="43">
        <v>44777.375</v>
      </c>
      <c r="H3230">
        <v>8</v>
      </c>
      <c r="I3230">
        <v>30</v>
      </c>
      <c r="J3230">
        <v>9</v>
      </c>
      <c r="K3230">
        <v>0</v>
      </c>
      <c r="L3230">
        <v>2022</v>
      </c>
      <c r="N3230" t="s">
        <v>47</v>
      </c>
      <c r="O3230" t="s">
        <v>47</v>
      </c>
      <c r="P3230" t="s">
        <v>491</v>
      </c>
    </row>
    <row r="3231" spans="1:16" x14ac:dyDescent="0.3">
      <c r="A3231" t="s">
        <v>492</v>
      </c>
      <c r="B3231" t="s">
        <v>109</v>
      </c>
      <c r="C3231">
        <v>30</v>
      </c>
      <c r="D3231" t="s">
        <v>10</v>
      </c>
      <c r="E3231" t="s">
        <v>493</v>
      </c>
      <c r="F3231" s="43">
        <v>44777.333333333336</v>
      </c>
      <c r="G3231" s="43">
        <v>44777.354166666664</v>
      </c>
      <c r="H3231">
        <v>8</v>
      </c>
      <c r="I3231">
        <v>0</v>
      </c>
      <c r="J3231">
        <v>8</v>
      </c>
      <c r="K3231">
        <v>30</v>
      </c>
      <c r="L3231">
        <v>2022</v>
      </c>
      <c r="N3231" t="s">
        <v>47</v>
      </c>
      <c r="O3231" t="s">
        <v>47</v>
      </c>
      <c r="P3231" t="s">
        <v>494</v>
      </c>
    </row>
    <row r="3232" spans="1:16" x14ac:dyDescent="0.3">
      <c r="A3232" t="s">
        <v>495</v>
      </c>
      <c r="B3232" t="s">
        <v>223</v>
      </c>
      <c r="C3232">
        <v>30</v>
      </c>
      <c r="D3232" t="s">
        <v>10</v>
      </c>
      <c r="E3232" t="s">
        <v>496</v>
      </c>
      <c r="F3232" s="43">
        <v>44777.270833333336</v>
      </c>
      <c r="G3232" s="43">
        <v>44777.291666666664</v>
      </c>
      <c r="H3232">
        <v>6</v>
      </c>
      <c r="I3232">
        <v>30</v>
      </c>
      <c r="J3232">
        <v>7</v>
      </c>
      <c r="K3232">
        <v>0</v>
      </c>
      <c r="L3232">
        <v>2022</v>
      </c>
      <c r="N3232" t="s">
        <v>47</v>
      </c>
      <c r="O3232" t="s">
        <v>47</v>
      </c>
      <c r="P3232" t="s">
        <v>497</v>
      </c>
    </row>
    <row r="3233" spans="1:16" x14ac:dyDescent="0.3">
      <c r="A3233" t="s">
        <v>8</v>
      </c>
      <c r="B3233" t="s">
        <v>6</v>
      </c>
      <c r="C3233">
        <v>30</v>
      </c>
      <c r="D3233" t="s">
        <v>10</v>
      </c>
      <c r="E3233" t="s">
        <v>477</v>
      </c>
      <c r="F3233" s="43">
        <v>44777.25</v>
      </c>
      <c r="G3233" s="43">
        <v>44777.270833333336</v>
      </c>
      <c r="H3233">
        <v>6</v>
      </c>
      <c r="I3233">
        <v>0</v>
      </c>
      <c r="J3233">
        <v>6</v>
      </c>
      <c r="K3233">
        <v>30</v>
      </c>
      <c r="L3233">
        <v>2022</v>
      </c>
      <c r="N3233" t="s">
        <v>47</v>
      </c>
      <c r="O3233" t="s">
        <v>47</v>
      </c>
      <c r="P3233" t="s">
        <v>482</v>
      </c>
    </row>
    <row r="3234" spans="1:16" x14ac:dyDescent="0.3">
      <c r="A3234" t="s">
        <v>498</v>
      </c>
      <c r="B3234" t="s">
        <v>6</v>
      </c>
      <c r="C3234">
        <v>30</v>
      </c>
      <c r="D3234" t="s">
        <v>10</v>
      </c>
      <c r="E3234" t="s">
        <v>435</v>
      </c>
      <c r="F3234" s="43">
        <v>44777.229166666664</v>
      </c>
      <c r="G3234" s="43">
        <v>44777.25</v>
      </c>
      <c r="H3234">
        <v>5</v>
      </c>
      <c r="I3234">
        <v>30</v>
      </c>
      <c r="J3234">
        <v>6</v>
      </c>
      <c r="K3234">
        <v>0</v>
      </c>
      <c r="L3234">
        <v>2022</v>
      </c>
      <c r="N3234" t="s">
        <v>47</v>
      </c>
      <c r="O3234" t="s">
        <v>47</v>
      </c>
      <c r="P3234" t="s">
        <v>499</v>
      </c>
    </row>
    <row r="3235" spans="1:16" x14ac:dyDescent="0.3">
      <c r="A3235" t="s">
        <v>8</v>
      </c>
      <c r="B3235" t="s">
        <v>6</v>
      </c>
      <c r="C3235">
        <v>20</v>
      </c>
      <c r="D3235" t="s">
        <v>10</v>
      </c>
      <c r="E3235" t="s">
        <v>477</v>
      </c>
      <c r="F3235" s="43">
        <v>44776.833333333336</v>
      </c>
      <c r="G3235" s="43">
        <v>44776.847222222219</v>
      </c>
      <c r="H3235">
        <v>20</v>
      </c>
      <c r="I3235">
        <v>0</v>
      </c>
      <c r="J3235">
        <v>20</v>
      </c>
      <c r="K3235">
        <v>20</v>
      </c>
      <c r="L3235">
        <v>2022</v>
      </c>
      <c r="N3235" t="s">
        <v>47</v>
      </c>
      <c r="O3235" t="s">
        <v>47</v>
      </c>
      <c r="P3235" t="s">
        <v>508</v>
      </c>
    </row>
    <row r="3236" spans="1:16" x14ac:dyDescent="0.3">
      <c r="A3236" t="s">
        <v>509</v>
      </c>
      <c r="B3236" t="s">
        <v>223</v>
      </c>
      <c r="C3236">
        <v>30</v>
      </c>
      <c r="D3236" t="s">
        <v>10</v>
      </c>
      <c r="E3236" t="s">
        <v>510</v>
      </c>
      <c r="F3236" s="43">
        <v>44776.8125</v>
      </c>
      <c r="G3236" s="43">
        <v>44776.833333333336</v>
      </c>
      <c r="H3236">
        <v>19</v>
      </c>
      <c r="I3236">
        <v>30</v>
      </c>
      <c r="J3236">
        <v>20</v>
      </c>
      <c r="K3236">
        <v>0</v>
      </c>
      <c r="L3236">
        <v>2022</v>
      </c>
      <c r="N3236" t="s">
        <v>47</v>
      </c>
      <c r="O3236" t="s">
        <v>47</v>
      </c>
      <c r="P3236" t="s">
        <v>511</v>
      </c>
    </row>
    <row r="3237" spans="1:16" x14ac:dyDescent="0.3">
      <c r="A3237" t="s">
        <v>512</v>
      </c>
      <c r="B3237" t="s">
        <v>223</v>
      </c>
      <c r="C3237">
        <v>30</v>
      </c>
      <c r="D3237" t="s">
        <v>10</v>
      </c>
      <c r="E3237" t="s">
        <v>496</v>
      </c>
      <c r="F3237" s="43">
        <v>44776.791666666664</v>
      </c>
      <c r="G3237" s="43">
        <v>44776.8125</v>
      </c>
      <c r="H3237">
        <v>19</v>
      </c>
      <c r="I3237">
        <v>0</v>
      </c>
      <c r="J3237">
        <v>19</v>
      </c>
      <c r="K3237">
        <v>30</v>
      </c>
      <c r="L3237">
        <v>2022</v>
      </c>
      <c r="N3237" t="s">
        <v>47</v>
      </c>
      <c r="O3237" t="s">
        <v>47</v>
      </c>
      <c r="P3237" t="s">
        <v>513</v>
      </c>
    </row>
    <row r="3238" spans="1:16" x14ac:dyDescent="0.3">
      <c r="A3238" t="s">
        <v>514</v>
      </c>
      <c r="B3238" t="s">
        <v>6</v>
      </c>
      <c r="C3238">
        <v>60</v>
      </c>
      <c r="D3238" t="s">
        <v>10</v>
      </c>
      <c r="E3238" t="s">
        <v>515</v>
      </c>
      <c r="F3238" s="43">
        <v>44776.75</v>
      </c>
      <c r="G3238" s="43">
        <v>44776.791666666664</v>
      </c>
      <c r="H3238">
        <v>18</v>
      </c>
      <c r="I3238">
        <v>0</v>
      </c>
      <c r="J3238">
        <v>19</v>
      </c>
      <c r="K3238">
        <v>0</v>
      </c>
      <c r="L3238">
        <v>2022</v>
      </c>
      <c r="N3238" t="s">
        <v>47</v>
      </c>
      <c r="O3238" t="s">
        <v>47</v>
      </c>
      <c r="P3238" t="s">
        <v>516</v>
      </c>
    </row>
    <row r="3239" spans="1:16" x14ac:dyDescent="0.3">
      <c r="A3239" t="s">
        <v>533</v>
      </c>
      <c r="B3239" t="s">
        <v>6</v>
      </c>
      <c r="C3239">
        <v>15</v>
      </c>
      <c r="D3239" t="s">
        <v>10</v>
      </c>
      <c r="E3239" t="s">
        <v>438</v>
      </c>
      <c r="F3239" s="43">
        <v>44776.708333333336</v>
      </c>
      <c r="G3239" s="43">
        <v>44776.71875</v>
      </c>
      <c r="H3239">
        <v>17</v>
      </c>
      <c r="I3239">
        <v>0</v>
      </c>
      <c r="J3239">
        <v>17</v>
      </c>
      <c r="K3239">
        <v>15</v>
      </c>
      <c r="L3239">
        <v>2022</v>
      </c>
      <c r="N3239" t="s">
        <v>47</v>
      </c>
      <c r="O3239" t="s">
        <v>47</v>
      </c>
      <c r="P3239" t="s">
        <v>534</v>
      </c>
    </row>
    <row r="3240" spans="1:16" x14ac:dyDescent="0.3">
      <c r="A3240" t="s">
        <v>537</v>
      </c>
      <c r="B3240" t="s">
        <v>109</v>
      </c>
      <c r="C3240">
        <v>15</v>
      </c>
      <c r="D3240" t="s">
        <v>10</v>
      </c>
      <c r="E3240" t="s">
        <v>538</v>
      </c>
      <c r="F3240" s="43">
        <v>44776.697916666664</v>
      </c>
      <c r="G3240" s="43">
        <v>44776.708333333336</v>
      </c>
      <c r="H3240">
        <v>16</v>
      </c>
      <c r="I3240">
        <v>45</v>
      </c>
      <c r="J3240">
        <v>17</v>
      </c>
      <c r="K3240">
        <v>0</v>
      </c>
      <c r="L3240">
        <v>2022</v>
      </c>
      <c r="N3240" t="s">
        <v>47</v>
      </c>
      <c r="O3240" t="s">
        <v>47</v>
      </c>
      <c r="P3240" t="s">
        <v>539</v>
      </c>
    </row>
    <row r="3241" spans="1:16" x14ac:dyDescent="0.3">
      <c r="A3241" t="s">
        <v>535</v>
      </c>
      <c r="B3241" t="s">
        <v>6</v>
      </c>
      <c r="C3241">
        <v>15</v>
      </c>
      <c r="D3241" t="s">
        <v>10</v>
      </c>
      <c r="E3241" t="s">
        <v>438</v>
      </c>
      <c r="F3241" s="43">
        <v>44776.6875</v>
      </c>
      <c r="G3241" s="43">
        <v>44776.697916666664</v>
      </c>
      <c r="H3241">
        <v>16</v>
      </c>
      <c r="I3241">
        <v>30</v>
      </c>
      <c r="J3241">
        <v>16</v>
      </c>
      <c r="K3241">
        <v>45</v>
      </c>
      <c r="L3241">
        <v>2022</v>
      </c>
      <c r="N3241" t="s">
        <v>47</v>
      </c>
      <c r="O3241" t="s">
        <v>47</v>
      </c>
      <c r="P3241" t="s">
        <v>536</v>
      </c>
    </row>
    <row r="3242" spans="1:16" x14ac:dyDescent="0.3">
      <c r="A3242" t="s">
        <v>568</v>
      </c>
      <c r="B3242" t="s">
        <v>20</v>
      </c>
      <c r="C3242">
        <v>30</v>
      </c>
      <c r="D3242" t="s">
        <v>10</v>
      </c>
      <c r="E3242" t="s">
        <v>569</v>
      </c>
      <c r="F3242" s="43">
        <v>44776.666666666664</v>
      </c>
      <c r="G3242" s="43">
        <v>44776.6875</v>
      </c>
      <c r="H3242">
        <v>16</v>
      </c>
      <c r="I3242">
        <v>0</v>
      </c>
      <c r="J3242">
        <v>16</v>
      </c>
      <c r="K3242">
        <v>30</v>
      </c>
      <c r="L3242">
        <v>2022</v>
      </c>
      <c r="N3242" t="s">
        <v>570</v>
      </c>
      <c r="O3242" t="s">
        <v>47</v>
      </c>
      <c r="P3242" t="s">
        <v>571</v>
      </c>
    </row>
    <row r="3243" spans="1:16" x14ac:dyDescent="0.3">
      <c r="A3243" t="s">
        <v>446</v>
      </c>
      <c r="B3243" t="s">
        <v>6</v>
      </c>
      <c r="C3243">
        <v>45</v>
      </c>
      <c r="D3243" t="s">
        <v>10</v>
      </c>
      <c r="E3243" t="s">
        <v>447</v>
      </c>
      <c r="F3243" s="43">
        <v>44776.625</v>
      </c>
      <c r="G3243" s="43">
        <v>44776.65625</v>
      </c>
      <c r="H3243">
        <v>15</v>
      </c>
      <c r="I3243">
        <v>0</v>
      </c>
      <c r="J3243">
        <v>15</v>
      </c>
      <c r="K3243">
        <v>45</v>
      </c>
      <c r="L3243">
        <v>2022</v>
      </c>
      <c r="N3243" t="s">
        <v>47</v>
      </c>
      <c r="O3243" t="s">
        <v>47</v>
      </c>
      <c r="P3243" t="s">
        <v>532</v>
      </c>
    </row>
    <row r="3244" spans="1:16" x14ac:dyDescent="0.3">
      <c r="A3244" t="s">
        <v>544</v>
      </c>
      <c r="B3244" t="s">
        <v>6</v>
      </c>
      <c r="C3244">
        <v>30</v>
      </c>
      <c r="D3244" t="s">
        <v>10</v>
      </c>
      <c r="E3244" t="s">
        <v>435</v>
      </c>
      <c r="F3244" s="43">
        <v>44776.604166666664</v>
      </c>
      <c r="G3244" s="43">
        <v>44776.625</v>
      </c>
      <c r="H3244">
        <v>14</v>
      </c>
      <c r="I3244">
        <v>30</v>
      </c>
      <c r="J3244">
        <v>15</v>
      </c>
      <c r="K3244">
        <v>0</v>
      </c>
      <c r="L3244">
        <v>2022</v>
      </c>
      <c r="N3244" t="s">
        <v>47</v>
      </c>
      <c r="O3244" t="s">
        <v>47</v>
      </c>
      <c r="P3244" t="s">
        <v>545</v>
      </c>
    </row>
    <row r="3245" spans="1:16" x14ac:dyDescent="0.3">
      <c r="A3245" t="s">
        <v>7</v>
      </c>
      <c r="B3245" t="s">
        <v>6</v>
      </c>
      <c r="C3245">
        <v>30</v>
      </c>
      <c r="D3245" t="s">
        <v>10</v>
      </c>
      <c r="E3245" t="s">
        <v>449</v>
      </c>
      <c r="F3245" s="43">
        <v>44776.583333333336</v>
      </c>
      <c r="G3245" s="43">
        <v>44776.604166666664</v>
      </c>
      <c r="H3245">
        <v>14</v>
      </c>
      <c r="I3245">
        <v>0</v>
      </c>
      <c r="J3245">
        <v>14</v>
      </c>
      <c r="K3245">
        <v>30</v>
      </c>
      <c r="L3245">
        <v>2022</v>
      </c>
      <c r="N3245" t="s">
        <v>47</v>
      </c>
      <c r="O3245" t="s">
        <v>47</v>
      </c>
      <c r="P3245" t="s">
        <v>546</v>
      </c>
    </row>
    <row r="3246" spans="1:16" x14ac:dyDescent="0.3">
      <c r="A3246" t="s">
        <v>446</v>
      </c>
      <c r="B3246" t="s">
        <v>6</v>
      </c>
      <c r="C3246">
        <v>30</v>
      </c>
      <c r="D3246" t="s">
        <v>10</v>
      </c>
      <c r="E3246" t="s">
        <v>447</v>
      </c>
      <c r="F3246" s="43">
        <v>44776.5625</v>
      </c>
      <c r="G3246" s="43">
        <v>44776.583333333336</v>
      </c>
      <c r="H3246">
        <v>13</v>
      </c>
      <c r="I3246">
        <v>30</v>
      </c>
      <c r="J3246">
        <v>14</v>
      </c>
      <c r="K3246">
        <v>0</v>
      </c>
      <c r="L3246">
        <v>2022</v>
      </c>
      <c r="N3246" t="s">
        <v>47</v>
      </c>
      <c r="O3246" t="s">
        <v>47</v>
      </c>
      <c r="P3246" t="s">
        <v>504</v>
      </c>
    </row>
    <row r="3247" spans="1:16" x14ac:dyDescent="0.3">
      <c r="A3247" t="s">
        <v>554</v>
      </c>
      <c r="B3247" t="s">
        <v>109</v>
      </c>
      <c r="C3247">
        <v>60</v>
      </c>
      <c r="D3247" t="s">
        <v>10</v>
      </c>
      <c r="E3247" t="s">
        <v>555</v>
      </c>
      <c r="F3247" s="43">
        <v>44776.5</v>
      </c>
      <c r="G3247" s="43">
        <v>44776.541666666664</v>
      </c>
      <c r="H3247">
        <v>12</v>
      </c>
      <c r="I3247">
        <v>0</v>
      </c>
      <c r="J3247">
        <v>13</v>
      </c>
      <c r="K3247">
        <v>0</v>
      </c>
      <c r="L3247">
        <v>2022</v>
      </c>
      <c r="N3247" t="s">
        <v>549</v>
      </c>
      <c r="O3247" t="s">
        <v>458</v>
      </c>
      <c r="P3247" t="s">
        <v>556</v>
      </c>
    </row>
    <row r="3248" spans="1:16" x14ac:dyDescent="0.3">
      <c r="A3248" t="s">
        <v>551</v>
      </c>
      <c r="B3248" t="s">
        <v>225</v>
      </c>
      <c r="C3248">
        <v>20</v>
      </c>
      <c r="D3248" t="s">
        <v>10</v>
      </c>
      <c r="E3248" t="s">
        <v>552</v>
      </c>
      <c r="F3248" s="43">
        <v>44776.479166666664</v>
      </c>
      <c r="G3248" s="43">
        <v>44776.493055555555</v>
      </c>
      <c r="H3248">
        <v>11</v>
      </c>
      <c r="I3248">
        <v>30</v>
      </c>
      <c r="J3248">
        <v>11</v>
      </c>
      <c r="K3248">
        <v>50</v>
      </c>
      <c r="L3248">
        <v>2022</v>
      </c>
      <c r="N3248" t="s">
        <v>47</v>
      </c>
      <c r="O3248" t="s">
        <v>47</v>
      </c>
      <c r="P3248" t="s">
        <v>553</v>
      </c>
    </row>
    <row r="3249" spans="1:16" x14ac:dyDescent="0.3">
      <c r="A3249" t="s">
        <v>702</v>
      </c>
      <c r="B3249" t="s">
        <v>225</v>
      </c>
      <c r="C3249">
        <v>30</v>
      </c>
      <c r="D3249" t="s">
        <v>10</v>
      </c>
      <c r="E3249" t="s">
        <v>703</v>
      </c>
      <c r="F3249" s="43">
        <v>44776.458333333336</v>
      </c>
      <c r="G3249" s="43">
        <v>44776.479166666664</v>
      </c>
      <c r="H3249">
        <v>11</v>
      </c>
      <c r="I3249">
        <v>0</v>
      </c>
      <c r="J3249">
        <v>11</v>
      </c>
      <c r="K3249">
        <v>30</v>
      </c>
      <c r="L3249">
        <v>2022</v>
      </c>
      <c r="N3249" t="s">
        <v>704</v>
      </c>
      <c r="O3249" t="s">
        <v>50</v>
      </c>
      <c r="P3249" t="s">
        <v>705</v>
      </c>
    </row>
    <row r="3250" spans="1:16" x14ac:dyDescent="0.3">
      <c r="A3250" t="s">
        <v>17</v>
      </c>
      <c r="B3250" t="s">
        <v>6</v>
      </c>
      <c r="C3250">
        <v>15</v>
      </c>
      <c r="D3250" t="s">
        <v>10</v>
      </c>
      <c r="E3250" t="s">
        <v>515</v>
      </c>
      <c r="F3250" s="43">
        <v>44776.4375</v>
      </c>
      <c r="G3250" s="43">
        <v>44776.447916666664</v>
      </c>
      <c r="H3250">
        <v>10</v>
      </c>
      <c r="I3250">
        <v>30</v>
      </c>
      <c r="J3250">
        <v>10</v>
      </c>
      <c r="K3250">
        <v>45</v>
      </c>
      <c r="L3250">
        <v>2022</v>
      </c>
      <c r="N3250" t="s">
        <v>47</v>
      </c>
      <c r="O3250" t="s">
        <v>47</v>
      </c>
      <c r="P3250" t="s">
        <v>557</v>
      </c>
    </row>
    <row r="3251" spans="1:16" x14ac:dyDescent="0.3">
      <c r="A3251" t="s">
        <v>558</v>
      </c>
      <c r="B3251" t="s">
        <v>6</v>
      </c>
      <c r="C3251">
        <v>30</v>
      </c>
      <c r="D3251" t="s">
        <v>10</v>
      </c>
      <c r="E3251" t="s">
        <v>438</v>
      </c>
      <c r="F3251" s="43">
        <v>44776.395833333336</v>
      </c>
      <c r="G3251" s="43">
        <v>44776.416666666664</v>
      </c>
      <c r="H3251">
        <v>9</v>
      </c>
      <c r="I3251">
        <v>30</v>
      </c>
      <c r="J3251">
        <v>10</v>
      </c>
      <c r="K3251">
        <v>0</v>
      </c>
      <c r="L3251">
        <v>2022</v>
      </c>
      <c r="N3251" t="s">
        <v>47</v>
      </c>
      <c r="O3251" t="s">
        <v>47</v>
      </c>
      <c r="P3251" t="s">
        <v>559</v>
      </c>
    </row>
    <row r="3252" spans="1:16" x14ac:dyDescent="0.3">
      <c r="A3252" t="s">
        <v>603</v>
      </c>
      <c r="B3252" t="s">
        <v>20</v>
      </c>
      <c r="C3252">
        <v>60</v>
      </c>
      <c r="D3252" t="s">
        <v>10</v>
      </c>
      <c r="E3252" t="s">
        <v>461</v>
      </c>
      <c r="F3252" s="43">
        <v>44776.291666666664</v>
      </c>
      <c r="G3252" s="43">
        <v>44776.333333333336</v>
      </c>
      <c r="H3252">
        <v>7</v>
      </c>
      <c r="I3252">
        <v>0</v>
      </c>
      <c r="J3252">
        <v>8</v>
      </c>
      <c r="K3252">
        <v>0</v>
      </c>
      <c r="L3252">
        <v>2022</v>
      </c>
      <c r="N3252" t="s">
        <v>549</v>
      </c>
      <c r="O3252" t="s">
        <v>458</v>
      </c>
      <c r="P3252" t="s">
        <v>604</v>
      </c>
    </row>
    <row r="3253" spans="1:16" x14ac:dyDescent="0.3">
      <c r="A3253" t="s">
        <v>8</v>
      </c>
      <c r="B3253" t="s">
        <v>6</v>
      </c>
      <c r="C3253">
        <v>15</v>
      </c>
      <c r="D3253" t="s">
        <v>10</v>
      </c>
      <c r="E3253" t="s">
        <v>477</v>
      </c>
      <c r="F3253" s="43">
        <v>44776.28125</v>
      </c>
      <c r="G3253" s="43">
        <v>44776.291666666664</v>
      </c>
      <c r="H3253">
        <v>6</v>
      </c>
      <c r="I3253">
        <v>45</v>
      </c>
      <c r="J3253">
        <v>7</v>
      </c>
      <c r="K3253">
        <v>0</v>
      </c>
      <c r="L3253">
        <v>2022</v>
      </c>
      <c r="N3253" t="s">
        <v>47</v>
      </c>
      <c r="O3253" t="s">
        <v>47</v>
      </c>
      <c r="P3253" t="s">
        <v>563</v>
      </c>
    </row>
    <row r="3254" spans="1:16" x14ac:dyDescent="0.3">
      <c r="A3254" t="s">
        <v>564</v>
      </c>
      <c r="B3254" t="s">
        <v>6</v>
      </c>
      <c r="C3254">
        <v>30</v>
      </c>
      <c r="D3254" t="s">
        <v>10</v>
      </c>
      <c r="E3254" t="s">
        <v>565</v>
      </c>
      <c r="F3254" s="43">
        <v>44776.25</v>
      </c>
      <c r="G3254" s="43">
        <v>44776.270833333336</v>
      </c>
      <c r="H3254">
        <v>6</v>
      </c>
      <c r="I3254">
        <v>0</v>
      </c>
      <c r="J3254">
        <v>6</v>
      </c>
      <c r="K3254">
        <v>30</v>
      </c>
      <c r="L3254">
        <v>2022</v>
      </c>
      <c r="N3254" t="s">
        <v>47</v>
      </c>
      <c r="O3254" t="s">
        <v>47</v>
      </c>
      <c r="P3254" t="s">
        <v>566</v>
      </c>
    </row>
    <row r="3255" spans="1:16" x14ac:dyDescent="0.3">
      <c r="A3255" t="s">
        <v>8</v>
      </c>
      <c r="B3255" t="s">
        <v>6</v>
      </c>
      <c r="C3255">
        <v>20</v>
      </c>
      <c r="D3255" t="s">
        <v>10</v>
      </c>
      <c r="E3255" t="s">
        <v>477</v>
      </c>
      <c r="F3255" s="43">
        <v>44775.833333333336</v>
      </c>
      <c r="G3255" s="43">
        <v>44775.847222222219</v>
      </c>
      <c r="H3255">
        <v>20</v>
      </c>
      <c r="I3255">
        <v>0</v>
      </c>
      <c r="J3255">
        <v>20</v>
      </c>
      <c r="K3255">
        <v>20</v>
      </c>
      <c r="L3255">
        <v>2022</v>
      </c>
      <c r="N3255" t="s">
        <v>47</v>
      </c>
      <c r="O3255" t="s">
        <v>47</v>
      </c>
      <c r="P3255" t="s">
        <v>567</v>
      </c>
    </row>
    <row r="3256" spans="1:16" x14ac:dyDescent="0.3">
      <c r="A3256" t="s">
        <v>7</v>
      </c>
      <c r="B3256" t="s">
        <v>6</v>
      </c>
      <c r="C3256">
        <v>60</v>
      </c>
      <c r="D3256" t="s">
        <v>10</v>
      </c>
      <c r="E3256" t="s">
        <v>449</v>
      </c>
      <c r="F3256" s="43">
        <v>44775.666666666664</v>
      </c>
      <c r="G3256" s="43">
        <v>44775.708333333336</v>
      </c>
      <c r="H3256">
        <v>16</v>
      </c>
      <c r="I3256">
        <v>0</v>
      </c>
      <c r="J3256">
        <v>17</v>
      </c>
      <c r="K3256">
        <v>0</v>
      </c>
      <c r="L3256">
        <v>2022</v>
      </c>
      <c r="N3256" t="s">
        <v>47</v>
      </c>
      <c r="O3256" t="s">
        <v>47</v>
      </c>
      <c r="P3256" t="s">
        <v>572</v>
      </c>
    </row>
    <row r="3257" spans="1:16" x14ac:dyDescent="0.3">
      <c r="A3257" t="s">
        <v>573</v>
      </c>
      <c r="B3257" t="s">
        <v>6</v>
      </c>
      <c r="C3257">
        <v>30</v>
      </c>
      <c r="D3257" t="s">
        <v>10</v>
      </c>
      <c r="E3257" t="s">
        <v>574</v>
      </c>
      <c r="F3257" s="43">
        <v>44775.645833333336</v>
      </c>
      <c r="G3257" s="43">
        <v>44775.666666666664</v>
      </c>
      <c r="H3257">
        <v>15</v>
      </c>
      <c r="I3257">
        <v>30</v>
      </c>
      <c r="J3257">
        <v>16</v>
      </c>
      <c r="K3257">
        <v>0</v>
      </c>
      <c r="L3257">
        <v>2022</v>
      </c>
      <c r="N3257" t="s">
        <v>47</v>
      </c>
      <c r="O3257" t="s">
        <v>47</v>
      </c>
      <c r="P3257" t="s">
        <v>575</v>
      </c>
    </row>
    <row r="3258" spans="1:16" x14ac:dyDescent="0.3">
      <c r="A3258" t="s">
        <v>581</v>
      </c>
      <c r="B3258" t="s">
        <v>6</v>
      </c>
      <c r="C3258">
        <v>40</v>
      </c>
      <c r="D3258" t="s">
        <v>10</v>
      </c>
      <c r="E3258" t="s">
        <v>515</v>
      </c>
      <c r="F3258" s="43">
        <v>44775.520833333336</v>
      </c>
      <c r="G3258" s="43">
        <v>44775.548611111109</v>
      </c>
      <c r="H3258">
        <v>12</v>
      </c>
      <c r="I3258">
        <v>30</v>
      </c>
      <c r="J3258">
        <v>13</v>
      </c>
      <c r="K3258">
        <v>10</v>
      </c>
      <c r="L3258">
        <v>2022</v>
      </c>
      <c r="N3258" t="s">
        <v>47</v>
      </c>
      <c r="O3258" t="s">
        <v>47</v>
      </c>
      <c r="P3258" t="s">
        <v>582</v>
      </c>
    </row>
    <row r="3259" spans="1:16" x14ac:dyDescent="0.3">
      <c r="A3259" t="s">
        <v>44</v>
      </c>
      <c r="B3259" t="s">
        <v>20</v>
      </c>
      <c r="C3259">
        <v>30</v>
      </c>
      <c r="D3259" t="s">
        <v>10</v>
      </c>
      <c r="E3259" t="s">
        <v>593</v>
      </c>
      <c r="F3259" s="43">
        <v>44775.416666666664</v>
      </c>
      <c r="G3259" s="43">
        <v>44775.4375</v>
      </c>
      <c r="H3259">
        <v>10</v>
      </c>
      <c r="I3259">
        <v>0</v>
      </c>
      <c r="J3259">
        <v>10</v>
      </c>
      <c r="K3259">
        <v>30</v>
      </c>
      <c r="L3259">
        <v>2022</v>
      </c>
      <c r="N3259" t="s">
        <v>594</v>
      </c>
      <c r="O3259" t="s">
        <v>47</v>
      </c>
      <c r="P3259" t="s">
        <v>595</v>
      </c>
    </row>
    <row r="3260" spans="1:16" x14ac:dyDescent="0.3">
      <c r="A3260" t="s">
        <v>7</v>
      </c>
      <c r="B3260" t="s">
        <v>6</v>
      </c>
      <c r="C3260">
        <v>30</v>
      </c>
      <c r="D3260" t="s">
        <v>10</v>
      </c>
      <c r="E3260" t="s">
        <v>449</v>
      </c>
      <c r="F3260" s="43">
        <v>44775.395833333336</v>
      </c>
      <c r="G3260" s="43">
        <v>44775.416666666664</v>
      </c>
      <c r="H3260">
        <v>9</v>
      </c>
      <c r="I3260">
        <v>30</v>
      </c>
      <c r="J3260">
        <v>10</v>
      </c>
      <c r="K3260">
        <v>0</v>
      </c>
      <c r="L3260">
        <v>2022</v>
      </c>
      <c r="N3260" t="s">
        <v>47</v>
      </c>
      <c r="O3260" t="s">
        <v>47</v>
      </c>
      <c r="P3260" t="s">
        <v>580</v>
      </c>
    </row>
    <row r="3261" spans="1:16" x14ac:dyDescent="0.3">
      <c r="A3261" t="s">
        <v>922</v>
      </c>
      <c r="B3261" t="s">
        <v>20</v>
      </c>
      <c r="C3261">
        <v>30</v>
      </c>
      <c r="D3261" t="s">
        <v>10</v>
      </c>
      <c r="E3261" t="s">
        <v>923</v>
      </c>
      <c r="F3261" s="43">
        <v>44775.375</v>
      </c>
      <c r="G3261" s="43">
        <v>44775.395833333336</v>
      </c>
      <c r="H3261">
        <v>9</v>
      </c>
      <c r="I3261">
        <v>0</v>
      </c>
      <c r="J3261">
        <v>9</v>
      </c>
      <c r="K3261">
        <v>30</v>
      </c>
      <c r="L3261">
        <v>2022</v>
      </c>
      <c r="N3261" t="s">
        <v>924</v>
      </c>
      <c r="O3261" t="s">
        <v>458</v>
      </c>
      <c r="P3261" t="s">
        <v>925</v>
      </c>
    </row>
    <row r="3262" spans="1:16" x14ac:dyDescent="0.3">
      <c r="A3262" t="s">
        <v>583</v>
      </c>
      <c r="B3262" t="s">
        <v>20</v>
      </c>
      <c r="C3262">
        <v>30</v>
      </c>
      <c r="D3262" t="s">
        <v>10</v>
      </c>
      <c r="E3262" t="s">
        <v>584</v>
      </c>
      <c r="F3262" s="43">
        <v>44775.28125</v>
      </c>
      <c r="G3262" s="43">
        <v>44775.302083333336</v>
      </c>
      <c r="H3262">
        <v>6</v>
      </c>
      <c r="I3262">
        <v>45</v>
      </c>
      <c r="J3262">
        <v>7</v>
      </c>
      <c r="K3262">
        <v>15</v>
      </c>
      <c r="L3262">
        <v>2022</v>
      </c>
      <c r="N3262" t="s">
        <v>47</v>
      </c>
      <c r="O3262" t="s">
        <v>47</v>
      </c>
      <c r="P3262" t="s">
        <v>585</v>
      </c>
    </row>
    <row r="3263" spans="1:16" x14ac:dyDescent="0.3">
      <c r="A3263" t="s">
        <v>612</v>
      </c>
      <c r="B3263" t="s">
        <v>20</v>
      </c>
      <c r="C3263">
        <v>45</v>
      </c>
      <c r="D3263" t="s">
        <v>10</v>
      </c>
      <c r="E3263" t="s">
        <v>613</v>
      </c>
      <c r="F3263" s="43">
        <v>44775.25</v>
      </c>
      <c r="G3263" s="43">
        <v>44775.28125</v>
      </c>
      <c r="H3263">
        <v>6</v>
      </c>
      <c r="I3263">
        <v>0</v>
      </c>
      <c r="J3263">
        <v>6</v>
      </c>
      <c r="K3263">
        <v>45</v>
      </c>
      <c r="L3263">
        <v>2022</v>
      </c>
      <c r="N3263" t="s">
        <v>614</v>
      </c>
      <c r="O3263" t="s">
        <v>48</v>
      </c>
      <c r="P3263" t="s">
        <v>615</v>
      </c>
    </row>
    <row r="3264" spans="1:16" x14ac:dyDescent="0.3">
      <c r="A3264" t="s">
        <v>586</v>
      </c>
      <c r="B3264" t="s">
        <v>109</v>
      </c>
      <c r="C3264">
        <v>90</v>
      </c>
      <c r="D3264" t="s">
        <v>10</v>
      </c>
      <c r="E3264" t="s">
        <v>584</v>
      </c>
      <c r="F3264" s="43">
        <v>44775.1875</v>
      </c>
      <c r="G3264" s="43">
        <v>44775.25</v>
      </c>
      <c r="H3264">
        <v>4</v>
      </c>
      <c r="I3264">
        <v>30</v>
      </c>
      <c r="J3264">
        <v>6</v>
      </c>
      <c r="K3264">
        <v>0</v>
      </c>
      <c r="L3264">
        <v>2022</v>
      </c>
      <c r="N3264" t="s">
        <v>47</v>
      </c>
      <c r="O3264" t="s">
        <v>47</v>
      </c>
      <c r="P3264" t="s">
        <v>587</v>
      </c>
    </row>
    <row r="3265" spans="1:16" x14ac:dyDescent="0.3">
      <c r="A3265" t="s">
        <v>588</v>
      </c>
      <c r="B3265" t="s">
        <v>6</v>
      </c>
      <c r="C3265">
        <v>45</v>
      </c>
      <c r="D3265" t="s">
        <v>10</v>
      </c>
      <c r="E3265" t="s">
        <v>589</v>
      </c>
      <c r="F3265" s="43">
        <v>44774.84375</v>
      </c>
      <c r="G3265" s="43">
        <v>44774.875</v>
      </c>
      <c r="H3265">
        <v>20</v>
      </c>
      <c r="I3265">
        <v>15</v>
      </c>
      <c r="J3265">
        <v>21</v>
      </c>
      <c r="K3265">
        <v>0</v>
      </c>
      <c r="L3265">
        <v>2022</v>
      </c>
      <c r="N3265" t="s">
        <v>47</v>
      </c>
      <c r="O3265" t="s">
        <v>47</v>
      </c>
      <c r="P3265" t="s">
        <v>590</v>
      </c>
    </row>
    <row r="3266" spans="1:16" x14ac:dyDescent="0.3">
      <c r="A3266" t="s">
        <v>591</v>
      </c>
      <c r="B3266" t="s">
        <v>109</v>
      </c>
      <c r="C3266">
        <v>30</v>
      </c>
      <c r="D3266" t="s">
        <v>10</v>
      </c>
      <c r="E3266" t="s">
        <v>584</v>
      </c>
      <c r="F3266" s="43">
        <v>44774.729166666664</v>
      </c>
      <c r="G3266" s="43">
        <v>44774.75</v>
      </c>
      <c r="H3266">
        <v>17</v>
      </c>
      <c r="I3266">
        <v>30</v>
      </c>
      <c r="J3266">
        <v>18</v>
      </c>
      <c r="K3266">
        <v>0</v>
      </c>
      <c r="L3266">
        <v>2022</v>
      </c>
      <c r="N3266" t="s">
        <v>47</v>
      </c>
      <c r="O3266" t="s">
        <v>47</v>
      </c>
      <c r="P3266" t="s">
        <v>592</v>
      </c>
    </row>
    <row r="3267" spans="1:16" x14ac:dyDescent="0.3">
      <c r="A3267" t="s">
        <v>596</v>
      </c>
      <c r="B3267" t="s">
        <v>109</v>
      </c>
      <c r="C3267">
        <v>25</v>
      </c>
      <c r="D3267" t="s">
        <v>10</v>
      </c>
      <c r="E3267" t="s">
        <v>597</v>
      </c>
      <c r="F3267" s="43">
        <v>44774.708333333336</v>
      </c>
      <c r="G3267" s="43">
        <v>44774.725694444445</v>
      </c>
      <c r="H3267">
        <v>17</v>
      </c>
      <c r="I3267">
        <v>0</v>
      </c>
      <c r="J3267">
        <v>17</v>
      </c>
      <c r="K3267">
        <v>25</v>
      </c>
      <c r="L3267">
        <v>2022</v>
      </c>
      <c r="N3267" t="s">
        <v>47</v>
      </c>
      <c r="O3267" t="s">
        <v>47</v>
      </c>
      <c r="P3267" t="s">
        <v>598</v>
      </c>
    </row>
    <row r="3268" spans="1:16" x14ac:dyDescent="0.3">
      <c r="A3268" t="s">
        <v>599</v>
      </c>
      <c r="B3268" t="s">
        <v>109</v>
      </c>
      <c r="C3268">
        <v>60</v>
      </c>
      <c r="D3268" t="s">
        <v>10</v>
      </c>
      <c r="E3268">
        <v>2832245678</v>
      </c>
      <c r="F3268" s="43">
        <v>44774.635416666664</v>
      </c>
      <c r="G3268" s="43">
        <v>44774.677083333336</v>
      </c>
      <c r="H3268">
        <v>15</v>
      </c>
      <c r="I3268">
        <v>15</v>
      </c>
      <c r="J3268">
        <v>16</v>
      </c>
      <c r="K3268">
        <v>15</v>
      </c>
      <c r="L3268">
        <v>2022</v>
      </c>
      <c r="N3268" t="s">
        <v>47</v>
      </c>
      <c r="O3268" t="s">
        <v>47</v>
      </c>
      <c r="P3268" t="s">
        <v>600</v>
      </c>
    </row>
    <row r="3269" spans="1:16" x14ac:dyDescent="0.3">
      <c r="A3269" t="s">
        <v>601</v>
      </c>
      <c r="B3269" t="s">
        <v>6</v>
      </c>
      <c r="C3269">
        <v>120</v>
      </c>
      <c r="D3269" t="s">
        <v>10</v>
      </c>
      <c r="E3269" t="s">
        <v>477</v>
      </c>
      <c r="F3269" s="43">
        <v>44774.520833333336</v>
      </c>
      <c r="G3269" s="43">
        <v>44774.604166666664</v>
      </c>
      <c r="H3269">
        <v>12</v>
      </c>
      <c r="I3269">
        <v>30</v>
      </c>
      <c r="J3269">
        <v>14</v>
      </c>
      <c r="K3269">
        <v>30</v>
      </c>
      <c r="L3269">
        <v>2022</v>
      </c>
      <c r="N3269" t="s">
        <v>47</v>
      </c>
      <c r="O3269" t="s">
        <v>47</v>
      </c>
      <c r="P3269" t="s">
        <v>602</v>
      </c>
    </row>
    <row r="3270" spans="1:16" x14ac:dyDescent="0.3">
      <c r="A3270" t="s">
        <v>605</v>
      </c>
      <c r="B3270" t="s">
        <v>20</v>
      </c>
      <c r="C3270">
        <v>30</v>
      </c>
      <c r="D3270" t="s">
        <v>10</v>
      </c>
      <c r="E3270" t="s">
        <v>461</v>
      </c>
      <c r="F3270" s="43">
        <v>44774.479166666664</v>
      </c>
      <c r="G3270" s="43">
        <v>44774.5</v>
      </c>
      <c r="H3270">
        <v>11</v>
      </c>
      <c r="I3270">
        <v>30</v>
      </c>
      <c r="J3270">
        <v>12</v>
      </c>
      <c r="K3270">
        <v>0</v>
      </c>
      <c r="L3270">
        <v>2022</v>
      </c>
      <c r="N3270" t="s">
        <v>47</v>
      </c>
      <c r="O3270" t="s">
        <v>47</v>
      </c>
      <c r="P3270" t="s">
        <v>606</v>
      </c>
    </row>
    <row r="3271" spans="1:16" x14ac:dyDescent="0.3">
      <c r="A3271" t="s">
        <v>610</v>
      </c>
      <c r="B3271" t="s">
        <v>6</v>
      </c>
      <c r="C3271">
        <v>75</v>
      </c>
      <c r="D3271" t="s">
        <v>10</v>
      </c>
      <c r="E3271" t="s">
        <v>438</v>
      </c>
      <c r="F3271" s="43">
        <v>44774.427083333336</v>
      </c>
      <c r="G3271" s="43">
        <v>44774.479166666664</v>
      </c>
      <c r="H3271">
        <v>10</v>
      </c>
      <c r="I3271">
        <v>15</v>
      </c>
      <c r="J3271">
        <v>11</v>
      </c>
      <c r="K3271">
        <v>30</v>
      </c>
      <c r="L3271">
        <v>2022</v>
      </c>
      <c r="N3271" t="s">
        <v>47</v>
      </c>
      <c r="O3271" t="s">
        <v>47</v>
      </c>
      <c r="P3271" t="s">
        <v>611</v>
      </c>
    </row>
    <row r="3272" spans="1:16" x14ac:dyDescent="0.3">
      <c r="A3272" t="s">
        <v>664</v>
      </c>
      <c r="B3272" t="s">
        <v>109</v>
      </c>
      <c r="C3272">
        <v>30</v>
      </c>
      <c r="D3272" t="s">
        <v>10</v>
      </c>
      <c r="E3272" t="s">
        <v>665</v>
      </c>
      <c r="F3272" s="43">
        <v>44774.333333333336</v>
      </c>
      <c r="G3272" s="43">
        <v>44774.354166666664</v>
      </c>
      <c r="H3272">
        <v>8</v>
      </c>
      <c r="I3272">
        <v>0</v>
      </c>
      <c r="J3272">
        <v>8</v>
      </c>
      <c r="K3272">
        <v>30</v>
      </c>
      <c r="L3272">
        <v>2022</v>
      </c>
      <c r="N3272" t="s">
        <v>666</v>
      </c>
      <c r="O3272" t="s">
        <v>667</v>
      </c>
      <c r="P3272" t="s">
        <v>668</v>
      </c>
    </row>
    <row r="3273" spans="1:16" x14ac:dyDescent="0.3">
      <c r="A3273" t="s">
        <v>8</v>
      </c>
      <c r="B3273" t="s">
        <v>6</v>
      </c>
      <c r="C3273">
        <v>30</v>
      </c>
      <c r="D3273" t="s">
        <v>10</v>
      </c>
      <c r="E3273" t="s">
        <v>477</v>
      </c>
      <c r="F3273" s="43">
        <v>44774.291666666664</v>
      </c>
      <c r="G3273" s="43">
        <v>44774.3125</v>
      </c>
      <c r="H3273">
        <v>7</v>
      </c>
      <c r="I3273">
        <v>0</v>
      </c>
      <c r="J3273">
        <v>7</v>
      </c>
      <c r="K3273">
        <v>30</v>
      </c>
      <c r="L3273">
        <v>2022</v>
      </c>
      <c r="N3273" t="s">
        <v>47</v>
      </c>
      <c r="O3273" t="s">
        <v>47</v>
      </c>
      <c r="P3273" t="s">
        <v>620</v>
      </c>
    </row>
    <row r="3274" spans="1:16" x14ac:dyDescent="0.3">
      <c r="A3274" t="s">
        <v>623</v>
      </c>
      <c r="B3274" t="s">
        <v>109</v>
      </c>
      <c r="C3274">
        <v>30</v>
      </c>
      <c r="D3274" t="s">
        <v>10</v>
      </c>
      <c r="E3274" t="s">
        <v>624</v>
      </c>
      <c r="F3274" s="43">
        <v>44774.270833333336</v>
      </c>
      <c r="G3274" s="43">
        <v>44774.291666666664</v>
      </c>
      <c r="H3274">
        <v>6</v>
      </c>
      <c r="I3274">
        <v>30</v>
      </c>
      <c r="J3274">
        <v>7</v>
      </c>
      <c r="K3274">
        <v>0</v>
      </c>
      <c r="L3274">
        <v>2022</v>
      </c>
      <c r="N3274" t="s">
        <v>625</v>
      </c>
      <c r="O3274" t="s">
        <v>47</v>
      </c>
      <c r="P3274" t="s">
        <v>626</v>
      </c>
    </row>
    <row r="3275" spans="1:16" x14ac:dyDescent="0.3">
      <c r="A3275" t="s">
        <v>8</v>
      </c>
      <c r="B3275" t="s">
        <v>6</v>
      </c>
      <c r="C3275">
        <v>30</v>
      </c>
      <c r="D3275" t="s">
        <v>10</v>
      </c>
      <c r="E3275" t="s">
        <v>477</v>
      </c>
      <c r="F3275" s="43">
        <v>44774.25</v>
      </c>
      <c r="G3275" s="43">
        <v>44774.270833333336</v>
      </c>
      <c r="H3275">
        <v>6</v>
      </c>
      <c r="I3275">
        <v>0</v>
      </c>
      <c r="J3275">
        <v>6</v>
      </c>
      <c r="K3275">
        <v>30</v>
      </c>
      <c r="L3275">
        <v>2022</v>
      </c>
      <c r="N3275" t="s">
        <v>47</v>
      </c>
      <c r="O3275" t="s">
        <v>47</v>
      </c>
      <c r="P3275" t="s">
        <v>619</v>
      </c>
    </row>
    <row r="3276" spans="1:16" x14ac:dyDescent="0.3">
      <c r="A3276" t="s">
        <v>627</v>
      </c>
      <c r="B3276" t="s">
        <v>6</v>
      </c>
      <c r="C3276">
        <v>30</v>
      </c>
      <c r="D3276" t="s">
        <v>10</v>
      </c>
      <c r="E3276" t="s">
        <v>628</v>
      </c>
      <c r="F3276" s="43">
        <v>44774.229166666664</v>
      </c>
      <c r="G3276" s="43">
        <v>44774.25</v>
      </c>
      <c r="H3276">
        <v>5</v>
      </c>
      <c r="I3276">
        <v>30</v>
      </c>
      <c r="J3276">
        <v>6</v>
      </c>
      <c r="K3276">
        <v>0</v>
      </c>
      <c r="L3276">
        <v>2022</v>
      </c>
      <c r="N3276" t="s">
        <v>629</v>
      </c>
      <c r="O3276" t="s">
        <v>47</v>
      </c>
      <c r="P3276" t="s">
        <v>630</v>
      </c>
    </row>
    <row r="3277" spans="1:16" x14ac:dyDescent="0.3">
      <c r="A3277" t="s">
        <v>621</v>
      </c>
      <c r="B3277" t="s">
        <v>6</v>
      </c>
      <c r="C3277">
        <v>70</v>
      </c>
      <c r="D3277" t="s">
        <v>10</v>
      </c>
      <c r="E3277" t="s">
        <v>589</v>
      </c>
      <c r="F3277" s="43">
        <v>44773.784722222219</v>
      </c>
      <c r="G3277" s="43">
        <v>44773.833333333336</v>
      </c>
      <c r="H3277">
        <v>18</v>
      </c>
      <c r="I3277">
        <v>50</v>
      </c>
      <c r="J3277">
        <v>20</v>
      </c>
      <c r="K3277">
        <v>0</v>
      </c>
      <c r="L3277">
        <v>2022</v>
      </c>
      <c r="N3277" t="s">
        <v>47</v>
      </c>
      <c r="O3277" t="s">
        <v>47</v>
      </c>
      <c r="P3277" t="s">
        <v>622</v>
      </c>
    </row>
    <row r="3278" spans="1:16" x14ac:dyDescent="0.3">
      <c r="A3278" t="s">
        <v>631</v>
      </c>
      <c r="B3278" t="s">
        <v>223</v>
      </c>
      <c r="C3278">
        <v>30</v>
      </c>
      <c r="D3278" t="s">
        <v>10</v>
      </c>
      <c r="E3278" t="s">
        <v>496</v>
      </c>
      <c r="F3278" s="43">
        <v>44773.666666666664</v>
      </c>
      <c r="G3278" s="43">
        <v>44773.6875</v>
      </c>
      <c r="H3278">
        <v>16</v>
      </c>
      <c r="I3278">
        <v>0</v>
      </c>
      <c r="J3278">
        <v>16</v>
      </c>
      <c r="K3278">
        <v>30</v>
      </c>
      <c r="L3278">
        <v>2022</v>
      </c>
      <c r="N3278" t="s">
        <v>47</v>
      </c>
      <c r="O3278" t="s">
        <v>47</v>
      </c>
      <c r="P3278" t="s">
        <v>632</v>
      </c>
    </row>
    <row r="3279" spans="1:16" x14ac:dyDescent="0.3">
      <c r="A3279" t="s">
        <v>633</v>
      </c>
      <c r="B3279" t="s">
        <v>109</v>
      </c>
      <c r="C3279">
        <v>40</v>
      </c>
      <c r="D3279" t="s">
        <v>10</v>
      </c>
      <c r="E3279" t="s">
        <v>634</v>
      </c>
      <c r="F3279" s="43">
        <v>44773.625</v>
      </c>
      <c r="G3279" s="43">
        <v>44773.652777777781</v>
      </c>
      <c r="H3279">
        <v>15</v>
      </c>
      <c r="I3279">
        <v>0</v>
      </c>
      <c r="J3279">
        <v>15</v>
      </c>
      <c r="K3279">
        <v>40</v>
      </c>
      <c r="L3279">
        <v>2022</v>
      </c>
      <c r="N3279" t="s">
        <v>47</v>
      </c>
      <c r="O3279" t="s">
        <v>47</v>
      </c>
      <c r="P3279" t="s">
        <v>635</v>
      </c>
    </row>
    <row r="3280" spans="1:16" x14ac:dyDescent="0.3">
      <c r="A3280" t="s">
        <v>636</v>
      </c>
      <c r="B3280" t="s">
        <v>223</v>
      </c>
      <c r="C3280">
        <v>30</v>
      </c>
      <c r="D3280" t="s">
        <v>10</v>
      </c>
      <c r="E3280" t="s">
        <v>637</v>
      </c>
      <c r="F3280" s="43">
        <v>44773.5625</v>
      </c>
      <c r="G3280" s="43">
        <v>44773.583333333336</v>
      </c>
      <c r="H3280">
        <v>13</v>
      </c>
      <c r="I3280">
        <v>30</v>
      </c>
      <c r="J3280">
        <v>14</v>
      </c>
      <c r="K3280">
        <v>0</v>
      </c>
      <c r="L3280">
        <v>2022</v>
      </c>
      <c r="N3280" t="s">
        <v>47</v>
      </c>
      <c r="O3280" t="s">
        <v>47</v>
      </c>
      <c r="P3280" t="s">
        <v>638</v>
      </c>
    </row>
    <row r="3281" spans="1:16" x14ac:dyDescent="0.3">
      <c r="A3281" t="s">
        <v>636</v>
      </c>
      <c r="B3281" t="s">
        <v>223</v>
      </c>
      <c r="C3281">
        <v>60</v>
      </c>
      <c r="D3281" t="s">
        <v>10</v>
      </c>
      <c r="E3281" t="s">
        <v>637</v>
      </c>
      <c r="F3281" s="43">
        <v>44773.46875</v>
      </c>
      <c r="G3281" s="43">
        <v>44773.510416666664</v>
      </c>
      <c r="H3281">
        <v>11</v>
      </c>
      <c r="I3281">
        <v>15</v>
      </c>
      <c r="J3281">
        <v>12</v>
      </c>
      <c r="K3281">
        <v>15</v>
      </c>
      <c r="L3281">
        <v>2022</v>
      </c>
      <c r="N3281" t="s">
        <v>47</v>
      </c>
      <c r="O3281" t="s">
        <v>47</v>
      </c>
      <c r="P3281" t="s">
        <v>639</v>
      </c>
    </row>
    <row r="3282" spans="1:16" x14ac:dyDescent="0.3">
      <c r="A3282" t="s">
        <v>640</v>
      </c>
      <c r="B3282" t="s">
        <v>6</v>
      </c>
      <c r="C3282">
        <v>60</v>
      </c>
      <c r="D3282" t="s">
        <v>10</v>
      </c>
      <c r="E3282" t="s">
        <v>617</v>
      </c>
      <c r="F3282" s="43">
        <v>44773.256944444445</v>
      </c>
      <c r="G3282" s="43">
        <v>44773.298611111109</v>
      </c>
      <c r="H3282">
        <v>6</v>
      </c>
      <c r="I3282">
        <v>10</v>
      </c>
      <c r="J3282">
        <v>7</v>
      </c>
      <c r="K3282">
        <v>10</v>
      </c>
      <c r="L3282">
        <v>2022</v>
      </c>
      <c r="N3282" t="s">
        <v>47</v>
      </c>
      <c r="O3282" t="s">
        <v>47</v>
      </c>
      <c r="P3282" t="s">
        <v>641</v>
      </c>
    </row>
    <row r="3283" spans="1:16" x14ac:dyDescent="0.3">
      <c r="A3283" t="s">
        <v>616</v>
      </c>
      <c r="B3283" t="s">
        <v>223</v>
      </c>
      <c r="C3283">
        <v>60</v>
      </c>
      <c r="D3283" t="s">
        <v>10</v>
      </c>
      <c r="E3283" t="s">
        <v>617</v>
      </c>
      <c r="F3283" s="43">
        <v>44772.791666666664</v>
      </c>
      <c r="G3283" s="43">
        <v>44772.833333333336</v>
      </c>
      <c r="H3283">
        <v>19</v>
      </c>
      <c r="I3283">
        <v>0</v>
      </c>
      <c r="J3283">
        <v>20</v>
      </c>
      <c r="K3283">
        <v>0</v>
      </c>
      <c r="L3283">
        <v>2022</v>
      </c>
      <c r="N3283" t="s">
        <v>47</v>
      </c>
      <c r="O3283" t="s">
        <v>47</v>
      </c>
      <c r="P3283" t="s">
        <v>618</v>
      </c>
    </row>
    <row r="3284" spans="1:16" x14ac:dyDescent="0.3">
      <c r="A3284" t="s">
        <v>642</v>
      </c>
      <c r="B3284" t="s">
        <v>223</v>
      </c>
      <c r="C3284">
        <v>30</v>
      </c>
      <c r="D3284" t="s">
        <v>10</v>
      </c>
      <c r="E3284" t="s">
        <v>617</v>
      </c>
      <c r="F3284" s="43">
        <v>44772.75</v>
      </c>
      <c r="G3284" s="43">
        <v>44772.770833333336</v>
      </c>
      <c r="H3284">
        <v>18</v>
      </c>
      <c r="I3284">
        <v>0</v>
      </c>
      <c r="J3284">
        <v>18</v>
      </c>
      <c r="K3284">
        <v>30</v>
      </c>
      <c r="L3284">
        <v>2022</v>
      </c>
      <c r="N3284" t="s">
        <v>47</v>
      </c>
      <c r="O3284" t="s">
        <v>47</v>
      </c>
      <c r="P3284" t="s">
        <v>643</v>
      </c>
    </row>
    <row r="3285" spans="1:16" x14ac:dyDescent="0.3">
      <c r="A3285" t="s">
        <v>644</v>
      </c>
      <c r="B3285" t="s">
        <v>223</v>
      </c>
      <c r="C3285">
        <v>40</v>
      </c>
      <c r="D3285" t="s">
        <v>10</v>
      </c>
      <c r="E3285" t="s">
        <v>617</v>
      </c>
      <c r="F3285" s="43">
        <v>44772.694444444445</v>
      </c>
      <c r="G3285" s="43">
        <v>44772.722222222219</v>
      </c>
      <c r="H3285">
        <v>16</v>
      </c>
      <c r="I3285">
        <v>40</v>
      </c>
      <c r="J3285">
        <v>17</v>
      </c>
      <c r="K3285">
        <v>20</v>
      </c>
      <c r="L3285">
        <v>2022</v>
      </c>
      <c r="N3285" t="s">
        <v>47</v>
      </c>
      <c r="O3285" t="s">
        <v>47</v>
      </c>
      <c r="P3285" t="s">
        <v>645</v>
      </c>
    </row>
    <row r="3286" spans="1:16" x14ac:dyDescent="0.3">
      <c r="A3286" t="s">
        <v>646</v>
      </c>
      <c r="B3286" t="s">
        <v>223</v>
      </c>
      <c r="C3286">
        <v>50</v>
      </c>
      <c r="D3286" t="s">
        <v>10</v>
      </c>
      <c r="E3286" t="s">
        <v>637</v>
      </c>
      <c r="F3286" s="43">
        <v>44772.5625</v>
      </c>
      <c r="G3286" s="43">
        <v>44772.597222222219</v>
      </c>
      <c r="H3286">
        <v>13</v>
      </c>
      <c r="I3286">
        <v>30</v>
      </c>
      <c r="J3286">
        <v>14</v>
      </c>
      <c r="K3286">
        <v>20</v>
      </c>
      <c r="L3286">
        <v>2022</v>
      </c>
      <c r="N3286" t="s">
        <v>47</v>
      </c>
      <c r="O3286" t="s">
        <v>47</v>
      </c>
      <c r="P3286" t="s">
        <v>647</v>
      </c>
    </row>
    <row r="3287" spans="1:16" x14ac:dyDescent="0.3">
      <c r="A3287" t="s">
        <v>648</v>
      </c>
      <c r="B3287" t="s">
        <v>6</v>
      </c>
      <c r="C3287">
        <v>80</v>
      </c>
      <c r="D3287" t="s">
        <v>10</v>
      </c>
      <c r="E3287" t="s">
        <v>649</v>
      </c>
      <c r="F3287" s="43">
        <v>44772.25</v>
      </c>
      <c r="G3287" s="43">
        <v>44772.305555555555</v>
      </c>
      <c r="H3287">
        <v>6</v>
      </c>
      <c r="I3287">
        <v>0</v>
      </c>
      <c r="J3287">
        <v>7</v>
      </c>
      <c r="K3287">
        <v>20</v>
      </c>
      <c r="L3287">
        <v>2022</v>
      </c>
      <c r="N3287" t="s">
        <v>47</v>
      </c>
      <c r="O3287" t="s">
        <v>47</v>
      </c>
      <c r="P3287" t="s">
        <v>650</v>
      </c>
    </row>
    <row r="3288" spans="1:16" x14ac:dyDescent="0.3">
      <c r="A3288" t="s">
        <v>651</v>
      </c>
      <c r="B3288" t="s">
        <v>6</v>
      </c>
      <c r="C3288">
        <v>60</v>
      </c>
      <c r="D3288" t="s">
        <v>10</v>
      </c>
      <c r="E3288" t="s">
        <v>649</v>
      </c>
      <c r="F3288" s="43">
        <v>44771.743055555555</v>
      </c>
      <c r="G3288" s="43">
        <v>44771.784722222219</v>
      </c>
      <c r="H3288">
        <v>17</v>
      </c>
      <c r="I3288">
        <v>50</v>
      </c>
      <c r="J3288">
        <v>18</v>
      </c>
      <c r="K3288">
        <v>50</v>
      </c>
      <c r="L3288">
        <v>2022</v>
      </c>
      <c r="N3288" t="s">
        <v>47</v>
      </c>
      <c r="O3288" t="s">
        <v>47</v>
      </c>
      <c r="P3288" t="s">
        <v>652</v>
      </c>
    </row>
    <row r="3289" spans="1:16" x14ac:dyDescent="0.3">
      <c r="A3289" t="s">
        <v>642</v>
      </c>
      <c r="B3289" t="s">
        <v>223</v>
      </c>
      <c r="C3289">
        <v>60</v>
      </c>
      <c r="D3289" t="s">
        <v>10</v>
      </c>
      <c r="E3289" t="s">
        <v>617</v>
      </c>
      <c r="F3289" s="43">
        <v>44771.645833333336</v>
      </c>
      <c r="G3289" s="43">
        <v>44771.6875</v>
      </c>
      <c r="H3289">
        <v>15</v>
      </c>
      <c r="I3289">
        <v>30</v>
      </c>
      <c r="J3289">
        <v>16</v>
      </c>
      <c r="K3289">
        <v>30</v>
      </c>
      <c r="L3289">
        <v>2022</v>
      </c>
      <c r="N3289" t="s">
        <v>47</v>
      </c>
      <c r="O3289" t="s">
        <v>47</v>
      </c>
      <c r="P3289" t="s">
        <v>653</v>
      </c>
    </row>
    <row r="3290" spans="1:16" x14ac:dyDescent="0.3">
      <c r="A3290" t="s">
        <v>642</v>
      </c>
      <c r="B3290" t="s">
        <v>223</v>
      </c>
      <c r="C3290">
        <v>60</v>
      </c>
      <c r="D3290" t="s">
        <v>10</v>
      </c>
      <c r="E3290" t="s">
        <v>617</v>
      </c>
      <c r="F3290" s="43">
        <v>44771.583333333336</v>
      </c>
      <c r="G3290" s="43">
        <v>44771.625</v>
      </c>
      <c r="H3290">
        <v>14</v>
      </c>
      <c r="I3290">
        <v>0</v>
      </c>
      <c r="J3290">
        <v>15</v>
      </c>
      <c r="K3290">
        <v>0</v>
      </c>
      <c r="L3290">
        <v>2022</v>
      </c>
      <c r="N3290" t="s">
        <v>47</v>
      </c>
      <c r="O3290" t="s">
        <v>47</v>
      </c>
      <c r="P3290" t="s">
        <v>654</v>
      </c>
    </row>
    <row r="3291" spans="1:16" x14ac:dyDescent="0.3">
      <c r="A3291" t="s">
        <v>655</v>
      </c>
      <c r="B3291" t="s">
        <v>20</v>
      </c>
      <c r="C3291">
        <v>15</v>
      </c>
      <c r="D3291" t="s">
        <v>10</v>
      </c>
      <c r="E3291" t="s">
        <v>461</v>
      </c>
      <c r="F3291" s="43">
        <v>44771.541666666664</v>
      </c>
      <c r="G3291" s="43">
        <v>44771.552083333336</v>
      </c>
      <c r="H3291">
        <v>13</v>
      </c>
      <c r="I3291">
        <v>0</v>
      </c>
      <c r="J3291">
        <v>13</v>
      </c>
      <c r="K3291">
        <v>15</v>
      </c>
      <c r="L3291">
        <v>2022</v>
      </c>
      <c r="N3291" t="s">
        <v>47</v>
      </c>
      <c r="O3291" t="s">
        <v>47</v>
      </c>
      <c r="P3291" t="s">
        <v>656</v>
      </c>
    </row>
    <row r="3292" spans="1:16" x14ac:dyDescent="0.3">
      <c r="A3292" t="s">
        <v>657</v>
      </c>
      <c r="B3292" t="s">
        <v>6</v>
      </c>
      <c r="C3292">
        <v>30</v>
      </c>
      <c r="D3292" t="s">
        <v>10</v>
      </c>
      <c r="E3292" t="s">
        <v>649</v>
      </c>
      <c r="F3292" s="43">
        <v>44771.493055555555</v>
      </c>
      <c r="G3292" s="43">
        <v>44771.513888888891</v>
      </c>
      <c r="H3292">
        <v>11</v>
      </c>
      <c r="I3292">
        <v>50</v>
      </c>
      <c r="J3292">
        <v>12</v>
      </c>
      <c r="K3292">
        <v>20</v>
      </c>
      <c r="L3292">
        <v>2022</v>
      </c>
      <c r="N3292" t="s">
        <v>47</v>
      </c>
      <c r="O3292" t="s">
        <v>47</v>
      </c>
      <c r="P3292" t="s">
        <v>658</v>
      </c>
    </row>
    <row r="3293" spans="1:16" x14ac:dyDescent="0.3">
      <c r="A3293" t="s">
        <v>661</v>
      </c>
      <c r="B3293" t="s">
        <v>223</v>
      </c>
      <c r="C3293">
        <v>30</v>
      </c>
      <c r="D3293" t="s">
        <v>10</v>
      </c>
      <c r="E3293" t="s">
        <v>662</v>
      </c>
      <c r="F3293" s="43">
        <v>44771.4375</v>
      </c>
      <c r="G3293" s="43">
        <v>44771.458333333336</v>
      </c>
      <c r="H3293">
        <v>10</v>
      </c>
      <c r="I3293">
        <v>30</v>
      </c>
      <c r="J3293">
        <v>11</v>
      </c>
      <c r="K3293">
        <v>0</v>
      </c>
      <c r="L3293">
        <v>2022</v>
      </c>
      <c r="N3293" t="s">
        <v>47</v>
      </c>
      <c r="O3293" t="s">
        <v>47</v>
      </c>
      <c r="P3293" t="s">
        <v>663</v>
      </c>
    </row>
    <row r="3294" spans="1:16" x14ac:dyDescent="0.3">
      <c r="A3294" t="s">
        <v>659</v>
      </c>
      <c r="B3294" t="s">
        <v>223</v>
      </c>
      <c r="C3294">
        <v>60</v>
      </c>
      <c r="D3294" t="s">
        <v>10</v>
      </c>
      <c r="E3294" t="s">
        <v>617</v>
      </c>
      <c r="F3294" s="43">
        <v>44771.395833333336</v>
      </c>
      <c r="G3294" s="43">
        <v>44771.4375</v>
      </c>
      <c r="H3294">
        <v>9</v>
      </c>
      <c r="I3294">
        <v>30</v>
      </c>
      <c r="J3294">
        <v>10</v>
      </c>
      <c r="K3294">
        <v>30</v>
      </c>
      <c r="L3294">
        <v>2022</v>
      </c>
      <c r="N3294" t="s">
        <v>47</v>
      </c>
      <c r="O3294" t="s">
        <v>47</v>
      </c>
      <c r="P3294" t="s">
        <v>660</v>
      </c>
    </row>
    <row r="3295" spans="1:16" x14ac:dyDescent="0.3">
      <c r="A3295" t="s">
        <v>669</v>
      </c>
      <c r="B3295" t="s">
        <v>223</v>
      </c>
      <c r="C3295">
        <v>60</v>
      </c>
      <c r="D3295" t="s">
        <v>10</v>
      </c>
      <c r="E3295" t="s">
        <v>662</v>
      </c>
      <c r="F3295" s="43">
        <v>44771.333333333336</v>
      </c>
      <c r="G3295" s="43">
        <v>44771.375</v>
      </c>
      <c r="H3295">
        <v>8</v>
      </c>
      <c r="I3295">
        <v>0</v>
      </c>
      <c r="J3295">
        <v>9</v>
      </c>
      <c r="K3295">
        <v>0</v>
      </c>
      <c r="L3295">
        <v>2022</v>
      </c>
      <c r="N3295" t="s">
        <v>47</v>
      </c>
      <c r="O3295" t="s">
        <v>47</v>
      </c>
      <c r="P3295" t="s">
        <v>670</v>
      </c>
    </row>
    <row r="3296" spans="1:16" x14ac:dyDescent="0.3">
      <c r="A3296" t="s">
        <v>671</v>
      </c>
      <c r="B3296" t="s">
        <v>223</v>
      </c>
      <c r="C3296">
        <v>30</v>
      </c>
      <c r="D3296" t="s">
        <v>10</v>
      </c>
      <c r="E3296">
        <v>2961842127</v>
      </c>
      <c r="F3296" s="43">
        <v>44771.270833333336</v>
      </c>
      <c r="G3296" s="43">
        <v>44771.291666666664</v>
      </c>
      <c r="H3296">
        <v>6</v>
      </c>
      <c r="I3296">
        <v>30</v>
      </c>
      <c r="J3296">
        <v>7</v>
      </c>
      <c r="K3296">
        <v>0</v>
      </c>
      <c r="L3296">
        <v>2022</v>
      </c>
      <c r="N3296" t="s">
        <v>47</v>
      </c>
      <c r="O3296" t="s">
        <v>47</v>
      </c>
      <c r="P3296" t="s">
        <v>672</v>
      </c>
    </row>
    <row r="3297" spans="1:16" x14ac:dyDescent="0.3">
      <c r="A3297" t="s">
        <v>659</v>
      </c>
      <c r="B3297" t="s">
        <v>223</v>
      </c>
      <c r="C3297">
        <v>45</v>
      </c>
      <c r="D3297" t="s">
        <v>10</v>
      </c>
      <c r="E3297" t="s">
        <v>662</v>
      </c>
      <c r="F3297" s="43">
        <v>44771.21875</v>
      </c>
      <c r="G3297" s="43">
        <v>44771.25</v>
      </c>
      <c r="H3297">
        <v>5</v>
      </c>
      <c r="I3297">
        <v>15</v>
      </c>
      <c r="J3297">
        <v>6</v>
      </c>
      <c r="K3297">
        <v>0</v>
      </c>
      <c r="L3297">
        <v>2022</v>
      </c>
      <c r="N3297" t="s">
        <v>47</v>
      </c>
      <c r="O3297" t="s">
        <v>47</v>
      </c>
      <c r="P3297" t="s">
        <v>673</v>
      </c>
    </row>
    <row r="3298" spans="1:16" x14ac:dyDescent="0.3">
      <c r="A3298" t="s">
        <v>674</v>
      </c>
      <c r="B3298" t="s">
        <v>223</v>
      </c>
      <c r="C3298">
        <v>30</v>
      </c>
      <c r="D3298" t="s">
        <v>10</v>
      </c>
      <c r="E3298" t="s">
        <v>675</v>
      </c>
      <c r="F3298" s="43">
        <v>44770.75</v>
      </c>
      <c r="G3298" s="43">
        <v>44770.770833333336</v>
      </c>
      <c r="H3298">
        <v>18</v>
      </c>
      <c r="I3298">
        <v>0</v>
      </c>
      <c r="J3298">
        <v>18</v>
      </c>
      <c r="K3298">
        <v>30</v>
      </c>
      <c r="L3298">
        <v>2022</v>
      </c>
      <c r="N3298" t="s">
        <v>47</v>
      </c>
      <c r="O3298" t="s">
        <v>47</v>
      </c>
      <c r="P3298" t="s">
        <v>676</v>
      </c>
    </row>
    <row r="3299" spans="1:16" x14ac:dyDescent="0.3">
      <c r="A3299" t="s">
        <v>3816</v>
      </c>
      <c r="B3299" t="s">
        <v>223</v>
      </c>
      <c r="C3299">
        <v>60</v>
      </c>
      <c r="D3299" t="s">
        <v>10</v>
      </c>
      <c r="E3299" t="s">
        <v>617</v>
      </c>
      <c r="F3299" s="43">
        <v>44770.666666666664</v>
      </c>
      <c r="G3299" s="43">
        <v>44770.708333333336</v>
      </c>
      <c r="H3299">
        <v>16</v>
      </c>
      <c r="I3299">
        <v>0</v>
      </c>
      <c r="J3299">
        <v>17</v>
      </c>
      <c r="K3299">
        <v>0</v>
      </c>
      <c r="L3299">
        <v>2022</v>
      </c>
      <c r="N3299" t="s">
        <v>47</v>
      </c>
      <c r="O3299" t="s">
        <v>47</v>
      </c>
      <c r="P3299" t="s">
        <v>3817</v>
      </c>
    </row>
    <row r="3300" spans="1:16" x14ac:dyDescent="0.3">
      <c r="A3300" t="s">
        <v>792</v>
      </c>
      <c r="B3300" t="s">
        <v>20</v>
      </c>
      <c r="C3300">
        <v>45</v>
      </c>
      <c r="D3300" t="s">
        <v>10</v>
      </c>
      <c r="E3300" t="s">
        <v>793</v>
      </c>
      <c r="F3300" s="43">
        <v>44770.625</v>
      </c>
      <c r="G3300" s="43">
        <v>44770.65625</v>
      </c>
      <c r="H3300">
        <v>15</v>
      </c>
      <c r="I3300">
        <v>0</v>
      </c>
      <c r="J3300">
        <v>15</v>
      </c>
      <c r="K3300">
        <v>45</v>
      </c>
      <c r="L3300">
        <v>2022</v>
      </c>
      <c r="N3300" t="s">
        <v>794</v>
      </c>
      <c r="O3300" t="s">
        <v>48</v>
      </c>
      <c r="P3300" t="s">
        <v>795</v>
      </c>
    </row>
    <row r="3301" spans="1:16" x14ac:dyDescent="0.3">
      <c r="A3301" t="s">
        <v>3820</v>
      </c>
      <c r="B3301" t="s">
        <v>6</v>
      </c>
      <c r="C3301">
        <v>30</v>
      </c>
      <c r="D3301" t="s">
        <v>10</v>
      </c>
      <c r="E3301" t="s">
        <v>447</v>
      </c>
      <c r="F3301" s="43">
        <v>44770.583333333336</v>
      </c>
      <c r="G3301" s="43">
        <v>44770.604166666664</v>
      </c>
      <c r="H3301">
        <v>14</v>
      </c>
      <c r="I3301">
        <v>0</v>
      </c>
      <c r="J3301">
        <v>14</v>
      </c>
      <c r="K3301">
        <v>30</v>
      </c>
      <c r="L3301">
        <v>2022</v>
      </c>
      <c r="N3301" t="s">
        <v>47</v>
      </c>
      <c r="O3301" t="s">
        <v>47</v>
      </c>
      <c r="P3301" t="s">
        <v>3821</v>
      </c>
    </row>
    <row r="3302" spans="1:16" x14ac:dyDescent="0.3">
      <c r="A3302" t="s">
        <v>3822</v>
      </c>
      <c r="B3302" t="s">
        <v>20</v>
      </c>
      <c r="C3302">
        <v>90</v>
      </c>
      <c r="D3302" t="s">
        <v>10</v>
      </c>
      <c r="E3302" t="s">
        <v>981</v>
      </c>
      <c r="F3302" s="43">
        <v>44770.520833333336</v>
      </c>
      <c r="G3302" s="43">
        <v>44770.583333333336</v>
      </c>
      <c r="H3302">
        <v>12</v>
      </c>
      <c r="I3302">
        <v>30</v>
      </c>
      <c r="J3302">
        <v>14</v>
      </c>
      <c r="K3302">
        <v>0</v>
      </c>
      <c r="L3302">
        <v>2022</v>
      </c>
      <c r="N3302" t="s">
        <v>47</v>
      </c>
      <c r="O3302" t="s">
        <v>47</v>
      </c>
      <c r="P3302" t="s">
        <v>3823</v>
      </c>
    </row>
    <row r="3303" spans="1:16" x14ac:dyDescent="0.3">
      <c r="A3303" t="s">
        <v>723</v>
      </c>
      <c r="B3303" t="s">
        <v>20</v>
      </c>
      <c r="C3303">
        <v>120</v>
      </c>
      <c r="D3303" t="s">
        <v>10</v>
      </c>
      <c r="E3303" t="s">
        <v>724</v>
      </c>
      <c r="F3303" s="43">
        <v>44770.416666666664</v>
      </c>
      <c r="G3303" s="43">
        <v>44770.5</v>
      </c>
      <c r="H3303">
        <v>10</v>
      </c>
      <c r="I3303">
        <v>0</v>
      </c>
      <c r="J3303">
        <v>12</v>
      </c>
      <c r="K3303">
        <v>0</v>
      </c>
      <c r="L3303">
        <v>2022</v>
      </c>
      <c r="N3303" t="s">
        <v>725</v>
      </c>
      <c r="O3303" t="s">
        <v>683</v>
      </c>
      <c r="P3303" t="s">
        <v>726</v>
      </c>
    </row>
    <row r="3304" spans="1:16" x14ac:dyDescent="0.3">
      <c r="A3304" t="s">
        <v>3818</v>
      </c>
      <c r="B3304" t="s">
        <v>223</v>
      </c>
      <c r="C3304">
        <v>60</v>
      </c>
      <c r="D3304" t="s">
        <v>10</v>
      </c>
      <c r="E3304" t="s">
        <v>617</v>
      </c>
      <c r="F3304" s="43">
        <v>44770.375</v>
      </c>
      <c r="G3304" s="43">
        <v>44770.416666666664</v>
      </c>
      <c r="H3304">
        <v>9</v>
      </c>
      <c r="I3304">
        <v>0</v>
      </c>
      <c r="J3304">
        <v>10</v>
      </c>
      <c r="K3304">
        <v>0</v>
      </c>
      <c r="L3304">
        <v>2022</v>
      </c>
      <c r="N3304" t="s">
        <v>47</v>
      </c>
      <c r="O3304" t="s">
        <v>47</v>
      </c>
      <c r="P3304" t="s">
        <v>3819</v>
      </c>
    </row>
    <row r="3305" spans="1:16" x14ac:dyDescent="0.3">
      <c r="A3305" t="s">
        <v>685</v>
      </c>
      <c r="B3305" t="s">
        <v>223</v>
      </c>
      <c r="C3305">
        <v>60</v>
      </c>
      <c r="D3305" t="s">
        <v>10</v>
      </c>
      <c r="E3305" t="s">
        <v>686</v>
      </c>
      <c r="F3305" s="43">
        <v>44770.208333333336</v>
      </c>
      <c r="G3305" s="43">
        <v>44770.25</v>
      </c>
      <c r="H3305">
        <v>5</v>
      </c>
      <c r="I3305">
        <v>0</v>
      </c>
      <c r="J3305">
        <v>6</v>
      </c>
      <c r="K3305">
        <v>0</v>
      </c>
      <c r="L3305">
        <v>2022</v>
      </c>
      <c r="N3305" t="s">
        <v>629</v>
      </c>
      <c r="O3305" t="s">
        <v>47</v>
      </c>
      <c r="P3305" t="s">
        <v>687</v>
      </c>
    </row>
    <row r="3306" spans="1:16" x14ac:dyDescent="0.3">
      <c r="A3306" t="s">
        <v>688</v>
      </c>
      <c r="B3306" t="s">
        <v>223</v>
      </c>
      <c r="C3306">
        <v>60</v>
      </c>
      <c r="D3306" t="s">
        <v>10</v>
      </c>
      <c r="E3306" t="s">
        <v>617</v>
      </c>
      <c r="F3306" s="43">
        <v>44769.708333333336</v>
      </c>
      <c r="G3306" s="43">
        <v>44769.75</v>
      </c>
      <c r="H3306">
        <v>17</v>
      </c>
      <c r="I3306">
        <v>0</v>
      </c>
      <c r="J3306">
        <v>18</v>
      </c>
      <c r="K3306">
        <v>0</v>
      </c>
      <c r="L3306">
        <v>2022</v>
      </c>
      <c r="N3306" t="s">
        <v>47</v>
      </c>
      <c r="O3306" t="s">
        <v>47</v>
      </c>
      <c r="P3306" t="s">
        <v>689</v>
      </c>
    </row>
    <row r="3307" spans="1:16" x14ac:dyDescent="0.3">
      <c r="A3307" t="s">
        <v>688</v>
      </c>
      <c r="B3307" t="s">
        <v>223</v>
      </c>
      <c r="C3307">
        <v>60</v>
      </c>
      <c r="D3307" t="s">
        <v>10</v>
      </c>
      <c r="E3307" t="s">
        <v>617</v>
      </c>
      <c r="F3307" s="43">
        <v>44769.645833333336</v>
      </c>
      <c r="G3307" s="43">
        <v>44769.6875</v>
      </c>
      <c r="H3307">
        <v>15</v>
      </c>
      <c r="I3307">
        <v>30</v>
      </c>
      <c r="J3307">
        <v>16</v>
      </c>
      <c r="K3307">
        <v>30</v>
      </c>
      <c r="L3307">
        <v>2022</v>
      </c>
      <c r="N3307" t="s">
        <v>47</v>
      </c>
      <c r="O3307" t="s">
        <v>47</v>
      </c>
      <c r="P3307" t="s">
        <v>690</v>
      </c>
    </row>
    <row r="3308" spans="1:16" x14ac:dyDescent="0.3">
      <c r="A3308" t="s">
        <v>691</v>
      </c>
      <c r="B3308" t="s">
        <v>6</v>
      </c>
      <c r="C3308">
        <v>30</v>
      </c>
      <c r="D3308" t="s">
        <v>10</v>
      </c>
      <c r="E3308" t="s">
        <v>649</v>
      </c>
      <c r="F3308" s="43">
        <v>44769.604166666664</v>
      </c>
      <c r="G3308" s="43">
        <v>44769.625</v>
      </c>
      <c r="H3308">
        <v>14</v>
      </c>
      <c r="I3308">
        <v>30</v>
      </c>
      <c r="J3308">
        <v>15</v>
      </c>
      <c r="K3308">
        <v>0</v>
      </c>
      <c r="L3308">
        <v>2022</v>
      </c>
      <c r="N3308" t="s">
        <v>47</v>
      </c>
      <c r="O3308" t="s">
        <v>47</v>
      </c>
      <c r="P3308" t="s">
        <v>692</v>
      </c>
    </row>
    <row r="3309" spans="1:16" x14ac:dyDescent="0.3">
      <c r="A3309" t="s">
        <v>24</v>
      </c>
      <c r="B3309" t="s">
        <v>31</v>
      </c>
      <c r="C3309">
        <v>30</v>
      </c>
      <c r="D3309" t="s">
        <v>10</v>
      </c>
      <c r="F3309" s="43">
        <v>44769.583333333336</v>
      </c>
      <c r="G3309" s="43">
        <v>44769.604166666664</v>
      </c>
      <c r="H3309">
        <v>14</v>
      </c>
      <c r="I3309">
        <v>0</v>
      </c>
      <c r="J3309">
        <v>14</v>
      </c>
      <c r="K3309">
        <v>30</v>
      </c>
      <c r="L3309">
        <v>2022</v>
      </c>
      <c r="N3309" t="s">
        <v>47</v>
      </c>
      <c r="O3309" t="s">
        <v>47</v>
      </c>
      <c r="P3309" t="s">
        <v>1016</v>
      </c>
    </row>
    <row r="3310" spans="1:16" x14ac:dyDescent="0.3">
      <c r="A3310" t="s">
        <v>693</v>
      </c>
      <c r="B3310" t="s">
        <v>223</v>
      </c>
      <c r="C3310">
        <v>60</v>
      </c>
      <c r="D3310" t="s">
        <v>10</v>
      </c>
      <c r="E3310" t="s">
        <v>617</v>
      </c>
      <c r="F3310" s="43">
        <v>44769.541666666664</v>
      </c>
      <c r="G3310" s="43">
        <v>44769.583333333336</v>
      </c>
      <c r="H3310">
        <v>13</v>
      </c>
      <c r="I3310">
        <v>0</v>
      </c>
      <c r="J3310">
        <v>14</v>
      </c>
      <c r="K3310">
        <v>0</v>
      </c>
      <c r="L3310">
        <v>2022</v>
      </c>
      <c r="N3310" t="s">
        <v>47</v>
      </c>
      <c r="O3310" t="s">
        <v>47</v>
      </c>
      <c r="P3310" t="s">
        <v>694</v>
      </c>
    </row>
    <row r="3311" spans="1:16" x14ac:dyDescent="0.3">
      <c r="A3311" t="s">
        <v>698</v>
      </c>
      <c r="B3311" t="s">
        <v>6</v>
      </c>
      <c r="C3311">
        <v>60</v>
      </c>
      <c r="D3311" t="s">
        <v>10</v>
      </c>
      <c r="E3311" t="s">
        <v>515</v>
      </c>
      <c r="F3311" s="43">
        <v>44769.458333333336</v>
      </c>
      <c r="G3311" s="43">
        <v>44769.5</v>
      </c>
      <c r="H3311">
        <v>11</v>
      </c>
      <c r="I3311">
        <v>0</v>
      </c>
      <c r="J3311">
        <v>12</v>
      </c>
      <c r="K3311">
        <v>0</v>
      </c>
      <c r="L3311">
        <v>2022</v>
      </c>
      <c r="N3311" t="s">
        <v>47</v>
      </c>
      <c r="O3311" t="s">
        <v>47</v>
      </c>
      <c r="P3311" t="s">
        <v>699</v>
      </c>
    </row>
    <row r="3312" spans="1:16" x14ac:dyDescent="0.3">
      <c r="A3312" t="s">
        <v>36</v>
      </c>
      <c r="B3312" t="s">
        <v>20</v>
      </c>
      <c r="C3312">
        <v>15</v>
      </c>
      <c r="D3312" t="s">
        <v>10</v>
      </c>
      <c r="E3312" t="s">
        <v>696</v>
      </c>
      <c r="F3312" s="43">
        <v>44769.447916666664</v>
      </c>
      <c r="G3312" s="43">
        <v>44769.458333333336</v>
      </c>
      <c r="H3312">
        <v>10</v>
      </c>
      <c r="I3312">
        <v>45</v>
      </c>
      <c r="J3312">
        <v>11</v>
      </c>
      <c r="K3312">
        <v>0</v>
      </c>
      <c r="L3312">
        <v>2022</v>
      </c>
      <c r="N3312" t="s">
        <v>47</v>
      </c>
      <c r="O3312" t="s">
        <v>47</v>
      </c>
      <c r="P3312" t="s">
        <v>697</v>
      </c>
    </row>
    <row r="3313" spans="1:16" x14ac:dyDescent="0.3">
      <c r="A3313" t="s">
        <v>42</v>
      </c>
      <c r="B3313" t="s">
        <v>6</v>
      </c>
      <c r="C3313">
        <v>15</v>
      </c>
      <c r="D3313" t="s">
        <v>10</v>
      </c>
      <c r="E3313" t="s">
        <v>649</v>
      </c>
      <c r="F3313" s="43">
        <v>44769.416666666664</v>
      </c>
      <c r="G3313" s="43">
        <v>44769.427083333336</v>
      </c>
      <c r="H3313">
        <v>10</v>
      </c>
      <c r="I3313">
        <v>0</v>
      </c>
      <c r="J3313">
        <v>10</v>
      </c>
      <c r="K3313">
        <v>15</v>
      </c>
      <c r="L3313">
        <v>2022</v>
      </c>
      <c r="N3313" t="s">
        <v>47</v>
      </c>
      <c r="O3313" t="s">
        <v>47</v>
      </c>
      <c r="P3313" t="s">
        <v>700</v>
      </c>
    </row>
    <row r="3314" spans="1:16" x14ac:dyDescent="0.3">
      <c r="A3314" t="s">
        <v>8</v>
      </c>
      <c r="B3314" t="s">
        <v>6</v>
      </c>
      <c r="C3314">
        <v>30</v>
      </c>
      <c r="D3314" t="s">
        <v>10</v>
      </c>
      <c r="E3314" t="s">
        <v>515</v>
      </c>
      <c r="F3314" s="43">
        <v>44769.3125</v>
      </c>
      <c r="G3314" s="43">
        <v>44769.333333333336</v>
      </c>
      <c r="H3314">
        <v>7</v>
      </c>
      <c r="I3314">
        <v>30</v>
      </c>
      <c r="J3314">
        <v>8</v>
      </c>
      <c r="K3314">
        <v>0</v>
      </c>
      <c r="L3314">
        <v>2022</v>
      </c>
      <c r="N3314" t="s">
        <v>47</v>
      </c>
      <c r="O3314" t="s">
        <v>47</v>
      </c>
      <c r="P3314" t="s">
        <v>701</v>
      </c>
    </row>
    <row r="3315" spans="1:16" x14ac:dyDescent="0.3">
      <c r="A3315" t="s">
        <v>706</v>
      </c>
      <c r="B3315" t="s">
        <v>6</v>
      </c>
      <c r="C3315">
        <v>30</v>
      </c>
      <c r="D3315" t="s">
        <v>10</v>
      </c>
      <c r="E3315" t="s">
        <v>515</v>
      </c>
      <c r="F3315" s="43">
        <v>44769.25</v>
      </c>
      <c r="G3315" s="43">
        <v>44769.270833333336</v>
      </c>
      <c r="H3315">
        <v>6</v>
      </c>
      <c r="I3315">
        <v>0</v>
      </c>
      <c r="J3315">
        <v>6</v>
      </c>
      <c r="K3315">
        <v>30</v>
      </c>
      <c r="L3315">
        <v>2022</v>
      </c>
      <c r="N3315" t="s">
        <v>47</v>
      </c>
      <c r="O3315" t="s">
        <v>47</v>
      </c>
      <c r="P3315" t="s">
        <v>707</v>
      </c>
    </row>
    <row r="3316" spans="1:16" x14ac:dyDescent="0.3">
      <c r="A3316" t="s">
        <v>710</v>
      </c>
      <c r="B3316" t="s">
        <v>223</v>
      </c>
      <c r="C3316">
        <v>30</v>
      </c>
      <c r="D3316" t="s">
        <v>10</v>
      </c>
      <c r="E3316" t="s">
        <v>686</v>
      </c>
      <c r="F3316" s="43">
        <v>44769.208333333336</v>
      </c>
      <c r="G3316" s="43">
        <v>44769.229166666664</v>
      </c>
      <c r="H3316">
        <v>5</v>
      </c>
      <c r="I3316">
        <v>0</v>
      </c>
      <c r="J3316">
        <v>5</v>
      </c>
      <c r="K3316">
        <v>30</v>
      </c>
      <c r="L3316">
        <v>2022</v>
      </c>
      <c r="N3316" t="s">
        <v>629</v>
      </c>
      <c r="O3316" t="s">
        <v>47</v>
      </c>
      <c r="P3316" t="s">
        <v>711</v>
      </c>
    </row>
    <row r="3317" spans="1:16" x14ac:dyDescent="0.3">
      <c r="A3317" t="s">
        <v>708</v>
      </c>
      <c r="B3317" t="s">
        <v>223</v>
      </c>
      <c r="C3317">
        <v>80</v>
      </c>
      <c r="D3317" t="s">
        <v>10</v>
      </c>
      <c r="E3317" t="s">
        <v>617</v>
      </c>
      <c r="F3317" s="43">
        <v>44768.791666666664</v>
      </c>
      <c r="G3317" s="43">
        <v>44768.847222222219</v>
      </c>
      <c r="H3317">
        <v>19</v>
      </c>
      <c r="I3317">
        <v>0</v>
      </c>
      <c r="J3317">
        <v>20</v>
      </c>
      <c r="K3317">
        <v>20</v>
      </c>
      <c r="L3317">
        <v>2022</v>
      </c>
      <c r="N3317" t="s">
        <v>47</v>
      </c>
      <c r="O3317" t="s">
        <v>47</v>
      </c>
      <c r="P3317" t="s">
        <v>709</v>
      </c>
    </row>
    <row r="3318" spans="1:16" x14ac:dyDescent="0.3">
      <c r="A3318" t="s">
        <v>712</v>
      </c>
      <c r="B3318" t="s">
        <v>223</v>
      </c>
      <c r="C3318">
        <v>30</v>
      </c>
      <c r="D3318" t="s">
        <v>10</v>
      </c>
      <c r="E3318" t="s">
        <v>713</v>
      </c>
      <c r="F3318" s="43">
        <v>44768.697916666664</v>
      </c>
      <c r="G3318" s="43">
        <v>44768.71875</v>
      </c>
      <c r="H3318">
        <v>16</v>
      </c>
      <c r="I3318">
        <v>45</v>
      </c>
      <c r="J3318">
        <v>17</v>
      </c>
      <c r="K3318">
        <v>15</v>
      </c>
      <c r="L3318">
        <v>2022</v>
      </c>
      <c r="N3318" t="s">
        <v>47</v>
      </c>
      <c r="O3318" t="s">
        <v>47</v>
      </c>
      <c r="P3318" t="s">
        <v>714</v>
      </c>
    </row>
    <row r="3319" spans="1:16" x14ac:dyDescent="0.3">
      <c r="A3319" t="s">
        <v>712</v>
      </c>
      <c r="B3319" t="s">
        <v>223</v>
      </c>
      <c r="C3319">
        <v>60</v>
      </c>
      <c r="D3319" t="s">
        <v>10</v>
      </c>
      <c r="E3319" t="s">
        <v>713</v>
      </c>
      <c r="F3319" s="43">
        <v>44768.645833333336</v>
      </c>
      <c r="G3319" s="43">
        <v>44768.6875</v>
      </c>
      <c r="H3319">
        <v>15</v>
      </c>
      <c r="I3319">
        <v>30</v>
      </c>
      <c r="J3319">
        <v>16</v>
      </c>
      <c r="K3319">
        <v>30</v>
      </c>
      <c r="L3319">
        <v>2022</v>
      </c>
      <c r="N3319" t="s">
        <v>47</v>
      </c>
      <c r="O3319" t="s">
        <v>47</v>
      </c>
      <c r="P3319" t="s">
        <v>715</v>
      </c>
    </row>
    <row r="3320" spans="1:16" x14ac:dyDescent="0.3">
      <c r="A3320" t="s">
        <v>716</v>
      </c>
      <c r="B3320" t="s">
        <v>223</v>
      </c>
      <c r="C3320">
        <v>60</v>
      </c>
      <c r="D3320" t="s">
        <v>10</v>
      </c>
      <c r="E3320" t="s">
        <v>617</v>
      </c>
      <c r="F3320" s="43">
        <v>44768.572916666664</v>
      </c>
      <c r="G3320" s="43">
        <v>44768.614583333336</v>
      </c>
      <c r="H3320">
        <v>13</v>
      </c>
      <c r="I3320">
        <v>45</v>
      </c>
      <c r="J3320">
        <v>14</v>
      </c>
      <c r="K3320">
        <v>45</v>
      </c>
      <c r="L3320">
        <v>2022</v>
      </c>
      <c r="N3320" t="s">
        <v>47</v>
      </c>
      <c r="O3320" t="s">
        <v>47</v>
      </c>
      <c r="P3320" t="s">
        <v>717</v>
      </c>
    </row>
    <row r="3321" spans="1:16" x14ac:dyDescent="0.3">
      <c r="A3321" t="s">
        <v>718</v>
      </c>
      <c r="B3321" t="s">
        <v>109</v>
      </c>
      <c r="C3321">
        <v>45</v>
      </c>
      <c r="D3321" t="s">
        <v>10</v>
      </c>
      <c r="E3321" t="s">
        <v>719</v>
      </c>
      <c r="F3321" s="43">
        <v>44768.541666666664</v>
      </c>
      <c r="G3321" s="43">
        <v>44768.572916666664</v>
      </c>
      <c r="H3321">
        <v>13</v>
      </c>
      <c r="I3321">
        <v>0</v>
      </c>
      <c r="J3321">
        <v>13</v>
      </c>
      <c r="K3321">
        <v>45</v>
      </c>
      <c r="L3321">
        <v>2022</v>
      </c>
      <c r="N3321" t="s">
        <v>47</v>
      </c>
      <c r="O3321" t="s">
        <v>47</v>
      </c>
      <c r="P3321" t="s">
        <v>720</v>
      </c>
    </row>
    <row r="3322" spans="1:16" x14ac:dyDescent="0.3">
      <c r="A3322" t="s">
        <v>721</v>
      </c>
      <c r="B3322" t="s">
        <v>109</v>
      </c>
      <c r="C3322">
        <v>30</v>
      </c>
      <c r="D3322" t="s">
        <v>10</v>
      </c>
      <c r="E3322" t="s">
        <v>719</v>
      </c>
      <c r="F3322" s="43">
        <v>44768.4375</v>
      </c>
      <c r="G3322" s="43">
        <v>44768.458333333336</v>
      </c>
      <c r="H3322">
        <v>10</v>
      </c>
      <c r="I3322">
        <v>30</v>
      </c>
      <c r="J3322">
        <v>11</v>
      </c>
      <c r="K3322">
        <v>0</v>
      </c>
      <c r="L3322">
        <v>2022</v>
      </c>
      <c r="N3322" t="s">
        <v>47</v>
      </c>
      <c r="O3322" t="s">
        <v>47</v>
      </c>
      <c r="P3322" t="s">
        <v>722</v>
      </c>
    </row>
    <row r="3323" spans="1:16" x14ac:dyDescent="0.3">
      <c r="A3323" t="s">
        <v>760</v>
      </c>
      <c r="B3323" t="s">
        <v>223</v>
      </c>
      <c r="C3323">
        <v>30</v>
      </c>
      <c r="D3323" t="s">
        <v>10</v>
      </c>
      <c r="E3323" t="s">
        <v>729</v>
      </c>
      <c r="F3323" s="43">
        <v>44768.416666666664</v>
      </c>
      <c r="G3323" s="43">
        <v>44768.4375</v>
      </c>
      <c r="H3323">
        <v>10</v>
      </c>
      <c r="I3323">
        <v>0</v>
      </c>
      <c r="J3323">
        <v>10</v>
      </c>
      <c r="K3323">
        <v>30</v>
      </c>
      <c r="L3323">
        <v>2022</v>
      </c>
      <c r="N3323" t="s">
        <v>761</v>
      </c>
      <c r="O3323" t="s">
        <v>762</v>
      </c>
      <c r="P3323" t="s">
        <v>763</v>
      </c>
    </row>
    <row r="3324" spans="1:16" x14ac:dyDescent="0.3">
      <c r="A3324" t="s">
        <v>741</v>
      </c>
      <c r="B3324" t="s">
        <v>109</v>
      </c>
      <c r="C3324">
        <v>30</v>
      </c>
      <c r="D3324" t="s">
        <v>10</v>
      </c>
      <c r="E3324" t="s">
        <v>742</v>
      </c>
      <c r="F3324" s="43">
        <v>44768.395833333336</v>
      </c>
      <c r="G3324" s="43">
        <v>44768.416666666664</v>
      </c>
      <c r="H3324">
        <v>9</v>
      </c>
      <c r="I3324">
        <v>30</v>
      </c>
      <c r="J3324">
        <v>10</v>
      </c>
      <c r="K3324">
        <v>0</v>
      </c>
      <c r="L3324">
        <v>2022</v>
      </c>
      <c r="N3324" t="s">
        <v>527</v>
      </c>
      <c r="O3324" t="s">
        <v>48</v>
      </c>
      <c r="P3324" t="s">
        <v>743</v>
      </c>
    </row>
    <row r="3325" spans="1:16" x14ac:dyDescent="0.3">
      <c r="A3325" t="s">
        <v>721</v>
      </c>
      <c r="B3325" t="s">
        <v>109</v>
      </c>
      <c r="C3325">
        <v>30</v>
      </c>
      <c r="D3325" t="s">
        <v>10</v>
      </c>
      <c r="E3325" t="s">
        <v>719</v>
      </c>
      <c r="F3325" s="43">
        <v>44768.375</v>
      </c>
      <c r="G3325" s="43">
        <v>44768.395833333336</v>
      </c>
      <c r="H3325">
        <v>9</v>
      </c>
      <c r="I3325">
        <v>0</v>
      </c>
      <c r="J3325">
        <v>9</v>
      </c>
      <c r="K3325">
        <v>30</v>
      </c>
      <c r="L3325">
        <v>2022</v>
      </c>
      <c r="N3325" t="s">
        <v>47</v>
      </c>
      <c r="O3325" t="s">
        <v>47</v>
      </c>
      <c r="P3325" t="s">
        <v>727</v>
      </c>
    </row>
    <row r="3326" spans="1:16" x14ac:dyDescent="0.3">
      <c r="A3326" t="s">
        <v>728</v>
      </c>
      <c r="B3326" t="s">
        <v>223</v>
      </c>
      <c r="C3326">
        <v>45</v>
      </c>
      <c r="D3326" t="s">
        <v>10</v>
      </c>
      <c r="E3326" t="s">
        <v>729</v>
      </c>
      <c r="F3326" s="43">
        <v>44768.322916666664</v>
      </c>
      <c r="G3326" s="43">
        <v>44768.354166666664</v>
      </c>
      <c r="H3326">
        <v>7</v>
      </c>
      <c r="I3326">
        <v>45</v>
      </c>
      <c r="J3326">
        <v>8</v>
      </c>
      <c r="K3326">
        <v>30</v>
      </c>
      <c r="L3326">
        <v>2022</v>
      </c>
      <c r="N3326" t="s">
        <v>47</v>
      </c>
      <c r="O3326" t="s">
        <v>47</v>
      </c>
      <c r="P3326" t="s">
        <v>730</v>
      </c>
    </row>
    <row r="3327" spans="1:16" x14ac:dyDescent="0.3">
      <c r="A3327" t="s">
        <v>731</v>
      </c>
      <c r="B3327" t="s">
        <v>6</v>
      </c>
      <c r="C3327">
        <v>45</v>
      </c>
      <c r="D3327" t="s">
        <v>10</v>
      </c>
      <c r="E3327" t="s">
        <v>649</v>
      </c>
      <c r="F3327" s="43">
        <v>44768.260416666664</v>
      </c>
      <c r="G3327" s="43">
        <v>44768.291666666664</v>
      </c>
      <c r="H3327">
        <v>6</v>
      </c>
      <c r="I3327">
        <v>15</v>
      </c>
      <c r="J3327">
        <v>7</v>
      </c>
      <c r="K3327">
        <v>0</v>
      </c>
      <c r="L3327">
        <v>2022</v>
      </c>
      <c r="N3327" t="s">
        <v>47</v>
      </c>
      <c r="O3327" t="s">
        <v>47</v>
      </c>
      <c r="P3327" t="s">
        <v>732</v>
      </c>
    </row>
    <row r="3328" spans="1:16" x14ac:dyDescent="0.3">
      <c r="A3328" t="s">
        <v>733</v>
      </c>
      <c r="B3328" t="s">
        <v>6</v>
      </c>
      <c r="C3328">
        <v>45</v>
      </c>
      <c r="D3328" t="s">
        <v>10</v>
      </c>
      <c r="E3328" t="s">
        <v>515</v>
      </c>
      <c r="F3328" s="43">
        <v>44768.229166666664</v>
      </c>
      <c r="G3328" s="43">
        <v>44768.260416666664</v>
      </c>
      <c r="H3328">
        <v>5</v>
      </c>
      <c r="I3328">
        <v>30</v>
      </c>
      <c r="J3328">
        <v>6</v>
      </c>
      <c r="K3328">
        <v>15</v>
      </c>
      <c r="L3328">
        <v>2022</v>
      </c>
      <c r="N3328" t="s">
        <v>47</v>
      </c>
      <c r="O3328" t="s">
        <v>47</v>
      </c>
      <c r="P3328" t="s">
        <v>734</v>
      </c>
    </row>
    <row r="3329" spans="1:16" x14ac:dyDescent="0.3">
      <c r="A3329" t="s">
        <v>446</v>
      </c>
      <c r="B3329" t="s">
        <v>6</v>
      </c>
      <c r="C3329">
        <v>30</v>
      </c>
      <c r="D3329" t="s">
        <v>10</v>
      </c>
      <c r="E3329" t="s">
        <v>447</v>
      </c>
      <c r="F3329" s="43">
        <v>44767.822916666664</v>
      </c>
      <c r="G3329" s="43">
        <v>44767.84375</v>
      </c>
      <c r="H3329">
        <v>19</v>
      </c>
      <c r="I3329">
        <v>45</v>
      </c>
      <c r="J3329">
        <v>20</v>
      </c>
      <c r="K3329">
        <v>15</v>
      </c>
      <c r="L3329">
        <v>2022</v>
      </c>
      <c r="N3329" t="s">
        <v>47</v>
      </c>
      <c r="O3329" t="s">
        <v>47</v>
      </c>
      <c r="P3329" t="s">
        <v>756</v>
      </c>
    </row>
    <row r="3330" spans="1:16" x14ac:dyDescent="0.3">
      <c r="A3330" t="s">
        <v>735</v>
      </c>
      <c r="B3330" t="s">
        <v>109</v>
      </c>
      <c r="C3330">
        <v>30</v>
      </c>
      <c r="D3330" t="s">
        <v>10</v>
      </c>
      <c r="E3330" t="s">
        <v>736</v>
      </c>
      <c r="F3330" s="43">
        <v>44767.729166666664</v>
      </c>
      <c r="G3330" s="43">
        <v>44767.75</v>
      </c>
      <c r="H3330">
        <v>17</v>
      </c>
      <c r="I3330">
        <v>30</v>
      </c>
      <c r="J3330">
        <v>18</v>
      </c>
      <c r="K3330">
        <v>0</v>
      </c>
      <c r="L3330">
        <v>2022</v>
      </c>
      <c r="N3330" t="s">
        <v>47</v>
      </c>
      <c r="O3330" t="s">
        <v>47</v>
      </c>
      <c r="P3330" t="s">
        <v>737</v>
      </c>
    </row>
    <row r="3331" spans="1:16" x14ac:dyDescent="0.3">
      <c r="A3331" t="s">
        <v>721</v>
      </c>
      <c r="B3331" t="s">
        <v>109</v>
      </c>
      <c r="C3331">
        <v>45</v>
      </c>
      <c r="D3331" t="s">
        <v>10</v>
      </c>
      <c r="E3331" t="s">
        <v>719</v>
      </c>
      <c r="F3331" s="43">
        <v>44767.6875</v>
      </c>
      <c r="G3331" s="43">
        <v>44767.71875</v>
      </c>
      <c r="H3331">
        <v>16</v>
      </c>
      <c r="I3331">
        <v>30</v>
      </c>
      <c r="J3331">
        <v>17</v>
      </c>
      <c r="K3331">
        <v>15</v>
      </c>
      <c r="L3331">
        <v>2022</v>
      </c>
      <c r="N3331" t="s">
        <v>47</v>
      </c>
      <c r="O3331" t="s">
        <v>47</v>
      </c>
      <c r="P3331" t="s">
        <v>738</v>
      </c>
    </row>
    <row r="3332" spans="1:16" x14ac:dyDescent="0.3">
      <c r="A3332" t="s">
        <v>735</v>
      </c>
      <c r="B3332" t="s">
        <v>109</v>
      </c>
      <c r="C3332">
        <v>45</v>
      </c>
      <c r="D3332" t="s">
        <v>10</v>
      </c>
      <c r="E3332" t="s">
        <v>736</v>
      </c>
      <c r="F3332" s="43">
        <v>44767.65625</v>
      </c>
      <c r="G3332" s="43">
        <v>44767.6875</v>
      </c>
      <c r="H3332">
        <v>15</v>
      </c>
      <c r="I3332">
        <v>45</v>
      </c>
      <c r="J3332">
        <v>16</v>
      </c>
      <c r="K3332">
        <v>30</v>
      </c>
      <c r="L3332">
        <v>2022</v>
      </c>
      <c r="N3332" t="s">
        <v>47</v>
      </c>
      <c r="O3332" t="s">
        <v>47</v>
      </c>
      <c r="P3332" t="s">
        <v>739</v>
      </c>
    </row>
    <row r="3333" spans="1:16" x14ac:dyDescent="0.3">
      <c r="A3333" t="s">
        <v>735</v>
      </c>
      <c r="B3333" t="s">
        <v>109</v>
      </c>
      <c r="C3333">
        <v>45</v>
      </c>
      <c r="D3333" t="s">
        <v>10</v>
      </c>
      <c r="E3333" t="s">
        <v>736</v>
      </c>
      <c r="F3333" s="43">
        <v>44767.583333333336</v>
      </c>
      <c r="G3333" s="43">
        <v>44767.614583333336</v>
      </c>
      <c r="H3333">
        <v>14</v>
      </c>
      <c r="I3333">
        <v>0</v>
      </c>
      <c r="J3333">
        <v>14</v>
      </c>
      <c r="K3333">
        <v>45</v>
      </c>
      <c r="L3333">
        <v>2022</v>
      </c>
      <c r="N3333" t="s">
        <v>47</v>
      </c>
      <c r="O3333" t="s">
        <v>47</v>
      </c>
      <c r="P3333" t="s">
        <v>740</v>
      </c>
    </row>
    <row r="3334" spans="1:16" x14ac:dyDescent="0.3">
      <c r="A3334" t="s">
        <v>744</v>
      </c>
      <c r="B3334" t="s">
        <v>109</v>
      </c>
      <c r="C3334">
        <v>40</v>
      </c>
      <c r="D3334" t="s">
        <v>10</v>
      </c>
      <c r="E3334" t="s">
        <v>745</v>
      </c>
      <c r="F3334" s="43">
        <v>44767.555555555555</v>
      </c>
      <c r="G3334" s="43">
        <v>44767.583333333336</v>
      </c>
      <c r="H3334">
        <v>13</v>
      </c>
      <c r="I3334">
        <v>20</v>
      </c>
      <c r="J3334">
        <v>14</v>
      </c>
      <c r="K3334">
        <v>0</v>
      </c>
      <c r="L3334">
        <v>2022</v>
      </c>
      <c r="N3334" t="s">
        <v>47</v>
      </c>
      <c r="O3334" t="s">
        <v>47</v>
      </c>
      <c r="P3334" t="s">
        <v>746</v>
      </c>
    </row>
    <row r="3335" spans="1:16" x14ac:dyDescent="0.3">
      <c r="A3335" t="s">
        <v>751</v>
      </c>
      <c r="B3335" t="s">
        <v>6</v>
      </c>
      <c r="C3335">
        <v>30</v>
      </c>
      <c r="D3335" t="s">
        <v>10</v>
      </c>
      <c r="E3335" t="s">
        <v>515</v>
      </c>
      <c r="F3335" s="43">
        <v>44767.5</v>
      </c>
      <c r="G3335" s="43">
        <v>44767.520833333336</v>
      </c>
      <c r="H3335">
        <v>12</v>
      </c>
      <c r="I3335">
        <v>0</v>
      </c>
      <c r="J3335">
        <v>12</v>
      </c>
      <c r="K3335">
        <v>30</v>
      </c>
      <c r="L3335">
        <v>2022</v>
      </c>
      <c r="N3335" t="s">
        <v>47</v>
      </c>
      <c r="O3335" t="s">
        <v>47</v>
      </c>
      <c r="P3335" t="s">
        <v>752</v>
      </c>
    </row>
    <row r="3336" spans="1:16" x14ac:dyDescent="0.3">
      <c r="A3336" t="s">
        <v>918</v>
      </c>
      <c r="B3336" t="s">
        <v>20</v>
      </c>
      <c r="C3336">
        <v>45</v>
      </c>
      <c r="D3336" t="s">
        <v>10</v>
      </c>
      <c r="E3336" t="s">
        <v>919</v>
      </c>
      <c r="F3336" s="43">
        <v>44767.4375</v>
      </c>
      <c r="G3336" s="43">
        <v>44767.46875</v>
      </c>
      <c r="H3336">
        <v>10</v>
      </c>
      <c r="I3336">
        <v>30</v>
      </c>
      <c r="J3336">
        <v>11</v>
      </c>
      <c r="K3336">
        <v>15</v>
      </c>
      <c r="L3336">
        <v>2022</v>
      </c>
      <c r="N3336" t="s">
        <v>920</v>
      </c>
      <c r="O3336" t="s">
        <v>48</v>
      </c>
      <c r="P3336" t="s">
        <v>921</v>
      </c>
    </row>
    <row r="3337" spans="1:16" x14ac:dyDescent="0.3">
      <c r="A3337" t="s">
        <v>8</v>
      </c>
      <c r="B3337" t="s">
        <v>6</v>
      </c>
      <c r="C3337">
        <v>30</v>
      </c>
      <c r="D3337" t="s">
        <v>10</v>
      </c>
      <c r="E3337" t="s">
        <v>515</v>
      </c>
      <c r="F3337" s="43">
        <v>44767.416666666664</v>
      </c>
      <c r="G3337" s="43">
        <v>44767.4375</v>
      </c>
      <c r="H3337">
        <v>10</v>
      </c>
      <c r="I3337">
        <v>0</v>
      </c>
      <c r="J3337">
        <v>10</v>
      </c>
      <c r="K3337">
        <v>30</v>
      </c>
      <c r="L3337">
        <v>2022</v>
      </c>
      <c r="N3337" t="s">
        <v>47</v>
      </c>
      <c r="O3337" t="s">
        <v>47</v>
      </c>
      <c r="P3337" t="s">
        <v>748</v>
      </c>
    </row>
    <row r="3338" spans="1:16" x14ac:dyDescent="0.3">
      <c r="A3338" t="s">
        <v>749</v>
      </c>
      <c r="B3338" t="s">
        <v>31</v>
      </c>
      <c r="C3338">
        <v>30</v>
      </c>
      <c r="D3338" t="s">
        <v>10</v>
      </c>
      <c r="F3338" s="43">
        <v>44767.395833333336</v>
      </c>
      <c r="G3338" s="43">
        <v>44767.416666666664</v>
      </c>
      <c r="H3338">
        <v>9</v>
      </c>
      <c r="I3338">
        <v>30</v>
      </c>
      <c r="J3338">
        <v>10</v>
      </c>
      <c r="K3338">
        <v>0</v>
      </c>
      <c r="L3338">
        <v>2022</v>
      </c>
      <c r="N3338" t="s">
        <v>47</v>
      </c>
      <c r="O3338" t="s">
        <v>47</v>
      </c>
      <c r="P3338" t="s">
        <v>750</v>
      </c>
    </row>
    <row r="3339" spans="1:16" x14ac:dyDescent="0.3">
      <c r="A3339" t="s">
        <v>8</v>
      </c>
      <c r="B3339" t="s">
        <v>6</v>
      </c>
      <c r="C3339">
        <v>30</v>
      </c>
      <c r="D3339" t="s">
        <v>10</v>
      </c>
      <c r="E3339" t="s">
        <v>515</v>
      </c>
      <c r="F3339" s="43">
        <v>44767.354166666664</v>
      </c>
      <c r="G3339" s="43">
        <v>44767.375</v>
      </c>
      <c r="H3339">
        <v>8</v>
      </c>
      <c r="I3339">
        <v>30</v>
      </c>
      <c r="J3339">
        <v>9</v>
      </c>
      <c r="K3339">
        <v>0</v>
      </c>
      <c r="L3339">
        <v>2022</v>
      </c>
      <c r="N3339" t="s">
        <v>47</v>
      </c>
      <c r="O3339" t="s">
        <v>47</v>
      </c>
      <c r="P3339" t="s">
        <v>747</v>
      </c>
    </row>
    <row r="3340" spans="1:16" x14ac:dyDescent="0.3">
      <c r="A3340" t="s">
        <v>753</v>
      </c>
      <c r="B3340" t="s">
        <v>109</v>
      </c>
      <c r="C3340">
        <v>15</v>
      </c>
      <c r="D3340" t="s">
        <v>10</v>
      </c>
      <c r="E3340" t="s">
        <v>461</v>
      </c>
      <c r="F3340" s="43">
        <v>44767.34375</v>
      </c>
      <c r="G3340" s="43">
        <v>44767.354166666664</v>
      </c>
      <c r="H3340">
        <v>8</v>
      </c>
      <c r="I3340">
        <v>15</v>
      </c>
      <c r="J3340">
        <v>8</v>
      </c>
      <c r="K3340">
        <v>30</v>
      </c>
      <c r="L3340">
        <v>2022</v>
      </c>
      <c r="N3340" t="s">
        <v>47</v>
      </c>
      <c r="O3340" t="s">
        <v>47</v>
      </c>
      <c r="P3340" t="s">
        <v>754</v>
      </c>
    </row>
    <row r="3341" spans="1:16" x14ac:dyDescent="0.3">
      <c r="A3341" t="s">
        <v>23</v>
      </c>
      <c r="B3341" t="s">
        <v>6</v>
      </c>
      <c r="C3341">
        <v>30</v>
      </c>
      <c r="D3341" t="s">
        <v>10</v>
      </c>
      <c r="E3341" t="s">
        <v>447</v>
      </c>
      <c r="F3341" s="43">
        <v>44767.322916666664</v>
      </c>
      <c r="G3341" s="43">
        <v>44767.34375</v>
      </c>
      <c r="H3341">
        <v>7</v>
      </c>
      <c r="I3341">
        <v>45</v>
      </c>
      <c r="J3341">
        <v>8</v>
      </c>
      <c r="K3341">
        <v>15</v>
      </c>
      <c r="L3341">
        <v>2022</v>
      </c>
      <c r="N3341" t="s">
        <v>47</v>
      </c>
      <c r="O3341" t="s">
        <v>47</v>
      </c>
      <c r="P3341" t="s">
        <v>755</v>
      </c>
    </row>
    <row r="3342" spans="1:16" x14ac:dyDescent="0.3">
      <c r="A3342" t="s">
        <v>757</v>
      </c>
      <c r="B3342" t="s">
        <v>223</v>
      </c>
      <c r="C3342">
        <v>30</v>
      </c>
      <c r="D3342" t="s">
        <v>10</v>
      </c>
      <c r="E3342" t="s">
        <v>713</v>
      </c>
      <c r="F3342" s="43">
        <v>44767.270833333336</v>
      </c>
      <c r="G3342" s="43">
        <v>44767.291666666664</v>
      </c>
      <c r="H3342">
        <v>6</v>
      </c>
      <c r="I3342">
        <v>30</v>
      </c>
      <c r="J3342">
        <v>7</v>
      </c>
      <c r="K3342">
        <v>0</v>
      </c>
      <c r="L3342">
        <v>2022</v>
      </c>
      <c r="N3342" t="s">
        <v>47</v>
      </c>
      <c r="O3342" t="s">
        <v>47</v>
      </c>
      <c r="P3342" t="s">
        <v>759</v>
      </c>
    </row>
    <row r="3343" spans="1:16" x14ac:dyDescent="0.3">
      <c r="A3343" t="s">
        <v>757</v>
      </c>
      <c r="B3343" t="s">
        <v>223</v>
      </c>
      <c r="C3343">
        <v>90</v>
      </c>
      <c r="D3343" t="s">
        <v>10</v>
      </c>
      <c r="E3343" t="s">
        <v>713</v>
      </c>
      <c r="F3343" s="43">
        <v>44766.666666666664</v>
      </c>
      <c r="G3343" s="43">
        <v>44766.729166666664</v>
      </c>
      <c r="H3343">
        <v>16</v>
      </c>
      <c r="I3343">
        <v>0</v>
      </c>
      <c r="J3343">
        <v>17</v>
      </c>
      <c r="K3343">
        <v>30</v>
      </c>
      <c r="L3343">
        <v>2022</v>
      </c>
      <c r="N3343" t="s">
        <v>47</v>
      </c>
      <c r="O3343" t="s">
        <v>47</v>
      </c>
      <c r="P3343" t="s">
        <v>758</v>
      </c>
    </row>
    <row r="3344" spans="1:16" x14ac:dyDescent="0.3">
      <c r="A3344" t="s">
        <v>764</v>
      </c>
      <c r="B3344" t="s">
        <v>109</v>
      </c>
      <c r="C3344">
        <v>45</v>
      </c>
      <c r="D3344" t="s">
        <v>10</v>
      </c>
      <c r="E3344" t="s">
        <v>719</v>
      </c>
      <c r="F3344" s="43">
        <v>44766.614583333336</v>
      </c>
      <c r="G3344" s="43">
        <v>44766.645833333336</v>
      </c>
      <c r="H3344">
        <v>14</v>
      </c>
      <c r="I3344">
        <v>45</v>
      </c>
      <c r="J3344">
        <v>15</v>
      </c>
      <c r="K3344">
        <v>30</v>
      </c>
      <c r="L3344">
        <v>2022</v>
      </c>
      <c r="N3344" t="s">
        <v>47</v>
      </c>
      <c r="O3344" t="s">
        <v>47</v>
      </c>
      <c r="P3344" t="s">
        <v>765</v>
      </c>
    </row>
    <row r="3345" spans="1:16" x14ac:dyDescent="0.3">
      <c r="A3345" t="s">
        <v>721</v>
      </c>
      <c r="B3345" t="s">
        <v>109</v>
      </c>
      <c r="C3345">
        <v>60</v>
      </c>
      <c r="D3345" t="s">
        <v>10</v>
      </c>
      <c r="E3345" t="s">
        <v>719</v>
      </c>
      <c r="F3345" s="43">
        <v>44766.520833333336</v>
      </c>
      <c r="G3345" s="43">
        <v>44766.5625</v>
      </c>
      <c r="H3345">
        <v>12</v>
      </c>
      <c r="I3345">
        <v>30</v>
      </c>
      <c r="J3345">
        <v>13</v>
      </c>
      <c r="K3345">
        <v>30</v>
      </c>
      <c r="L3345">
        <v>2022</v>
      </c>
      <c r="N3345" t="s">
        <v>47</v>
      </c>
      <c r="O3345" t="s">
        <v>47</v>
      </c>
      <c r="P3345" t="s">
        <v>766</v>
      </c>
    </row>
    <row r="3346" spans="1:16" x14ac:dyDescent="0.3">
      <c r="A3346" t="s">
        <v>767</v>
      </c>
      <c r="B3346" t="s">
        <v>109</v>
      </c>
      <c r="C3346">
        <v>60</v>
      </c>
      <c r="D3346" t="s">
        <v>10</v>
      </c>
      <c r="E3346" t="s">
        <v>745</v>
      </c>
      <c r="F3346" s="1">
        <v>44766.260416666664</v>
      </c>
      <c r="G3346" s="43">
        <v>44766.302083333336</v>
      </c>
      <c r="H3346">
        <v>6</v>
      </c>
      <c r="I3346">
        <v>15</v>
      </c>
      <c r="J3346">
        <v>7</v>
      </c>
      <c r="K3346">
        <v>15</v>
      </c>
      <c r="L3346">
        <v>2022</v>
      </c>
      <c r="N3346" t="s">
        <v>47</v>
      </c>
      <c r="O3346" t="s">
        <v>47</v>
      </c>
      <c r="P3346" t="s">
        <v>768</v>
      </c>
    </row>
    <row r="3347" spans="1:16" x14ac:dyDescent="0.3">
      <c r="A3347" t="s">
        <v>767</v>
      </c>
      <c r="B3347" t="s">
        <v>109</v>
      </c>
      <c r="C3347">
        <v>45</v>
      </c>
      <c r="D3347" t="s">
        <v>10</v>
      </c>
      <c r="E3347" t="s">
        <v>745</v>
      </c>
      <c r="F3347" s="43">
        <v>44765.791666666664</v>
      </c>
      <c r="G3347" s="43">
        <v>44765.822916666664</v>
      </c>
      <c r="H3347">
        <v>19</v>
      </c>
      <c r="I3347">
        <v>0</v>
      </c>
      <c r="J3347">
        <v>19</v>
      </c>
      <c r="K3347">
        <v>45</v>
      </c>
      <c r="L3347">
        <v>2022</v>
      </c>
      <c r="N3347" t="s">
        <v>47</v>
      </c>
      <c r="O3347" t="s">
        <v>47</v>
      </c>
      <c r="P3347" t="s">
        <v>769</v>
      </c>
    </row>
    <row r="3348" spans="1:16" x14ac:dyDescent="0.3">
      <c r="A3348" t="s">
        <v>767</v>
      </c>
      <c r="B3348" t="s">
        <v>109</v>
      </c>
      <c r="C3348">
        <v>40</v>
      </c>
      <c r="D3348" t="s">
        <v>10</v>
      </c>
      <c r="E3348" t="s">
        <v>745</v>
      </c>
      <c r="F3348" s="43">
        <v>44765.715277777781</v>
      </c>
      <c r="G3348" s="43">
        <v>44765.743055555555</v>
      </c>
      <c r="H3348">
        <v>17</v>
      </c>
      <c r="I3348">
        <v>10</v>
      </c>
      <c r="J3348">
        <v>17</v>
      </c>
      <c r="K3348">
        <v>50</v>
      </c>
      <c r="L3348">
        <v>2022</v>
      </c>
      <c r="N3348" t="s">
        <v>47</v>
      </c>
      <c r="O3348" t="s">
        <v>47</v>
      </c>
      <c r="P3348" t="s">
        <v>770</v>
      </c>
    </row>
    <row r="3349" spans="1:16" x14ac:dyDescent="0.3">
      <c r="A3349" t="s">
        <v>771</v>
      </c>
      <c r="B3349" t="s">
        <v>6</v>
      </c>
      <c r="C3349">
        <v>30</v>
      </c>
      <c r="D3349" t="s">
        <v>10</v>
      </c>
      <c r="E3349" t="s">
        <v>515</v>
      </c>
      <c r="F3349" s="43">
        <v>44765.6875</v>
      </c>
      <c r="G3349" s="43">
        <v>44765.708333333336</v>
      </c>
      <c r="H3349">
        <v>16</v>
      </c>
      <c r="I3349">
        <v>30</v>
      </c>
      <c r="J3349">
        <v>17</v>
      </c>
      <c r="K3349">
        <v>0</v>
      </c>
      <c r="L3349">
        <v>2022</v>
      </c>
      <c r="N3349" t="s">
        <v>47</v>
      </c>
      <c r="O3349" t="s">
        <v>47</v>
      </c>
      <c r="P3349" t="s">
        <v>772</v>
      </c>
    </row>
    <row r="3350" spans="1:16" x14ac:dyDescent="0.3">
      <c r="A3350" t="s">
        <v>773</v>
      </c>
      <c r="B3350" t="s">
        <v>6</v>
      </c>
      <c r="C3350">
        <v>30</v>
      </c>
      <c r="D3350" t="s">
        <v>10</v>
      </c>
      <c r="E3350" t="s">
        <v>649</v>
      </c>
      <c r="F3350" s="43">
        <v>44765.645833333336</v>
      </c>
      <c r="G3350" s="43">
        <v>44765.666666666664</v>
      </c>
      <c r="H3350">
        <v>15</v>
      </c>
      <c r="I3350">
        <v>30</v>
      </c>
      <c r="J3350">
        <v>16</v>
      </c>
      <c r="K3350">
        <v>0</v>
      </c>
      <c r="L3350">
        <v>2022</v>
      </c>
      <c r="N3350" t="s">
        <v>47</v>
      </c>
      <c r="O3350" t="s">
        <v>47</v>
      </c>
      <c r="P3350" t="s">
        <v>774</v>
      </c>
    </row>
    <row r="3351" spans="1:16" x14ac:dyDescent="0.3">
      <c r="A3351" t="s">
        <v>775</v>
      </c>
      <c r="B3351" t="s">
        <v>6</v>
      </c>
      <c r="C3351">
        <v>60</v>
      </c>
      <c r="D3351" t="s">
        <v>10</v>
      </c>
      <c r="E3351" t="s">
        <v>649</v>
      </c>
      <c r="F3351" s="43">
        <v>44765.5625</v>
      </c>
      <c r="G3351" s="43">
        <v>44765.604166666664</v>
      </c>
      <c r="H3351">
        <v>13</v>
      </c>
      <c r="I3351">
        <v>30</v>
      </c>
      <c r="J3351">
        <v>14</v>
      </c>
      <c r="K3351">
        <v>30</v>
      </c>
      <c r="L3351">
        <v>2022</v>
      </c>
      <c r="N3351" t="s">
        <v>47</v>
      </c>
      <c r="O3351" t="s">
        <v>47</v>
      </c>
      <c r="P3351" t="s">
        <v>776</v>
      </c>
    </row>
    <row r="3352" spans="1:16" x14ac:dyDescent="0.3">
      <c r="A3352" t="s">
        <v>779</v>
      </c>
      <c r="B3352" t="s">
        <v>6</v>
      </c>
      <c r="C3352">
        <v>45</v>
      </c>
      <c r="D3352" t="s">
        <v>10</v>
      </c>
      <c r="E3352" t="s">
        <v>649</v>
      </c>
      <c r="F3352" s="43">
        <v>44765.25</v>
      </c>
      <c r="G3352" s="43">
        <v>44765.28125</v>
      </c>
      <c r="H3352">
        <v>6</v>
      </c>
      <c r="I3352">
        <v>0</v>
      </c>
      <c r="J3352">
        <v>6</v>
      </c>
      <c r="K3352">
        <v>45</v>
      </c>
      <c r="L3352">
        <v>2022</v>
      </c>
      <c r="N3352" t="s">
        <v>47</v>
      </c>
      <c r="O3352" t="s">
        <v>47</v>
      </c>
      <c r="P3352" t="s">
        <v>780</v>
      </c>
    </row>
    <row r="3353" spans="1:16" x14ac:dyDescent="0.3">
      <c r="A3353" t="s">
        <v>777</v>
      </c>
      <c r="B3353" t="s">
        <v>6</v>
      </c>
      <c r="C3353">
        <v>30</v>
      </c>
      <c r="D3353" t="s">
        <v>10</v>
      </c>
      <c r="E3353" t="s">
        <v>515</v>
      </c>
      <c r="F3353" s="43">
        <v>44765.229166666664</v>
      </c>
      <c r="G3353" s="43">
        <v>44765.25</v>
      </c>
      <c r="H3353">
        <v>5</v>
      </c>
      <c r="I3353">
        <v>30</v>
      </c>
      <c r="J3353">
        <v>6</v>
      </c>
      <c r="K3353">
        <v>0</v>
      </c>
      <c r="L3353">
        <v>2022</v>
      </c>
      <c r="N3353" t="s">
        <v>47</v>
      </c>
      <c r="O3353" t="s">
        <v>47</v>
      </c>
      <c r="P3353" t="s">
        <v>778</v>
      </c>
    </row>
    <row r="3354" spans="1:16" x14ac:dyDescent="0.3">
      <c r="A3354" t="s">
        <v>781</v>
      </c>
      <c r="B3354" t="s">
        <v>6</v>
      </c>
      <c r="C3354">
        <v>80</v>
      </c>
      <c r="D3354" t="s">
        <v>10</v>
      </c>
      <c r="E3354" t="s">
        <v>515</v>
      </c>
      <c r="F3354" s="43">
        <v>44764.770833333336</v>
      </c>
      <c r="G3354" s="43">
        <v>44764.826388888891</v>
      </c>
      <c r="H3354">
        <v>18</v>
      </c>
      <c r="I3354">
        <v>30</v>
      </c>
      <c r="J3354">
        <v>19</v>
      </c>
      <c r="K3354">
        <v>50</v>
      </c>
      <c r="L3354">
        <v>2022</v>
      </c>
      <c r="N3354" t="s">
        <v>47</v>
      </c>
      <c r="O3354" t="s">
        <v>47</v>
      </c>
      <c r="P3354" t="s">
        <v>782</v>
      </c>
    </row>
    <row r="3355" spans="1:16" x14ac:dyDescent="0.3">
      <c r="A3355" t="s">
        <v>783</v>
      </c>
      <c r="B3355" t="s">
        <v>225</v>
      </c>
      <c r="C3355">
        <v>30</v>
      </c>
      <c r="D3355" t="s">
        <v>10</v>
      </c>
      <c r="E3355" t="s">
        <v>784</v>
      </c>
      <c r="F3355" s="43">
        <v>44764.6875</v>
      </c>
      <c r="G3355" s="43">
        <v>44764.708333333336</v>
      </c>
      <c r="H3355">
        <v>16</v>
      </c>
      <c r="I3355">
        <v>30</v>
      </c>
      <c r="J3355">
        <v>17</v>
      </c>
      <c r="K3355">
        <v>0</v>
      </c>
      <c r="L3355">
        <v>2022</v>
      </c>
      <c r="N3355" t="s">
        <v>47</v>
      </c>
      <c r="O3355" t="s">
        <v>47</v>
      </c>
      <c r="P3355" t="s">
        <v>785</v>
      </c>
    </row>
    <row r="3356" spans="1:16" x14ac:dyDescent="0.3">
      <c r="A3356" t="s">
        <v>819</v>
      </c>
      <c r="B3356" t="s">
        <v>225</v>
      </c>
      <c r="C3356">
        <v>30</v>
      </c>
      <c r="D3356" t="s">
        <v>10</v>
      </c>
      <c r="E3356" t="s">
        <v>820</v>
      </c>
      <c r="F3356" s="43">
        <v>44764.666666666664</v>
      </c>
      <c r="G3356" s="43">
        <v>44764.6875</v>
      </c>
      <c r="H3356">
        <v>16</v>
      </c>
      <c r="I3356">
        <v>0</v>
      </c>
      <c r="J3356">
        <v>16</v>
      </c>
      <c r="K3356">
        <v>30</v>
      </c>
      <c r="L3356">
        <v>2022</v>
      </c>
      <c r="N3356" t="s">
        <v>821</v>
      </c>
      <c r="O3356" t="s">
        <v>48</v>
      </c>
      <c r="P3356" t="s">
        <v>822</v>
      </c>
    </row>
    <row r="3357" spans="1:16" x14ac:dyDescent="0.3">
      <c r="A3357" t="s">
        <v>824</v>
      </c>
      <c r="B3357" t="s">
        <v>20</v>
      </c>
      <c r="C3357">
        <v>60</v>
      </c>
      <c r="D3357" t="s">
        <v>10</v>
      </c>
      <c r="E3357" t="s">
        <v>825</v>
      </c>
      <c r="F3357" s="43">
        <v>44764.583333333336</v>
      </c>
      <c r="G3357" s="43">
        <v>44764.625</v>
      </c>
      <c r="H3357">
        <v>14</v>
      </c>
      <c r="I3357">
        <v>0</v>
      </c>
      <c r="J3357">
        <v>15</v>
      </c>
      <c r="K3357">
        <v>0</v>
      </c>
      <c r="L3357">
        <v>2022</v>
      </c>
      <c r="N3357" t="s">
        <v>725</v>
      </c>
      <c r="O3357" t="s">
        <v>683</v>
      </c>
      <c r="P3357" t="s">
        <v>826</v>
      </c>
    </row>
    <row r="3358" spans="1:16" x14ac:dyDescent="0.3">
      <c r="A3358" t="s">
        <v>786</v>
      </c>
      <c r="B3358" t="s">
        <v>6</v>
      </c>
      <c r="C3358">
        <v>60</v>
      </c>
      <c r="D3358" t="s">
        <v>10</v>
      </c>
      <c r="E3358" t="s">
        <v>787</v>
      </c>
      <c r="F3358" s="43">
        <v>44764.541666666664</v>
      </c>
      <c r="G3358" s="43">
        <v>44764.583333333336</v>
      </c>
      <c r="H3358">
        <v>13</v>
      </c>
      <c r="I3358">
        <v>0</v>
      </c>
      <c r="J3358">
        <v>14</v>
      </c>
      <c r="K3358">
        <v>0</v>
      </c>
      <c r="L3358">
        <v>2022</v>
      </c>
      <c r="N3358" t="s">
        <v>47</v>
      </c>
      <c r="O3358" t="s">
        <v>47</v>
      </c>
      <c r="P3358" t="s">
        <v>788</v>
      </c>
    </row>
    <row r="3359" spans="1:16" x14ac:dyDescent="0.3">
      <c r="A3359" t="s">
        <v>789</v>
      </c>
      <c r="B3359" t="s">
        <v>20</v>
      </c>
      <c r="C3359">
        <v>30</v>
      </c>
      <c r="D3359" t="s">
        <v>10</v>
      </c>
      <c r="E3359" t="s">
        <v>790</v>
      </c>
      <c r="F3359" s="43">
        <v>44764.489583333336</v>
      </c>
      <c r="G3359" s="43">
        <v>44764.510416666664</v>
      </c>
      <c r="H3359">
        <v>11</v>
      </c>
      <c r="I3359">
        <v>45</v>
      </c>
      <c r="J3359">
        <v>12</v>
      </c>
      <c r="K3359">
        <v>15</v>
      </c>
      <c r="L3359">
        <v>2022</v>
      </c>
      <c r="N3359" t="s">
        <v>47</v>
      </c>
      <c r="O3359" t="s">
        <v>47</v>
      </c>
      <c r="P3359" t="s">
        <v>791</v>
      </c>
    </row>
    <row r="3360" spans="1:16" x14ac:dyDescent="0.3">
      <c r="A3360" t="s">
        <v>797</v>
      </c>
      <c r="B3360" t="s">
        <v>20</v>
      </c>
      <c r="C3360">
        <v>50</v>
      </c>
      <c r="D3360" t="s">
        <v>10</v>
      </c>
      <c r="E3360" t="s">
        <v>798</v>
      </c>
      <c r="F3360" s="43">
        <v>44764.458333333336</v>
      </c>
      <c r="G3360" s="43">
        <v>44764.493055555555</v>
      </c>
      <c r="H3360">
        <v>11</v>
      </c>
      <c r="I3360">
        <v>0</v>
      </c>
      <c r="J3360">
        <v>11</v>
      </c>
      <c r="K3360">
        <v>50</v>
      </c>
      <c r="L3360">
        <v>2022</v>
      </c>
      <c r="N3360" t="s">
        <v>47</v>
      </c>
      <c r="O3360" t="s">
        <v>47</v>
      </c>
      <c r="P3360" t="s">
        <v>799</v>
      </c>
    </row>
    <row r="3361" spans="1:16" x14ac:dyDescent="0.3">
      <c r="A3361" t="s">
        <v>803</v>
      </c>
      <c r="B3361" t="s">
        <v>20</v>
      </c>
      <c r="C3361">
        <v>30</v>
      </c>
      <c r="D3361" t="s">
        <v>10</v>
      </c>
      <c r="E3361" t="s">
        <v>804</v>
      </c>
      <c r="F3361" s="43">
        <v>44764.4375</v>
      </c>
      <c r="G3361" s="43">
        <v>44764.458333333336</v>
      </c>
      <c r="H3361">
        <v>10</v>
      </c>
      <c r="I3361">
        <v>30</v>
      </c>
      <c r="J3361">
        <v>11</v>
      </c>
      <c r="K3361">
        <v>0</v>
      </c>
      <c r="L3361">
        <v>2022</v>
      </c>
      <c r="N3361" t="s">
        <v>805</v>
      </c>
      <c r="O3361" t="s">
        <v>806</v>
      </c>
      <c r="P3361" t="s">
        <v>807</v>
      </c>
    </row>
    <row r="3362" spans="1:16" x14ac:dyDescent="0.3">
      <c r="A3362" t="s">
        <v>942</v>
      </c>
      <c r="B3362" t="s">
        <v>20</v>
      </c>
      <c r="C3362">
        <v>30</v>
      </c>
      <c r="D3362" t="s">
        <v>10</v>
      </c>
      <c r="E3362" t="s">
        <v>943</v>
      </c>
      <c r="F3362" s="43">
        <v>44764.395833333336</v>
      </c>
      <c r="G3362" s="43">
        <v>44764.416666666664</v>
      </c>
      <c r="H3362">
        <v>9</v>
      </c>
      <c r="I3362">
        <v>30</v>
      </c>
      <c r="J3362">
        <v>10</v>
      </c>
      <c r="K3362">
        <v>0</v>
      </c>
      <c r="L3362">
        <v>2022</v>
      </c>
      <c r="N3362" t="s">
        <v>944</v>
      </c>
      <c r="O3362" t="s">
        <v>945</v>
      </c>
      <c r="P3362" t="s">
        <v>946</v>
      </c>
    </row>
    <row r="3363" spans="1:16" x14ac:dyDescent="0.3">
      <c r="A3363" t="s">
        <v>8</v>
      </c>
      <c r="B3363" t="s">
        <v>6</v>
      </c>
      <c r="C3363">
        <v>30</v>
      </c>
      <c r="D3363" t="s">
        <v>10</v>
      </c>
      <c r="E3363" t="s">
        <v>515</v>
      </c>
      <c r="F3363" s="43">
        <v>44764.375</v>
      </c>
      <c r="G3363" s="43">
        <v>44764.395833333336</v>
      </c>
      <c r="H3363">
        <v>9</v>
      </c>
      <c r="I3363">
        <v>0</v>
      </c>
      <c r="J3363">
        <v>9</v>
      </c>
      <c r="K3363">
        <v>30</v>
      </c>
      <c r="L3363">
        <v>2022</v>
      </c>
      <c r="N3363" t="s">
        <v>47</v>
      </c>
      <c r="O3363" t="s">
        <v>47</v>
      </c>
      <c r="P3363" t="s">
        <v>796</v>
      </c>
    </row>
    <row r="3364" spans="1:16" x14ac:dyDescent="0.3">
      <c r="A3364" t="s">
        <v>655</v>
      </c>
      <c r="B3364" t="s">
        <v>109</v>
      </c>
      <c r="C3364">
        <v>15</v>
      </c>
      <c r="D3364" t="s">
        <v>10</v>
      </c>
      <c r="E3364" t="s">
        <v>461</v>
      </c>
      <c r="F3364" s="43">
        <v>44764.291666666664</v>
      </c>
      <c r="G3364" s="43">
        <v>44764.302083333336</v>
      </c>
      <c r="H3364">
        <v>7</v>
      </c>
      <c r="I3364">
        <v>0</v>
      </c>
      <c r="J3364">
        <v>7</v>
      </c>
      <c r="K3364">
        <v>15</v>
      </c>
      <c r="L3364">
        <v>2022</v>
      </c>
      <c r="N3364" t="s">
        <v>47</v>
      </c>
      <c r="O3364" t="s">
        <v>47</v>
      </c>
      <c r="P3364" t="s">
        <v>800</v>
      </c>
    </row>
    <row r="3365" spans="1:16" x14ac:dyDescent="0.3">
      <c r="A3365" t="s">
        <v>691</v>
      </c>
      <c r="B3365" t="s">
        <v>6</v>
      </c>
      <c r="C3365">
        <v>30</v>
      </c>
      <c r="D3365" t="s">
        <v>10</v>
      </c>
      <c r="E3365" t="s">
        <v>649</v>
      </c>
      <c r="F3365" s="43">
        <v>44764.270833333336</v>
      </c>
      <c r="G3365" s="43">
        <v>44764.291666666664</v>
      </c>
      <c r="H3365">
        <v>6</v>
      </c>
      <c r="I3365">
        <v>30</v>
      </c>
      <c r="J3365">
        <v>7</v>
      </c>
      <c r="K3365">
        <v>0</v>
      </c>
      <c r="L3365">
        <v>2022</v>
      </c>
      <c r="N3365" t="s">
        <v>47</v>
      </c>
      <c r="O3365" t="s">
        <v>47</v>
      </c>
      <c r="P3365" t="s">
        <v>801</v>
      </c>
    </row>
    <row r="3366" spans="1:16" x14ac:dyDescent="0.3">
      <c r="A3366" t="s">
        <v>655</v>
      </c>
      <c r="B3366" t="s">
        <v>109</v>
      </c>
      <c r="C3366">
        <v>30</v>
      </c>
      <c r="D3366" t="s">
        <v>10</v>
      </c>
      <c r="E3366" t="s">
        <v>461</v>
      </c>
      <c r="F3366" s="43">
        <v>44764.25</v>
      </c>
      <c r="G3366" s="43">
        <v>44764.270833333336</v>
      </c>
      <c r="H3366">
        <v>6</v>
      </c>
      <c r="I3366">
        <v>0</v>
      </c>
      <c r="J3366">
        <v>6</v>
      </c>
      <c r="K3366">
        <v>30</v>
      </c>
      <c r="L3366">
        <v>2022</v>
      </c>
      <c r="N3366" t="s">
        <v>47</v>
      </c>
      <c r="O3366" t="s">
        <v>47</v>
      </c>
      <c r="P3366" t="s">
        <v>802</v>
      </c>
    </row>
    <row r="3367" spans="1:16" x14ac:dyDescent="0.3">
      <c r="A3367" t="s">
        <v>808</v>
      </c>
      <c r="B3367" t="s">
        <v>109</v>
      </c>
      <c r="C3367">
        <v>30</v>
      </c>
      <c r="D3367" t="s">
        <v>10</v>
      </c>
      <c r="E3367" t="s">
        <v>809</v>
      </c>
      <c r="F3367" s="43">
        <v>44764.229166666664</v>
      </c>
      <c r="G3367" s="43">
        <v>44764.25</v>
      </c>
      <c r="H3367">
        <v>5</v>
      </c>
      <c r="I3367">
        <v>30</v>
      </c>
      <c r="J3367">
        <v>6</v>
      </c>
      <c r="K3367">
        <v>0</v>
      </c>
      <c r="L3367">
        <v>2022</v>
      </c>
      <c r="N3367" t="s">
        <v>810</v>
      </c>
      <c r="O3367" t="s">
        <v>47</v>
      </c>
      <c r="P3367" t="s">
        <v>811</v>
      </c>
    </row>
    <row r="3368" spans="1:16" x14ac:dyDescent="0.3">
      <c r="A3368" t="s">
        <v>812</v>
      </c>
      <c r="B3368" t="s">
        <v>6</v>
      </c>
      <c r="C3368">
        <v>60</v>
      </c>
      <c r="D3368" t="s">
        <v>10</v>
      </c>
      <c r="E3368" t="s">
        <v>515</v>
      </c>
      <c r="F3368" s="43">
        <v>44763.791666666664</v>
      </c>
      <c r="G3368" s="43">
        <v>44763.833333333336</v>
      </c>
      <c r="H3368">
        <v>19</v>
      </c>
      <c r="I3368">
        <v>0</v>
      </c>
      <c r="J3368">
        <v>20</v>
      </c>
      <c r="K3368">
        <v>0</v>
      </c>
      <c r="L3368">
        <v>2022</v>
      </c>
      <c r="N3368" t="s">
        <v>47</v>
      </c>
      <c r="O3368" t="s">
        <v>47</v>
      </c>
      <c r="P3368" t="s">
        <v>813</v>
      </c>
    </row>
    <row r="3369" spans="1:16" x14ac:dyDescent="0.3">
      <c r="A3369" t="s">
        <v>731</v>
      </c>
      <c r="B3369" t="s">
        <v>6</v>
      </c>
      <c r="C3369">
        <v>30</v>
      </c>
      <c r="D3369" t="s">
        <v>10</v>
      </c>
      <c r="E3369" t="s">
        <v>649</v>
      </c>
      <c r="F3369" s="43">
        <v>44763.75</v>
      </c>
      <c r="G3369" s="43">
        <v>44763.770833333336</v>
      </c>
      <c r="H3369">
        <v>18</v>
      </c>
      <c r="I3369">
        <v>0</v>
      </c>
      <c r="J3369">
        <v>18</v>
      </c>
      <c r="K3369">
        <v>30</v>
      </c>
      <c r="L3369">
        <v>2022</v>
      </c>
      <c r="N3369" t="s">
        <v>47</v>
      </c>
      <c r="O3369" t="s">
        <v>47</v>
      </c>
      <c r="P3369" t="s">
        <v>814</v>
      </c>
    </row>
    <row r="3370" spans="1:16" x14ac:dyDescent="0.3">
      <c r="A3370" t="s">
        <v>808</v>
      </c>
      <c r="B3370" t="s">
        <v>109</v>
      </c>
      <c r="C3370">
        <v>30</v>
      </c>
      <c r="D3370" t="s">
        <v>10</v>
      </c>
      <c r="E3370" t="s">
        <v>461</v>
      </c>
      <c r="F3370" s="43">
        <v>44763.729166666664</v>
      </c>
      <c r="G3370" s="43">
        <v>44763.75</v>
      </c>
      <c r="H3370">
        <v>17</v>
      </c>
      <c r="I3370">
        <v>30</v>
      </c>
      <c r="J3370">
        <v>18</v>
      </c>
      <c r="K3370">
        <v>0</v>
      </c>
      <c r="L3370">
        <v>2022</v>
      </c>
      <c r="N3370" t="s">
        <v>47</v>
      </c>
      <c r="O3370" t="s">
        <v>47</v>
      </c>
      <c r="P3370" t="s">
        <v>815</v>
      </c>
    </row>
    <row r="3371" spans="1:16" x14ac:dyDescent="0.3">
      <c r="A3371" t="s">
        <v>446</v>
      </c>
      <c r="B3371" t="s">
        <v>6</v>
      </c>
      <c r="C3371">
        <v>60</v>
      </c>
      <c r="D3371" t="s">
        <v>10</v>
      </c>
      <c r="E3371" t="s">
        <v>447</v>
      </c>
      <c r="F3371" s="43">
        <v>44763.625</v>
      </c>
      <c r="G3371" s="43">
        <v>44763.666666666664</v>
      </c>
      <c r="H3371">
        <v>15</v>
      </c>
      <c r="I3371">
        <v>0</v>
      </c>
      <c r="J3371">
        <v>16</v>
      </c>
      <c r="K3371">
        <v>0</v>
      </c>
      <c r="L3371">
        <v>2022</v>
      </c>
      <c r="N3371" t="s">
        <v>47</v>
      </c>
      <c r="O3371" t="s">
        <v>47</v>
      </c>
      <c r="P3371" t="s">
        <v>816</v>
      </c>
    </row>
    <row r="3372" spans="1:16" x14ac:dyDescent="0.3">
      <c r="A3372" t="s">
        <v>817</v>
      </c>
      <c r="B3372" t="s">
        <v>109</v>
      </c>
      <c r="C3372">
        <v>50</v>
      </c>
      <c r="D3372" t="s">
        <v>10</v>
      </c>
      <c r="E3372" t="s">
        <v>461</v>
      </c>
      <c r="F3372" s="1">
        <v>44763.5625</v>
      </c>
      <c r="G3372" s="1">
        <v>44763.597222222219</v>
      </c>
      <c r="H3372">
        <v>13</v>
      </c>
      <c r="I3372">
        <v>30</v>
      </c>
      <c r="J3372">
        <v>14</v>
      </c>
      <c r="K3372">
        <v>20</v>
      </c>
      <c r="L3372">
        <v>2022</v>
      </c>
      <c r="N3372" t="s">
        <v>47</v>
      </c>
      <c r="O3372" t="s">
        <v>47</v>
      </c>
      <c r="P3372" t="s">
        <v>818</v>
      </c>
    </row>
    <row r="3373" spans="1:16" x14ac:dyDescent="0.3">
      <c r="A3373" t="s">
        <v>731</v>
      </c>
      <c r="B3373" t="s">
        <v>6</v>
      </c>
      <c r="C3373">
        <v>60</v>
      </c>
      <c r="D3373" t="s">
        <v>10</v>
      </c>
      <c r="E3373" t="s">
        <v>649</v>
      </c>
      <c r="F3373" s="43">
        <v>44763.520833333336</v>
      </c>
      <c r="G3373" s="43">
        <v>44763.5625</v>
      </c>
      <c r="H3373">
        <v>12</v>
      </c>
      <c r="I3373">
        <v>30</v>
      </c>
      <c r="J3373">
        <v>13</v>
      </c>
      <c r="K3373">
        <v>30</v>
      </c>
      <c r="L3373">
        <v>2022</v>
      </c>
      <c r="N3373" t="s">
        <v>47</v>
      </c>
      <c r="O3373" t="s">
        <v>47</v>
      </c>
      <c r="P3373" t="s">
        <v>823</v>
      </c>
    </row>
    <row r="3374" spans="1:16" x14ac:dyDescent="0.3">
      <c r="A3374" t="s">
        <v>913</v>
      </c>
      <c r="B3374" t="s">
        <v>20</v>
      </c>
      <c r="C3374">
        <v>30</v>
      </c>
      <c r="D3374" t="s">
        <v>10</v>
      </c>
      <c r="E3374" t="s">
        <v>914</v>
      </c>
      <c r="F3374" s="43">
        <v>44763.4375</v>
      </c>
      <c r="G3374" s="43">
        <v>44763.458333333336</v>
      </c>
      <c r="H3374">
        <v>10</v>
      </c>
      <c r="I3374">
        <v>30</v>
      </c>
      <c r="J3374">
        <v>11</v>
      </c>
      <c r="K3374">
        <v>0</v>
      </c>
      <c r="L3374">
        <v>2022</v>
      </c>
      <c r="N3374" t="s">
        <v>915</v>
      </c>
      <c r="O3374" t="s">
        <v>916</v>
      </c>
      <c r="P3374" t="s">
        <v>917</v>
      </c>
    </row>
    <row r="3375" spans="1:16" x14ac:dyDescent="0.3">
      <c r="A3375" t="s">
        <v>949</v>
      </c>
      <c r="B3375" t="s">
        <v>20</v>
      </c>
      <c r="C3375">
        <v>60</v>
      </c>
      <c r="D3375" t="s">
        <v>10</v>
      </c>
      <c r="E3375" t="s">
        <v>950</v>
      </c>
      <c r="F3375" s="43">
        <v>44763.375</v>
      </c>
      <c r="G3375" s="43">
        <v>44763.416666666664</v>
      </c>
      <c r="H3375">
        <v>9</v>
      </c>
      <c r="I3375">
        <v>0</v>
      </c>
      <c r="J3375">
        <v>10</v>
      </c>
      <c r="K3375">
        <v>0</v>
      </c>
      <c r="L3375">
        <v>2022</v>
      </c>
      <c r="N3375" t="s">
        <v>951</v>
      </c>
      <c r="O3375" t="s">
        <v>458</v>
      </c>
      <c r="P3375" t="s">
        <v>952</v>
      </c>
    </row>
    <row r="3376" spans="1:16" x14ac:dyDescent="0.3">
      <c r="A3376" t="s">
        <v>832</v>
      </c>
      <c r="B3376" t="s">
        <v>109</v>
      </c>
      <c r="C3376">
        <v>30</v>
      </c>
      <c r="D3376" t="s">
        <v>10</v>
      </c>
      <c r="E3376" t="s">
        <v>833</v>
      </c>
      <c r="F3376" s="43">
        <v>44763.333333333336</v>
      </c>
      <c r="G3376" s="43">
        <v>44763.354166666664</v>
      </c>
      <c r="H3376">
        <v>8</v>
      </c>
      <c r="I3376">
        <v>0</v>
      </c>
      <c r="J3376">
        <v>8</v>
      </c>
      <c r="K3376">
        <v>30</v>
      </c>
      <c r="L3376">
        <v>2022</v>
      </c>
      <c r="N3376" t="s">
        <v>549</v>
      </c>
      <c r="O3376" t="s">
        <v>458</v>
      </c>
      <c r="P3376" t="s">
        <v>834</v>
      </c>
    </row>
    <row r="3377" spans="1:16" x14ac:dyDescent="0.3">
      <c r="A3377" t="s">
        <v>827</v>
      </c>
      <c r="B3377" t="s">
        <v>6</v>
      </c>
      <c r="C3377">
        <v>30</v>
      </c>
      <c r="D3377" t="s">
        <v>10</v>
      </c>
      <c r="E3377" t="s">
        <v>515</v>
      </c>
      <c r="F3377" s="43">
        <v>44763.28125</v>
      </c>
      <c r="G3377" s="43">
        <v>44763.302083333336</v>
      </c>
      <c r="H3377">
        <v>6</v>
      </c>
      <c r="I3377">
        <v>45</v>
      </c>
      <c r="J3377">
        <v>7</v>
      </c>
      <c r="K3377">
        <v>15</v>
      </c>
      <c r="L3377">
        <v>2022</v>
      </c>
      <c r="N3377" t="s">
        <v>47</v>
      </c>
      <c r="O3377" t="s">
        <v>47</v>
      </c>
      <c r="P3377" t="s">
        <v>828</v>
      </c>
    </row>
    <row r="3378" spans="1:16" x14ac:dyDescent="0.3">
      <c r="A3378" t="s">
        <v>731</v>
      </c>
      <c r="B3378" t="s">
        <v>6</v>
      </c>
      <c r="C3378">
        <v>30</v>
      </c>
      <c r="D3378" t="s">
        <v>10</v>
      </c>
      <c r="E3378" t="s">
        <v>649</v>
      </c>
      <c r="F3378" s="43">
        <v>44763.25</v>
      </c>
      <c r="G3378" s="43">
        <v>44763.270833333336</v>
      </c>
      <c r="H3378">
        <v>6</v>
      </c>
      <c r="I3378">
        <v>0</v>
      </c>
      <c r="J3378">
        <v>6</v>
      </c>
      <c r="K3378">
        <v>30</v>
      </c>
      <c r="L3378">
        <v>2022</v>
      </c>
      <c r="N3378" t="s">
        <v>47</v>
      </c>
      <c r="O3378" t="s">
        <v>47</v>
      </c>
      <c r="P3378" t="s">
        <v>829</v>
      </c>
    </row>
    <row r="3379" spans="1:16" x14ac:dyDescent="0.3">
      <c r="A3379" t="s">
        <v>830</v>
      </c>
      <c r="B3379" t="s">
        <v>6</v>
      </c>
      <c r="C3379">
        <v>30</v>
      </c>
      <c r="D3379" t="s">
        <v>10</v>
      </c>
      <c r="E3379" t="s">
        <v>515</v>
      </c>
      <c r="F3379" s="43">
        <v>44763.229166666664</v>
      </c>
      <c r="G3379" s="43">
        <v>44763.25</v>
      </c>
      <c r="H3379">
        <v>5</v>
      </c>
      <c r="I3379">
        <v>30</v>
      </c>
      <c r="J3379">
        <v>6</v>
      </c>
      <c r="K3379">
        <v>0</v>
      </c>
      <c r="L3379">
        <v>2022</v>
      </c>
      <c r="N3379" t="s">
        <v>47</v>
      </c>
      <c r="O3379" t="s">
        <v>47</v>
      </c>
      <c r="P3379" t="s">
        <v>831</v>
      </c>
    </row>
    <row r="3380" spans="1:16" x14ac:dyDescent="0.3">
      <c r="A3380" t="s">
        <v>5203</v>
      </c>
      <c r="B3380" t="s">
        <v>20</v>
      </c>
      <c r="C3380">
        <v>30</v>
      </c>
      <c r="D3380" t="s">
        <v>256</v>
      </c>
      <c r="E3380" t="s">
        <v>5</v>
      </c>
      <c r="F3380" s="43">
        <v>44763</v>
      </c>
      <c r="G3380" s="43">
        <v>949997.9993055556</v>
      </c>
      <c r="H3380">
        <v>11</v>
      </c>
      <c r="I3380">
        <v>0</v>
      </c>
      <c r="J3380">
        <v>11</v>
      </c>
      <c r="K3380">
        <v>30</v>
      </c>
      <c r="L3380">
        <v>2022</v>
      </c>
      <c r="N3380" t="s">
        <v>1399</v>
      </c>
      <c r="O3380" t="s">
        <v>1241</v>
      </c>
      <c r="P3380" t="s">
        <v>5204</v>
      </c>
    </row>
    <row r="3381" spans="1:16" x14ac:dyDescent="0.3">
      <c r="A3381" t="s">
        <v>835</v>
      </c>
      <c r="B3381" t="s">
        <v>6</v>
      </c>
      <c r="C3381">
        <v>40</v>
      </c>
      <c r="D3381" t="s">
        <v>10</v>
      </c>
      <c r="E3381" t="s">
        <v>515</v>
      </c>
      <c r="F3381" s="43">
        <v>44762.791666666664</v>
      </c>
      <c r="G3381" s="43">
        <v>44762.819444444445</v>
      </c>
      <c r="H3381">
        <v>19</v>
      </c>
      <c r="I3381">
        <v>0</v>
      </c>
      <c r="J3381">
        <v>19</v>
      </c>
      <c r="K3381">
        <v>40</v>
      </c>
      <c r="L3381">
        <v>2022</v>
      </c>
      <c r="N3381" t="s">
        <v>47</v>
      </c>
      <c r="O3381" t="s">
        <v>47</v>
      </c>
      <c r="P3381" t="s">
        <v>836</v>
      </c>
    </row>
    <row r="3382" spans="1:16" x14ac:dyDescent="0.3">
      <c r="A3382" t="s">
        <v>731</v>
      </c>
      <c r="B3382" t="s">
        <v>6</v>
      </c>
      <c r="C3382">
        <v>30</v>
      </c>
      <c r="D3382" t="s">
        <v>10</v>
      </c>
      <c r="E3382" t="s">
        <v>649</v>
      </c>
      <c r="F3382" s="43">
        <v>44762.770833333336</v>
      </c>
      <c r="G3382" s="43">
        <v>44762.791666666664</v>
      </c>
      <c r="H3382">
        <v>18</v>
      </c>
      <c r="I3382">
        <v>30</v>
      </c>
      <c r="J3382">
        <v>19</v>
      </c>
      <c r="K3382">
        <v>0</v>
      </c>
      <c r="L3382">
        <v>2022</v>
      </c>
      <c r="N3382" t="s">
        <v>47</v>
      </c>
      <c r="O3382" t="s">
        <v>47</v>
      </c>
      <c r="P3382" t="s">
        <v>837</v>
      </c>
    </row>
    <row r="3383" spans="1:16" x14ac:dyDescent="0.3">
      <c r="A3383" t="s">
        <v>838</v>
      </c>
      <c r="B3383" t="s">
        <v>6</v>
      </c>
      <c r="C3383">
        <v>45</v>
      </c>
      <c r="D3383" t="s">
        <v>10</v>
      </c>
      <c r="E3383" t="s">
        <v>515</v>
      </c>
      <c r="F3383" s="43">
        <v>44762.65625</v>
      </c>
      <c r="G3383" s="43">
        <v>44762.6875</v>
      </c>
      <c r="H3383">
        <v>15</v>
      </c>
      <c r="I3383">
        <v>45</v>
      </c>
      <c r="J3383">
        <v>16</v>
      </c>
      <c r="K3383">
        <v>30</v>
      </c>
      <c r="L3383">
        <v>2022</v>
      </c>
      <c r="N3383" t="s">
        <v>47</v>
      </c>
      <c r="O3383" t="s">
        <v>47</v>
      </c>
      <c r="P3383" t="s">
        <v>839</v>
      </c>
    </row>
    <row r="3384" spans="1:16" x14ac:dyDescent="0.3">
      <c r="A3384" t="s">
        <v>9</v>
      </c>
      <c r="B3384" t="s">
        <v>6</v>
      </c>
      <c r="C3384">
        <v>80</v>
      </c>
      <c r="D3384" t="s">
        <v>10</v>
      </c>
      <c r="E3384" t="s">
        <v>449</v>
      </c>
      <c r="F3384" s="43">
        <v>44762.583333333336</v>
      </c>
      <c r="G3384" s="43">
        <v>44762.638888888891</v>
      </c>
      <c r="H3384">
        <v>14</v>
      </c>
      <c r="I3384">
        <v>0</v>
      </c>
      <c r="J3384">
        <v>15</v>
      </c>
      <c r="K3384">
        <v>20</v>
      </c>
      <c r="L3384">
        <v>2022</v>
      </c>
      <c r="N3384" t="s">
        <v>47</v>
      </c>
      <c r="O3384" t="s">
        <v>47</v>
      </c>
      <c r="P3384" t="s">
        <v>840</v>
      </c>
    </row>
    <row r="3385" spans="1:16" x14ac:dyDescent="0.3">
      <c r="A3385" t="s">
        <v>841</v>
      </c>
      <c r="B3385" t="s">
        <v>109</v>
      </c>
      <c r="C3385">
        <v>15</v>
      </c>
      <c r="D3385" t="s">
        <v>10</v>
      </c>
      <c r="E3385" t="s">
        <v>842</v>
      </c>
      <c r="F3385" s="43">
        <v>44762.552083333336</v>
      </c>
      <c r="G3385" s="43">
        <v>44762.5625</v>
      </c>
      <c r="H3385">
        <v>13</v>
      </c>
      <c r="I3385">
        <v>15</v>
      </c>
      <c r="J3385">
        <v>13</v>
      </c>
      <c r="K3385">
        <v>30</v>
      </c>
      <c r="L3385">
        <v>2022</v>
      </c>
      <c r="N3385" t="s">
        <v>47</v>
      </c>
      <c r="O3385" t="s">
        <v>47</v>
      </c>
      <c r="P3385" t="s">
        <v>843</v>
      </c>
    </row>
    <row r="3386" spans="1:16" x14ac:dyDescent="0.3">
      <c r="A3386" t="s">
        <v>844</v>
      </c>
      <c r="B3386" t="s">
        <v>109</v>
      </c>
      <c r="C3386">
        <v>45</v>
      </c>
      <c r="D3386" t="s">
        <v>10</v>
      </c>
      <c r="E3386" t="s">
        <v>842</v>
      </c>
      <c r="F3386" s="43">
        <v>44762.5</v>
      </c>
      <c r="G3386" s="43">
        <v>44762.53125</v>
      </c>
      <c r="H3386">
        <v>12</v>
      </c>
      <c r="I3386">
        <v>0</v>
      </c>
      <c r="J3386">
        <v>12</v>
      </c>
      <c r="K3386">
        <v>45</v>
      </c>
      <c r="L3386">
        <v>2022</v>
      </c>
      <c r="N3386" t="s">
        <v>47</v>
      </c>
      <c r="O3386" t="s">
        <v>47</v>
      </c>
      <c r="P3386" t="s">
        <v>845</v>
      </c>
    </row>
    <row r="3387" spans="1:16" x14ac:dyDescent="0.3">
      <c r="A3387" t="s">
        <v>883</v>
      </c>
      <c r="B3387" t="s">
        <v>20</v>
      </c>
      <c r="C3387">
        <v>60</v>
      </c>
      <c r="D3387" t="s">
        <v>10</v>
      </c>
      <c r="E3387" t="s">
        <v>461</v>
      </c>
      <c r="F3387" s="43">
        <v>44762.458333333336</v>
      </c>
      <c r="G3387" s="43">
        <v>44762.5</v>
      </c>
      <c r="H3387">
        <v>11</v>
      </c>
      <c r="I3387">
        <v>0</v>
      </c>
      <c r="J3387">
        <v>12</v>
      </c>
      <c r="K3387">
        <v>0</v>
      </c>
      <c r="L3387">
        <v>2022</v>
      </c>
      <c r="N3387" t="s">
        <v>884</v>
      </c>
      <c r="O3387" t="s">
        <v>885</v>
      </c>
      <c r="P3387" t="s">
        <v>886</v>
      </c>
    </row>
    <row r="3388" spans="1:16" x14ac:dyDescent="0.3">
      <c r="A3388" t="s">
        <v>847</v>
      </c>
      <c r="B3388" t="s">
        <v>20</v>
      </c>
      <c r="C3388">
        <v>30</v>
      </c>
      <c r="D3388" t="s">
        <v>10</v>
      </c>
      <c r="E3388" t="s">
        <v>848</v>
      </c>
      <c r="F3388" s="43">
        <v>44762.4375</v>
      </c>
      <c r="G3388" s="43">
        <v>44762.458333333336</v>
      </c>
      <c r="H3388">
        <v>10</v>
      </c>
      <c r="I3388">
        <v>30</v>
      </c>
      <c r="J3388">
        <v>11</v>
      </c>
      <c r="K3388">
        <v>0</v>
      </c>
      <c r="L3388">
        <v>2022</v>
      </c>
      <c r="N3388" t="s">
        <v>849</v>
      </c>
      <c r="O3388" t="s">
        <v>850</v>
      </c>
      <c r="P3388" t="s">
        <v>851</v>
      </c>
    </row>
    <row r="3389" spans="1:16" x14ac:dyDescent="0.3">
      <c r="A3389" t="s">
        <v>841</v>
      </c>
      <c r="B3389" t="s">
        <v>109</v>
      </c>
      <c r="C3389">
        <v>45</v>
      </c>
      <c r="D3389" t="s">
        <v>10</v>
      </c>
      <c r="E3389" t="s">
        <v>842</v>
      </c>
      <c r="F3389" s="43">
        <v>44762.40625</v>
      </c>
      <c r="G3389" s="43">
        <v>44762.4375</v>
      </c>
      <c r="H3389">
        <v>9</v>
      </c>
      <c r="I3389">
        <v>45</v>
      </c>
      <c r="J3389">
        <v>10</v>
      </c>
      <c r="K3389">
        <v>30</v>
      </c>
      <c r="L3389">
        <v>2022</v>
      </c>
      <c r="N3389" t="s">
        <v>47</v>
      </c>
      <c r="O3389" t="s">
        <v>47</v>
      </c>
      <c r="P3389" t="s">
        <v>846</v>
      </c>
    </row>
    <row r="3390" spans="1:16" x14ac:dyDescent="0.3">
      <c r="A3390" t="s">
        <v>852</v>
      </c>
      <c r="B3390" t="s">
        <v>109</v>
      </c>
      <c r="C3390">
        <v>45</v>
      </c>
      <c r="D3390" t="s">
        <v>10</v>
      </c>
      <c r="E3390" t="s">
        <v>842</v>
      </c>
      <c r="F3390" s="43">
        <v>44762.364583333336</v>
      </c>
      <c r="G3390" s="43">
        <v>44762.395833333336</v>
      </c>
      <c r="H3390">
        <v>8</v>
      </c>
      <c r="I3390">
        <v>45</v>
      </c>
      <c r="J3390">
        <v>9</v>
      </c>
      <c r="K3390">
        <v>30</v>
      </c>
      <c r="L3390">
        <v>2022</v>
      </c>
      <c r="N3390" t="s">
        <v>47</v>
      </c>
      <c r="O3390" t="s">
        <v>47</v>
      </c>
      <c r="P3390" t="s">
        <v>853</v>
      </c>
    </row>
    <row r="3391" spans="1:16" x14ac:dyDescent="0.3">
      <c r="A3391" t="s">
        <v>854</v>
      </c>
      <c r="B3391" t="s">
        <v>109</v>
      </c>
      <c r="C3391">
        <v>15</v>
      </c>
      <c r="D3391" t="s">
        <v>10</v>
      </c>
      <c r="E3391" t="s">
        <v>461</v>
      </c>
      <c r="F3391" s="43">
        <v>44762.354166666664</v>
      </c>
      <c r="G3391" s="43">
        <v>44762.364583333336</v>
      </c>
      <c r="H3391">
        <v>8</v>
      </c>
      <c r="I3391">
        <v>30</v>
      </c>
      <c r="J3391">
        <v>8</v>
      </c>
      <c r="K3391">
        <v>45</v>
      </c>
      <c r="L3391">
        <v>2022</v>
      </c>
      <c r="N3391" t="s">
        <v>47</v>
      </c>
      <c r="O3391" t="s">
        <v>47</v>
      </c>
      <c r="P3391" t="s">
        <v>855</v>
      </c>
    </row>
    <row r="3392" spans="1:16" x14ac:dyDescent="0.3">
      <c r="A3392" t="s">
        <v>896</v>
      </c>
      <c r="B3392" t="s">
        <v>109</v>
      </c>
      <c r="C3392">
        <v>30</v>
      </c>
      <c r="D3392" t="s">
        <v>10</v>
      </c>
      <c r="E3392" t="s">
        <v>897</v>
      </c>
      <c r="F3392" s="43">
        <v>44762.333333333336</v>
      </c>
      <c r="G3392" s="43">
        <v>44762.354166666664</v>
      </c>
      <c r="H3392">
        <v>8</v>
      </c>
      <c r="I3392">
        <v>0</v>
      </c>
      <c r="J3392">
        <v>8</v>
      </c>
      <c r="K3392">
        <v>30</v>
      </c>
      <c r="L3392">
        <v>2022</v>
      </c>
      <c r="N3392" t="s">
        <v>898</v>
      </c>
      <c r="O3392" t="s">
        <v>899</v>
      </c>
      <c r="P3392" t="s">
        <v>900</v>
      </c>
    </row>
    <row r="3393" spans="1:16" x14ac:dyDescent="0.3">
      <c r="A3393" t="s">
        <v>852</v>
      </c>
      <c r="B3393" t="s">
        <v>109</v>
      </c>
      <c r="C3393">
        <v>30</v>
      </c>
      <c r="D3393" t="s">
        <v>10</v>
      </c>
      <c r="E3393" t="s">
        <v>842</v>
      </c>
      <c r="F3393" s="43">
        <v>44762.3125</v>
      </c>
      <c r="G3393" s="43">
        <v>44762.333333333336</v>
      </c>
      <c r="H3393">
        <v>7</v>
      </c>
      <c r="I3393">
        <v>30</v>
      </c>
      <c r="J3393">
        <v>8</v>
      </c>
      <c r="K3393">
        <v>0</v>
      </c>
      <c r="L3393">
        <v>2022</v>
      </c>
      <c r="N3393" t="s">
        <v>47</v>
      </c>
      <c r="O3393" t="s">
        <v>47</v>
      </c>
      <c r="P3393" t="s">
        <v>856</v>
      </c>
    </row>
    <row r="3394" spans="1:16" x14ac:dyDescent="0.3">
      <c r="A3394" t="s">
        <v>857</v>
      </c>
      <c r="B3394" t="s">
        <v>109</v>
      </c>
      <c r="C3394">
        <v>30</v>
      </c>
      <c r="D3394" t="s">
        <v>10</v>
      </c>
      <c r="E3394" t="s">
        <v>842</v>
      </c>
      <c r="F3394" s="43">
        <v>44762.263888888891</v>
      </c>
      <c r="G3394" s="43">
        <v>44762.284722222219</v>
      </c>
      <c r="H3394">
        <v>6</v>
      </c>
      <c r="I3394">
        <v>20</v>
      </c>
      <c r="J3394">
        <v>6</v>
      </c>
      <c r="K3394">
        <v>50</v>
      </c>
      <c r="L3394">
        <v>2022</v>
      </c>
      <c r="N3394" t="s">
        <v>47</v>
      </c>
      <c r="O3394" t="s">
        <v>47</v>
      </c>
      <c r="P3394" t="s">
        <v>858</v>
      </c>
    </row>
    <row r="3395" spans="1:16" x14ac:dyDescent="0.3">
      <c r="A3395" t="s">
        <v>17</v>
      </c>
      <c r="B3395" t="s">
        <v>6</v>
      </c>
      <c r="C3395">
        <v>20</v>
      </c>
      <c r="D3395" t="s">
        <v>10</v>
      </c>
      <c r="E3395" t="s">
        <v>515</v>
      </c>
      <c r="F3395" s="43">
        <v>44762.25</v>
      </c>
      <c r="G3395" s="43">
        <v>44762.263888888891</v>
      </c>
      <c r="H3395">
        <v>6</v>
      </c>
      <c r="I3395">
        <v>0</v>
      </c>
      <c r="J3395">
        <v>6</v>
      </c>
      <c r="K3395">
        <v>20</v>
      </c>
      <c r="L3395">
        <v>2022</v>
      </c>
      <c r="N3395" t="s">
        <v>47</v>
      </c>
      <c r="O3395" t="s">
        <v>47</v>
      </c>
      <c r="P3395" t="s">
        <v>859</v>
      </c>
    </row>
    <row r="3396" spans="1:16" x14ac:dyDescent="0.3">
      <c r="A3396" t="s">
        <v>860</v>
      </c>
      <c r="B3396" t="s">
        <v>6</v>
      </c>
      <c r="C3396">
        <v>45</v>
      </c>
      <c r="D3396" t="s">
        <v>10</v>
      </c>
      <c r="E3396" t="s">
        <v>649</v>
      </c>
      <c r="F3396" s="43">
        <v>44762.1875</v>
      </c>
      <c r="G3396" s="43">
        <v>44762.21875</v>
      </c>
      <c r="H3396">
        <v>4</v>
      </c>
      <c r="I3396">
        <v>30</v>
      </c>
      <c r="J3396">
        <v>5</v>
      </c>
      <c r="K3396">
        <v>15</v>
      </c>
      <c r="L3396">
        <v>2022</v>
      </c>
      <c r="N3396" t="s">
        <v>47</v>
      </c>
      <c r="O3396" t="s">
        <v>47</v>
      </c>
      <c r="P3396" t="s">
        <v>861</v>
      </c>
    </row>
    <row r="3397" spans="1:16" x14ac:dyDescent="0.3">
      <c r="A3397" t="s">
        <v>862</v>
      </c>
      <c r="B3397" t="s">
        <v>6</v>
      </c>
      <c r="C3397">
        <v>30</v>
      </c>
      <c r="D3397" t="s">
        <v>10</v>
      </c>
      <c r="E3397" t="s">
        <v>649</v>
      </c>
      <c r="F3397" s="43">
        <v>44761.833333333336</v>
      </c>
      <c r="G3397" s="43">
        <v>44761.854166666664</v>
      </c>
      <c r="H3397">
        <v>20</v>
      </c>
      <c r="I3397">
        <v>0</v>
      </c>
      <c r="J3397">
        <v>20</v>
      </c>
      <c r="K3397">
        <v>30</v>
      </c>
      <c r="L3397">
        <v>2022</v>
      </c>
      <c r="N3397" t="s">
        <v>47</v>
      </c>
      <c r="O3397" t="s">
        <v>47</v>
      </c>
      <c r="P3397" t="s">
        <v>863</v>
      </c>
    </row>
    <row r="3398" spans="1:16" x14ac:dyDescent="0.3">
      <c r="A3398" t="s">
        <v>864</v>
      </c>
      <c r="B3398" t="s">
        <v>6</v>
      </c>
      <c r="C3398">
        <v>60</v>
      </c>
      <c r="D3398" t="s">
        <v>10</v>
      </c>
      <c r="E3398" t="s">
        <v>515</v>
      </c>
      <c r="F3398" s="43">
        <v>44761.708333333336</v>
      </c>
      <c r="G3398" s="43">
        <v>44761.75</v>
      </c>
      <c r="H3398">
        <v>17</v>
      </c>
      <c r="I3398">
        <v>0</v>
      </c>
      <c r="J3398">
        <v>18</v>
      </c>
      <c r="K3398">
        <v>0</v>
      </c>
      <c r="L3398">
        <v>2022</v>
      </c>
      <c r="N3398" t="s">
        <v>47</v>
      </c>
      <c r="O3398" t="s">
        <v>47</v>
      </c>
      <c r="P3398" t="s">
        <v>865</v>
      </c>
    </row>
    <row r="3399" spans="1:16" x14ac:dyDescent="0.3">
      <c r="A3399" t="s">
        <v>7</v>
      </c>
      <c r="B3399" t="s">
        <v>6</v>
      </c>
      <c r="C3399">
        <v>45</v>
      </c>
      <c r="D3399" t="s">
        <v>10</v>
      </c>
      <c r="E3399" t="s">
        <v>449</v>
      </c>
      <c r="F3399" s="43">
        <v>44761.625</v>
      </c>
      <c r="G3399" s="43">
        <v>44761.65625</v>
      </c>
      <c r="H3399">
        <v>15</v>
      </c>
      <c r="I3399">
        <v>0</v>
      </c>
      <c r="J3399">
        <v>15</v>
      </c>
      <c r="K3399">
        <v>45</v>
      </c>
      <c r="L3399">
        <v>2022</v>
      </c>
      <c r="N3399" t="s">
        <v>47</v>
      </c>
      <c r="O3399" t="s">
        <v>47</v>
      </c>
      <c r="P3399" t="s">
        <v>866</v>
      </c>
    </row>
    <row r="3400" spans="1:16" x14ac:dyDescent="0.3">
      <c r="A3400" t="s">
        <v>852</v>
      </c>
      <c r="B3400" t="s">
        <v>109</v>
      </c>
      <c r="C3400">
        <v>60</v>
      </c>
      <c r="D3400" t="s">
        <v>10</v>
      </c>
      <c r="E3400" t="s">
        <v>842</v>
      </c>
      <c r="F3400" s="43">
        <v>44761.5625</v>
      </c>
      <c r="G3400" s="43">
        <v>44761.604166666664</v>
      </c>
      <c r="H3400">
        <v>13</v>
      </c>
      <c r="I3400">
        <v>30</v>
      </c>
      <c r="J3400">
        <v>14</v>
      </c>
      <c r="K3400">
        <v>30</v>
      </c>
      <c r="L3400">
        <v>2022</v>
      </c>
      <c r="N3400" t="s">
        <v>47</v>
      </c>
      <c r="O3400" t="s">
        <v>47</v>
      </c>
      <c r="P3400" t="s">
        <v>870</v>
      </c>
    </row>
    <row r="3401" spans="1:16" x14ac:dyDescent="0.3">
      <c r="A3401" t="s">
        <v>841</v>
      </c>
      <c r="B3401" t="s">
        <v>109</v>
      </c>
      <c r="C3401">
        <v>30</v>
      </c>
      <c r="D3401" t="s">
        <v>10</v>
      </c>
      <c r="E3401" t="s">
        <v>842</v>
      </c>
      <c r="F3401" s="43">
        <v>44761.4375</v>
      </c>
      <c r="G3401" s="43">
        <v>44761.458333333336</v>
      </c>
      <c r="H3401">
        <v>10</v>
      </c>
      <c r="I3401">
        <v>30</v>
      </c>
      <c r="J3401">
        <v>11</v>
      </c>
      <c r="K3401">
        <v>0</v>
      </c>
      <c r="L3401">
        <v>2022</v>
      </c>
      <c r="N3401" t="s">
        <v>47</v>
      </c>
      <c r="O3401" t="s">
        <v>47</v>
      </c>
      <c r="P3401" t="s">
        <v>871</v>
      </c>
    </row>
    <row r="3402" spans="1:16" x14ac:dyDescent="0.3">
      <c r="A3402" t="s">
        <v>827</v>
      </c>
      <c r="B3402" t="s">
        <v>6</v>
      </c>
      <c r="C3402">
        <v>30</v>
      </c>
      <c r="D3402" t="s">
        <v>10</v>
      </c>
      <c r="E3402" t="s">
        <v>515</v>
      </c>
      <c r="F3402" s="43">
        <v>44761.416666666664</v>
      </c>
      <c r="G3402" s="43">
        <v>44761.4375</v>
      </c>
      <c r="H3402">
        <v>10</v>
      </c>
      <c r="I3402">
        <v>0</v>
      </c>
      <c r="J3402">
        <v>10</v>
      </c>
      <c r="K3402">
        <v>30</v>
      </c>
      <c r="L3402">
        <v>2022</v>
      </c>
      <c r="N3402" t="s">
        <v>47</v>
      </c>
      <c r="O3402" t="s">
        <v>47</v>
      </c>
      <c r="P3402" t="s">
        <v>872</v>
      </c>
    </row>
    <row r="3403" spans="1:16" x14ac:dyDescent="0.3">
      <c r="A3403" t="s">
        <v>873</v>
      </c>
      <c r="B3403" t="s">
        <v>6</v>
      </c>
      <c r="C3403">
        <v>30</v>
      </c>
      <c r="D3403" t="s">
        <v>10</v>
      </c>
      <c r="E3403" t="s">
        <v>868</v>
      </c>
      <c r="F3403" s="43">
        <v>44761.385416666664</v>
      </c>
      <c r="G3403" s="43">
        <v>44761.40625</v>
      </c>
      <c r="H3403">
        <v>9</v>
      </c>
      <c r="I3403">
        <v>15</v>
      </c>
      <c r="J3403">
        <v>9</v>
      </c>
      <c r="K3403">
        <v>45</v>
      </c>
      <c r="L3403">
        <v>2022</v>
      </c>
      <c r="N3403" t="s">
        <v>47</v>
      </c>
      <c r="O3403" t="s">
        <v>47</v>
      </c>
      <c r="P3403" t="s">
        <v>874</v>
      </c>
    </row>
    <row r="3404" spans="1:16" x14ac:dyDescent="0.3">
      <c r="A3404" t="s">
        <v>573</v>
      </c>
      <c r="B3404" t="s">
        <v>6</v>
      </c>
      <c r="C3404">
        <v>15</v>
      </c>
      <c r="D3404" t="s">
        <v>10</v>
      </c>
      <c r="E3404" t="s">
        <v>868</v>
      </c>
      <c r="F3404" s="43">
        <v>44761.375</v>
      </c>
      <c r="G3404" s="43">
        <v>44761.385416666664</v>
      </c>
      <c r="H3404">
        <v>9</v>
      </c>
      <c r="I3404">
        <v>0</v>
      </c>
      <c r="J3404">
        <v>9</v>
      </c>
      <c r="K3404">
        <v>15</v>
      </c>
      <c r="L3404">
        <v>2022</v>
      </c>
      <c r="N3404" t="s">
        <v>47</v>
      </c>
      <c r="O3404" t="s">
        <v>47</v>
      </c>
      <c r="P3404" t="s">
        <v>875</v>
      </c>
    </row>
    <row r="3405" spans="1:16" x14ac:dyDescent="0.3">
      <c r="A3405" t="s">
        <v>1286</v>
      </c>
      <c r="B3405" t="s">
        <v>6</v>
      </c>
      <c r="C3405">
        <v>60</v>
      </c>
      <c r="D3405" t="s">
        <v>10</v>
      </c>
      <c r="E3405" t="s">
        <v>1287</v>
      </c>
      <c r="F3405" s="43">
        <v>44761.333333333336</v>
      </c>
      <c r="G3405" s="43">
        <v>44761.375</v>
      </c>
      <c r="H3405">
        <v>8</v>
      </c>
      <c r="I3405">
        <v>0</v>
      </c>
      <c r="J3405">
        <v>9</v>
      </c>
      <c r="K3405">
        <v>0</v>
      </c>
      <c r="L3405">
        <v>2022</v>
      </c>
      <c r="N3405" t="s">
        <v>1288</v>
      </c>
      <c r="O3405" t="s">
        <v>1289</v>
      </c>
      <c r="P3405" t="s">
        <v>1290</v>
      </c>
    </row>
    <row r="3406" spans="1:16" x14ac:dyDescent="0.3">
      <c r="A3406" t="s">
        <v>867</v>
      </c>
      <c r="B3406" t="s">
        <v>6</v>
      </c>
      <c r="C3406">
        <v>30</v>
      </c>
      <c r="D3406" t="s">
        <v>10</v>
      </c>
      <c r="E3406" t="s">
        <v>868</v>
      </c>
      <c r="F3406" s="43">
        <v>44761.3125</v>
      </c>
      <c r="G3406" s="43">
        <v>44761.333333333336</v>
      </c>
      <c r="H3406">
        <v>7</v>
      </c>
      <c r="I3406">
        <v>30</v>
      </c>
      <c r="J3406">
        <v>8</v>
      </c>
      <c r="K3406">
        <v>0</v>
      </c>
      <c r="L3406">
        <v>2022</v>
      </c>
      <c r="N3406" t="s">
        <v>47</v>
      </c>
      <c r="O3406" t="s">
        <v>47</v>
      </c>
      <c r="P3406" t="s">
        <v>869</v>
      </c>
    </row>
    <row r="3407" spans="1:16" x14ac:dyDescent="0.3">
      <c r="A3407" t="s">
        <v>852</v>
      </c>
      <c r="B3407" t="s">
        <v>109</v>
      </c>
      <c r="C3407">
        <v>45</v>
      </c>
      <c r="D3407" t="s">
        <v>10</v>
      </c>
      <c r="E3407" t="s">
        <v>842</v>
      </c>
      <c r="F3407" s="43">
        <v>44761.239583333336</v>
      </c>
      <c r="G3407" s="43">
        <v>44761.270833333336</v>
      </c>
      <c r="H3407">
        <v>5</v>
      </c>
      <c r="I3407">
        <v>45</v>
      </c>
      <c r="J3407">
        <v>6</v>
      </c>
      <c r="K3407">
        <v>30</v>
      </c>
      <c r="L3407">
        <v>2022</v>
      </c>
      <c r="N3407" t="s">
        <v>47</v>
      </c>
      <c r="O3407" t="s">
        <v>47</v>
      </c>
      <c r="P3407" t="s">
        <v>876</v>
      </c>
    </row>
    <row r="3408" spans="1:16" x14ac:dyDescent="0.3">
      <c r="A3408" t="s">
        <v>573</v>
      </c>
      <c r="B3408" t="s">
        <v>6</v>
      </c>
      <c r="C3408">
        <v>45</v>
      </c>
      <c r="D3408" t="s">
        <v>10</v>
      </c>
      <c r="E3408" t="s">
        <v>868</v>
      </c>
      <c r="F3408" s="43">
        <v>44761.208333333336</v>
      </c>
      <c r="G3408" s="43">
        <v>44761.239583333336</v>
      </c>
      <c r="H3408">
        <v>5</v>
      </c>
      <c r="I3408">
        <v>0</v>
      </c>
      <c r="J3408">
        <v>5</v>
      </c>
      <c r="K3408">
        <v>45</v>
      </c>
      <c r="L3408">
        <v>2022</v>
      </c>
      <c r="N3408" t="s">
        <v>47</v>
      </c>
      <c r="O3408" t="s">
        <v>47</v>
      </c>
      <c r="P3408" t="s">
        <v>877</v>
      </c>
    </row>
    <row r="3409" spans="1:16" x14ac:dyDescent="0.3">
      <c r="A3409" t="s">
        <v>446</v>
      </c>
      <c r="B3409" t="s">
        <v>6</v>
      </c>
      <c r="C3409">
        <v>60</v>
      </c>
      <c r="D3409" t="s">
        <v>10</v>
      </c>
      <c r="E3409" t="s">
        <v>447</v>
      </c>
      <c r="F3409" s="43">
        <v>44760.708333333336</v>
      </c>
      <c r="G3409" s="43">
        <v>44760.75</v>
      </c>
      <c r="H3409">
        <v>17</v>
      </c>
      <c r="I3409">
        <v>0</v>
      </c>
      <c r="J3409">
        <v>18</v>
      </c>
      <c r="K3409">
        <v>0</v>
      </c>
      <c r="L3409">
        <v>2022</v>
      </c>
      <c r="N3409" t="s">
        <v>47</v>
      </c>
      <c r="O3409" t="s">
        <v>47</v>
      </c>
      <c r="P3409" t="s">
        <v>878</v>
      </c>
    </row>
    <row r="3410" spans="1:16" x14ac:dyDescent="0.3">
      <c r="A3410" t="s">
        <v>7</v>
      </c>
      <c r="B3410" t="s">
        <v>6</v>
      </c>
      <c r="C3410">
        <v>60</v>
      </c>
      <c r="D3410" t="s">
        <v>10</v>
      </c>
      <c r="E3410" t="s">
        <v>449</v>
      </c>
      <c r="F3410" s="43">
        <v>44760.645833333336</v>
      </c>
      <c r="G3410" s="43">
        <v>44760.6875</v>
      </c>
      <c r="H3410">
        <v>15</v>
      </c>
      <c r="I3410">
        <v>30</v>
      </c>
      <c r="J3410">
        <v>16</v>
      </c>
      <c r="K3410">
        <v>30</v>
      </c>
      <c r="L3410">
        <v>2022</v>
      </c>
      <c r="N3410" t="s">
        <v>47</v>
      </c>
      <c r="O3410" t="s">
        <v>47</v>
      </c>
      <c r="P3410" t="s">
        <v>879</v>
      </c>
    </row>
    <row r="3411" spans="1:16" x14ac:dyDescent="0.3">
      <c r="A3411" t="s">
        <v>841</v>
      </c>
      <c r="B3411" t="s">
        <v>109</v>
      </c>
      <c r="C3411">
        <v>30</v>
      </c>
      <c r="D3411" t="s">
        <v>10</v>
      </c>
      <c r="E3411" t="s">
        <v>842</v>
      </c>
      <c r="F3411" s="43">
        <v>44760.625</v>
      </c>
      <c r="G3411" s="43">
        <v>44760.645833333336</v>
      </c>
      <c r="H3411">
        <v>15</v>
      </c>
      <c r="I3411">
        <v>0</v>
      </c>
      <c r="J3411">
        <v>15</v>
      </c>
      <c r="K3411">
        <v>30</v>
      </c>
      <c r="L3411">
        <v>2022</v>
      </c>
      <c r="N3411" t="s">
        <v>47</v>
      </c>
      <c r="O3411" t="s">
        <v>47</v>
      </c>
      <c r="P3411" t="s">
        <v>880</v>
      </c>
    </row>
    <row r="3412" spans="1:16" x14ac:dyDescent="0.3">
      <c r="A3412" t="s">
        <v>573</v>
      </c>
      <c r="B3412" t="s">
        <v>6</v>
      </c>
      <c r="C3412">
        <v>30</v>
      </c>
      <c r="D3412" t="s">
        <v>10</v>
      </c>
      <c r="E3412" t="s">
        <v>868</v>
      </c>
      <c r="F3412" s="43">
        <v>44760.583333333336</v>
      </c>
      <c r="G3412" s="43">
        <v>44760.604166666664</v>
      </c>
      <c r="H3412">
        <v>14</v>
      </c>
      <c r="I3412">
        <v>0</v>
      </c>
      <c r="J3412">
        <v>14</v>
      </c>
      <c r="K3412">
        <v>30</v>
      </c>
      <c r="L3412">
        <v>2022</v>
      </c>
      <c r="N3412" t="s">
        <v>47</v>
      </c>
      <c r="O3412" t="s">
        <v>47</v>
      </c>
      <c r="P3412" t="s">
        <v>881</v>
      </c>
    </row>
    <row r="3413" spans="1:16" x14ac:dyDescent="0.3">
      <c r="A3413" t="s">
        <v>841</v>
      </c>
      <c r="B3413" t="s">
        <v>109</v>
      </c>
      <c r="C3413">
        <v>30</v>
      </c>
      <c r="D3413" t="s">
        <v>10</v>
      </c>
      <c r="E3413" t="s">
        <v>842</v>
      </c>
      <c r="F3413" s="43">
        <v>44760.5625</v>
      </c>
      <c r="G3413" s="43">
        <v>44760.583333333336</v>
      </c>
      <c r="H3413">
        <v>13</v>
      </c>
      <c r="I3413">
        <v>30</v>
      </c>
      <c r="J3413">
        <v>14</v>
      </c>
      <c r="K3413">
        <v>0</v>
      </c>
      <c r="L3413">
        <v>2022</v>
      </c>
      <c r="N3413" t="s">
        <v>47</v>
      </c>
      <c r="O3413" t="s">
        <v>47</v>
      </c>
      <c r="P3413" t="s">
        <v>882</v>
      </c>
    </row>
    <row r="3414" spans="1:16" x14ac:dyDescent="0.3">
      <c r="A3414" t="s">
        <v>573</v>
      </c>
      <c r="B3414" t="s">
        <v>6</v>
      </c>
      <c r="C3414">
        <v>15</v>
      </c>
      <c r="D3414" t="s">
        <v>10</v>
      </c>
      <c r="E3414" t="s">
        <v>868</v>
      </c>
      <c r="F3414" s="43">
        <v>44760.5</v>
      </c>
      <c r="G3414" s="43">
        <v>44760.510416666664</v>
      </c>
      <c r="H3414">
        <v>12</v>
      </c>
      <c r="I3414">
        <v>0</v>
      </c>
      <c r="J3414">
        <v>12</v>
      </c>
      <c r="K3414">
        <v>15</v>
      </c>
      <c r="L3414">
        <v>2022</v>
      </c>
      <c r="N3414" t="s">
        <v>47</v>
      </c>
      <c r="O3414" t="s">
        <v>47</v>
      </c>
      <c r="P3414" t="s">
        <v>887</v>
      </c>
    </row>
    <row r="3415" spans="1:16" x14ac:dyDescent="0.3">
      <c r="A3415" t="s">
        <v>939</v>
      </c>
      <c r="B3415" t="s">
        <v>20</v>
      </c>
      <c r="C3415">
        <v>60</v>
      </c>
      <c r="D3415" t="s">
        <v>10</v>
      </c>
      <c r="E3415" t="s">
        <v>842</v>
      </c>
      <c r="F3415" s="1">
        <v>44760.458333333336</v>
      </c>
      <c r="G3415" s="1">
        <v>44760.5</v>
      </c>
      <c r="H3415">
        <v>11</v>
      </c>
      <c r="I3415">
        <v>0</v>
      </c>
      <c r="J3415">
        <v>12</v>
      </c>
      <c r="K3415">
        <v>0</v>
      </c>
      <c r="L3415">
        <v>2022</v>
      </c>
      <c r="N3415" t="s">
        <v>940</v>
      </c>
      <c r="O3415" t="s">
        <v>885</v>
      </c>
      <c r="P3415" t="s">
        <v>941</v>
      </c>
    </row>
    <row r="3416" spans="1:16" x14ac:dyDescent="0.3">
      <c r="A3416" t="s">
        <v>888</v>
      </c>
      <c r="B3416" t="s">
        <v>109</v>
      </c>
      <c r="C3416">
        <v>45</v>
      </c>
      <c r="D3416" t="s">
        <v>10</v>
      </c>
      <c r="E3416" t="s">
        <v>842</v>
      </c>
      <c r="F3416" s="43">
        <v>44760.427083333336</v>
      </c>
      <c r="G3416" s="43">
        <v>44760.458333333336</v>
      </c>
      <c r="H3416">
        <v>10</v>
      </c>
      <c r="I3416">
        <v>15</v>
      </c>
      <c r="J3416">
        <v>11</v>
      </c>
      <c r="K3416">
        <v>0</v>
      </c>
      <c r="L3416">
        <v>2022</v>
      </c>
      <c r="N3416" t="s">
        <v>47</v>
      </c>
      <c r="O3416" t="s">
        <v>47</v>
      </c>
      <c r="P3416" t="s">
        <v>889</v>
      </c>
    </row>
    <row r="3417" spans="1:16" x14ac:dyDescent="0.3">
      <c r="A3417" t="s">
        <v>573</v>
      </c>
      <c r="B3417" t="s">
        <v>6</v>
      </c>
      <c r="C3417">
        <v>15</v>
      </c>
      <c r="D3417" t="s">
        <v>10</v>
      </c>
      <c r="E3417" t="s">
        <v>868</v>
      </c>
      <c r="F3417" s="43">
        <v>44760.395833333336</v>
      </c>
      <c r="G3417" s="43">
        <v>44760.40625</v>
      </c>
      <c r="H3417">
        <v>9</v>
      </c>
      <c r="I3417">
        <v>30</v>
      </c>
      <c r="J3417">
        <v>9</v>
      </c>
      <c r="K3417">
        <v>45</v>
      </c>
      <c r="L3417">
        <v>2022</v>
      </c>
      <c r="N3417" t="s">
        <v>47</v>
      </c>
      <c r="O3417" t="s">
        <v>47</v>
      </c>
      <c r="P3417" t="s">
        <v>890</v>
      </c>
    </row>
    <row r="3418" spans="1:16" x14ac:dyDescent="0.3">
      <c r="A3418" t="s">
        <v>731</v>
      </c>
      <c r="B3418" t="s">
        <v>6</v>
      </c>
      <c r="C3418">
        <v>30</v>
      </c>
      <c r="D3418" t="s">
        <v>10</v>
      </c>
      <c r="E3418" t="s">
        <v>649</v>
      </c>
      <c r="F3418" s="43">
        <v>44760.354166666664</v>
      </c>
      <c r="G3418" s="43">
        <v>44760.375</v>
      </c>
      <c r="H3418">
        <v>8</v>
      </c>
      <c r="I3418">
        <v>30</v>
      </c>
      <c r="J3418">
        <v>9</v>
      </c>
      <c r="K3418">
        <v>0</v>
      </c>
      <c r="L3418">
        <v>2022</v>
      </c>
      <c r="N3418" t="s">
        <v>47</v>
      </c>
      <c r="O3418" t="s">
        <v>47</v>
      </c>
      <c r="P3418" t="s">
        <v>891</v>
      </c>
    </row>
    <row r="3419" spans="1:16" x14ac:dyDescent="0.3">
      <c r="A3419" t="s">
        <v>892</v>
      </c>
      <c r="B3419" t="s">
        <v>6</v>
      </c>
      <c r="C3419">
        <v>15</v>
      </c>
      <c r="D3419" t="s">
        <v>10</v>
      </c>
      <c r="E3419" t="s">
        <v>477</v>
      </c>
      <c r="F3419" s="43">
        <v>44760.34375</v>
      </c>
      <c r="G3419" s="43">
        <v>44760.354166666664</v>
      </c>
      <c r="H3419">
        <v>8</v>
      </c>
      <c r="I3419">
        <v>15</v>
      </c>
      <c r="J3419">
        <v>8</v>
      </c>
      <c r="K3419">
        <v>30</v>
      </c>
      <c r="L3419">
        <v>2022</v>
      </c>
      <c r="N3419" t="s">
        <v>47</v>
      </c>
      <c r="O3419" t="s">
        <v>47</v>
      </c>
      <c r="P3419" t="s">
        <v>893</v>
      </c>
    </row>
    <row r="3420" spans="1:16" x14ac:dyDescent="0.3">
      <c r="A3420" t="s">
        <v>894</v>
      </c>
      <c r="B3420" t="s">
        <v>6</v>
      </c>
      <c r="C3420">
        <v>45</v>
      </c>
      <c r="D3420" t="s">
        <v>10</v>
      </c>
      <c r="E3420" t="s">
        <v>868</v>
      </c>
      <c r="F3420" s="43">
        <v>44760.291666666664</v>
      </c>
      <c r="G3420" s="43">
        <v>44760.322916666664</v>
      </c>
      <c r="H3420">
        <v>7</v>
      </c>
      <c r="I3420">
        <v>0</v>
      </c>
      <c r="J3420">
        <v>7</v>
      </c>
      <c r="K3420">
        <v>45</v>
      </c>
      <c r="L3420">
        <v>2022</v>
      </c>
      <c r="N3420" t="s">
        <v>47</v>
      </c>
      <c r="O3420" t="s">
        <v>47</v>
      </c>
      <c r="P3420" t="s">
        <v>895</v>
      </c>
    </row>
    <row r="3421" spans="1:16" x14ac:dyDescent="0.3">
      <c r="A3421" t="s">
        <v>901</v>
      </c>
      <c r="B3421" t="s">
        <v>6</v>
      </c>
      <c r="C3421">
        <v>90</v>
      </c>
      <c r="D3421" t="s">
        <v>10</v>
      </c>
      <c r="E3421" t="s">
        <v>649</v>
      </c>
      <c r="F3421" s="43">
        <v>44760.208333333336</v>
      </c>
      <c r="G3421" s="43">
        <v>44760.270833333336</v>
      </c>
      <c r="H3421">
        <v>5</v>
      </c>
      <c r="I3421">
        <v>0</v>
      </c>
      <c r="J3421">
        <v>6</v>
      </c>
      <c r="K3421">
        <v>30</v>
      </c>
      <c r="L3421">
        <v>2022</v>
      </c>
      <c r="N3421" t="s">
        <v>47</v>
      </c>
      <c r="O3421" t="s">
        <v>47</v>
      </c>
      <c r="P3421" t="s">
        <v>902</v>
      </c>
    </row>
    <row r="3422" spans="1:16" x14ac:dyDescent="0.3">
      <c r="A3422" t="s">
        <v>903</v>
      </c>
      <c r="B3422" t="s">
        <v>6</v>
      </c>
      <c r="C3422">
        <v>60</v>
      </c>
      <c r="D3422" t="s">
        <v>10</v>
      </c>
      <c r="E3422" t="s">
        <v>868</v>
      </c>
      <c r="F3422" s="43">
        <v>44759.770833333336</v>
      </c>
      <c r="G3422" s="43">
        <v>44759.8125</v>
      </c>
      <c r="H3422">
        <v>18</v>
      </c>
      <c r="I3422">
        <v>30</v>
      </c>
      <c r="J3422">
        <v>19</v>
      </c>
      <c r="K3422">
        <v>30</v>
      </c>
      <c r="L3422">
        <v>2022</v>
      </c>
      <c r="N3422" t="s">
        <v>47</v>
      </c>
      <c r="O3422" t="s">
        <v>47</v>
      </c>
      <c r="P3422" t="s">
        <v>904</v>
      </c>
    </row>
    <row r="3423" spans="1:16" x14ac:dyDescent="0.3">
      <c r="A3423" t="s">
        <v>905</v>
      </c>
      <c r="B3423" t="s">
        <v>6</v>
      </c>
      <c r="C3423">
        <v>75</v>
      </c>
      <c r="D3423" t="s">
        <v>10</v>
      </c>
      <c r="E3423" t="s">
        <v>868</v>
      </c>
      <c r="F3423" s="43">
        <v>44759.583333333336</v>
      </c>
      <c r="G3423" s="43">
        <v>44759.635416666664</v>
      </c>
      <c r="H3423">
        <v>14</v>
      </c>
      <c r="I3423">
        <v>0</v>
      </c>
      <c r="J3423">
        <v>15</v>
      </c>
      <c r="K3423">
        <v>15</v>
      </c>
      <c r="L3423">
        <v>2022</v>
      </c>
      <c r="N3423" t="s">
        <v>47</v>
      </c>
      <c r="O3423" t="s">
        <v>47</v>
      </c>
      <c r="P3423" t="s">
        <v>906</v>
      </c>
    </row>
    <row r="3424" spans="1:16" x14ac:dyDescent="0.3">
      <c r="A3424" t="s">
        <v>573</v>
      </c>
      <c r="B3424" t="s">
        <v>6</v>
      </c>
      <c r="C3424">
        <v>60</v>
      </c>
      <c r="D3424" t="s">
        <v>10</v>
      </c>
      <c r="E3424" t="s">
        <v>868</v>
      </c>
      <c r="F3424" s="43">
        <v>44759.375</v>
      </c>
      <c r="G3424" s="43">
        <v>44759.416666666664</v>
      </c>
      <c r="H3424">
        <v>9</v>
      </c>
      <c r="I3424">
        <v>0</v>
      </c>
      <c r="J3424">
        <v>10</v>
      </c>
      <c r="K3424">
        <v>0</v>
      </c>
      <c r="L3424">
        <v>2022</v>
      </c>
      <c r="N3424" t="s">
        <v>47</v>
      </c>
      <c r="O3424" t="s">
        <v>47</v>
      </c>
      <c r="P3424" t="s">
        <v>909</v>
      </c>
    </row>
    <row r="3425" spans="1:16" x14ac:dyDescent="0.3">
      <c r="A3425" t="s">
        <v>907</v>
      </c>
      <c r="B3425" t="s">
        <v>6</v>
      </c>
      <c r="C3425">
        <v>60</v>
      </c>
      <c r="D3425" t="s">
        <v>10</v>
      </c>
      <c r="E3425" t="s">
        <v>438</v>
      </c>
      <c r="F3425" s="43">
        <v>44759.208333333336</v>
      </c>
      <c r="G3425" s="43">
        <v>44759.25</v>
      </c>
      <c r="H3425">
        <v>5</v>
      </c>
      <c r="I3425">
        <v>0</v>
      </c>
      <c r="J3425">
        <v>6</v>
      </c>
      <c r="K3425">
        <v>0</v>
      </c>
      <c r="L3425">
        <v>2022</v>
      </c>
      <c r="N3425" t="s">
        <v>47</v>
      </c>
      <c r="O3425" t="s">
        <v>47</v>
      </c>
      <c r="P3425" t="s">
        <v>908</v>
      </c>
    </row>
    <row r="3426" spans="1:16" x14ac:dyDescent="0.3">
      <c r="A3426" t="s">
        <v>440</v>
      </c>
      <c r="B3426" t="s">
        <v>6</v>
      </c>
      <c r="C3426">
        <v>120</v>
      </c>
      <c r="D3426" t="s">
        <v>10</v>
      </c>
      <c r="E3426" t="s">
        <v>438</v>
      </c>
      <c r="F3426" s="43">
        <v>44758.375</v>
      </c>
      <c r="G3426" s="43">
        <v>44758.458333333336</v>
      </c>
      <c r="H3426">
        <v>9</v>
      </c>
      <c r="I3426">
        <v>0</v>
      </c>
      <c r="J3426">
        <v>11</v>
      </c>
      <c r="K3426">
        <v>0</v>
      </c>
      <c r="L3426">
        <v>2022</v>
      </c>
      <c r="N3426" t="s">
        <v>47</v>
      </c>
      <c r="O3426" t="s">
        <v>47</v>
      </c>
      <c r="P3426" t="s">
        <v>3796</v>
      </c>
    </row>
    <row r="3427" spans="1:16" x14ac:dyDescent="0.3">
      <c r="A3427" t="s">
        <v>440</v>
      </c>
      <c r="B3427" t="s">
        <v>6</v>
      </c>
      <c r="C3427">
        <v>120</v>
      </c>
      <c r="D3427" t="s">
        <v>10</v>
      </c>
      <c r="E3427" t="s">
        <v>438</v>
      </c>
      <c r="F3427" s="43">
        <v>44757.458333333336</v>
      </c>
      <c r="G3427" s="43">
        <v>44757.541666666664</v>
      </c>
      <c r="H3427">
        <v>11</v>
      </c>
      <c r="I3427">
        <v>0</v>
      </c>
      <c r="J3427">
        <v>13</v>
      </c>
      <c r="K3427">
        <v>0</v>
      </c>
      <c r="L3427">
        <v>2022</v>
      </c>
      <c r="N3427" t="s">
        <v>47</v>
      </c>
      <c r="O3427" t="s">
        <v>47</v>
      </c>
      <c r="P3427" t="s">
        <v>3797</v>
      </c>
    </row>
    <row r="3428" spans="1:16" x14ac:dyDescent="0.3">
      <c r="A3428" t="s">
        <v>929</v>
      </c>
      <c r="B3428" t="s">
        <v>6</v>
      </c>
      <c r="C3428">
        <v>60</v>
      </c>
      <c r="D3428" t="s">
        <v>10</v>
      </c>
      <c r="E3428" t="s">
        <v>930</v>
      </c>
      <c r="F3428" s="43">
        <v>44757.375</v>
      </c>
      <c r="G3428" s="43">
        <v>44757.416666666664</v>
      </c>
      <c r="H3428">
        <v>9</v>
      </c>
      <c r="I3428">
        <v>0</v>
      </c>
      <c r="J3428">
        <v>10</v>
      </c>
      <c r="K3428">
        <v>0</v>
      </c>
      <c r="L3428">
        <v>2022</v>
      </c>
      <c r="N3428" t="s">
        <v>931</v>
      </c>
      <c r="O3428" t="s">
        <v>50</v>
      </c>
      <c r="P3428" t="s">
        <v>932</v>
      </c>
    </row>
    <row r="3429" spans="1:16" x14ac:dyDescent="0.3">
      <c r="A3429" t="s">
        <v>910</v>
      </c>
      <c r="B3429" t="s">
        <v>6</v>
      </c>
      <c r="C3429">
        <v>30</v>
      </c>
      <c r="D3429" t="s">
        <v>10</v>
      </c>
      <c r="E3429" t="s">
        <v>911</v>
      </c>
      <c r="F3429" s="43">
        <v>44757.25</v>
      </c>
      <c r="G3429" s="43">
        <v>44757.270833333336</v>
      </c>
      <c r="H3429">
        <v>6</v>
      </c>
      <c r="I3429">
        <v>0</v>
      </c>
      <c r="J3429">
        <v>6</v>
      </c>
      <c r="K3429">
        <v>30</v>
      </c>
      <c r="L3429">
        <v>2022</v>
      </c>
      <c r="N3429" t="s">
        <v>625</v>
      </c>
      <c r="O3429" t="s">
        <v>47</v>
      </c>
      <c r="P3429" t="s">
        <v>912</v>
      </c>
    </row>
    <row r="3430" spans="1:16" x14ac:dyDescent="0.3">
      <c r="A3430" t="s">
        <v>440</v>
      </c>
      <c r="B3430" t="s">
        <v>6</v>
      </c>
      <c r="C3430">
        <v>120</v>
      </c>
      <c r="D3430" t="s">
        <v>10</v>
      </c>
      <c r="E3430" t="s">
        <v>438</v>
      </c>
      <c r="F3430" s="43">
        <v>44756.458333333336</v>
      </c>
      <c r="G3430" s="43">
        <v>44756.541666666664</v>
      </c>
      <c r="H3430">
        <v>11</v>
      </c>
      <c r="I3430">
        <v>0</v>
      </c>
      <c r="J3430">
        <v>13</v>
      </c>
      <c r="K3430">
        <v>0</v>
      </c>
      <c r="L3430">
        <v>2022</v>
      </c>
      <c r="N3430" t="s">
        <v>47</v>
      </c>
      <c r="O3430" t="s">
        <v>47</v>
      </c>
      <c r="P3430" t="s">
        <v>3798</v>
      </c>
    </row>
    <row r="3431" spans="1:16" x14ac:dyDescent="0.3">
      <c r="A3431" t="s">
        <v>827</v>
      </c>
      <c r="B3431" t="s">
        <v>6</v>
      </c>
      <c r="C3431">
        <v>90</v>
      </c>
      <c r="D3431" t="s">
        <v>10</v>
      </c>
      <c r="E3431" t="s">
        <v>981</v>
      </c>
      <c r="F3431" s="43">
        <v>44756.395833333336</v>
      </c>
      <c r="G3431" s="43">
        <v>44756.458333333336</v>
      </c>
      <c r="H3431">
        <v>9</v>
      </c>
      <c r="I3431">
        <v>30</v>
      </c>
      <c r="J3431">
        <v>11</v>
      </c>
      <c r="K3431">
        <v>0</v>
      </c>
      <c r="L3431">
        <v>2022</v>
      </c>
      <c r="N3431" t="s">
        <v>47</v>
      </c>
      <c r="O3431" t="s">
        <v>47</v>
      </c>
      <c r="P3431" t="s">
        <v>3795</v>
      </c>
    </row>
    <row r="3432" spans="1:16" x14ac:dyDescent="0.3">
      <c r="A3432" t="s">
        <v>935</v>
      </c>
      <c r="B3432" t="s">
        <v>6</v>
      </c>
      <c r="C3432">
        <v>60</v>
      </c>
      <c r="D3432" t="s">
        <v>10</v>
      </c>
      <c r="E3432" t="s">
        <v>936</v>
      </c>
      <c r="F3432" s="1">
        <v>44755.5</v>
      </c>
      <c r="G3432" s="1">
        <v>44755.541666666664</v>
      </c>
      <c r="H3432">
        <v>12</v>
      </c>
      <c r="I3432">
        <v>0</v>
      </c>
      <c r="J3432">
        <v>13</v>
      </c>
      <c r="K3432">
        <v>0</v>
      </c>
      <c r="L3432">
        <v>2022</v>
      </c>
      <c r="N3432" t="s">
        <v>937</v>
      </c>
      <c r="O3432" t="s">
        <v>50</v>
      </c>
      <c r="P3432" t="s">
        <v>938</v>
      </c>
    </row>
    <row r="3433" spans="1:16" x14ac:dyDescent="0.3">
      <c r="A3433" t="s">
        <v>440</v>
      </c>
      <c r="B3433" t="s">
        <v>6</v>
      </c>
      <c r="C3433">
        <v>120</v>
      </c>
      <c r="D3433" t="s">
        <v>10</v>
      </c>
      <c r="E3433" t="s">
        <v>438</v>
      </c>
      <c r="F3433" s="43">
        <v>44755.416666666664</v>
      </c>
      <c r="G3433" s="43">
        <v>44755.5</v>
      </c>
      <c r="H3433">
        <v>10</v>
      </c>
      <c r="I3433">
        <v>0</v>
      </c>
      <c r="J3433">
        <v>12</v>
      </c>
      <c r="K3433">
        <v>0</v>
      </c>
      <c r="L3433">
        <v>2022</v>
      </c>
      <c r="N3433" t="s">
        <v>47</v>
      </c>
      <c r="O3433" t="s">
        <v>47</v>
      </c>
      <c r="P3433" t="s">
        <v>3799</v>
      </c>
    </row>
    <row r="3434" spans="1:16" x14ac:dyDescent="0.3">
      <c r="A3434" t="s">
        <v>1108</v>
      </c>
      <c r="B3434" t="s">
        <v>223</v>
      </c>
      <c r="C3434">
        <v>60</v>
      </c>
      <c r="D3434" t="s">
        <v>10</v>
      </c>
      <c r="E3434" t="s">
        <v>1109</v>
      </c>
      <c r="F3434" s="43">
        <v>44755.375</v>
      </c>
      <c r="G3434" s="43">
        <v>44755.416666666664</v>
      </c>
      <c r="H3434">
        <v>9</v>
      </c>
      <c r="I3434">
        <v>0</v>
      </c>
      <c r="J3434">
        <v>10</v>
      </c>
      <c r="K3434">
        <v>0</v>
      </c>
      <c r="L3434">
        <v>2022</v>
      </c>
      <c r="N3434" t="s">
        <v>1110</v>
      </c>
      <c r="O3434" t="s">
        <v>458</v>
      </c>
      <c r="P3434" t="s">
        <v>1111</v>
      </c>
    </row>
    <row r="3435" spans="1:16" x14ac:dyDescent="0.3">
      <c r="A3435" t="s">
        <v>987</v>
      </c>
      <c r="B3435" t="s">
        <v>20</v>
      </c>
      <c r="C3435">
        <v>60</v>
      </c>
      <c r="D3435" t="s">
        <v>10</v>
      </c>
      <c r="E3435" t="s">
        <v>988</v>
      </c>
      <c r="F3435" s="43">
        <v>44755.270833333336</v>
      </c>
      <c r="G3435" s="43">
        <v>44755.3125</v>
      </c>
      <c r="H3435">
        <v>6</v>
      </c>
      <c r="I3435">
        <v>30</v>
      </c>
      <c r="J3435">
        <v>7</v>
      </c>
      <c r="K3435">
        <v>30</v>
      </c>
      <c r="L3435">
        <v>2022</v>
      </c>
      <c r="N3435" t="s">
        <v>989</v>
      </c>
      <c r="O3435" t="s">
        <v>990</v>
      </c>
      <c r="P3435" t="s">
        <v>991</v>
      </c>
    </row>
    <row r="3436" spans="1:16" x14ac:dyDescent="0.3">
      <c r="A3436" t="s">
        <v>440</v>
      </c>
      <c r="B3436" t="s">
        <v>6</v>
      </c>
      <c r="C3436">
        <v>120</v>
      </c>
      <c r="D3436" t="s">
        <v>10</v>
      </c>
      <c r="E3436" t="s">
        <v>438</v>
      </c>
      <c r="F3436" s="43">
        <v>44754.520833333336</v>
      </c>
      <c r="G3436" s="43">
        <v>44754.604166666664</v>
      </c>
      <c r="H3436">
        <v>12</v>
      </c>
      <c r="I3436">
        <v>30</v>
      </c>
      <c r="J3436">
        <v>14</v>
      </c>
      <c r="K3436">
        <v>30</v>
      </c>
      <c r="L3436">
        <v>2022</v>
      </c>
      <c r="N3436" t="s">
        <v>47</v>
      </c>
      <c r="O3436" t="s">
        <v>47</v>
      </c>
      <c r="P3436" t="s">
        <v>3802</v>
      </c>
    </row>
    <row r="3437" spans="1:16" x14ac:dyDescent="0.3">
      <c r="A3437" t="s">
        <v>1296</v>
      </c>
      <c r="B3437" t="s">
        <v>20</v>
      </c>
      <c r="C3437">
        <v>90</v>
      </c>
      <c r="D3437" t="s">
        <v>10</v>
      </c>
      <c r="E3437" t="s">
        <v>1297</v>
      </c>
      <c r="F3437" s="43">
        <v>44754.291666666664</v>
      </c>
      <c r="G3437" s="43">
        <v>44754.354166666664</v>
      </c>
      <c r="H3437">
        <v>7</v>
      </c>
      <c r="I3437">
        <v>0</v>
      </c>
      <c r="J3437">
        <v>8</v>
      </c>
      <c r="K3437">
        <v>30</v>
      </c>
      <c r="L3437">
        <v>2022</v>
      </c>
      <c r="N3437" t="s">
        <v>1298</v>
      </c>
      <c r="O3437" t="s">
        <v>47</v>
      </c>
      <c r="P3437" t="s">
        <v>1299</v>
      </c>
    </row>
    <row r="3438" spans="1:16" x14ac:dyDescent="0.3">
      <c r="A3438" t="s">
        <v>926</v>
      </c>
      <c r="B3438" t="s">
        <v>20</v>
      </c>
      <c r="C3438">
        <v>30</v>
      </c>
      <c r="D3438" t="s">
        <v>10</v>
      </c>
      <c r="E3438" t="s">
        <v>933</v>
      </c>
      <c r="F3438" s="43">
        <v>44754.270833333336</v>
      </c>
      <c r="G3438" s="43">
        <v>44754.291666666664</v>
      </c>
      <c r="H3438">
        <v>6</v>
      </c>
      <c r="I3438">
        <v>30</v>
      </c>
      <c r="J3438">
        <v>7</v>
      </c>
      <c r="K3438">
        <v>0</v>
      </c>
      <c r="L3438">
        <v>2022</v>
      </c>
      <c r="N3438" t="s">
        <v>47</v>
      </c>
      <c r="O3438" t="s">
        <v>47</v>
      </c>
      <c r="P3438" t="s">
        <v>934</v>
      </c>
    </row>
    <row r="3439" spans="1:16" x14ac:dyDescent="0.3">
      <c r="A3439" t="s">
        <v>926</v>
      </c>
      <c r="B3439" t="s">
        <v>20</v>
      </c>
      <c r="C3439">
        <v>60</v>
      </c>
      <c r="D3439" t="s">
        <v>10</v>
      </c>
      <c r="E3439" t="s">
        <v>927</v>
      </c>
      <c r="F3439" s="43">
        <v>44754.229166666664</v>
      </c>
      <c r="G3439" s="43">
        <v>44754.270833333336</v>
      </c>
      <c r="H3439">
        <v>5</v>
      </c>
      <c r="I3439">
        <v>30</v>
      </c>
      <c r="J3439">
        <v>6</v>
      </c>
      <c r="K3439">
        <v>30</v>
      </c>
      <c r="L3439">
        <v>2022</v>
      </c>
      <c r="N3439" t="s">
        <v>47</v>
      </c>
      <c r="O3439" t="s">
        <v>47</v>
      </c>
      <c r="P3439" t="s">
        <v>928</v>
      </c>
    </row>
    <row r="3440" spans="1:16" x14ac:dyDescent="0.3">
      <c r="A3440" t="s">
        <v>1344</v>
      </c>
      <c r="B3440" t="s">
        <v>20</v>
      </c>
      <c r="C3440">
        <v>120</v>
      </c>
      <c r="D3440" t="s">
        <v>10</v>
      </c>
      <c r="E3440" t="s">
        <v>1345</v>
      </c>
      <c r="F3440" s="43">
        <v>44753.579861111109</v>
      </c>
      <c r="G3440" s="43">
        <v>44753.663194444445</v>
      </c>
      <c r="H3440">
        <v>13</v>
      </c>
      <c r="I3440">
        <v>55</v>
      </c>
      <c r="J3440">
        <v>15</v>
      </c>
      <c r="K3440">
        <v>55</v>
      </c>
      <c r="L3440">
        <v>2022</v>
      </c>
      <c r="N3440" t="s">
        <v>1346</v>
      </c>
      <c r="O3440" t="s">
        <v>1241</v>
      </c>
      <c r="P3440" t="s">
        <v>1347</v>
      </c>
    </row>
    <row r="3441" spans="1:16" x14ac:dyDescent="0.3">
      <c r="A3441" t="s">
        <v>440</v>
      </c>
      <c r="B3441" t="s">
        <v>6</v>
      </c>
      <c r="C3441">
        <v>120</v>
      </c>
      <c r="D3441" t="s">
        <v>10</v>
      </c>
      <c r="E3441" t="s">
        <v>438</v>
      </c>
      <c r="F3441" s="43">
        <v>44753.270833333336</v>
      </c>
      <c r="G3441" s="43">
        <v>44753.354166666664</v>
      </c>
      <c r="H3441">
        <v>6</v>
      </c>
      <c r="I3441">
        <v>30</v>
      </c>
      <c r="J3441">
        <v>8</v>
      </c>
      <c r="K3441">
        <v>30</v>
      </c>
      <c r="L3441">
        <v>2022</v>
      </c>
      <c r="N3441" t="s">
        <v>47</v>
      </c>
      <c r="O3441" t="s">
        <v>47</v>
      </c>
      <c r="P3441" t="s">
        <v>3801</v>
      </c>
    </row>
    <row r="3442" spans="1:16" x14ac:dyDescent="0.3">
      <c r="A3442" t="s">
        <v>440</v>
      </c>
      <c r="B3442" t="s">
        <v>6</v>
      </c>
      <c r="C3442">
        <v>120</v>
      </c>
      <c r="D3442" t="s">
        <v>10</v>
      </c>
      <c r="E3442" t="s">
        <v>438</v>
      </c>
      <c r="F3442" s="43">
        <v>44752.4375</v>
      </c>
      <c r="G3442" s="43">
        <v>44752.520833333336</v>
      </c>
      <c r="H3442">
        <v>10</v>
      </c>
      <c r="I3442">
        <v>30</v>
      </c>
      <c r="J3442">
        <v>12</v>
      </c>
      <c r="K3442">
        <v>30</v>
      </c>
      <c r="L3442">
        <v>2022</v>
      </c>
      <c r="N3442" t="s">
        <v>47</v>
      </c>
      <c r="O3442" t="s">
        <v>47</v>
      </c>
      <c r="P3442" t="s">
        <v>3803</v>
      </c>
    </row>
    <row r="3443" spans="1:16" x14ac:dyDescent="0.3">
      <c r="A3443" t="s">
        <v>440</v>
      </c>
      <c r="B3443" t="s">
        <v>6</v>
      </c>
      <c r="C3443">
        <v>120</v>
      </c>
      <c r="D3443" t="s">
        <v>10</v>
      </c>
      <c r="E3443" t="s">
        <v>438</v>
      </c>
      <c r="F3443" s="43">
        <v>44751.229166666664</v>
      </c>
      <c r="G3443" s="43">
        <v>44751.3125</v>
      </c>
      <c r="H3443">
        <v>5</v>
      </c>
      <c r="I3443">
        <v>30</v>
      </c>
      <c r="J3443">
        <v>7</v>
      </c>
      <c r="K3443">
        <v>30</v>
      </c>
      <c r="L3443">
        <v>2022</v>
      </c>
      <c r="N3443" t="s">
        <v>47</v>
      </c>
      <c r="O3443" t="s">
        <v>47</v>
      </c>
      <c r="P3443" t="s">
        <v>3800</v>
      </c>
    </row>
    <row r="3444" spans="1:16" x14ac:dyDescent="0.3">
      <c r="A3444" t="s">
        <v>440</v>
      </c>
      <c r="B3444" t="s">
        <v>6</v>
      </c>
      <c r="C3444">
        <v>120</v>
      </c>
      <c r="D3444" t="s">
        <v>10</v>
      </c>
      <c r="E3444" t="s">
        <v>438</v>
      </c>
      <c r="F3444" s="43">
        <v>44750.229166666664</v>
      </c>
      <c r="G3444" s="43">
        <v>44750.3125</v>
      </c>
      <c r="H3444">
        <v>5</v>
      </c>
      <c r="I3444">
        <v>30</v>
      </c>
      <c r="J3444">
        <v>7</v>
      </c>
      <c r="K3444">
        <v>30</v>
      </c>
      <c r="L3444">
        <v>2022</v>
      </c>
      <c r="N3444" t="s">
        <v>47</v>
      </c>
      <c r="O3444" t="s">
        <v>47</v>
      </c>
      <c r="P3444" t="s">
        <v>3804</v>
      </c>
    </row>
    <row r="3445" spans="1:16" x14ac:dyDescent="0.3">
      <c r="A3445" t="s">
        <v>440</v>
      </c>
      <c r="B3445" t="s">
        <v>6</v>
      </c>
      <c r="C3445">
        <v>120</v>
      </c>
      <c r="D3445" t="s">
        <v>10</v>
      </c>
      <c r="E3445" t="s">
        <v>438</v>
      </c>
      <c r="F3445" s="43">
        <v>44749.229166666664</v>
      </c>
      <c r="G3445" s="43">
        <v>44749.3125</v>
      </c>
      <c r="H3445">
        <v>5</v>
      </c>
      <c r="I3445">
        <v>30</v>
      </c>
      <c r="J3445">
        <v>7</v>
      </c>
      <c r="K3445">
        <v>30</v>
      </c>
      <c r="L3445">
        <v>2022</v>
      </c>
      <c r="N3445" t="s">
        <v>47</v>
      </c>
      <c r="O3445" t="s">
        <v>47</v>
      </c>
      <c r="P3445" t="s">
        <v>3805</v>
      </c>
    </row>
    <row r="3446" spans="1:16" x14ac:dyDescent="0.3">
      <c r="A3446" t="s">
        <v>1018</v>
      </c>
      <c r="B3446" t="s">
        <v>20</v>
      </c>
      <c r="C3446">
        <v>120</v>
      </c>
      <c r="D3446" t="s">
        <v>10</v>
      </c>
      <c r="E3446" t="s">
        <v>1019</v>
      </c>
      <c r="F3446" s="43">
        <v>44748.354166666664</v>
      </c>
      <c r="G3446" s="43">
        <v>44748.4375</v>
      </c>
      <c r="H3446">
        <v>8</v>
      </c>
      <c r="I3446">
        <v>30</v>
      </c>
      <c r="J3446">
        <v>10</v>
      </c>
      <c r="K3446">
        <v>30</v>
      </c>
      <c r="L3446">
        <v>2022</v>
      </c>
      <c r="N3446" t="s">
        <v>1020</v>
      </c>
      <c r="O3446" t="s">
        <v>51</v>
      </c>
      <c r="P3446" t="s">
        <v>1021</v>
      </c>
    </row>
    <row r="3447" spans="1:16" x14ac:dyDescent="0.3">
      <c r="A3447" t="s">
        <v>1061</v>
      </c>
      <c r="B3447" t="s">
        <v>20</v>
      </c>
      <c r="C3447">
        <v>90</v>
      </c>
      <c r="D3447" t="s">
        <v>10</v>
      </c>
      <c r="E3447" t="s">
        <v>1062</v>
      </c>
      <c r="F3447" s="43">
        <v>44748.291666666664</v>
      </c>
      <c r="G3447" s="43">
        <v>44748.354166666664</v>
      </c>
      <c r="H3447">
        <v>7</v>
      </c>
      <c r="I3447">
        <v>0</v>
      </c>
      <c r="J3447">
        <v>8</v>
      </c>
      <c r="K3447">
        <v>30</v>
      </c>
      <c r="L3447">
        <v>2022</v>
      </c>
      <c r="N3447" t="s">
        <v>1063</v>
      </c>
      <c r="O3447" t="s">
        <v>916</v>
      </c>
      <c r="P3447" t="s">
        <v>1064</v>
      </c>
    </row>
    <row r="3448" spans="1:16" x14ac:dyDescent="0.3">
      <c r="A3448" t="s">
        <v>440</v>
      </c>
      <c r="B3448" t="s">
        <v>6</v>
      </c>
      <c r="C3448">
        <v>120</v>
      </c>
      <c r="D3448" t="s">
        <v>10</v>
      </c>
      <c r="E3448" t="s">
        <v>438</v>
      </c>
      <c r="F3448" s="43">
        <v>44748.208333333336</v>
      </c>
      <c r="G3448" s="43">
        <v>44748.291666666664</v>
      </c>
      <c r="H3448">
        <v>5</v>
      </c>
      <c r="I3448">
        <v>0</v>
      </c>
      <c r="J3448">
        <v>7</v>
      </c>
      <c r="K3448">
        <v>0</v>
      </c>
      <c r="L3448">
        <v>2022</v>
      </c>
      <c r="N3448" t="s">
        <v>47</v>
      </c>
      <c r="O3448" t="s">
        <v>47</v>
      </c>
      <c r="P3448" t="s">
        <v>3806</v>
      </c>
    </row>
    <row r="3449" spans="1:16" x14ac:dyDescent="0.3">
      <c r="A3449" t="s">
        <v>968</v>
      </c>
      <c r="B3449" t="s">
        <v>20</v>
      </c>
      <c r="C3449">
        <v>60</v>
      </c>
      <c r="D3449" t="s">
        <v>10</v>
      </c>
      <c r="E3449" t="s">
        <v>969</v>
      </c>
      <c r="F3449" s="43">
        <v>44748.125</v>
      </c>
      <c r="G3449" s="43">
        <v>44748.166666666664</v>
      </c>
      <c r="H3449">
        <v>3</v>
      </c>
      <c r="I3449">
        <v>0</v>
      </c>
      <c r="J3449">
        <v>4</v>
      </c>
      <c r="K3449">
        <v>0</v>
      </c>
      <c r="L3449">
        <v>2022</v>
      </c>
      <c r="N3449" t="s">
        <v>970</v>
      </c>
      <c r="O3449" t="s">
        <v>47</v>
      </c>
      <c r="P3449" t="s">
        <v>971</v>
      </c>
    </row>
    <row r="3450" spans="1:16" x14ac:dyDescent="0.3">
      <c r="A3450" t="s">
        <v>573</v>
      </c>
      <c r="B3450" t="s">
        <v>6</v>
      </c>
      <c r="C3450">
        <v>90</v>
      </c>
      <c r="D3450" t="s">
        <v>10</v>
      </c>
      <c r="E3450" t="s">
        <v>947</v>
      </c>
      <c r="F3450" s="43">
        <v>44747.5625</v>
      </c>
      <c r="G3450" s="43">
        <v>44747.625</v>
      </c>
      <c r="H3450">
        <v>13</v>
      </c>
      <c r="I3450">
        <v>30</v>
      </c>
      <c r="J3450">
        <v>15</v>
      </c>
      <c r="K3450">
        <v>0</v>
      </c>
      <c r="L3450">
        <v>2022</v>
      </c>
      <c r="O3450" t="s">
        <v>47</v>
      </c>
      <c r="P3450" t="s">
        <v>948</v>
      </c>
    </row>
    <row r="3451" spans="1:16" x14ac:dyDescent="0.3">
      <c r="A3451" t="s">
        <v>1026</v>
      </c>
      <c r="B3451" t="s">
        <v>20</v>
      </c>
      <c r="C3451">
        <v>90</v>
      </c>
      <c r="D3451" t="s">
        <v>10</v>
      </c>
      <c r="E3451" t="s">
        <v>1027</v>
      </c>
      <c r="F3451" s="43">
        <v>44747.458333333336</v>
      </c>
      <c r="G3451" s="43">
        <v>44747.520833333336</v>
      </c>
      <c r="H3451">
        <v>11</v>
      </c>
      <c r="I3451">
        <v>0</v>
      </c>
      <c r="J3451">
        <v>12</v>
      </c>
      <c r="K3451">
        <v>30</v>
      </c>
      <c r="L3451">
        <v>2022</v>
      </c>
      <c r="N3451" t="s">
        <v>1028</v>
      </c>
      <c r="O3451" t="s">
        <v>975</v>
      </c>
      <c r="P3451" t="s">
        <v>1029</v>
      </c>
    </row>
    <row r="3452" spans="1:16" x14ac:dyDescent="0.3">
      <c r="A3452" t="s">
        <v>440</v>
      </c>
      <c r="B3452" t="s">
        <v>6</v>
      </c>
      <c r="C3452">
        <v>120</v>
      </c>
      <c r="D3452" t="s">
        <v>10</v>
      </c>
      <c r="E3452" t="s">
        <v>438</v>
      </c>
      <c r="F3452" s="43">
        <v>44747.291666666664</v>
      </c>
      <c r="G3452" s="43">
        <v>44747.375</v>
      </c>
      <c r="H3452">
        <v>7</v>
      </c>
      <c r="I3452">
        <v>0</v>
      </c>
      <c r="J3452">
        <v>9</v>
      </c>
      <c r="K3452">
        <v>0</v>
      </c>
      <c r="L3452">
        <v>2022</v>
      </c>
      <c r="N3452" t="s">
        <v>47</v>
      </c>
      <c r="O3452" t="s">
        <v>47</v>
      </c>
      <c r="P3452" t="s">
        <v>3807</v>
      </c>
    </row>
    <row r="3453" spans="1:16" x14ac:dyDescent="0.3">
      <c r="A3453" t="s">
        <v>440</v>
      </c>
      <c r="B3453" t="s">
        <v>6</v>
      </c>
      <c r="C3453">
        <v>120</v>
      </c>
      <c r="D3453" t="s">
        <v>10</v>
      </c>
      <c r="E3453" t="s">
        <v>438</v>
      </c>
      <c r="F3453" s="43">
        <v>44746.520833333336</v>
      </c>
      <c r="G3453" s="43">
        <v>44746.604166666664</v>
      </c>
      <c r="H3453">
        <v>12</v>
      </c>
      <c r="I3453">
        <v>30</v>
      </c>
      <c r="J3453">
        <v>14</v>
      </c>
      <c r="K3453">
        <v>30</v>
      </c>
      <c r="L3453">
        <v>2022</v>
      </c>
      <c r="N3453" t="s">
        <v>47</v>
      </c>
      <c r="O3453" t="s">
        <v>47</v>
      </c>
      <c r="P3453" t="s">
        <v>3808</v>
      </c>
    </row>
    <row r="3454" spans="1:16" x14ac:dyDescent="0.3">
      <c r="A3454" t="s">
        <v>953</v>
      </c>
      <c r="B3454" t="s">
        <v>20</v>
      </c>
      <c r="C3454">
        <v>60</v>
      </c>
      <c r="D3454" t="s">
        <v>10</v>
      </c>
      <c r="E3454" t="s">
        <v>954</v>
      </c>
      <c r="F3454" s="43">
        <v>44746.395833333336</v>
      </c>
      <c r="G3454" s="43">
        <v>44746.4375</v>
      </c>
      <c r="H3454">
        <v>9</v>
      </c>
      <c r="I3454">
        <v>30</v>
      </c>
      <c r="J3454">
        <v>10</v>
      </c>
      <c r="K3454">
        <v>30</v>
      </c>
      <c r="L3454">
        <v>2022</v>
      </c>
      <c r="N3454" t="s">
        <v>955</v>
      </c>
      <c r="O3454" t="s">
        <v>956</v>
      </c>
      <c r="P3454" t="s">
        <v>957</v>
      </c>
    </row>
    <row r="3455" spans="1:16" x14ac:dyDescent="0.3">
      <c r="A3455" t="s">
        <v>984</v>
      </c>
      <c r="B3455" t="s">
        <v>20</v>
      </c>
      <c r="C3455">
        <v>30</v>
      </c>
      <c r="D3455" t="s">
        <v>10</v>
      </c>
      <c r="E3455" t="s">
        <v>954</v>
      </c>
      <c r="F3455" s="43">
        <v>44746.375</v>
      </c>
      <c r="G3455" s="43">
        <v>44746.395833333336</v>
      </c>
      <c r="H3455">
        <v>9</v>
      </c>
      <c r="I3455">
        <v>0</v>
      </c>
      <c r="J3455">
        <v>9</v>
      </c>
      <c r="K3455">
        <v>30</v>
      </c>
      <c r="L3455">
        <v>2022</v>
      </c>
      <c r="N3455" t="s">
        <v>985</v>
      </c>
      <c r="O3455" t="s">
        <v>956</v>
      </c>
      <c r="P3455" t="s">
        <v>986</v>
      </c>
    </row>
    <row r="3456" spans="1:16" x14ac:dyDescent="0.3">
      <c r="A3456" t="s">
        <v>1614</v>
      </c>
      <c r="B3456" t="s">
        <v>20</v>
      </c>
      <c r="C3456">
        <v>30</v>
      </c>
      <c r="D3456" t="s">
        <v>10</v>
      </c>
      <c r="E3456" t="s">
        <v>3810</v>
      </c>
      <c r="F3456" s="43">
        <v>44746.25</v>
      </c>
      <c r="G3456" s="43">
        <v>44746.270833333336</v>
      </c>
      <c r="H3456">
        <v>6</v>
      </c>
      <c r="I3456">
        <v>0</v>
      </c>
      <c r="J3456">
        <v>6</v>
      </c>
      <c r="K3456">
        <v>30</v>
      </c>
      <c r="L3456">
        <v>2022</v>
      </c>
      <c r="N3456" t="s">
        <v>47</v>
      </c>
      <c r="O3456" t="s">
        <v>47</v>
      </c>
      <c r="P3456" t="s">
        <v>3811</v>
      </c>
    </row>
    <row r="3457" spans="1:16" x14ac:dyDescent="0.3">
      <c r="A3457" t="s">
        <v>964</v>
      </c>
      <c r="B3457" t="s">
        <v>20</v>
      </c>
      <c r="C3457">
        <v>60</v>
      </c>
      <c r="D3457" t="s">
        <v>10</v>
      </c>
      <c r="E3457" t="s">
        <v>965</v>
      </c>
      <c r="F3457" s="43">
        <v>44746.208333333336</v>
      </c>
      <c r="G3457" s="43">
        <v>44746.25</v>
      </c>
      <c r="H3457">
        <v>5</v>
      </c>
      <c r="I3457">
        <v>0</v>
      </c>
      <c r="J3457">
        <v>6</v>
      </c>
      <c r="K3457">
        <v>0</v>
      </c>
      <c r="L3457">
        <v>2022</v>
      </c>
      <c r="N3457" t="s">
        <v>966</v>
      </c>
      <c r="O3457" t="s">
        <v>47</v>
      </c>
      <c r="P3457" t="s">
        <v>967</v>
      </c>
    </row>
    <row r="3458" spans="1:16" x14ac:dyDescent="0.3">
      <c r="A3458" t="s">
        <v>440</v>
      </c>
      <c r="B3458" t="s">
        <v>6</v>
      </c>
      <c r="C3458">
        <v>120</v>
      </c>
      <c r="D3458" t="s">
        <v>10</v>
      </c>
      <c r="E3458" t="s">
        <v>438</v>
      </c>
      <c r="F3458" s="43">
        <v>44745.208333333336</v>
      </c>
      <c r="G3458" s="43">
        <v>44745.291666666664</v>
      </c>
      <c r="H3458">
        <v>5</v>
      </c>
      <c r="I3458">
        <v>0</v>
      </c>
      <c r="J3458">
        <v>7</v>
      </c>
      <c r="K3458">
        <v>0</v>
      </c>
      <c r="L3458">
        <v>2022</v>
      </c>
      <c r="N3458" t="s">
        <v>47</v>
      </c>
      <c r="O3458" t="s">
        <v>47</v>
      </c>
      <c r="P3458" t="s">
        <v>3809</v>
      </c>
    </row>
    <row r="3459" spans="1:16" x14ac:dyDescent="0.3">
      <c r="A3459" t="s">
        <v>440</v>
      </c>
      <c r="B3459" t="s">
        <v>6</v>
      </c>
      <c r="C3459">
        <v>120</v>
      </c>
      <c r="D3459" t="s">
        <v>10</v>
      </c>
      <c r="E3459" t="s">
        <v>438</v>
      </c>
      <c r="F3459" s="43">
        <v>44744.4375</v>
      </c>
      <c r="G3459" s="43">
        <v>44744.520833333336</v>
      </c>
      <c r="H3459">
        <v>10</v>
      </c>
      <c r="I3459">
        <v>30</v>
      </c>
      <c r="J3459">
        <v>12</v>
      </c>
      <c r="K3459">
        <v>30</v>
      </c>
      <c r="L3459">
        <v>2022</v>
      </c>
      <c r="N3459" t="s">
        <v>47</v>
      </c>
      <c r="O3459" t="s">
        <v>47</v>
      </c>
      <c r="P3459" t="s">
        <v>3812</v>
      </c>
    </row>
    <row r="3460" spans="1:16" x14ac:dyDescent="0.3">
      <c r="A3460" t="s">
        <v>3813</v>
      </c>
      <c r="B3460" t="s">
        <v>6</v>
      </c>
      <c r="C3460">
        <v>210</v>
      </c>
      <c r="D3460" t="s">
        <v>10</v>
      </c>
      <c r="E3460" t="s">
        <v>438</v>
      </c>
      <c r="F3460" s="43">
        <v>44743.4375</v>
      </c>
      <c r="G3460" s="43">
        <v>44743.583333333336</v>
      </c>
      <c r="H3460">
        <v>10</v>
      </c>
      <c r="I3460">
        <v>30</v>
      </c>
      <c r="J3460">
        <v>14</v>
      </c>
      <c r="K3460">
        <v>0</v>
      </c>
      <c r="L3460">
        <v>2022</v>
      </c>
      <c r="N3460" t="s">
        <v>47</v>
      </c>
      <c r="O3460" t="s">
        <v>47</v>
      </c>
      <c r="P3460" t="s">
        <v>3814</v>
      </c>
    </row>
    <row r="3461" spans="1:16" x14ac:dyDescent="0.3">
      <c r="A3461" t="s">
        <v>958</v>
      </c>
      <c r="B3461" t="s">
        <v>109</v>
      </c>
      <c r="C3461">
        <v>45</v>
      </c>
      <c r="D3461" t="s">
        <v>10</v>
      </c>
      <c r="E3461" t="s">
        <v>959</v>
      </c>
      <c r="F3461" s="43">
        <v>44742.770833333336</v>
      </c>
      <c r="G3461" s="43">
        <v>44742.802083333336</v>
      </c>
      <c r="H3461">
        <v>18</v>
      </c>
      <c r="I3461">
        <v>30</v>
      </c>
      <c r="J3461">
        <v>19</v>
      </c>
      <c r="K3461">
        <v>15</v>
      </c>
      <c r="L3461">
        <v>2022</v>
      </c>
      <c r="N3461" t="s">
        <v>47</v>
      </c>
      <c r="O3461" t="s">
        <v>47</v>
      </c>
      <c r="P3461" t="s">
        <v>960</v>
      </c>
    </row>
    <row r="3462" spans="1:16" x14ac:dyDescent="0.3">
      <c r="A3462" t="s">
        <v>8</v>
      </c>
      <c r="B3462" t="s">
        <v>6</v>
      </c>
      <c r="C3462">
        <v>15</v>
      </c>
      <c r="D3462" t="s">
        <v>10</v>
      </c>
      <c r="E3462" t="s">
        <v>477</v>
      </c>
      <c r="F3462" s="43">
        <v>44742.6875</v>
      </c>
      <c r="G3462" s="43">
        <v>44742.697916666664</v>
      </c>
      <c r="H3462">
        <v>16</v>
      </c>
      <c r="I3462">
        <v>30</v>
      </c>
      <c r="J3462">
        <v>16</v>
      </c>
      <c r="K3462">
        <v>45</v>
      </c>
      <c r="L3462">
        <v>2022</v>
      </c>
      <c r="N3462" t="s">
        <v>47</v>
      </c>
      <c r="O3462" t="s">
        <v>47</v>
      </c>
      <c r="P3462" t="s">
        <v>961</v>
      </c>
    </row>
    <row r="3463" spans="1:16" x14ac:dyDescent="0.3">
      <c r="A3463" t="s">
        <v>7</v>
      </c>
      <c r="B3463" t="s">
        <v>6</v>
      </c>
      <c r="C3463">
        <v>30</v>
      </c>
      <c r="D3463" t="s">
        <v>10</v>
      </c>
      <c r="E3463" t="s">
        <v>449</v>
      </c>
      <c r="F3463" s="43">
        <v>44742.666666666664</v>
      </c>
      <c r="G3463" s="43">
        <v>44742.6875</v>
      </c>
      <c r="H3463">
        <v>16</v>
      </c>
      <c r="I3463">
        <v>0</v>
      </c>
      <c r="J3463">
        <v>16</v>
      </c>
      <c r="K3463">
        <v>30</v>
      </c>
      <c r="L3463">
        <v>2022</v>
      </c>
      <c r="N3463" t="s">
        <v>47</v>
      </c>
      <c r="O3463" t="s">
        <v>47</v>
      </c>
      <c r="P3463" t="s">
        <v>963</v>
      </c>
    </row>
    <row r="3464" spans="1:16" x14ac:dyDescent="0.3">
      <c r="A3464" t="s">
        <v>8</v>
      </c>
      <c r="B3464" t="s">
        <v>6</v>
      </c>
      <c r="C3464">
        <v>30</v>
      </c>
      <c r="D3464" t="s">
        <v>10</v>
      </c>
      <c r="E3464" t="s">
        <v>477</v>
      </c>
      <c r="F3464" s="43">
        <v>44742.625</v>
      </c>
      <c r="G3464" s="43">
        <v>44742.645833333336</v>
      </c>
      <c r="H3464">
        <v>15</v>
      </c>
      <c r="I3464">
        <v>0</v>
      </c>
      <c r="J3464">
        <v>15</v>
      </c>
      <c r="K3464">
        <v>30</v>
      </c>
      <c r="L3464">
        <v>2022</v>
      </c>
      <c r="N3464" t="s">
        <v>47</v>
      </c>
      <c r="O3464" t="s">
        <v>47</v>
      </c>
      <c r="P3464" t="s">
        <v>962</v>
      </c>
    </row>
    <row r="3465" spans="1:16" x14ac:dyDescent="0.3">
      <c r="A3465" t="s">
        <v>972</v>
      </c>
      <c r="B3465" t="s">
        <v>6</v>
      </c>
      <c r="C3465">
        <v>30</v>
      </c>
      <c r="D3465" t="s">
        <v>10</v>
      </c>
      <c r="E3465" t="s">
        <v>973</v>
      </c>
      <c r="F3465" s="43">
        <v>44742.604166666664</v>
      </c>
      <c r="G3465" s="43">
        <v>44742.625</v>
      </c>
      <c r="H3465">
        <v>14</v>
      </c>
      <c r="I3465">
        <v>30</v>
      </c>
      <c r="J3465">
        <v>15</v>
      </c>
      <c r="K3465">
        <v>0</v>
      </c>
      <c r="L3465">
        <v>2022</v>
      </c>
      <c r="N3465" t="s">
        <v>974</v>
      </c>
      <c r="O3465" t="s">
        <v>975</v>
      </c>
      <c r="P3465" t="s">
        <v>976</v>
      </c>
    </row>
    <row r="3466" spans="1:16" x14ac:dyDescent="0.3">
      <c r="A3466" t="s">
        <v>977</v>
      </c>
      <c r="B3466" t="s">
        <v>109</v>
      </c>
      <c r="C3466">
        <v>30</v>
      </c>
      <c r="D3466" t="s">
        <v>10</v>
      </c>
      <c r="E3466" t="s">
        <v>978</v>
      </c>
      <c r="F3466" s="43">
        <v>44742.541666666664</v>
      </c>
      <c r="G3466" s="43">
        <v>44742.5625</v>
      </c>
      <c r="H3466">
        <v>13</v>
      </c>
      <c r="I3466">
        <v>0</v>
      </c>
      <c r="J3466">
        <v>13</v>
      </c>
      <c r="K3466">
        <v>30</v>
      </c>
      <c r="L3466">
        <v>2022</v>
      </c>
      <c r="N3466" t="s">
        <v>47</v>
      </c>
      <c r="O3466" t="s">
        <v>47</v>
      </c>
      <c r="P3466" t="s">
        <v>979</v>
      </c>
    </row>
    <row r="3467" spans="1:16" x14ac:dyDescent="0.3">
      <c r="A3467" t="s">
        <v>1160</v>
      </c>
      <c r="B3467" t="s">
        <v>20</v>
      </c>
      <c r="C3467">
        <v>60</v>
      </c>
      <c r="D3467" t="s">
        <v>10</v>
      </c>
      <c r="E3467" t="s">
        <v>1161</v>
      </c>
      <c r="F3467" s="43">
        <v>44742.5</v>
      </c>
      <c r="G3467" s="43">
        <v>44742.541666666664</v>
      </c>
      <c r="H3467">
        <v>12</v>
      </c>
      <c r="I3467">
        <v>0</v>
      </c>
      <c r="J3467">
        <v>13</v>
      </c>
      <c r="K3467">
        <v>0</v>
      </c>
      <c r="L3467">
        <v>2022</v>
      </c>
      <c r="N3467" t="s">
        <v>1162</v>
      </c>
      <c r="O3467" t="s">
        <v>458</v>
      </c>
      <c r="P3467" t="s">
        <v>1163</v>
      </c>
    </row>
    <row r="3468" spans="1:16" x14ac:dyDescent="0.3">
      <c r="A3468" t="s">
        <v>977</v>
      </c>
      <c r="B3468" t="s">
        <v>109</v>
      </c>
      <c r="C3468">
        <v>15</v>
      </c>
      <c r="D3468" t="s">
        <v>10</v>
      </c>
      <c r="E3468" t="s">
        <v>978</v>
      </c>
      <c r="F3468" s="43">
        <v>44742.479166666664</v>
      </c>
      <c r="G3468" s="43">
        <v>44742.489583333336</v>
      </c>
      <c r="H3468">
        <v>11</v>
      </c>
      <c r="I3468">
        <v>30</v>
      </c>
      <c r="J3468">
        <v>11</v>
      </c>
      <c r="K3468">
        <v>45</v>
      </c>
      <c r="L3468">
        <v>2022</v>
      </c>
      <c r="N3468" t="s">
        <v>47</v>
      </c>
      <c r="O3468" t="s">
        <v>47</v>
      </c>
      <c r="P3468" t="s">
        <v>980</v>
      </c>
    </row>
    <row r="3469" spans="1:16" x14ac:dyDescent="0.3">
      <c r="A3469" t="s">
        <v>827</v>
      </c>
      <c r="B3469" t="s">
        <v>6</v>
      </c>
      <c r="C3469">
        <v>30</v>
      </c>
      <c r="D3469" t="s">
        <v>10</v>
      </c>
      <c r="E3469" t="s">
        <v>981</v>
      </c>
      <c r="F3469" s="43">
        <v>44742.458333333336</v>
      </c>
      <c r="G3469" s="43">
        <v>44742.479166666664</v>
      </c>
      <c r="H3469">
        <v>11</v>
      </c>
      <c r="I3469">
        <v>0</v>
      </c>
      <c r="J3469">
        <v>11</v>
      </c>
      <c r="K3469">
        <v>30</v>
      </c>
      <c r="L3469">
        <v>2022</v>
      </c>
      <c r="N3469" t="s">
        <v>47</v>
      </c>
      <c r="O3469" t="s">
        <v>47</v>
      </c>
      <c r="P3469" t="s">
        <v>982</v>
      </c>
    </row>
    <row r="3470" spans="1:16" x14ac:dyDescent="0.3">
      <c r="A3470" t="s">
        <v>8</v>
      </c>
      <c r="B3470" t="s">
        <v>6</v>
      </c>
      <c r="C3470">
        <v>30</v>
      </c>
      <c r="D3470" t="s">
        <v>10</v>
      </c>
      <c r="E3470" t="s">
        <v>477</v>
      </c>
      <c r="F3470" s="1">
        <v>44742.416666666664</v>
      </c>
      <c r="G3470" s="1">
        <v>44742.4375</v>
      </c>
      <c r="H3470">
        <v>10</v>
      </c>
      <c r="I3470">
        <v>0</v>
      </c>
      <c r="J3470">
        <v>10</v>
      </c>
      <c r="K3470">
        <v>30</v>
      </c>
      <c r="L3470">
        <v>2022</v>
      </c>
      <c r="N3470" t="s">
        <v>47</v>
      </c>
      <c r="O3470" t="s">
        <v>47</v>
      </c>
      <c r="P3470" t="s">
        <v>983</v>
      </c>
    </row>
    <row r="3471" spans="1:16" x14ac:dyDescent="0.3">
      <c r="A3471" t="s">
        <v>992</v>
      </c>
      <c r="B3471" t="s">
        <v>20</v>
      </c>
      <c r="C3471">
        <v>30</v>
      </c>
      <c r="D3471" t="s">
        <v>10</v>
      </c>
      <c r="E3471" t="s">
        <v>790</v>
      </c>
      <c r="F3471" s="43">
        <v>44742.3125</v>
      </c>
      <c r="G3471" s="43">
        <v>44742.333333333336</v>
      </c>
      <c r="H3471">
        <v>7</v>
      </c>
      <c r="I3471">
        <v>30</v>
      </c>
      <c r="J3471">
        <v>8</v>
      </c>
      <c r="K3471">
        <v>0</v>
      </c>
      <c r="L3471">
        <v>2022</v>
      </c>
      <c r="N3471" t="s">
        <v>47</v>
      </c>
      <c r="O3471" t="s">
        <v>47</v>
      </c>
      <c r="P3471" t="s">
        <v>993</v>
      </c>
    </row>
    <row r="3472" spans="1:16" x14ac:dyDescent="0.3">
      <c r="A3472" t="s">
        <v>994</v>
      </c>
      <c r="B3472" t="s">
        <v>109</v>
      </c>
      <c r="C3472">
        <v>15</v>
      </c>
      <c r="D3472" t="s">
        <v>10</v>
      </c>
      <c r="E3472" t="s">
        <v>978</v>
      </c>
      <c r="F3472" s="43">
        <v>44742.270833333336</v>
      </c>
      <c r="G3472" s="43">
        <v>44742.28125</v>
      </c>
      <c r="H3472">
        <v>6</v>
      </c>
      <c r="I3472">
        <v>30</v>
      </c>
      <c r="J3472">
        <v>6</v>
      </c>
      <c r="K3472">
        <v>45</v>
      </c>
      <c r="L3472">
        <v>2022</v>
      </c>
      <c r="N3472" t="s">
        <v>47</v>
      </c>
      <c r="O3472" t="s">
        <v>47</v>
      </c>
      <c r="P3472" t="s">
        <v>995</v>
      </c>
    </row>
    <row r="3473" spans="1:16" x14ac:dyDescent="0.3">
      <c r="A3473" t="s">
        <v>977</v>
      </c>
      <c r="B3473" t="s">
        <v>109</v>
      </c>
      <c r="C3473">
        <v>60</v>
      </c>
      <c r="D3473" t="s">
        <v>10</v>
      </c>
      <c r="E3473" t="s">
        <v>978</v>
      </c>
      <c r="F3473" s="43">
        <v>44742.229166666664</v>
      </c>
      <c r="G3473" s="43">
        <v>44742.270833333336</v>
      </c>
      <c r="H3473">
        <v>5</v>
      </c>
      <c r="I3473">
        <v>30</v>
      </c>
      <c r="J3473">
        <v>6</v>
      </c>
      <c r="K3473">
        <v>30</v>
      </c>
      <c r="L3473">
        <v>2022</v>
      </c>
      <c r="N3473" t="s">
        <v>47</v>
      </c>
      <c r="O3473" t="s">
        <v>47</v>
      </c>
      <c r="P3473" t="s">
        <v>996</v>
      </c>
    </row>
    <row r="3474" spans="1:16" x14ac:dyDescent="0.3">
      <c r="A3474" t="s">
        <v>994</v>
      </c>
      <c r="B3474" t="s">
        <v>109</v>
      </c>
      <c r="C3474">
        <v>60</v>
      </c>
      <c r="D3474" t="s">
        <v>10</v>
      </c>
      <c r="E3474" t="s">
        <v>978</v>
      </c>
      <c r="F3474" s="43">
        <v>44741.791666666664</v>
      </c>
      <c r="G3474" s="43">
        <v>44741.833333333336</v>
      </c>
      <c r="H3474">
        <v>19</v>
      </c>
      <c r="I3474">
        <v>0</v>
      </c>
      <c r="J3474">
        <v>20</v>
      </c>
      <c r="K3474">
        <v>0</v>
      </c>
      <c r="L3474">
        <v>2022</v>
      </c>
      <c r="N3474" t="s">
        <v>47</v>
      </c>
      <c r="O3474" t="s">
        <v>47</v>
      </c>
      <c r="P3474" t="s">
        <v>999</v>
      </c>
    </row>
    <row r="3475" spans="1:16" x14ac:dyDescent="0.3">
      <c r="A3475" t="s">
        <v>997</v>
      </c>
      <c r="B3475" t="s">
        <v>6</v>
      </c>
      <c r="C3475">
        <v>30</v>
      </c>
      <c r="D3475" t="s">
        <v>10</v>
      </c>
      <c r="E3475" t="s">
        <v>515</v>
      </c>
      <c r="F3475" s="43">
        <v>44741.729166666664</v>
      </c>
      <c r="G3475" s="43">
        <v>44741.75</v>
      </c>
      <c r="H3475">
        <v>17</v>
      </c>
      <c r="I3475">
        <v>30</v>
      </c>
      <c r="J3475">
        <v>18</v>
      </c>
      <c r="K3475">
        <v>0</v>
      </c>
      <c r="L3475">
        <v>2022</v>
      </c>
      <c r="N3475" t="s">
        <v>47</v>
      </c>
      <c r="O3475" t="s">
        <v>47</v>
      </c>
      <c r="P3475" t="s">
        <v>998</v>
      </c>
    </row>
    <row r="3476" spans="1:16" x14ac:dyDescent="0.3">
      <c r="A3476" t="s">
        <v>7</v>
      </c>
      <c r="B3476" t="s">
        <v>6</v>
      </c>
      <c r="C3476">
        <v>45</v>
      </c>
      <c r="D3476" t="s">
        <v>10</v>
      </c>
      <c r="E3476" t="s">
        <v>449</v>
      </c>
      <c r="F3476" s="43">
        <v>44741.677083333336</v>
      </c>
      <c r="G3476" s="43">
        <v>44741.708333333336</v>
      </c>
      <c r="H3476">
        <v>16</v>
      </c>
      <c r="I3476">
        <v>15</v>
      </c>
      <c r="J3476">
        <v>17</v>
      </c>
      <c r="K3476">
        <v>0</v>
      </c>
      <c r="L3476">
        <v>2022</v>
      </c>
      <c r="N3476" t="s">
        <v>47</v>
      </c>
      <c r="O3476" t="s">
        <v>47</v>
      </c>
      <c r="P3476" t="s">
        <v>1000</v>
      </c>
    </row>
    <row r="3477" spans="1:16" x14ac:dyDescent="0.3">
      <c r="A3477" t="s">
        <v>23</v>
      </c>
      <c r="B3477" t="s">
        <v>6</v>
      </c>
      <c r="C3477">
        <v>30</v>
      </c>
      <c r="D3477" t="s">
        <v>10</v>
      </c>
      <c r="E3477" t="s">
        <v>447</v>
      </c>
      <c r="F3477" s="43">
        <v>44741.659722222219</v>
      </c>
      <c r="G3477" s="43">
        <v>44741.680555555555</v>
      </c>
      <c r="H3477">
        <v>15</v>
      </c>
      <c r="I3477">
        <v>50</v>
      </c>
      <c r="J3477">
        <v>16</v>
      </c>
      <c r="K3477">
        <v>20</v>
      </c>
      <c r="L3477">
        <v>2022</v>
      </c>
      <c r="N3477" t="s">
        <v>47</v>
      </c>
      <c r="O3477" t="s">
        <v>47</v>
      </c>
      <c r="P3477" t="s">
        <v>1002</v>
      </c>
    </row>
    <row r="3478" spans="1:16" x14ac:dyDescent="0.3">
      <c r="A3478" t="s">
        <v>8</v>
      </c>
      <c r="B3478" t="s">
        <v>6</v>
      </c>
      <c r="C3478">
        <v>45</v>
      </c>
      <c r="D3478" t="s">
        <v>10</v>
      </c>
      <c r="E3478" t="s">
        <v>477</v>
      </c>
      <c r="F3478" s="43">
        <v>44741.625</v>
      </c>
      <c r="G3478" s="43">
        <v>44741.65625</v>
      </c>
      <c r="H3478">
        <v>15</v>
      </c>
      <c r="I3478">
        <v>0</v>
      </c>
      <c r="J3478">
        <v>15</v>
      </c>
      <c r="K3478">
        <v>45</v>
      </c>
      <c r="L3478">
        <v>2022</v>
      </c>
      <c r="N3478" t="s">
        <v>47</v>
      </c>
      <c r="O3478" t="s">
        <v>47</v>
      </c>
      <c r="P3478" t="s">
        <v>1001</v>
      </c>
    </row>
    <row r="3479" spans="1:16" x14ac:dyDescent="0.3">
      <c r="A3479" t="s">
        <v>1004</v>
      </c>
      <c r="B3479" t="s">
        <v>20</v>
      </c>
      <c r="C3479">
        <v>30</v>
      </c>
      <c r="D3479" t="s">
        <v>10</v>
      </c>
      <c r="E3479" t="s">
        <v>981</v>
      </c>
      <c r="F3479" s="43">
        <v>44741.583333333336</v>
      </c>
      <c r="G3479" s="43">
        <v>44741.604166666664</v>
      </c>
      <c r="H3479">
        <v>14</v>
      </c>
      <c r="I3479">
        <v>0</v>
      </c>
      <c r="J3479">
        <v>14</v>
      </c>
      <c r="K3479">
        <v>30</v>
      </c>
      <c r="L3479">
        <v>2022</v>
      </c>
      <c r="N3479" t="s">
        <v>47</v>
      </c>
      <c r="O3479" t="s">
        <v>47</v>
      </c>
      <c r="P3479" t="s">
        <v>1005</v>
      </c>
    </row>
    <row r="3480" spans="1:16" x14ac:dyDescent="0.3">
      <c r="A3480" t="s">
        <v>1050</v>
      </c>
      <c r="B3480" t="s">
        <v>20</v>
      </c>
      <c r="C3480">
        <v>60</v>
      </c>
      <c r="D3480" t="s">
        <v>10</v>
      </c>
      <c r="E3480" t="s">
        <v>1051</v>
      </c>
      <c r="F3480" s="43">
        <v>44741.541666666664</v>
      </c>
      <c r="G3480" s="43">
        <v>44741.583333333336</v>
      </c>
      <c r="H3480">
        <v>13</v>
      </c>
      <c r="I3480">
        <v>0</v>
      </c>
      <c r="J3480">
        <v>14</v>
      </c>
      <c r="K3480">
        <v>0</v>
      </c>
      <c r="L3480">
        <v>2022</v>
      </c>
      <c r="N3480" t="s">
        <v>1052</v>
      </c>
      <c r="O3480" t="s">
        <v>683</v>
      </c>
      <c r="P3480" t="s">
        <v>1053</v>
      </c>
    </row>
    <row r="3481" spans="1:16" x14ac:dyDescent="0.3">
      <c r="A3481" t="s">
        <v>1004</v>
      </c>
      <c r="B3481" t="s">
        <v>20</v>
      </c>
      <c r="C3481">
        <v>30</v>
      </c>
      <c r="D3481" t="s">
        <v>10</v>
      </c>
      <c r="E3481" t="s">
        <v>981</v>
      </c>
      <c r="F3481" s="43">
        <v>44741.520833333336</v>
      </c>
      <c r="G3481" s="43">
        <v>44741.541666666664</v>
      </c>
      <c r="H3481">
        <v>12</v>
      </c>
      <c r="I3481">
        <v>30</v>
      </c>
      <c r="J3481">
        <v>13</v>
      </c>
      <c r="K3481">
        <v>0</v>
      </c>
      <c r="L3481">
        <v>2022</v>
      </c>
      <c r="N3481" t="s">
        <v>47</v>
      </c>
      <c r="O3481" t="s">
        <v>47</v>
      </c>
      <c r="P3481" t="s">
        <v>1006</v>
      </c>
    </row>
    <row r="3482" spans="1:16" x14ac:dyDescent="0.3">
      <c r="A3482" t="s">
        <v>1127</v>
      </c>
      <c r="B3482" t="s">
        <v>20</v>
      </c>
      <c r="C3482">
        <v>30</v>
      </c>
      <c r="D3482" t="s">
        <v>10</v>
      </c>
      <c r="E3482" t="s">
        <v>461</v>
      </c>
      <c r="F3482" s="43">
        <v>44741.5</v>
      </c>
      <c r="G3482" s="43">
        <v>44741.520833333336</v>
      </c>
      <c r="H3482">
        <v>12</v>
      </c>
      <c r="I3482">
        <v>0</v>
      </c>
      <c r="J3482">
        <v>12</v>
      </c>
      <c r="K3482">
        <v>30</v>
      </c>
      <c r="L3482">
        <v>2022</v>
      </c>
      <c r="N3482" t="s">
        <v>1128</v>
      </c>
      <c r="O3482" t="s">
        <v>1129</v>
      </c>
      <c r="P3482" t="s">
        <v>1130</v>
      </c>
    </row>
    <row r="3483" spans="1:16" x14ac:dyDescent="0.3">
      <c r="A3483" t="s">
        <v>6</v>
      </c>
      <c r="B3483" t="s">
        <v>6</v>
      </c>
      <c r="C3483">
        <v>30</v>
      </c>
      <c r="D3483" t="s">
        <v>10</v>
      </c>
      <c r="E3483" t="s">
        <v>477</v>
      </c>
      <c r="F3483" s="43">
        <v>44741.458333333336</v>
      </c>
      <c r="G3483" s="43">
        <v>44741.479166666664</v>
      </c>
      <c r="H3483">
        <v>11</v>
      </c>
      <c r="I3483">
        <v>0</v>
      </c>
      <c r="J3483">
        <v>11</v>
      </c>
      <c r="K3483">
        <v>30</v>
      </c>
      <c r="L3483">
        <v>2022</v>
      </c>
      <c r="N3483" t="s">
        <v>47</v>
      </c>
      <c r="O3483" t="s">
        <v>47</v>
      </c>
      <c r="P3483" t="s">
        <v>1003</v>
      </c>
    </row>
    <row r="3484" spans="1:16" x14ac:dyDescent="0.3">
      <c r="A3484" t="s">
        <v>977</v>
      </c>
      <c r="B3484" t="s">
        <v>109</v>
      </c>
      <c r="C3484">
        <v>30</v>
      </c>
      <c r="D3484" t="s">
        <v>10</v>
      </c>
      <c r="E3484" t="s">
        <v>978</v>
      </c>
      <c r="F3484" s="43">
        <v>44741.4375</v>
      </c>
      <c r="G3484" s="43">
        <v>44741.458333333336</v>
      </c>
      <c r="H3484">
        <v>10</v>
      </c>
      <c r="I3484">
        <v>30</v>
      </c>
      <c r="J3484">
        <v>11</v>
      </c>
      <c r="K3484">
        <v>0</v>
      </c>
      <c r="L3484">
        <v>2022</v>
      </c>
      <c r="N3484" t="s">
        <v>47</v>
      </c>
      <c r="O3484" t="s">
        <v>47</v>
      </c>
      <c r="P3484" t="s">
        <v>1007</v>
      </c>
    </row>
    <row r="3485" spans="1:16" x14ac:dyDescent="0.3">
      <c r="A3485" t="s">
        <v>1008</v>
      </c>
      <c r="B3485" t="s">
        <v>6</v>
      </c>
      <c r="C3485">
        <v>30</v>
      </c>
      <c r="D3485" t="s">
        <v>10</v>
      </c>
      <c r="E3485" t="s">
        <v>981</v>
      </c>
      <c r="F3485" s="43">
        <v>44741.416666666664</v>
      </c>
      <c r="G3485" s="43">
        <v>44741.4375</v>
      </c>
      <c r="H3485">
        <v>10</v>
      </c>
      <c r="I3485">
        <v>0</v>
      </c>
      <c r="J3485">
        <v>10</v>
      </c>
      <c r="K3485">
        <v>30</v>
      </c>
      <c r="L3485">
        <v>2022</v>
      </c>
      <c r="N3485" t="s">
        <v>47</v>
      </c>
      <c r="O3485" t="s">
        <v>47</v>
      </c>
      <c r="P3485" t="s">
        <v>1009</v>
      </c>
    </row>
    <row r="3486" spans="1:16" x14ac:dyDescent="0.3">
      <c r="A3486" t="s">
        <v>994</v>
      </c>
      <c r="B3486" t="s">
        <v>109</v>
      </c>
      <c r="C3486">
        <v>60</v>
      </c>
      <c r="D3486" t="s">
        <v>10</v>
      </c>
      <c r="E3486" t="s">
        <v>978</v>
      </c>
      <c r="F3486" s="43">
        <v>44741.25</v>
      </c>
      <c r="G3486" s="43">
        <v>44741.291666666664</v>
      </c>
      <c r="H3486">
        <v>6</v>
      </c>
      <c r="I3486">
        <v>0</v>
      </c>
      <c r="J3486">
        <v>7</v>
      </c>
      <c r="K3486">
        <v>0</v>
      </c>
      <c r="L3486">
        <v>2022</v>
      </c>
      <c r="N3486" t="s">
        <v>47</v>
      </c>
      <c r="O3486" t="s">
        <v>47</v>
      </c>
      <c r="P3486" t="s">
        <v>1010</v>
      </c>
    </row>
    <row r="3487" spans="1:16" x14ac:dyDescent="0.3">
      <c r="A3487" t="s">
        <v>1011</v>
      </c>
      <c r="B3487" t="s">
        <v>223</v>
      </c>
      <c r="C3487">
        <v>30</v>
      </c>
      <c r="D3487" t="s">
        <v>10</v>
      </c>
      <c r="E3487" t="s">
        <v>675</v>
      </c>
      <c r="F3487" s="43">
        <v>44740.71875</v>
      </c>
      <c r="G3487" s="43">
        <v>44740.739583333336</v>
      </c>
      <c r="H3487">
        <v>17</v>
      </c>
      <c r="I3487">
        <v>15</v>
      </c>
      <c r="J3487">
        <v>17</v>
      </c>
      <c r="K3487">
        <v>45</v>
      </c>
      <c r="L3487">
        <v>2022</v>
      </c>
      <c r="N3487" t="s">
        <v>47</v>
      </c>
      <c r="O3487" t="s">
        <v>47</v>
      </c>
      <c r="P3487" t="s">
        <v>1012</v>
      </c>
    </row>
    <row r="3488" spans="1:16" x14ac:dyDescent="0.3">
      <c r="A3488" t="s">
        <v>994</v>
      </c>
      <c r="B3488" t="s">
        <v>109</v>
      </c>
      <c r="C3488">
        <v>30</v>
      </c>
      <c r="D3488" t="s">
        <v>10</v>
      </c>
      <c r="E3488" t="s">
        <v>978</v>
      </c>
      <c r="F3488" s="43">
        <v>44740.708333333336</v>
      </c>
      <c r="G3488" s="43">
        <v>44740.729166666664</v>
      </c>
      <c r="H3488">
        <v>17</v>
      </c>
      <c r="I3488">
        <v>0</v>
      </c>
      <c r="J3488">
        <v>17</v>
      </c>
      <c r="K3488">
        <v>30</v>
      </c>
      <c r="L3488">
        <v>2022</v>
      </c>
      <c r="N3488" t="s">
        <v>47</v>
      </c>
      <c r="O3488" t="s">
        <v>47</v>
      </c>
      <c r="P3488" t="s">
        <v>1013</v>
      </c>
    </row>
    <row r="3489" spans="1:16" x14ac:dyDescent="0.3">
      <c r="A3489" t="s">
        <v>7</v>
      </c>
      <c r="B3489" t="s">
        <v>6</v>
      </c>
      <c r="C3489">
        <v>25</v>
      </c>
      <c r="D3489" t="s">
        <v>10</v>
      </c>
      <c r="E3489" t="s">
        <v>449</v>
      </c>
      <c r="F3489" s="43">
        <v>44740.666666666664</v>
      </c>
      <c r="G3489" s="43">
        <v>44740.684027777781</v>
      </c>
      <c r="H3489">
        <v>16</v>
      </c>
      <c r="I3489">
        <v>0</v>
      </c>
      <c r="J3489">
        <v>16</v>
      </c>
      <c r="K3489">
        <v>25</v>
      </c>
      <c r="L3489">
        <v>2022</v>
      </c>
      <c r="N3489" t="s">
        <v>47</v>
      </c>
      <c r="O3489" t="s">
        <v>47</v>
      </c>
      <c r="P3489" t="s">
        <v>1014</v>
      </c>
    </row>
    <row r="3490" spans="1:16" x14ac:dyDescent="0.3">
      <c r="A3490" t="s">
        <v>24</v>
      </c>
      <c r="B3490" t="s">
        <v>31</v>
      </c>
      <c r="C3490">
        <v>60</v>
      </c>
      <c r="D3490" t="s">
        <v>10</v>
      </c>
      <c r="F3490" s="43">
        <v>44740.625</v>
      </c>
      <c r="G3490" s="43">
        <v>44740.666666666664</v>
      </c>
      <c r="H3490">
        <v>15</v>
      </c>
      <c r="I3490">
        <v>0</v>
      </c>
      <c r="J3490">
        <v>16</v>
      </c>
      <c r="K3490">
        <v>0</v>
      </c>
      <c r="L3490">
        <v>2022</v>
      </c>
      <c r="N3490" t="s">
        <v>47</v>
      </c>
      <c r="O3490" t="s">
        <v>47</v>
      </c>
      <c r="P3490" t="s">
        <v>1657</v>
      </c>
    </row>
    <row r="3491" spans="1:16" x14ac:dyDescent="0.3">
      <c r="A3491" t="s">
        <v>994</v>
      </c>
      <c r="B3491" t="s">
        <v>109</v>
      </c>
      <c r="C3491">
        <v>60</v>
      </c>
      <c r="D3491" t="s">
        <v>10</v>
      </c>
      <c r="E3491" t="s">
        <v>978</v>
      </c>
      <c r="F3491" s="43">
        <v>44740.583333333336</v>
      </c>
      <c r="G3491" s="43">
        <v>44740.625</v>
      </c>
      <c r="H3491">
        <v>14</v>
      </c>
      <c r="I3491">
        <v>0</v>
      </c>
      <c r="J3491">
        <v>15</v>
      </c>
      <c r="K3491">
        <v>0</v>
      </c>
      <c r="L3491">
        <v>2022</v>
      </c>
      <c r="N3491" t="s">
        <v>47</v>
      </c>
      <c r="O3491" t="s">
        <v>47</v>
      </c>
      <c r="P3491" t="s">
        <v>1015</v>
      </c>
    </row>
    <row r="3492" spans="1:16" x14ac:dyDescent="0.3">
      <c r="A3492" t="s">
        <v>1041</v>
      </c>
      <c r="B3492" t="s">
        <v>6</v>
      </c>
      <c r="C3492">
        <v>60</v>
      </c>
      <c r="D3492" t="s">
        <v>10</v>
      </c>
      <c r="E3492" t="s">
        <v>1042</v>
      </c>
      <c r="F3492" s="43">
        <v>44740.5</v>
      </c>
      <c r="G3492" s="43">
        <v>44740.541666666664</v>
      </c>
      <c r="H3492">
        <v>12</v>
      </c>
      <c r="I3492">
        <v>0</v>
      </c>
      <c r="J3492">
        <v>13</v>
      </c>
      <c r="K3492">
        <v>0</v>
      </c>
      <c r="L3492">
        <v>2022</v>
      </c>
      <c r="N3492" t="s">
        <v>1043</v>
      </c>
      <c r="O3492" t="s">
        <v>47</v>
      </c>
      <c r="P3492" t="s">
        <v>1044</v>
      </c>
    </row>
    <row r="3493" spans="1:16" x14ac:dyDescent="0.3">
      <c r="A3493" t="s">
        <v>1415</v>
      </c>
      <c r="B3493" t="s">
        <v>20</v>
      </c>
      <c r="C3493">
        <v>60</v>
      </c>
      <c r="D3493" t="s">
        <v>10</v>
      </c>
      <c r="E3493" t="s">
        <v>1416</v>
      </c>
      <c r="F3493" s="43">
        <v>44740.395833333336</v>
      </c>
      <c r="G3493" s="43">
        <v>44740.4375</v>
      </c>
      <c r="H3493">
        <v>9</v>
      </c>
      <c r="I3493">
        <v>30</v>
      </c>
      <c r="J3493">
        <v>10</v>
      </c>
      <c r="K3493">
        <v>30</v>
      </c>
      <c r="L3493">
        <v>2022</v>
      </c>
      <c r="N3493" t="s">
        <v>1417</v>
      </c>
      <c r="O3493" t="s">
        <v>458</v>
      </c>
      <c r="P3493" t="s">
        <v>1418</v>
      </c>
    </row>
    <row r="3494" spans="1:16" x14ac:dyDescent="0.3">
      <c r="A3494" t="s">
        <v>977</v>
      </c>
      <c r="B3494" t="s">
        <v>109</v>
      </c>
      <c r="C3494">
        <v>75</v>
      </c>
      <c r="D3494" t="s">
        <v>10</v>
      </c>
      <c r="E3494" t="s">
        <v>978</v>
      </c>
      <c r="F3494" s="43">
        <v>44740.291666666664</v>
      </c>
      <c r="G3494" s="43">
        <v>44740.34375</v>
      </c>
      <c r="H3494">
        <v>7</v>
      </c>
      <c r="I3494">
        <v>0</v>
      </c>
      <c r="J3494">
        <v>8</v>
      </c>
      <c r="K3494">
        <v>15</v>
      </c>
      <c r="L3494">
        <v>2022</v>
      </c>
      <c r="N3494" t="s">
        <v>47</v>
      </c>
      <c r="O3494" t="s">
        <v>47</v>
      </c>
      <c r="P3494" t="s">
        <v>1017</v>
      </c>
    </row>
    <row r="3495" spans="1:16" x14ac:dyDescent="0.3">
      <c r="A3495" t="s">
        <v>1022</v>
      </c>
      <c r="B3495" t="s">
        <v>109</v>
      </c>
      <c r="C3495">
        <v>15</v>
      </c>
      <c r="D3495" t="s">
        <v>10</v>
      </c>
      <c r="E3495" t="s">
        <v>978</v>
      </c>
      <c r="F3495" s="43">
        <v>44740.229166666664</v>
      </c>
      <c r="G3495" s="43">
        <v>44740.239583333336</v>
      </c>
      <c r="H3495">
        <v>5</v>
      </c>
      <c r="I3495">
        <v>30</v>
      </c>
      <c r="J3495">
        <v>5</v>
      </c>
      <c r="K3495">
        <v>45</v>
      </c>
      <c r="L3495">
        <v>2022</v>
      </c>
      <c r="N3495" t="s">
        <v>47</v>
      </c>
      <c r="O3495" t="s">
        <v>47</v>
      </c>
      <c r="P3495" t="s">
        <v>1023</v>
      </c>
    </row>
    <row r="3496" spans="1:16" x14ac:dyDescent="0.3">
      <c r="A3496" t="s">
        <v>1024</v>
      </c>
      <c r="B3496" t="s">
        <v>109</v>
      </c>
      <c r="C3496">
        <v>60</v>
      </c>
      <c r="D3496" t="s">
        <v>10</v>
      </c>
      <c r="E3496" t="s">
        <v>978</v>
      </c>
      <c r="F3496" s="43">
        <v>44740.1875</v>
      </c>
      <c r="G3496" s="43">
        <v>44740.229166666664</v>
      </c>
      <c r="H3496">
        <v>4</v>
      </c>
      <c r="I3496">
        <v>30</v>
      </c>
      <c r="J3496">
        <v>5</v>
      </c>
      <c r="K3496">
        <v>30</v>
      </c>
      <c r="L3496">
        <v>2022</v>
      </c>
      <c r="N3496" t="s">
        <v>47</v>
      </c>
      <c r="O3496" t="s">
        <v>47</v>
      </c>
      <c r="P3496" t="s">
        <v>1025</v>
      </c>
    </row>
    <row r="3497" spans="1:16" x14ac:dyDescent="0.3">
      <c r="A3497" t="s">
        <v>1032</v>
      </c>
      <c r="B3497" t="s">
        <v>6</v>
      </c>
      <c r="C3497">
        <v>60</v>
      </c>
      <c r="D3497" t="s">
        <v>10</v>
      </c>
      <c r="E3497" t="s">
        <v>1033</v>
      </c>
      <c r="F3497" s="43">
        <v>44739.770833333336</v>
      </c>
      <c r="G3497" s="43">
        <v>44739.8125</v>
      </c>
      <c r="H3497">
        <v>18</v>
      </c>
      <c r="I3497">
        <v>30</v>
      </c>
      <c r="J3497">
        <v>19</v>
      </c>
      <c r="K3497">
        <v>30</v>
      </c>
      <c r="L3497">
        <v>2022</v>
      </c>
      <c r="N3497" t="s">
        <v>47</v>
      </c>
      <c r="O3497" t="s">
        <v>47</v>
      </c>
      <c r="P3497" t="s">
        <v>1034</v>
      </c>
    </row>
    <row r="3498" spans="1:16" x14ac:dyDescent="0.3">
      <c r="A3498" t="s">
        <v>1030</v>
      </c>
      <c r="B3498" t="s">
        <v>31</v>
      </c>
      <c r="C3498">
        <v>60</v>
      </c>
      <c r="D3498" t="s">
        <v>10</v>
      </c>
      <c r="F3498" s="43">
        <v>44739.708333333336</v>
      </c>
      <c r="G3498" s="43">
        <v>44739.75</v>
      </c>
      <c r="H3498">
        <v>17</v>
      </c>
      <c r="I3498">
        <v>0</v>
      </c>
      <c r="J3498">
        <v>18</v>
      </c>
      <c r="K3498">
        <v>0</v>
      </c>
      <c r="L3498">
        <v>2022</v>
      </c>
      <c r="N3498" t="s">
        <v>47</v>
      </c>
      <c r="O3498" t="s">
        <v>47</v>
      </c>
      <c r="P3498" t="s">
        <v>1031</v>
      </c>
    </row>
    <row r="3499" spans="1:16" x14ac:dyDescent="0.3">
      <c r="A3499" t="s">
        <v>1035</v>
      </c>
      <c r="B3499" t="s">
        <v>6</v>
      </c>
      <c r="C3499">
        <v>50</v>
      </c>
      <c r="D3499" t="s">
        <v>10</v>
      </c>
      <c r="E3499" t="s">
        <v>1033</v>
      </c>
      <c r="F3499" s="43">
        <v>44739.666666666664</v>
      </c>
      <c r="G3499" s="43">
        <v>44739.701388888891</v>
      </c>
      <c r="H3499">
        <v>16</v>
      </c>
      <c r="I3499">
        <v>0</v>
      </c>
      <c r="J3499">
        <v>16</v>
      </c>
      <c r="K3499">
        <v>50</v>
      </c>
      <c r="L3499">
        <v>2022</v>
      </c>
      <c r="N3499" t="s">
        <v>47</v>
      </c>
      <c r="O3499" t="s">
        <v>47</v>
      </c>
      <c r="P3499" t="s">
        <v>1036</v>
      </c>
    </row>
    <row r="3500" spans="1:16" x14ac:dyDescent="0.3">
      <c r="A3500" t="s">
        <v>1037</v>
      </c>
      <c r="B3500" t="s">
        <v>31</v>
      </c>
      <c r="C3500">
        <v>30</v>
      </c>
      <c r="D3500" t="s">
        <v>10</v>
      </c>
      <c r="F3500" s="43">
        <v>44739.645833333336</v>
      </c>
      <c r="G3500" s="43">
        <v>44739.666666666664</v>
      </c>
      <c r="H3500">
        <v>15</v>
      </c>
      <c r="I3500">
        <v>30</v>
      </c>
      <c r="J3500">
        <v>16</v>
      </c>
      <c r="K3500">
        <v>0</v>
      </c>
      <c r="L3500">
        <v>2022</v>
      </c>
      <c r="N3500" t="s">
        <v>47</v>
      </c>
      <c r="O3500" t="s">
        <v>47</v>
      </c>
      <c r="P3500" t="s">
        <v>1693</v>
      </c>
    </row>
    <row r="3501" spans="1:16" x14ac:dyDescent="0.3">
      <c r="A3501" t="s">
        <v>1039</v>
      </c>
      <c r="B3501" t="s">
        <v>6</v>
      </c>
      <c r="C3501">
        <v>40</v>
      </c>
      <c r="D3501" t="s">
        <v>10</v>
      </c>
      <c r="E3501" t="s">
        <v>649</v>
      </c>
      <c r="F3501" s="43">
        <v>44739.569444444445</v>
      </c>
      <c r="G3501" s="43">
        <v>44739.597222222219</v>
      </c>
      <c r="H3501">
        <v>13</v>
      </c>
      <c r="I3501">
        <v>40</v>
      </c>
      <c r="J3501">
        <v>14</v>
      </c>
      <c r="K3501">
        <v>20</v>
      </c>
      <c r="L3501">
        <v>2022</v>
      </c>
      <c r="N3501" t="s">
        <v>47</v>
      </c>
      <c r="O3501" t="s">
        <v>47</v>
      </c>
      <c r="P3501" t="s">
        <v>1040</v>
      </c>
    </row>
    <row r="3502" spans="1:16" x14ac:dyDescent="0.3">
      <c r="A3502" t="s">
        <v>1045</v>
      </c>
      <c r="B3502" t="s">
        <v>223</v>
      </c>
      <c r="C3502">
        <v>30</v>
      </c>
      <c r="D3502" t="s">
        <v>10</v>
      </c>
      <c r="E3502">
        <v>3004842716</v>
      </c>
      <c r="F3502" s="43">
        <v>44739.520833333336</v>
      </c>
      <c r="G3502" s="43">
        <v>44739.541666666664</v>
      </c>
      <c r="H3502">
        <v>12</v>
      </c>
      <c r="I3502">
        <v>30</v>
      </c>
      <c r="J3502">
        <v>13</v>
      </c>
      <c r="K3502">
        <v>0</v>
      </c>
      <c r="L3502">
        <v>2022</v>
      </c>
      <c r="N3502" t="s">
        <v>47</v>
      </c>
      <c r="O3502" t="s">
        <v>47</v>
      </c>
      <c r="P3502" t="s">
        <v>1046</v>
      </c>
    </row>
    <row r="3503" spans="1:16" x14ac:dyDescent="0.3">
      <c r="A3503" t="s">
        <v>1047</v>
      </c>
      <c r="B3503" t="s">
        <v>20</v>
      </c>
      <c r="C3503">
        <v>30</v>
      </c>
      <c r="D3503" t="s">
        <v>10</v>
      </c>
      <c r="E3503" t="s">
        <v>1048</v>
      </c>
      <c r="F3503" s="43">
        <v>44739.5</v>
      </c>
      <c r="G3503" s="43">
        <v>44739.520833333336</v>
      </c>
      <c r="H3503">
        <v>12</v>
      </c>
      <c r="I3503">
        <v>0</v>
      </c>
      <c r="J3503">
        <v>12</v>
      </c>
      <c r="K3503">
        <v>30</v>
      </c>
      <c r="L3503">
        <v>2022</v>
      </c>
      <c r="N3503" t="s">
        <v>47</v>
      </c>
      <c r="O3503" t="s">
        <v>47</v>
      </c>
      <c r="P3503" t="s">
        <v>1049</v>
      </c>
    </row>
    <row r="3504" spans="1:16" x14ac:dyDescent="0.3">
      <c r="A3504" t="s">
        <v>1054</v>
      </c>
      <c r="B3504" t="s">
        <v>6</v>
      </c>
      <c r="C3504">
        <v>30</v>
      </c>
      <c r="D3504" t="s">
        <v>10</v>
      </c>
      <c r="E3504" t="s">
        <v>1033</v>
      </c>
      <c r="F3504" s="43">
        <v>44739.479166666664</v>
      </c>
      <c r="G3504" s="43">
        <v>44739.5</v>
      </c>
      <c r="H3504">
        <v>11</v>
      </c>
      <c r="I3504">
        <v>30</v>
      </c>
      <c r="J3504">
        <v>12</v>
      </c>
      <c r="K3504">
        <v>0</v>
      </c>
      <c r="L3504">
        <v>2022</v>
      </c>
      <c r="N3504" t="s">
        <v>47</v>
      </c>
      <c r="O3504" t="s">
        <v>47</v>
      </c>
      <c r="P3504" t="s">
        <v>1055</v>
      </c>
    </row>
    <row r="3505" spans="1:16" x14ac:dyDescent="0.3">
      <c r="A3505" t="s">
        <v>1056</v>
      </c>
      <c r="B3505" t="s">
        <v>109</v>
      </c>
      <c r="C3505">
        <v>75</v>
      </c>
      <c r="D3505" t="s">
        <v>10</v>
      </c>
      <c r="E3505" t="s">
        <v>1057</v>
      </c>
      <c r="F3505" s="43">
        <v>44739.427083333336</v>
      </c>
      <c r="G3505" s="43">
        <v>44739.479166666664</v>
      </c>
      <c r="H3505">
        <v>10</v>
      </c>
      <c r="I3505">
        <v>15</v>
      </c>
      <c r="J3505">
        <v>11</v>
      </c>
      <c r="K3505">
        <v>30</v>
      </c>
      <c r="L3505">
        <v>2022</v>
      </c>
      <c r="N3505" t="s">
        <v>47</v>
      </c>
      <c r="O3505" t="s">
        <v>47</v>
      </c>
      <c r="P3505" t="s">
        <v>1058</v>
      </c>
    </row>
    <row r="3506" spans="1:16" x14ac:dyDescent="0.3">
      <c r="A3506" t="s">
        <v>1156</v>
      </c>
      <c r="B3506" t="s">
        <v>20</v>
      </c>
      <c r="C3506">
        <v>45</v>
      </c>
      <c r="D3506" t="s">
        <v>10</v>
      </c>
      <c r="E3506" t="s">
        <v>1157</v>
      </c>
      <c r="F3506" s="43">
        <v>44739.375</v>
      </c>
      <c r="G3506" s="43">
        <v>44739.40625</v>
      </c>
      <c r="H3506">
        <v>9</v>
      </c>
      <c r="I3506">
        <v>0</v>
      </c>
      <c r="J3506">
        <v>9</v>
      </c>
      <c r="K3506">
        <v>45</v>
      </c>
      <c r="L3506">
        <v>2022</v>
      </c>
      <c r="N3506" t="s">
        <v>1158</v>
      </c>
      <c r="O3506" t="s">
        <v>975</v>
      </c>
      <c r="P3506" t="s">
        <v>1159</v>
      </c>
    </row>
    <row r="3507" spans="1:16" x14ac:dyDescent="0.3">
      <c r="A3507" t="s">
        <v>1059</v>
      </c>
      <c r="B3507" t="s">
        <v>109</v>
      </c>
      <c r="C3507">
        <v>60</v>
      </c>
      <c r="D3507" t="s">
        <v>10</v>
      </c>
      <c r="E3507" t="s">
        <v>1057</v>
      </c>
      <c r="F3507" s="43">
        <v>44739.3125</v>
      </c>
      <c r="G3507" s="43">
        <v>44739.354166666664</v>
      </c>
      <c r="H3507">
        <v>7</v>
      </c>
      <c r="I3507">
        <v>30</v>
      </c>
      <c r="J3507">
        <v>8</v>
      </c>
      <c r="K3507">
        <v>30</v>
      </c>
      <c r="L3507">
        <v>2022</v>
      </c>
      <c r="N3507" t="s">
        <v>47</v>
      </c>
      <c r="O3507" t="s">
        <v>47</v>
      </c>
      <c r="P3507" t="s">
        <v>1060</v>
      </c>
    </row>
    <row r="3508" spans="1:16" x14ac:dyDescent="0.3">
      <c r="A3508" t="s">
        <v>1065</v>
      </c>
      <c r="B3508" t="s">
        <v>6</v>
      </c>
      <c r="C3508">
        <v>45</v>
      </c>
      <c r="D3508" t="s">
        <v>10</v>
      </c>
      <c r="E3508" t="s">
        <v>1066</v>
      </c>
      <c r="F3508" s="43">
        <v>44739.25</v>
      </c>
      <c r="G3508" s="43">
        <v>44739.28125</v>
      </c>
      <c r="H3508">
        <v>6</v>
      </c>
      <c r="I3508">
        <v>0</v>
      </c>
      <c r="J3508">
        <v>6</v>
      </c>
      <c r="K3508">
        <v>45</v>
      </c>
      <c r="L3508">
        <v>2022</v>
      </c>
      <c r="N3508" t="s">
        <v>47</v>
      </c>
      <c r="O3508" t="s">
        <v>47</v>
      </c>
      <c r="P3508" t="s">
        <v>1067</v>
      </c>
    </row>
    <row r="3509" spans="1:16" x14ac:dyDescent="0.3">
      <c r="A3509" t="s">
        <v>1068</v>
      </c>
      <c r="B3509" t="s">
        <v>6</v>
      </c>
      <c r="C3509">
        <v>90</v>
      </c>
      <c r="D3509" t="s">
        <v>10</v>
      </c>
      <c r="E3509" t="s">
        <v>1066</v>
      </c>
      <c r="F3509" s="43">
        <v>44738.708333333336</v>
      </c>
      <c r="G3509" s="43">
        <v>44738.770833333336</v>
      </c>
      <c r="H3509">
        <v>17</v>
      </c>
      <c r="I3509">
        <v>0</v>
      </c>
      <c r="J3509">
        <v>18</v>
      </c>
      <c r="K3509">
        <v>30</v>
      </c>
      <c r="L3509">
        <v>2022</v>
      </c>
      <c r="N3509" t="s">
        <v>47</v>
      </c>
      <c r="O3509" t="s">
        <v>47</v>
      </c>
      <c r="P3509" t="s">
        <v>1069</v>
      </c>
    </row>
    <row r="3510" spans="1:16" x14ac:dyDescent="0.3">
      <c r="A3510" t="s">
        <v>1070</v>
      </c>
      <c r="B3510" t="s">
        <v>6</v>
      </c>
      <c r="C3510">
        <v>20</v>
      </c>
      <c r="D3510" t="s">
        <v>10</v>
      </c>
      <c r="E3510" t="s">
        <v>1066</v>
      </c>
      <c r="F3510" s="43">
        <v>44738.638888888891</v>
      </c>
      <c r="G3510" s="43">
        <v>44738.652777777781</v>
      </c>
      <c r="H3510">
        <v>15</v>
      </c>
      <c r="I3510">
        <v>20</v>
      </c>
      <c r="J3510">
        <v>15</v>
      </c>
      <c r="K3510">
        <v>40</v>
      </c>
      <c r="L3510">
        <v>2022</v>
      </c>
      <c r="N3510" t="s">
        <v>47</v>
      </c>
      <c r="O3510" t="s">
        <v>47</v>
      </c>
      <c r="P3510" t="s">
        <v>1071</v>
      </c>
    </row>
    <row r="3511" spans="1:16" x14ac:dyDescent="0.3">
      <c r="A3511" t="s">
        <v>1070</v>
      </c>
      <c r="B3511" t="s">
        <v>6</v>
      </c>
      <c r="C3511">
        <v>90</v>
      </c>
      <c r="D3511" t="s">
        <v>10</v>
      </c>
      <c r="E3511" t="s">
        <v>1066</v>
      </c>
      <c r="F3511" s="43">
        <v>44738.552083333336</v>
      </c>
      <c r="G3511" s="43">
        <v>44738.614583333336</v>
      </c>
      <c r="H3511">
        <v>13</v>
      </c>
      <c r="I3511">
        <v>15</v>
      </c>
      <c r="J3511">
        <v>14</v>
      </c>
      <c r="K3511">
        <v>45</v>
      </c>
      <c r="L3511">
        <v>2022</v>
      </c>
      <c r="N3511" t="s">
        <v>47</v>
      </c>
      <c r="O3511" t="s">
        <v>47</v>
      </c>
      <c r="P3511" t="s">
        <v>1072</v>
      </c>
    </row>
    <row r="3512" spans="1:16" x14ac:dyDescent="0.3">
      <c r="A3512" t="s">
        <v>1068</v>
      </c>
      <c r="B3512" t="s">
        <v>6</v>
      </c>
      <c r="C3512">
        <v>30</v>
      </c>
      <c r="D3512" t="s">
        <v>10</v>
      </c>
      <c r="E3512" t="s">
        <v>1066</v>
      </c>
      <c r="F3512" s="43">
        <v>44738.479166666664</v>
      </c>
      <c r="G3512" s="43">
        <v>44738.5</v>
      </c>
      <c r="H3512">
        <v>11</v>
      </c>
      <c r="I3512">
        <v>30</v>
      </c>
      <c r="J3512">
        <v>12</v>
      </c>
      <c r="K3512">
        <v>0</v>
      </c>
      <c r="L3512">
        <v>2022</v>
      </c>
      <c r="N3512" t="s">
        <v>47</v>
      </c>
      <c r="O3512" t="s">
        <v>47</v>
      </c>
      <c r="P3512" t="s">
        <v>1073</v>
      </c>
    </row>
    <row r="3513" spans="1:16" x14ac:dyDescent="0.3">
      <c r="A3513" t="s">
        <v>1074</v>
      </c>
      <c r="B3513" t="s">
        <v>6</v>
      </c>
      <c r="C3513">
        <v>60</v>
      </c>
      <c r="D3513" t="s">
        <v>10</v>
      </c>
      <c r="E3513" t="s">
        <v>1075</v>
      </c>
      <c r="F3513" s="43">
        <v>44738.395833333336</v>
      </c>
      <c r="G3513" s="43">
        <v>44738.4375</v>
      </c>
      <c r="H3513">
        <v>9</v>
      </c>
      <c r="I3513">
        <v>30</v>
      </c>
      <c r="J3513">
        <v>10</v>
      </c>
      <c r="K3513">
        <v>30</v>
      </c>
      <c r="L3513">
        <v>2022</v>
      </c>
      <c r="N3513" t="s">
        <v>47</v>
      </c>
      <c r="O3513" t="s">
        <v>47</v>
      </c>
      <c r="P3513" t="s">
        <v>1076</v>
      </c>
    </row>
    <row r="3514" spans="1:16" x14ac:dyDescent="0.3">
      <c r="A3514" t="s">
        <v>42</v>
      </c>
      <c r="B3514" t="s">
        <v>6</v>
      </c>
      <c r="C3514">
        <v>60</v>
      </c>
      <c r="D3514" t="s">
        <v>10</v>
      </c>
      <c r="E3514" t="s">
        <v>649</v>
      </c>
      <c r="F3514" s="43">
        <v>44738.25</v>
      </c>
      <c r="G3514" s="43">
        <v>44738.291666666664</v>
      </c>
      <c r="H3514">
        <v>6</v>
      </c>
      <c r="I3514">
        <v>0</v>
      </c>
      <c r="J3514">
        <v>7</v>
      </c>
      <c r="K3514">
        <v>0</v>
      </c>
      <c r="L3514">
        <v>2022</v>
      </c>
      <c r="N3514" t="s">
        <v>47</v>
      </c>
      <c r="O3514" t="s">
        <v>47</v>
      </c>
      <c r="P3514" t="s">
        <v>1077</v>
      </c>
    </row>
    <row r="3515" spans="1:16" x14ac:dyDescent="0.3">
      <c r="A3515" t="s">
        <v>42</v>
      </c>
      <c r="B3515" t="s">
        <v>6</v>
      </c>
      <c r="C3515">
        <v>80</v>
      </c>
      <c r="D3515" t="s">
        <v>10</v>
      </c>
      <c r="E3515" t="s">
        <v>649</v>
      </c>
      <c r="F3515" s="43">
        <v>44737.770833333336</v>
      </c>
      <c r="G3515" s="43">
        <v>44737.826388888891</v>
      </c>
      <c r="H3515">
        <v>18</v>
      </c>
      <c r="I3515">
        <v>30</v>
      </c>
      <c r="J3515">
        <v>19</v>
      </c>
      <c r="K3515">
        <v>50</v>
      </c>
      <c r="L3515">
        <v>2022</v>
      </c>
      <c r="N3515" t="s">
        <v>47</v>
      </c>
      <c r="O3515" t="s">
        <v>47</v>
      </c>
      <c r="P3515" t="s">
        <v>1080</v>
      </c>
    </row>
    <row r="3516" spans="1:16" x14ac:dyDescent="0.3">
      <c r="A3516" t="s">
        <v>1078</v>
      </c>
      <c r="B3516" t="s">
        <v>31</v>
      </c>
      <c r="C3516">
        <v>60</v>
      </c>
      <c r="D3516" t="s">
        <v>10</v>
      </c>
      <c r="F3516" s="43">
        <v>44737.729166666664</v>
      </c>
      <c r="G3516" s="43">
        <v>44737.770833333336</v>
      </c>
      <c r="H3516">
        <v>17</v>
      </c>
      <c r="I3516">
        <v>30</v>
      </c>
      <c r="J3516">
        <v>18</v>
      </c>
      <c r="K3516">
        <v>30</v>
      </c>
      <c r="L3516">
        <v>2022</v>
      </c>
      <c r="N3516" t="s">
        <v>47</v>
      </c>
      <c r="O3516" t="s">
        <v>47</v>
      </c>
      <c r="P3516" t="s">
        <v>1079</v>
      </c>
    </row>
    <row r="3517" spans="1:16" x14ac:dyDescent="0.3">
      <c r="A3517" t="s">
        <v>1081</v>
      </c>
      <c r="B3517" t="s">
        <v>6</v>
      </c>
      <c r="C3517">
        <v>15</v>
      </c>
      <c r="D3517" t="s">
        <v>10</v>
      </c>
      <c r="E3517" t="s">
        <v>1075</v>
      </c>
      <c r="F3517" s="43">
        <v>44737.666666666664</v>
      </c>
      <c r="G3517" s="43">
        <v>44737.677083333336</v>
      </c>
      <c r="H3517">
        <v>16</v>
      </c>
      <c r="I3517">
        <v>0</v>
      </c>
      <c r="J3517">
        <v>16</v>
      </c>
      <c r="K3517">
        <v>15</v>
      </c>
      <c r="L3517">
        <v>2022</v>
      </c>
      <c r="N3517" t="s">
        <v>47</v>
      </c>
      <c r="O3517" t="s">
        <v>47</v>
      </c>
      <c r="P3517" t="s">
        <v>1082</v>
      </c>
    </row>
    <row r="3518" spans="1:16" x14ac:dyDescent="0.3">
      <c r="A3518" t="s">
        <v>731</v>
      </c>
      <c r="B3518" t="s">
        <v>6</v>
      </c>
      <c r="C3518">
        <v>45</v>
      </c>
      <c r="D3518" t="s">
        <v>10</v>
      </c>
      <c r="E3518" t="s">
        <v>649</v>
      </c>
      <c r="F3518" s="43">
        <v>44737.635416666664</v>
      </c>
      <c r="G3518" s="43">
        <v>44737.666666666664</v>
      </c>
      <c r="H3518">
        <v>15</v>
      </c>
      <c r="I3518">
        <v>15</v>
      </c>
      <c r="J3518">
        <v>16</v>
      </c>
      <c r="K3518">
        <v>0</v>
      </c>
      <c r="L3518">
        <v>2022</v>
      </c>
      <c r="N3518" t="s">
        <v>47</v>
      </c>
      <c r="O3518" t="s">
        <v>47</v>
      </c>
      <c r="P3518" t="s">
        <v>1083</v>
      </c>
    </row>
    <row r="3519" spans="1:16" x14ac:dyDescent="0.3">
      <c r="A3519" t="s">
        <v>1084</v>
      </c>
      <c r="B3519" t="s">
        <v>6</v>
      </c>
      <c r="C3519">
        <v>30</v>
      </c>
      <c r="D3519" t="s">
        <v>10</v>
      </c>
      <c r="E3519" t="s">
        <v>1085</v>
      </c>
      <c r="F3519" s="43">
        <v>44737.583333333336</v>
      </c>
      <c r="G3519" s="43">
        <v>44737.604166666664</v>
      </c>
      <c r="H3519">
        <v>14</v>
      </c>
      <c r="I3519">
        <v>0</v>
      </c>
      <c r="J3519">
        <v>14</v>
      </c>
      <c r="K3519">
        <v>30</v>
      </c>
      <c r="L3519">
        <v>2022</v>
      </c>
      <c r="N3519" t="s">
        <v>47</v>
      </c>
      <c r="O3519" t="s">
        <v>47</v>
      </c>
      <c r="P3519" t="s">
        <v>1086</v>
      </c>
    </row>
    <row r="3520" spans="1:16" x14ac:dyDescent="0.3">
      <c r="A3520" t="s">
        <v>691</v>
      </c>
      <c r="B3520" t="s">
        <v>6</v>
      </c>
      <c r="C3520">
        <v>30</v>
      </c>
      <c r="D3520" t="s">
        <v>10</v>
      </c>
      <c r="E3520" t="s">
        <v>649</v>
      </c>
      <c r="F3520" s="1">
        <v>44737.541666666664</v>
      </c>
      <c r="G3520" s="1">
        <v>44737.5625</v>
      </c>
      <c r="H3520">
        <v>13</v>
      </c>
      <c r="I3520">
        <v>0</v>
      </c>
      <c r="J3520">
        <v>13</v>
      </c>
      <c r="K3520">
        <v>30</v>
      </c>
      <c r="L3520">
        <v>2022</v>
      </c>
      <c r="N3520" t="s">
        <v>47</v>
      </c>
      <c r="O3520" t="s">
        <v>47</v>
      </c>
      <c r="P3520" t="s">
        <v>1087</v>
      </c>
    </row>
    <row r="3521" spans="1:16" x14ac:dyDescent="0.3">
      <c r="A3521" t="s">
        <v>1088</v>
      </c>
      <c r="B3521" t="s">
        <v>6</v>
      </c>
      <c r="C3521">
        <v>120</v>
      </c>
      <c r="D3521" t="s">
        <v>10</v>
      </c>
      <c r="E3521" t="s">
        <v>649</v>
      </c>
      <c r="F3521" s="43">
        <v>44737.375</v>
      </c>
      <c r="G3521" s="43">
        <v>44737.458333333336</v>
      </c>
      <c r="H3521">
        <v>9</v>
      </c>
      <c r="I3521">
        <v>0</v>
      </c>
      <c r="J3521">
        <v>11</v>
      </c>
      <c r="K3521">
        <v>0</v>
      </c>
      <c r="L3521">
        <v>2022</v>
      </c>
      <c r="N3521" t="s">
        <v>47</v>
      </c>
      <c r="O3521" t="s">
        <v>47</v>
      </c>
      <c r="P3521" t="s">
        <v>1089</v>
      </c>
    </row>
    <row r="3522" spans="1:16" x14ac:dyDescent="0.3">
      <c r="A3522" t="s">
        <v>1090</v>
      </c>
      <c r="B3522" t="s">
        <v>6</v>
      </c>
      <c r="C3522">
        <v>60</v>
      </c>
      <c r="D3522" t="s">
        <v>10</v>
      </c>
      <c r="E3522" t="s">
        <v>1091</v>
      </c>
      <c r="F3522" s="43">
        <v>44737.208333333336</v>
      </c>
      <c r="G3522" s="43">
        <v>44737.25</v>
      </c>
      <c r="H3522">
        <v>5</v>
      </c>
      <c r="I3522">
        <v>0</v>
      </c>
      <c r="J3522">
        <v>6</v>
      </c>
      <c r="K3522">
        <v>0</v>
      </c>
      <c r="L3522">
        <v>2022</v>
      </c>
      <c r="N3522" t="s">
        <v>47</v>
      </c>
      <c r="O3522" t="s">
        <v>47</v>
      </c>
      <c r="P3522" t="s">
        <v>1092</v>
      </c>
    </row>
    <row r="3523" spans="1:16" x14ac:dyDescent="0.3">
      <c r="A3523" t="s">
        <v>1030</v>
      </c>
      <c r="B3523" t="s">
        <v>31</v>
      </c>
      <c r="C3523">
        <v>30</v>
      </c>
      <c r="D3523" t="s">
        <v>10</v>
      </c>
      <c r="F3523" s="43">
        <v>44736.770833333336</v>
      </c>
      <c r="G3523" s="43">
        <v>44736.791666666664</v>
      </c>
      <c r="H3523">
        <v>18</v>
      </c>
      <c r="I3523">
        <v>30</v>
      </c>
      <c r="J3523">
        <v>19</v>
      </c>
      <c r="K3523">
        <v>0</v>
      </c>
      <c r="L3523">
        <v>2022</v>
      </c>
      <c r="N3523" t="s">
        <v>47</v>
      </c>
      <c r="O3523" t="s">
        <v>47</v>
      </c>
      <c r="P3523" t="s">
        <v>1093</v>
      </c>
    </row>
    <row r="3524" spans="1:16" x14ac:dyDescent="0.3">
      <c r="A3524" t="s">
        <v>1097</v>
      </c>
      <c r="B3524" t="s">
        <v>20</v>
      </c>
      <c r="C3524">
        <v>30</v>
      </c>
      <c r="D3524" t="s">
        <v>10</v>
      </c>
      <c r="E3524" t="s">
        <v>1095</v>
      </c>
      <c r="F3524" s="43">
        <v>44736.75</v>
      </c>
      <c r="G3524" s="43">
        <v>44736.770833333336</v>
      </c>
      <c r="H3524">
        <v>18</v>
      </c>
      <c r="I3524">
        <v>0</v>
      </c>
      <c r="J3524">
        <v>18</v>
      </c>
      <c r="K3524">
        <v>30</v>
      </c>
      <c r="L3524">
        <v>2022</v>
      </c>
      <c r="N3524" t="s">
        <v>47</v>
      </c>
      <c r="O3524" t="s">
        <v>47</v>
      </c>
      <c r="P3524" t="s">
        <v>1098</v>
      </c>
    </row>
    <row r="3525" spans="1:16" x14ac:dyDescent="0.3">
      <c r="A3525" t="s">
        <v>1225</v>
      </c>
      <c r="B3525" t="s">
        <v>20</v>
      </c>
      <c r="C3525">
        <v>30</v>
      </c>
      <c r="D3525" t="s">
        <v>10</v>
      </c>
      <c r="E3525" t="s">
        <v>1095</v>
      </c>
      <c r="F3525" s="43">
        <v>44736.729166666664</v>
      </c>
      <c r="G3525" s="43">
        <v>44736.75</v>
      </c>
      <c r="H3525">
        <v>17</v>
      </c>
      <c r="I3525">
        <v>30</v>
      </c>
      <c r="J3525">
        <v>18</v>
      </c>
      <c r="K3525">
        <v>0</v>
      </c>
      <c r="L3525">
        <v>2022</v>
      </c>
      <c r="N3525" t="s">
        <v>1226</v>
      </c>
      <c r="O3525" t="s">
        <v>1227</v>
      </c>
      <c r="P3525" t="s">
        <v>1228</v>
      </c>
    </row>
    <row r="3526" spans="1:16" x14ac:dyDescent="0.3">
      <c r="A3526" t="s">
        <v>1094</v>
      </c>
      <c r="B3526" t="s">
        <v>20</v>
      </c>
      <c r="C3526">
        <v>120</v>
      </c>
      <c r="D3526" t="s">
        <v>10</v>
      </c>
      <c r="E3526" t="s">
        <v>1095</v>
      </c>
      <c r="F3526" s="43">
        <v>44736.645833333336</v>
      </c>
      <c r="G3526" s="43">
        <v>44736.729166666664</v>
      </c>
      <c r="H3526">
        <v>15</v>
      </c>
      <c r="I3526">
        <v>30</v>
      </c>
      <c r="J3526">
        <v>17</v>
      </c>
      <c r="K3526">
        <v>30</v>
      </c>
      <c r="L3526">
        <v>2022</v>
      </c>
      <c r="N3526" t="s">
        <v>47</v>
      </c>
      <c r="O3526" t="s">
        <v>47</v>
      </c>
      <c r="P3526" t="s">
        <v>1096</v>
      </c>
    </row>
    <row r="3527" spans="1:16" x14ac:dyDescent="0.3">
      <c r="A3527" t="s">
        <v>1099</v>
      </c>
      <c r="B3527" t="s">
        <v>6</v>
      </c>
      <c r="C3527">
        <v>30</v>
      </c>
      <c r="D3527" t="s">
        <v>10</v>
      </c>
      <c r="E3527" t="s">
        <v>449</v>
      </c>
      <c r="F3527" s="43">
        <v>44736.604166666664</v>
      </c>
      <c r="G3527" s="43">
        <v>44736.625</v>
      </c>
      <c r="H3527">
        <v>14</v>
      </c>
      <c r="I3527">
        <v>30</v>
      </c>
      <c r="J3527">
        <v>15</v>
      </c>
      <c r="K3527">
        <v>0</v>
      </c>
      <c r="L3527">
        <v>2022</v>
      </c>
      <c r="N3527" t="s">
        <v>47</v>
      </c>
      <c r="O3527" t="s">
        <v>47</v>
      </c>
      <c r="P3527" t="s">
        <v>1100</v>
      </c>
    </row>
    <row r="3528" spans="1:16" x14ac:dyDescent="0.3">
      <c r="A3528" t="s">
        <v>1147</v>
      </c>
      <c r="B3528" t="s">
        <v>20</v>
      </c>
      <c r="C3528">
        <v>30</v>
      </c>
      <c r="D3528" t="s">
        <v>10</v>
      </c>
      <c r="E3528" t="s">
        <v>1148</v>
      </c>
      <c r="F3528" s="43">
        <v>44736.583333333336</v>
      </c>
      <c r="G3528" s="43">
        <v>44736.604166666664</v>
      </c>
      <c r="H3528">
        <v>14</v>
      </c>
      <c r="I3528">
        <v>0</v>
      </c>
      <c r="J3528">
        <v>14</v>
      </c>
      <c r="K3528">
        <v>30</v>
      </c>
      <c r="L3528">
        <v>2022</v>
      </c>
      <c r="N3528" t="s">
        <v>527</v>
      </c>
      <c r="O3528" t="s">
        <v>48</v>
      </c>
      <c r="P3528" t="s">
        <v>1149</v>
      </c>
    </row>
    <row r="3529" spans="1:16" x14ac:dyDescent="0.3">
      <c r="A3529" t="s">
        <v>1101</v>
      </c>
      <c r="B3529" t="s">
        <v>20</v>
      </c>
      <c r="C3529">
        <v>60</v>
      </c>
      <c r="D3529" t="s">
        <v>10</v>
      </c>
      <c r="E3529" t="s">
        <v>1095</v>
      </c>
      <c r="F3529" s="43">
        <v>44736.541666666664</v>
      </c>
      <c r="G3529" s="43">
        <v>44736.583333333336</v>
      </c>
      <c r="H3529">
        <v>13</v>
      </c>
      <c r="I3529">
        <v>0</v>
      </c>
      <c r="J3529">
        <v>14</v>
      </c>
      <c r="K3529">
        <v>0</v>
      </c>
      <c r="L3529">
        <v>2022</v>
      </c>
      <c r="N3529" t="s">
        <v>47</v>
      </c>
      <c r="O3529" t="s">
        <v>47</v>
      </c>
      <c r="P3529" t="s">
        <v>1102</v>
      </c>
    </row>
    <row r="3530" spans="1:16" x14ac:dyDescent="0.3">
      <c r="A3530" t="s">
        <v>1105</v>
      </c>
      <c r="B3530" t="s">
        <v>223</v>
      </c>
      <c r="C3530">
        <v>30</v>
      </c>
      <c r="D3530" t="s">
        <v>10</v>
      </c>
      <c r="E3530" t="s">
        <v>1106</v>
      </c>
      <c r="F3530" s="43">
        <v>44736.479166666664</v>
      </c>
      <c r="G3530" s="43">
        <v>44736.5</v>
      </c>
      <c r="H3530">
        <v>11</v>
      </c>
      <c r="I3530">
        <v>30</v>
      </c>
      <c r="J3530">
        <v>12</v>
      </c>
      <c r="K3530">
        <v>0</v>
      </c>
      <c r="L3530">
        <v>2022</v>
      </c>
      <c r="N3530" t="s">
        <v>47</v>
      </c>
      <c r="O3530" t="s">
        <v>47</v>
      </c>
      <c r="P3530" t="s">
        <v>1107</v>
      </c>
    </row>
    <row r="3531" spans="1:16" x14ac:dyDescent="0.3">
      <c r="A3531" t="s">
        <v>1124</v>
      </c>
      <c r="B3531" t="s">
        <v>223</v>
      </c>
      <c r="C3531">
        <v>30</v>
      </c>
      <c r="D3531" t="s">
        <v>10</v>
      </c>
      <c r="E3531" t="s">
        <v>1125</v>
      </c>
      <c r="F3531" s="43">
        <v>44736.458333333336</v>
      </c>
      <c r="G3531" s="43">
        <v>44736.479166666664</v>
      </c>
      <c r="H3531">
        <v>11</v>
      </c>
      <c r="I3531">
        <v>0</v>
      </c>
      <c r="J3531">
        <v>11</v>
      </c>
      <c r="K3531">
        <v>30</v>
      </c>
      <c r="L3531">
        <v>2022</v>
      </c>
      <c r="N3531" t="s">
        <v>625</v>
      </c>
      <c r="O3531" t="s">
        <v>47</v>
      </c>
      <c r="P3531" t="s">
        <v>1126</v>
      </c>
    </row>
    <row r="3532" spans="1:16" x14ac:dyDescent="0.3">
      <c r="A3532" t="s">
        <v>1238</v>
      </c>
      <c r="B3532" t="s">
        <v>20</v>
      </c>
      <c r="C3532">
        <v>60</v>
      </c>
      <c r="D3532" t="s">
        <v>10</v>
      </c>
      <c r="E3532" t="s">
        <v>1239</v>
      </c>
      <c r="F3532" s="43">
        <v>44736.416666666664</v>
      </c>
      <c r="G3532" s="43">
        <v>44736.458333333336</v>
      </c>
      <c r="H3532">
        <v>10</v>
      </c>
      <c r="I3532">
        <v>0</v>
      </c>
      <c r="J3532">
        <v>11</v>
      </c>
      <c r="K3532">
        <v>0</v>
      </c>
      <c r="L3532">
        <v>2022</v>
      </c>
      <c r="N3532" t="s">
        <v>1240</v>
      </c>
      <c r="O3532" t="s">
        <v>1241</v>
      </c>
      <c r="P3532" t="s">
        <v>1242</v>
      </c>
    </row>
    <row r="3533" spans="1:16" x14ac:dyDescent="0.3">
      <c r="A3533" t="s">
        <v>1103</v>
      </c>
      <c r="B3533" t="s">
        <v>31</v>
      </c>
      <c r="C3533">
        <v>60</v>
      </c>
      <c r="D3533" t="s">
        <v>10</v>
      </c>
      <c r="F3533" s="43">
        <v>44736.375</v>
      </c>
      <c r="G3533" s="43">
        <v>44736.416666666664</v>
      </c>
      <c r="H3533">
        <v>9</v>
      </c>
      <c r="I3533">
        <v>0</v>
      </c>
      <c r="J3533">
        <v>10</v>
      </c>
      <c r="K3533">
        <v>0</v>
      </c>
      <c r="L3533">
        <v>2022</v>
      </c>
      <c r="N3533" t="s">
        <v>47</v>
      </c>
      <c r="O3533" t="s">
        <v>47</v>
      </c>
      <c r="P3533" t="s">
        <v>1104</v>
      </c>
    </row>
    <row r="3534" spans="1:16" x14ac:dyDescent="0.3">
      <c r="A3534" t="s">
        <v>1131</v>
      </c>
      <c r="B3534" t="s">
        <v>223</v>
      </c>
      <c r="C3534">
        <v>60</v>
      </c>
      <c r="D3534" t="s">
        <v>10</v>
      </c>
      <c r="E3534" t="s">
        <v>1132</v>
      </c>
      <c r="F3534" s="43">
        <v>44736.333333333336</v>
      </c>
      <c r="G3534" s="43">
        <v>44736.375</v>
      </c>
      <c r="H3534">
        <v>8</v>
      </c>
      <c r="I3534">
        <v>0</v>
      </c>
      <c r="J3534">
        <v>9</v>
      </c>
      <c r="K3534">
        <v>0</v>
      </c>
      <c r="L3534">
        <v>2022</v>
      </c>
      <c r="N3534" t="s">
        <v>1133</v>
      </c>
      <c r="O3534" t="s">
        <v>1134</v>
      </c>
      <c r="P3534" t="s">
        <v>1135</v>
      </c>
    </row>
    <row r="3535" spans="1:16" x14ac:dyDescent="0.3">
      <c r="A3535" t="s">
        <v>1119</v>
      </c>
      <c r="B3535" t="s">
        <v>20</v>
      </c>
      <c r="C3535">
        <v>30</v>
      </c>
      <c r="D3535" t="s">
        <v>10</v>
      </c>
      <c r="E3535" t="s">
        <v>1120</v>
      </c>
      <c r="F3535" s="43">
        <v>44736.3125</v>
      </c>
      <c r="G3535" s="43">
        <v>44736.333333333336</v>
      </c>
      <c r="H3535">
        <v>7</v>
      </c>
      <c r="I3535">
        <v>30</v>
      </c>
      <c r="J3535">
        <v>8</v>
      </c>
      <c r="K3535">
        <v>0</v>
      </c>
      <c r="L3535">
        <v>2022</v>
      </c>
      <c r="N3535" t="s">
        <v>47</v>
      </c>
      <c r="O3535" t="s">
        <v>47</v>
      </c>
      <c r="P3535" t="s">
        <v>1121</v>
      </c>
    </row>
    <row r="3536" spans="1:16" x14ac:dyDescent="0.3">
      <c r="A3536" t="s">
        <v>1122</v>
      </c>
      <c r="B3536" t="s">
        <v>20</v>
      </c>
      <c r="C3536">
        <v>60</v>
      </c>
      <c r="D3536" t="s">
        <v>10</v>
      </c>
      <c r="E3536" t="s">
        <v>1120</v>
      </c>
      <c r="F3536" s="43">
        <v>44736.229166666664</v>
      </c>
      <c r="G3536" s="43">
        <v>44736.270833333336</v>
      </c>
      <c r="H3536">
        <v>5</v>
      </c>
      <c r="I3536">
        <v>30</v>
      </c>
      <c r="J3536">
        <v>6</v>
      </c>
      <c r="K3536">
        <v>30</v>
      </c>
      <c r="L3536">
        <v>2022</v>
      </c>
      <c r="N3536" t="s">
        <v>47</v>
      </c>
      <c r="O3536" t="s">
        <v>47</v>
      </c>
      <c r="P3536" t="s">
        <v>1123</v>
      </c>
    </row>
    <row r="3537" spans="1:16" x14ac:dyDescent="0.3">
      <c r="A3537" t="s">
        <v>1136</v>
      </c>
      <c r="B3537" t="s">
        <v>223</v>
      </c>
      <c r="C3537">
        <v>90</v>
      </c>
      <c r="D3537" t="s">
        <v>10</v>
      </c>
      <c r="E3537" t="s">
        <v>1137</v>
      </c>
      <c r="F3537" s="43">
        <v>44735.770833333336</v>
      </c>
      <c r="G3537" s="43">
        <v>44735.833333333336</v>
      </c>
      <c r="H3537">
        <v>18</v>
      </c>
      <c r="I3537">
        <v>30</v>
      </c>
      <c r="J3537">
        <v>20</v>
      </c>
      <c r="K3537">
        <v>0</v>
      </c>
      <c r="L3537">
        <v>2022</v>
      </c>
      <c r="N3537" t="s">
        <v>47</v>
      </c>
      <c r="O3537" t="s">
        <v>47</v>
      </c>
      <c r="P3537" t="s">
        <v>1138</v>
      </c>
    </row>
    <row r="3538" spans="1:16" x14ac:dyDescent="0.3">
      <c r="A3538" t="s">
        <v>1139</v>
      </c>
      <c r="B3538" t="s">
        <v>223</v>
      </c>
      <c r="C3538">
        <v>30</v>
      </c>
      <c r="D3538" t="s">
        <v>10</v>
      </c>
      <c r="E3538" t="s">
        <v>1091</v>
      </c>
      <c r="F3538" s="43">
        <v>44735.739583333336</v>
      </c>
      <c r="G3538" s="43">
        <v>44735.760416666664</v>
      </c>
      <c r="H3538">
        <v>17</v>
      </c>
      <c r="I3538">
        <v>45</v>
      </c>
      <c r="J3538">
        <v>18</v>
      </c>
      <c r="K3538">
        <v>15</v>
      </c>
      <c r="L3538">
        <v>2022</v>
      </c>
      <c r="N3538" t="s">
        <v>47</v>
      </c>
      <c r="O3538" t="s">
        <v>47</v>
      </c>
      <c r="P3538" t="s">
        <v>1140</v>
      </c>
    </row>
    <row r="3539" spans="1:16" x14ac:dyDescent="0.3">
      <c r="A3539" t="s">
        <v>1114</v>
      </c>
      <c r="B3539" t="s">
        <v>31</v>
      </c>
      <c r="C3539">
        <v>60</v>
      </c>
      <c r="D3539" t="s">
        <v>10</v>
      </c>
      <c r="F3539" s="43">
        <v>44735.6875</v>
      </c>
      <c r="G3539" s="43">
        <v>44735.729166666664</v>
      </c>
      <c r="H3539">
        <v>16</v>
      </c>
      <c r="I3539">
        <v>30</v>
      </c>
      <c r="J3539">
        <v>17</v>
      </c>
      <c r="K3539">
        <v>30</v>
      </c>
      <c r="L3539">
        <v>2022</v>
      </c>
      <c r="N3539" t="s">
        <v>47</v>
      </c>
      <c r="O3539" t="s">
        <v>47</v>
      </c>
      <c r="P3539" t="s">
        <v>1116</v>
      </c>
    </row>
    <row r="3540" spans="1:16" x14ac:dyDescent="0.3">
      <c r="A3540" t="s">
        <v>7</v>
      </c>
      <c r="B3540" t="s">
        <v>6</v>
      </c>
      <c r="C3540">
        <v>30</v>
      </c>
      <c r="D3540" t="s">
        <v>10</v>
      </c>
      <c r="E3540" t="s">
        <v>449</v>
      </c>
      <c r="F3540" s="43">
        <v>44735.666666666664</v>
      </c>
      <c r="G3540" s="43">
        <v>44735.6875</v>
      </c>
      <c r="H3540">
        <v>16</v>
      </c>
      <c r="I3540">
        <v>0</v>
      </c>
      <c r="J3540">
        <v>16</v>
      </c>
      <c r="K3540">
        <v>30</v>
      </c>
      <c r="L3540">
        <v>2022</v>
      </c>
      <c r="N3540" t="s">
        <v>47</v>
      </c>
      <c r="O3540" t="s">
        <v>47</v>
      </c>
      <c r="P3540" t="s">
        <v>1143</v>
      </c>
    </row>
    <row r="3541" spans="1:16" x14ac:dyDescent="0.3">
      <c r="A3541" t="s">
        <v>1141</v>
      </c>
      <c r="B3541" t="s">
        <v>223</v>
      </c>
      <c r="C3541">
        <v>60</v>
      </c>
      <c r="D3541" t="s">
        <v>10</v>
      </c>
      <c r="E3541" t="s">
        <v>1091</v>
      </c>
      <c r="F3541" s="43">
        <v>44735.625</v>
      </c>
      <c r="G3541" s="43">
        <v>44735.666666666664</v>
      </c>
      <c r="H3541">
        <v>15</v>
      </c>
      <c r="I3541">
        <v>0</v>
      </c>
      <c r="J3541">
        <v>16</v>
      </c>
      <c r="K3541">
        <v>0</v>
      </c>
      <c r="L3541">
        <v>2022</v>
      </c>
      <c r="N3541" t="s">
        <v>47</v>
      </c>
      <c r="O3541" t="s">
        <v>47</v>
      </c>
      <c r="P3541" t="s">
        <v>1142</v>
      </c>
    </row>
    <row r="3542" spans="1:16" x14ac:dyDescent="0.3">
      <c r="A3542" t="s">
        <v>1144</v>
      </c>
      <c r="B3542" t="s">
        <v>223</v>
      </c>
      <c r="C3542">
        <v>85</v>
      </c>
      <c r="D3542" t="s">
        <v>10</v>
      </c>
      <c r="E3542" t="s">
        <v>1145</v>
      </c>
      <c r="F3542" s="43">
        <v>44735.552083333336</v>
      </c>
      <c r="G3542" s="43">
        <v>44735.611111111109</v>
      </c>
      <c r="H3542">
        <v>13</v>
      </c>
      <c r="I3542">
        <v>15</v>
      </c>
      <c r="J3542">
        <v>14</v>
      </c>
      <c r="K3542">
        <v>40</v>
      </c>
      <c r="L3542">
        <v>2022</v>
      </c>
      <c r="N3542" t="s">
        <v>47</v>
      </c>
      <c r="O3542" t="s">
        <v>47</v>
      </c>
      <c r="P3542" t="s">
        <v>1146</v>
      </c>
    </row>
    <row r="3543" spans="1:16" x14ac:dyDescent="0.3">
      <c r="A3543" t="s">
        <v>1117</v>
      </c>
      <c r="B3543" t="s">
        <v>31</v>
      </c>
      <c r="C3543">
        <v>90</v>
      </c>
      <c r="D3543" t="s">
        <v>10</v>
      </c>
      <c r="F3543" s="43">
        <v>44735.479166666664</v>
      </c>
      <c r="G3543" s="43">
        <v>44735.541666666664</v>
      </c>
      <c r="H3543">
        <v>11</v>
      </c>
      <c r="I3543">
        <v>30</v>
      </c>
      <c r="J3543">
        <v>13</v>
      </c>
      <c r="K3543">
        <v>0</v>
      </c>
      <c r="L3543">
        <v>2022</v>
      </c>
      <c r="N3543" t="s">
        <v>47</v>
      </c>
      <c r="O3543" t="s">
        <v>47</v>
      </c>
      <c r="P3543" t="s">
        <v>1118</v>
      </c>
    </row>
    <row r="3544" spans="1:16" x14ac:dyDescent="0.3">
      <c r="A3544" t="s">
        <v>1151</v>
      </c>
      <c r="B3544" t="s">
        <v>6</v>
      </c>
      <c r="C3544">
        <v>30</v>
      </c>
      <c r="D3544" t="s">
        <v>10</v>
      </c>
      <c r="E3544" t="s">
        <v>1152</v>
      </c>
      <c r="F3544" s="43">
        <v>44735.458333333336</v>
      </c>
      <c r="G3544" s="43">
        <v>44735.479166666664</v>
      </c>
      <c r="H3544">
        <v>11</v>
      </c>
      <c r="I3544">
        <v>0</v>
      </c>
      <c r="J3544">
        <v>11</v>
      </c>
      <c r="K3544">
        <v>30</v>
      </c>
      <c r="L3544">
        <v>2022</v>
      </c>
      <c r="N3544" t="s">
        <v>1153</v>
      </c>
      <c r="O3544" t="s">
        <v>48</v>
      </c>
      <c r="P3544" t="s">
        <v>1154</v>
      </c>
    </row>
    <row r="3545" spans="1:16" x14ac:dyDescent="0.3">
      <c r="A3545" t="s">
        <v>1144</v>
      </c>
      <c r="B3545" t="s">
        <v>223</v>
      </c>
      <c r="C3545">
        <v>60</v>
      </c>
      <c r="D3545" t="s">
        <v>10</v>
      </c>
      <c r="E3545" t="s">
        <v>1145</v>
      </c>
      <c r="F3545" s="43">
        <v>44735.291666666664</v>
      </c>
      <c r="G3545" s="43">
        <v>44735.333333333336</v>
      </c>
      <c r="H3545">
        <v>7</v>
      </c>
      <c r="I3545">
        <v>0</v>
      </c>
      <c r="J3545">
        <v>8</v>
      </c>
      <c r="K3545">
        <v>0</v>
      </c>
      <c r="L3545">
        <v>2022</v>
      </c>
      <c r="N3545" t="s">
        <v>47</v>
      </c>
      <c r="O3545" t="s">
        <v>47</v>
      </c>
      <c r="P3545" t="s">
        <v>1150</v>
      </c>
    </row>
    <row r="3546" spans="1:16" x14ac:dyDescent="0.3">
      <c r="A3546" t="s">
        <v>1144</v>
      </c>
      <c r="B3546" t="s">
        <v>223</v>
      </c>
      <c r="C3546">
        <v>60</v>
      </c>
      <c r="D3546" t="s">
        <v>10</v>
      </c>
      <c r="E3546" t="s">
        <v>1145</v>
      </c>
      <c r="F3546" s="43">
        <v>44735.229166666664</v>
      </c>
      <c r="G3546" s="43">
        <v>44735.270833333336</v>
      </c>
      <c r="H3546">
        <v>5</v>
      </c>
      <c r="I3546">
        <v>30</v>
      </c>
      <c r="J3546">
        <v>6</v>
      </c>
      <c r="K3546">
        <v>30</v>
      </c>
      <c r="L3546">
        <v>2022</v>
      </c>
      <c r="N3546" t="s">
        <v>47</v>
      </c>
      <c r="O3546" t="s">
        <v>47</v>
      </c>
      <c r="P3546" t="s">
        <v>1155</v>
      </c>
    </row>
    <row r="3547" spans="1:16" x14ac:dyDescent="0.3">
      <c r="A3547" t="s">
        <v>1144</v>
      </c>
      <c r="B3547" t="s">
        <v>223</v>
      </c>
      <c r="C3547">
        <v>30</v>
      </c>
      <c r="D3547" t="s">
        <v>10</v>
      </c>
      <c r="E3547" t="s">
        <v>1145</v>
      </c>
      <c r="F3547" s="43">
        <v>44734.854166666664</v>
      </c>
      <c r="G3547" s="43">
        <v>44734.875</v>
      </c>
      <c r="H3547">
        <v>20</v>
      </c>
      <c r="I3547">
        <v>30</v>
      </c>
      <c r="J3547">
        <v>21</v>
      </c>
      <c r="K3547">
        <v>0</v>
      </c>
      <c r="L3547">
        <v>2022</v>
      </c>
      <c r="N3547" t="s">
        <v>47</v>
      </c>
      <c r="O3547" t="s">
        <v>47</v>
      </c>
      <c r="P3547" t="s">
        <v>1164</v>
      </c>
    </row>
    <row r="3548" spans="1:16" x14ac:dyDescent="0.3">
      <c r="A3548" t="s">
        <v>1144</v>
      </c>
      <c r="B3548" t="s">
        <v>223</v>
      </c>
      <c r="C3548">
        <v>60</v>
      </c>
      <c r="D3548" t="s">
        <v>10</v>
      </c>
      <c r="E3548" t="s">
        <v>1145</v>
      </c>
      <c r="F3548" s="43">
        <v>44734.791666666664</v>
      </c>
      <c r="G3548" s="43">
        <v>44734.833333333336</v>
      </c>
      <c r="H3548">
        <v>19</v>
      </c>
      <c r="I3548">
        <v>0</v>
      </c>
      <c r="J3548">
        <v>20</v>
      </c>
      <c r="K3548">
        <v>0</v>
      </c>
      <c r="L3548">
        <v>2022</v>
      </c>
      <c r="N3548" t="s">
        <v>47</v>
      </c>
      <c r="O3548" t="s">
        <v>47</v>
      </c>
      <c r="P3548" t="s">
        <v>1165</v>
      </c>
    </row>
    <row r="3549" spans="1:16" x14ac:dyDescent="0.3">
      <c r="A3549" t="s">
        <v>1114</v>
      </c>
      <c r="B3549" t="s">
        <v>31</v>
      </c>
      <c r="C3549">
        <v>60</v>
      </c>
      <c r="D3549" t="s">
        <v>10</v>
      </c>
      <c r="F3549" s="43">
        <v>44734.75</v>
      </c>
      <c r="G3549" s="43">
        <v>44734.791666666664</v>
      </c>
      <c r="H3549">
        <v>18</v>
      </c>
      <c r="I3549">
        <v>0</v>
      </c>
      <c r="J3549">
        <v>19</v>
      </c>
      <c r="K3549">
        <v>0</v>
      </c>
      <c r="L3549">
        <v>2022</v>
      </c>
      <c r="N3549" t="s">
        <v>47</v>
      </c>
      <c r="O3549" t="s">
        <v>47</v>
      </c>
      <c r="P3549" t="s">
        <v>1115</v>
      </c>
    </row>
    <row r="3550" spans="1:16" x14ac:dyDescent="0.3">
      <c r="A3550" t="s">
        <v>1144</v>
      </c>
      <c r="B3550" t="s">
        <v>223</v>
      </c>
      <c r="C3550">
        <v>150</v>
      </c>
      <c r="D3550" t="s">
        <v>10</v>
      </c>
      <c r="E3550" t="s">
        <v>1145</v>
      </c>
      <c r="F3550" s="43">
        <v>44734.625</v>
      </c>
      <c r="G3550" s="43">
        <v>44734.729166666664</v>
      </c>
      <c r="H3550">
        <v>15</v>
      </c>
      <c r="I3550">
        <v>0</v>
      </c>
      <c r="J3550">
        <v>17</v>
      </c>
      <c r="K3550">
        <v>30</v>
      </c>
      <c r="L3550">
        <v>2022</v>
      </c>
      <c r="N3550" t="s">
        <v>47</v>
      </c>
      <c r="O3550" t="s">
        <v>47</v>
      </c>
      <c r="P3550" t="s">
        <v>1166</v>
      </c>
    </row>
    <row r="3551" spans="1:16" x14ac:dyDescent="0.3">
      <c r="A3551" t="s">
        <v>1167</v>
      </c>
      <c r="B3551" t="s">
        <v>20</v>
      </c>
      <c r="C3551">
        <v>15</v>
      </c>
      <c r="D3551" t="s">
        <v>10</v>
      </c>
      <c r="E3551" t="s">
        <v>1168</v>
      </c>
      <c r="F3551" s="43">
        <v>44734.583333333336</v>
      </c>
      <c r="G3551" s="43">
        <v>44734.59375</v>
      </c>
      <c r="H3551">
        <v>14</v>
      </c>
      <c r="I3551">
        <v>0</v>
      </c>
      <c r="J3551">
        <v>14</v>
      </c>
      <c r="K3551">
        <v>15</v>
      </c>
      <c r="L3551">
        <v>2022</v>
      </c>
      <c r="N3551" t="s">
        <v>47</v>
      </c>
      <c r="O3551" t="s">
        <v>47</v>
      </c>
      <c r="P3551" t="s">
        <v>1169</v>
      </c>
    </row>
    <row r="3552" spans="1:16" x14ac:dyDescent="0.3">
      <c r="A3552" t="s">
        <v>1170</v>
      </c>
      <c r="B3552" t="s">
        <v>223</v>
      </c>
      <c r="C3552">
        <v>30</v>
      </c>
      <c r="D3552" t="s">
        <v>10</v>
      </c>
      <c r="E3552" t="s">
        <v>1145</v>
      </c>
      <c r="F3552" s="43">
        <v>44734.5625</v>
      </c>
      <c r="G3552" s="43">
        <v>44734.583333333336</v>
      </c>
      <c r="H3552">
        <v>13</v>
      </c>
      <c r="I3552">
        <v>30</v>
      </c>
      <c r="J3552">
        <v>14</v>
      </c>
      <c r="K3552">
        <v>0</v>
      </c>
      <c r="L3552">
        <v>2022</v>
      </c>
      <c r="N3552" t="s">
        <v>47</v>
      </c>
      <c r="O3552" t="s">
        <v>47</v>
      </c>
      <c r="P3552" t="s">
        <v>1171</v>
      </c>
    </row>
    <row r="3553" spans="1:16" x14ac:dyDescent="0.3">
      <c r="A3553" t="s">
        <v>1144</v>
      </c>
      <c r="B3553" t="s">
        <v>223</v>
      </c>
      <c r="C3553">
        <v>60</v>
      </c>
      <c r="D3553" t="s">
        <v>10</v>
      </c>
      <c r="E3553" t="s">
        <v>1145</v>
      </c>
      <c r="F3553" s="43">
        <v>44734.520833333336</v>
      </c>
      <c r="G3553" s="43">
        <v>44734.5625</v>
      </c>
      <c r="H3553">
        <v>12</v>
      </c>
      <c r="I3553">
        <v>30</v>
      </c>
      <c r="J3553">
        <v>13</v>
      </c>
      <c r="K3553">
        <v>30</v>
      </c>
      <c r="L3553">
        <v>2022</v>
      </c>
      <c r="N3553" t="s">
        <v>47</v>
      </c>
      <c r="O3553" t="s">
        <v>47</v>
      </c>
      <c r="P3553" t="s">
        <v>1172</v>
      </c>
    </row>
    <row r="3554" spans="1:16" x14ac:dyDescent="0.3">
      <c r="A3554" t="s">
        <v>1173</v>
      </c>
      <c r="B3554" t="s">
        <v>223</v>
      </c>
      <c r="C3554">
        <v>30</v>
      </c>
      <c r="D3554" t="s">
        <v>10</v>
      </c>
      <c r="E3554" t="s">
        <v>1174</v>
      </c>
      <c r="F3554" s="43">
        <v>44734.5</v>
      </c>
      <c r="G3554" s="43">
        <v>44734.520833333336</v>
      </c>
      <c r="H3554">
        <v>12</v>
      </c>
      <c r="I3554">
        <v>0</v>
      </c>
      <c r="J3554">
        <v>12</v>
      </c>
      <c r="K3554">
        <v>30</v>
      </c>
      <c r="L3554">
        <v>2022</v>
      </c>
      <c r="N3554" t="s">
        <v>47</v>
      </c>
      <c r="O3554" t="s">
        <v>47</v>
      </c>
      <c r="P3554" t="s">
        <v>1175</v>
      </c>
    </row>
    <row r="3555" spans="1:16" x14ac:dyDescent="0.3">
      <c r="A3555" t="s">
        <v>827</v>
      </c>
      <c r="B3555" t="s">
        <v>6</v>
      </c>
      <c r="C3555">
        <v>30</v>
      </c>
      <c r="D3555" t="s">
        <v>10</v>
      </c>
      <c r="E3555" t="s">
        <v>515</v>
      </c>
      <c r="F3555" s="43">
        <v>44734.479166666664</v>
      </c>
      <c r="G3555" s="43">
        <v>44734.5</v>
      </c>
      <c r="H3555">
        <v>11</v>
      </c>
      <c r="I3555">
        <v>30</v>
      </c>
      <c r="J3555">
        <v>12</v>
      </c>
      <c r="K3555">
        <v>0</v>
      </c>
      <c r="L3555">
        <v>2022</v>
      </c>
      <c r="N3555" t="s">
        <v>47</v>
      </c>
      <c r="O3555" t="s">
        <v>47</v>
      </c>
      <c r="P3555" t="s">
        <v>1176</v>
      </c>
    </row>
    <row r="3556" spans="1:16" x14ac:dyDescent="0.3">
      <c r="A3556" t="s">
        <v>42</v>
      </c>
      <c r="B3556" t="s">
        <v>6</v>
      </c>
      <c r="C3556">
        <v>30</v>
      </c>
      <c r="D3556" t="s">
        <v>10</v>
      </c>
      <c r="E3556" t="s">
        <v>649</v>
      </c>
      <c r="F3556" s="43">
        <v>44734.458333333336</v>
      </c>
      <c r="G3556" s="43">
        <v>44734.479166666664</v>
      </c>
      <c r="H3556">
        <v>11</v>
      </c>
      <c r="I3556">
        <v>0</v>
      </c>
      <c r="J3556">
        <v>11</v>
      </c>
      <c r="K3556">
        <v>30</v>
      </c>
      <c r="L3556">
        <v>2022</v>
      </c>
      <c r="N3556" t="s">
        <v>47</v>
      </c>
      <c r="O3556" t="s">
        <v>47</v>
      </c>
      <c r="P3556" t="s">
        <v>1177</v>
      </c>
    </row>
    <row r="3557" spans="1:16" x14ac:dyDescent="0.3">
      <c r="A3557" t="s">
        <v>1309</v>
      </c>
      <c r="B3557" t="s">
        <v>223</v>
      </c>
      <c r="C3557">
        <v>90</v>
      </c>
      <c r="D3557" t="s">
        <v>10</v>
      </c>
      <c r="E3557" t="s">
        <v>1310</v>
      </c>
      <c r="F3557" s="43">
        <v>44734.375</v>
      </c>
      <c r="G3557" s="43">
        <v>44734.4375</v>
      </c>
      <c r="H3557">
        <v>9</v>
      </c>
      <c r="I3557">
        <v>0</v>
      </c>
      <c r="J3557">
        <v>10</v>
      </c>
      <c r="K3557">
        <v>30</v>
      </c>
      <c r="L3557">
        <v>2022</v>
      </c>
      <c r="N3557" t="s">
        <v>1311</v>
      </c>
      <c r="O3557" t="s">
        <v>50</v>
      </c>
      <c r="P3557" t="s">
        <v>1312</v>
      </c>
    </row>
    <row r="3558" spans="1:16" x14ac:dyDescent="0.3">
      <c r="A3558" t="s">
        <v>1178</v>
      </c>
      <c r="B3558" t="s">
        <v>6</v>
      </c>
      <c r="C3558">
        <v>30</v>
      </c>
      <c r="D3558" t="s">
        <v>10</v>
      </c>
      <c r="F3558" s="43">
        <v>44734.3125</v>
      </c>
      <c r="G3558" s="43">
        <v>44734.333333333336</v>
      </c>
      <c r="H3558">
        <v>7</v>
      </c>
      <c r="I3558">
        <v>30</v>
      </c>
      <c r="J3558">
        <v>8</v>
      </c>
      <c r="K3558">
        <v>0</v>
      </c>
      <c r="L3558">
        <v>2022</v>
      </c>
      <c r="N3558" t="s">
        <v>47</v>
      </c>
      <c r="O3558" t="s">
        <v>47</v>
      </c>
      <c r="P3558" t="s">
        <v>1179</v>
      </c>
    </row>
    <row r="3559" spans="1:16" x14ac:dyDescent="0.3">
      <c r="A3559" t="s">
        <v>1112</v>
      </c>
      <c r="B3559" t="s">
        <v>31</v>
      </c>
      <c r="C3559">
        <v>60</v>
      </c>
      <c r="D3559" t="s">
        <v>10</v>
      </c>
      <c r="F3559" s="43">
        <v>44734.270833333336</v>
      </c>
      <c r="G3559" s="43">
        <v>44734.3125</v>
      </c>
      <c r="H3559">
        <v>6</v>
      </c>
      <c r="I3559">
        <v>30</v>
      </c>
      <c r="J3559">
        <v>7</v>
      </c>
      <c r="K3559">
        <v>30</v>
      </c>
      <c r="L3559">
        <v>2022</v>
      </c>
      <c r="N3559" t="s">
        <v>47</v>
      </c>
      <c r="O3559" t="s">
        <v>47</v>
      </c>
      <c r="P3559" t="s">
        <v>1113</v>
      </c>
    </row>
    <row r="3560" spans="1:16" x14ac:dyDescent="0.3">
      <c r="A3560" t="s">
        <v>1180</v>
      </c>
      <c r="B3560" t="s">
        <v>223</v>
      </c>
      <c r="C3560">
        <v>90</v>
      </c>
      <c r="D3560" t="s">
        <v>10</v>
      </c>
      <c r="E3560" t="s">
        <v>1181</v>
      </c>
      <c r="F3560" s="43">
        <v>44734.208333333336</v>
      </c>
      <c r="G3560" s="43">
        <v>44734.270833333336</v>
      </c>
      <c r="H3560">
        <v>5</v>
      </c>
      <c r="I3560">
        <v>0</v>
      </c>
      <c r="J3560">
        <v>6</v>
      </c>
      <c r="K3560">
        <v>30</v>
      </c>
      <c r="L3560">
        <v>2022</v>
      </c>
      <c r="N3560" t="s">
        <v>47</v>
      </c>
      <c r="O3560" t="s">
        <v>47</v>
      </c>
      <c r="P3560" t="s">
        <v>1182</v>
      </c>
    </row>
    <row r="3561" spans="1:16" x14ac:dyDescent="0.3">
      <c r="A3561" t="s">
        <v>1183</v>
      </c>
      <c r="B3561" t="s">
        <v>223</v>
      </c>
      <c r="C3561">
        <v>45</v>
      </c>
      <c r="D3561" t="s">
        <v>10</v>
      </c>
      <c r="E3561" t="s">
        <v>1181</v>
      </c>
      <c r="F3561" s="43">
        <v>44733.78125</v>
      </c>
      <c r="G3561" s="43">
        <v>44733.8125</v>
      </c>
      <c r="H3561">
        <v>18</v>
      </c>
      <c r="I3561">
        <v>45</v>
      </c>
      <c r="J3561">
        <v>19</v>
      </c>
      <c r="K3561">
        <v>30</v>
      </c>
      <c r="L3561">
        <v>2022</v>
      </c>
      <c r="N3561" t="s">
        <v>47</v>
      </c>
      <c r="O3561" t="s">
        <v>47</v>
      </c>
      <c r="P3561" t="s">
        <v>1184</v>
      </c>
    </row>
    <row r="3562" spans="1:16" x14ac:dyDescent="0.3">
      <c r="A3562" t="s">
        <v>1185</v>
      </c>
      <c r="B3562" t="s">
        <v>223</v>
      </c>
      <c r="C3562">
        <v>30</v>
      </c>
      <c r="D3562" t="s">
        <v>10</v>
      </c>
      <c r="E3562" t="s">
        <v>1181</v>
      </c>
      <c r="F3562" s="43">
        <v>44733.743055555555</v>
      </c>
      <c r="G3562" s="43">
        <v>44733.763888888891</v>
      </c>
      <c r="H3562">
        <v>17</v>
      </c>
      <c r="I3562">
        <v>50</v>
      </c>
      <c r="J3562">
        <v>18</v>
      </c>
      <c r="K3562">
        <v>20</v>
      </c>
      <c r="L3562">
        <v>2022</v>
      </c>
      <c r="N3562" t="s">
        <v>47</v>
      </c>
      <c r="O3562" t="s">
        <v>47</v>
      </c>
      <c r="P3562" t="s">
        <v>1186</v>
      </c>
    </row>
    <row r="3563" spans="1:16" x14ac:dyDescent="0.3">
      <c r="A3563" t="s">
        <v>1191</v>
      </c>
      <c r="B3563" t="s">
        <v>223</v>
      </c>
      <c r="C3563">
        <v>50</v>
      </c>
      <c r="D3563" t="s">
        <v>10</v>
      </c>
      <c r="E3563" t="s">
        <v>496</v>
      </c>
      <c r="F3563" s="43">
        <v>44733.708333333336</v>
      </c>
      <c r="G3563" s="43">
        <v>44733.743055555555</v>
      </c>
      <c r="H3563">
        <v>17</v>
      </c>
      <c r="I3563">
        <v>0</v>
      </c>
      <c r="J3563">
        <v>17</v>
      </c>
      <c r="K3563">
        <v>50</v>
      </c>
      <c r="L3563">
        <v>2022</v>
      </c>
      <c r="N3563" t="s">
        <v>47</v>
      </c>
      <c r="O3563" t="s">
        <v>47</v>
      </c>
      <c r="P3563" t="s">
        <v>1192</v>
      </c>
    </row>
    <row r="3564" spans="1:16" x14ac:dyDescent="0.3">
      <c r="A3564" t="s">
        <v>7</v>
      </c>
      <c r="B3564" t="s">
        <v>6</v>
      </c>
      <c r="C3564">
        <v>25</v>
      </c>
      <c r="D3564" t="s">
        <v>10</v>
      </c>
      <c r="E3564" t="s">
        <v>449</v>
      </c>
      <c r="F3564" s="43">
        <v>44733.65625</v>
      </c>
      <c r="G3564" s="43">
        <v>44733.673611111109</v>
      </c>
      <c r="H3564">
        <v>15</v>
      </c>
      <c r="I3564">
        <v>45</v>
      </c>
      <c r="J3564">
        <v>16</v>
      </c>
      <c r="K3564">
        <v>10</v>
      </c>
      <c r="L3564">
        <v>2022</v>
      </c>
      <c r="N3564" t="s">
        <v>47</v>
      </c>
      <c r="O3564" t="s">
        <v>47</v>
      </c>
      <c r="P3564" t="s">
        <v>1194</v>
      </c>
    </row>
    <row r="3565" spans="1:16" x14ac:dyDescent="0.3">
      <c r="A3565" t="s">
        <v>1195</v>
      </c>
      <c r="B3565" t="s">
        <v>223</v>
      </c>
      <c r="C3565">
        <v>15</v>
      </c>
      <c r="D3565" t="s">
        <v>10</v>
      </c>
      <c r="E3565" t="s">
        <v>496</v>
      </c>
      <c r="F3565" s="43">
        <v>44733.645833333336</v>
      </c>
      <c r="G3565" s="43">
        <v>44733.65625</v>
      </c>
      <c r="H3565">
        <v>15</v>
      </c>
      <c r="I3565">
        <v>30</v>
      </c>
      <c r="J3565">
        <v>15</v>
      </c>
      <c r="K3565">
        <v>45</v>
      </c>
      <c r="L3565">
        <v>2022</v>
      </c>
      <c r="N3565" t="s">
        <v>47</v>
      </c>
      <c r="O3565" t="s">
        <v>47</v>
      </c>
      <c r="P3565" t="s">
        <v>1196</v>
      </c>
    </row>
    <row r="3566" spans="1:16" x14ac:dyDescent="0.3">
      <c r="A3566" t="s">
        <v>1189</v>
      </c>
      <c r="B3566" t="s">
        <v>31</v>
      </c>
      <c r="C3566">
        <v>45</v>
      </c>
      <c r="D3566" t="s">
        <v>10</v>
      </c>
      <c r="F3566" s="1">
        <v>44733.614583333336</v>
      </c>
      <c r="G3566" s="1">
        <v>44733.645833333336</v>
      </c>
      <c r="H3566">
        <v>14</v>
      </c>
      <c r="I3566">
        <v>45</v>
      </c>
      <c r="J3566">
        <v>15</v>
      </c>
      <c r="K3566">
        <v>30</v>
      </c>
      <c r="L3566">
        <v>2022</v>
      </c>
      <c r="N3566" t="s">
        <v>47</v>
      </c>
      <c r="O3566" t="s">
        <v>47</v>
      </c>
      <c r="P3566" t="s">
        <v>1190</v>
      </c>
    </row>
    <row r="3567" spans="1:16" x14ac:dyDescent="0.3">
      <c r="A3567" t="s">
        <v>1195</v>
      </c>
      <c r="B3567" t="s">
        <v>223</v>
      </c>
      <c r="C3567">
        <v>60</v>
      </c>
      <c r="D3567" t="s">
        <v>10</v>
      </c>
      <c r="E3567" t="s">
        <v>496</v>
      </c>
      <c r="F3567" s="43">
        <v>44733.572222222225</v>
      </c>
      <c r="G3567" s="43">
        <v>44733.613888888889</v>
      </c>
      <c r="H3567">
        <v>13</v>
      </c>
      <c r="I3567">
        <v>44</v>
      </c>
      <c r="J3567">
        <v>14</v>
      </c>
      <c r="K3567">
        <v>44</v>
      </c>
      <c r="L3567">
        <v>2022</v>
      </c>
      <c r="N3567" t="s">
        <v>47</v>
      </c>
      <c r="O3567" t="s">
        <v>47</v>
      </c>
      <c r="P3567" t="s">
        <v>1197</v>
      </c>
    </row>
    <row r="3568" spans="1:16" x14ac:dyDescent="0.3">
      <c r="A3568" t="s">
        <v>8</v>
      </c>
      <c r="B3568" t="s">
        <v>6</v>
      </c>
      <c r="C3568">
        <v>30</v>
      </c>
      <c r="D3568" t="s">
        <v>10</v>
      </c>
      <c r="E3568" t="s">
        <v>477</v>
      </c>
      <c r="F3568" s="43">
        <v>44733.541666666664</v>
      </c>
      <c r="G3568" s="43">
        <v>44733.5625</v>
      </c>
      <c r="H3568">
        <v>13</v>
      </c>
      <c r="I3568">
        <v>0</v>
      </c>
      <c r="J3568">
        <v>13</v>
      </c>
      <c r="K3568">
        <v>30</v>
      </c>
      <c r="L3568">
        <v>2022</v>
      </c>
      <c r="N3568" t="s">
        <v>47</v>
      </c>
      <c r="O3568" t="s">
        <v>47</v>
      </c>
      <c r="P3568" t="s">
        <v>1193</v>
      </c>
    </row>
    <row r="3569" spans="1:16" x14ac:dyDescent="0.3">
      <c r="A3569" t="s">
        <v>1198</v>
      </c>
      <c r="B3569" t="s">
        <v>6</v>
      </c>
      <c r="C3569">
        <v>30</v>
      </c>
      <c r="D3569" t="s">
        <v>10</v>
      </c>
      <c r="E3569" t="s">
        <v>649</v>
      </c>
      <c r="F3569" s="43">
        <v>44733.520833333336</v>
      </c>
      <c r="G3569" s="43">
        <v>44733.541666666664</v>
      </c>
      <c r="H3569">
        <v>12</v>
      </c>
      <c r="I3569">
        <v>30</v>
      </c>
      <c r="J3569">
        <v>13</v>
      </c>
      <c r="K3569">
        <v>0</v>
      </c>
      <c r="L3569">
        <v>2022</v>
      </c>
      <c r="N3569" t="s">
        <v>47</v>
      </c>
      <c r="O3569" t="s">
        <v>47</v>
      </c>
      <c r="P3569" t="s">
        <v>1199</v>
      </c>
    </row>
    <row r="3570" spans="1:16" x14ac:dyDescent="0.3">
      <c r="A3570" t="s">
        <v>827</v>
      </c>
      <c r="B3570" t="s">
        <v>6</v>
      </c>
      <c r="C3570">
        <v>30</v>
      </c>
      <c r="D3570" t="s">
        <v>10</v>
      </c>
      <c r="E3570" t="s">
        <v>515</v>
      </c>
      <c r="F3570" s="43">
        <v>44733.5</v>
      </c>
      <c r="G3570" s="43">
        <v>44733.520833333336</v>
      </c>
      <c r="H3570">
        <v>12</v>
      </c>
      <c r="I3570">
        <v>0</v>
      </c>
      <c r="J3570">
        <v>12</v>
      </c>
      <c r="K3570">
        <v>30</v>
      </c>
      <c r="L3570">
        <v>2022</v>
      </c>
      <c r="N3570" t="s">
        <v>47</v>
      </c>
      <c r="O3570" t="s">
        <v>47</v>
      </c>
      <c r="P3570" t="s">
        <v>1200</v>
      </c>
    </row>
    <row r="3571" spans="1:16" x14ac:dyDescent="0.3">
      <c r="A3571" t="s">
        <v>1587</v>
      </c>
      <c r="B3571" t="s">
        <v>20</v>
      </c>
      <c r="C3571">
        <v>60</v>
      </c>
      <c r="D3571" t="s">
        <v>10</v>
      </c>
      <c r="E3571" t="s">
        <v>1588</v>
      </c>
      <c r="F3571" s="43">
        <v>44733.4375</v>
      </c>
      <c r="G3571" s="43">
        <v>44733.479166666664</v>
      </c>
      <c r="H3571">
        <v>10</v>
      </c>
      <c r="I3571">
        <v>30</v>
      </c>
      <c r="J3571">
        <v>11</v>
      </c>
      <c r="K3571">
        <v>30</v>
      </c>
      <c r="L3571">
        <v>2022</v>
      </c>
      <c r="N3571" t="s">
        <v>1589</v>
      </c>
      <c r="O3571" t="s">
        <v>458</v>
      </c>
      <c r="P3571" t="s">
        <v>1590</v>
      </c>
    </row>
    <row r="3572" spans="1:16" x14ac:dyDescent="0.3">
      <c r="A3572" t="s">
        <v>1219</v>
      </c>
      <c r="B3572" t="s">
        <v>223</v>
      </c>
      <c r="C3572">
        <v>60</v>
      </c>
      <c r="D3572" t="s">
        <v>10</v>
      </c>
      <c r="E3572" t="s">
        <v>1132</v>
      </c>
      <c r="F3572" s="43">
        <v>44733.395833333336</v>
      </c>
      <c r="G3572" s="43">
        <v>44733.4375</v>
      </c>
      <c r="H3572">
        <v>9</v>
      </c>
      <c r="I3572">
        <v>30</v>
      </c>
      <c r="J3572">
        <v>10</v>
      </c>
      <c r="K3572">
        <v>30</v>
      </c>
      <c r="L3572">
        <v>2022</v>
      </c>
      <c r="N3572" t="s">
        <v>1220</v>
      </c>
      <c r="O3572" t="s">
        <v>1134</v>
      </c>
      <c r="P3572" t="s">
        <v>1221</v>
      </c>
    </row>
    <row r="3573" spans="1:16" x14ac:dyDescent="0.3">
      <c r="A3573" t="s">
        <v>1187</v>
      </c>
      <c r="B3573" t="s">
        <v>31</v>
      </c>
      <c r="C3573">
        <v>60</v>
      </c>
      <c r="D3573" t="s">
        <v>10</v>
      </c>
      <c r="F3573" s="43">
        <v>44733.291666666664</v>
      </c>
      <c r="G3573" s="43">
        <v>44733.333333333336</v>
      </c>
      <c r="H3573">
        <v>7</v>
      </c>
      <c r="I3573">
        <v>0</v>
      </c>
      <c r="J3573">
        <v>8</v>
      </c>
      <c r="K3573">
        <v>0</v>
      </c>
      <c r="L3573">
        <v>2022</v>
      </c>
      <c r="N3573" t="s">
        <v>47</v>
      </c>
      <c r="O3573" t="s">
        <v>47</v>
      </c>
      <c r="P3573" t="s">
        <v>1188</v>
      </c>
    </row>
    <row r="3574" spans="1:16" x14ac:dyDescent="0.3">
      <c r="A3574" t="s">
        <v>1202</v>
      </c>
      <c r="B3574" t="s">
        <v>6</v>
      </c>
      <c r="C3574">
        <v>90</v>
      </c>
      <c r="D3574" t="s">
        <v>10</v>
      </c>
      <c r="E3574" t="s">
        <v>515</v>
      </c>
      <c r="F3574" s="43">
        <v>44733.229166666664</v>
      </c>
      <c r="G3574" s="43">
        <v>44733.291666666664</v>
      </c>
      <c r="H3574">
        <v>5</v>
      </c>
      <c r="I3574">
        <v>30</v>
      </c>
      <c r="J3574">
        <v>7</v>
      </c>
      <c r="K3574">
        <v>0</v>
      </c>
      <c r="L3574">
        <v>2022</v>
      </c>
      <c r="N3574" t="s">
        <v>47</v>
      </c>
      <c r="O3574" t="s">
        <v>47</v>
      </c>
      <c r="P3574" t="s">
        <v>1203</v>
      </c>
    </row>
    <row r="3575" spans="1:16" x14ac:dyDescent="0.3">
      <c r="A3575" t="s">
        <v>8</v>
      </c>
      <c r="B3575" t="s">
        <v>6</v>
      </c>
      <c r="C3575">
        <v>120</v>
      </c>
      <c r="D3575" t="s">
        <v>10</v>
      </c>
      <c r="E3575" t="s">
        <v>477</v>
      </c>
      <c r="F3575" s="43">
        <v>44732.75</v>
      </c>
      <c r="G3575" s="43">
        <v>44732.833333333336</v>
      </c>
      <c r="H3575">
        <v>18</v>
      </c>
      <c r="I3575">
        <v>0</v>
      </c>
      <c r="J3575">
        <v>20</v>
      </c>
      <c r="K3575">
        <v>0</v>
      </c>
      <c r="L3575">
        <v>2022</v>
      </c>
      <c r="N3575" t="s">
        <v>47</v>
      </c>
      <c r="O3575" t="s">
        <v>47</v>
      </c>
      <c r="P3575" t="s">
        <v>1204</v>
      </c>
    </row>
    <row r="3576" spans="1:16" x14ac:dyDescent="0.3">
      <c r="A3576" t="s">
        <v>1205</v>
      </c>
      <c r="B3576" t="s">
        <v>20</v>
      </c>
      <c r="C3576">
        <v>30</v>
      </c>
      <c r="D3576" t="s">
        <v>10</v>
      </c>
      <c r="E3576" t="s">
        <v>1206</v>
      </c>
      <c r="F3576" s="43">
        <v>44732.666666666664</v>
      </c>
      <c r="G3576" s="43">
        <v>44732.6875</v>
      </c>
      <c r="H3576">
        <v>16</v>
      </c>
      <c r="I3576">
        <v>0</v>
      </c>
      <c r="J3576">
        <v>16</v>
      </c>
      <c r="K3576">
        <v>30</v>
      </c>
      <c r="L3576">
        <v>2022</v>
      </c>
      <c r="N3576" t="s">
        <v>47</v>
      </c>
      <c r="O3576" t="s">
        <v>47</v>
      </c>
      <c r="P3576" t="s">
        <v>1207</v>
      </c>
    </row>
    <row r="3577" spans="1:16" x14ac:dyDescent="0.3">
      <c r="A3577" t="s">
        <v>42</v>
      </c>
      <c r="B3577" t="s">
        <v>6</v>
      </c>
      <c r="C3577">
        <v>30</v>
      </c>
      <c r="D3577" t="s">
        <v>10</v>
      </c>
      <c r="E3577" t="s">
        <v>649</v>
      </c>
      <c r="F3577" s="43">
        <v>44732.645833333336</v>
      </c>
      <c r="G3577" s="43">
        <v>44732.666666666664</v>
      </c>
      <c r="H3577">
        <v>15</v>
      </c>
      <c r="I3577">
        <v>30</v>
      </c>
      <c r="J3577">
        <v>16</v>
      </c>
      <c r="K3577">
        <v>0</v>
      </c>
      <c r="L3577">
        <v>2022</v>
      </c>
      <c r="N3577" t="s">
        <v>47</v>
      </c>
      <c r="O3577" t="s">
        <v>47</v>
      </c>
      <c r="P3577" t="s">
        <v>1208</v>
      </c>
    </row>
    <row r="3578" spans="1:16" x14ac:dyDescent="0.3">
      <c r="A3578" t="s">
        <v>8</v>
      </c>
      <c r="B3578" t="s">
        <v>6</v>
      </c>
      <c r="C3578">
        <v>55</v>
      </c>
      <c r="D3578" t="s">
        <v>10</v>
      </c>
      <c r="E3578" t="s">
        <v>477</v>
      </c>
      <c r="F3578" s="43">
        <v>44732.611111111109</v>
      </c>
      <c r="G3578" s="43">
        <v>44732.649305555555</v>
      </c>
      <c r="H3578">
        <v>14</v>
      </c>
      <c r="I3578">
        <v>40</v>
      </c>
      <c r="J3578">
        <v>15</v>
      </c>
      <c r="K3578">
        <v>35</v>
      </c>
      <c r="L3578">
        <v>2022</v>
      </c>
      <c r="N3578" t="s">
        <v>47</v>
      </c>
      <c r="O3578" t="s">
        <v>47</v>
      </c>
      <c r="P3578" t="s">
        <v>1209</v>
      </c>
    </row>
    <row r="3579" spans="1:16" x14ac:dyDescent="0.3">
      <c r="A3579" t="s">
        <v>1210</v>
      </c>
      <c r="B3579" t="s">
        <v>20</v>
      </c>
      <c r="C3579">
        <v>20</v>
      </c>
      <c r="D3579" t="s">
        <v>10</v>
      </c>
      <c r="E3579" t="s">
        <v>1206</v>
      </c>
      <c r="F3579" s="43">
        <v>44732.583333333336</v>
      </c>
      <c r="G3579" s="43">
        <v>44732.597222222219</v>
      </c>
      <c r="H3579">
        <v>14</v>
      </c>
      <c r="I3579">
        <v>0</v>
      </c>
      <c r="J3579">
        <v>14</v>
      </c>
      <c r="K3579">
        <v>20</v>
      </c>
      <c r="L3579">
        <v>2022</v>
      </c>
      <c r="N3579" t="s">
        <v>47</v>
      </c>
      <c r="O3579" t="s">
        <v>47</v>
      </c>
      <c r="P3579" t="s">
        <v>1211</v>
      </c>
    </row>
    <row r="3580" spans="1:16" x14ac:dyDescent="0.3">
      <c r="A3580" t="s">
        <v>1213</v>
      </c>
      <c r="B3580" t="s">
        <v>20</v>
      </c>
      <c r="C3580">
        <v>60</v>
      </c>
      <c r="D3580" t="s">
        <v>10</v>
      </c>
      <c r="E3580" t="s">
        <v>1214</v>
      </c>
      <c r="F3580" s="43">
        <v>44732.5</v>
      </c>
      <c r="G3580" s="43">
        <v>44732.541666666664</v>
      </c>
      <c r="H3580">
        <v>12</v>
      </c>
      <c r="I3580">
        <v>0</v>
      </c>
      <c r="J3580">
        <v>13</v>
      </c>
      <c r="K3580">
        <v>0</v>
      </c>
      <c r="L3580">
        <v>2022</v>
      </c>
      <c r="N3580" t="s">
        <v>47</v>
      </c>
      <c r="O3580" t="s">
        <v>47</v>
      </c>
      <c r="P3580" t="s">
        <v>1215</v>
      </c>
    </row>
    <row r="3581" spans="1:16" x14ac:dyDescent="0.3">
      <c r="A3581" t="s">
        <v>6</v>
      </c>
      <c r="B3581" t="s">
        <v>6</v>
      </c>
      <c r="C3581">
        <v>30</v>
      </c>
      <c r="D3581" t="s">
        <v>10</v>
      </c>
      <c r="E3581" t="s">
        <v>477</v>
      </c>
      <c r="F3581" s="43">
        <v>44732.479166666664</v>
      </c>
      <c r="G3581" s="43">
        <v>44732.5</v>
      </c>
      <c r="H3581">
        <v>11</v>
      </c>
      <c r="I3581">
        <v>30</v>
      </c>
      <c r="J3581">
        <v>12</v>
      </c>
      <c r="K3581">
        <v>0</v>
      </c>
      <c r="L3581">
        <v>2022</v>
      </c>
      <c r="N3581" t="s">
        <v>47</v>
      </c>
      <c r="O3581" t="s">
        <v>47</v>
      </c>
      <c r="P3581" t="s">
        <v>1212</v>
      </c>
    </row>
    <row r="3582" spans="1:16" x14ac:dyDescent="0.3">
      <c r="A3582" t="s">
        <v>42</v>
      </c>
      <c r="B3582" t="s">
        <v>6</v>
      </c>
      <c r="C3582">
        <v>60</v>
      </c>
      <c r="D3582" t="s">
        <v>10</v>
      </c>
      <c r="E3582" t="s">
        <v>649</v>
      </c>
      <c r="F3582" s="43">
        <v>44732.354166666664</v>
      </c>
      <c r="G3582" s="43">
        <v>44732.395833333336</v>
      </c>
      <c r="H3582">
        <v>8</v>
      </c>
      <c r="I3582">
        <v>30</v>
      </c>
      <c r="J3582">
        <v>9</v>
      </c>
      <c r="K3582">
        <v>30</v>
      </c>
      <c r="L3582">
        <v>2022</v>
      </c>
      <c r="N3582" t="s">
        <v>47</v>
      </c>
      <c r="O3582" t="s">
        <v>47</v>
      </c>
      <c r="P3582" t="s">
        <v>1216</v>
      </c>
    </row>
    <row r="3583" spans="1:16" x14ac:dyDescent="0.3">
      <c r="A3583" t="s">
        <v>1081</v>
      </c>
      <c r="B3583" t="s">
        <v>6</v>
      </c>
      <c r="C3583">
        <v>30</v>
      </c>
      <c r="D3583" t="s">
        <v>10</v>
      </c>
      <c r="E3583" t="s">
        <v>1075</v>
      </c>
      <c r="F3583" s="43">
        <v>44732.3125</v>
      </c>
      <c r="G3583" s="43">
        <v>44732.333333333336</v>
      </c>
      <c r="H3583">
        <v>7</v>
      </c>
      <c r="I3583">
        <v>30</v>
      </c>
      <c r="J3583">
        <v>8</v>
      </c>
      <c r="K3583">
        <v>0</v>
      </c>
      <c r="L3583">
        <v>2022</v>
      </c>
      <c r="N3583" t="s">
        <v>47</v>
      </c>
      <c r="O3583" t="s">
        <v>47</v>
      </c>
      <c r="P3583" t="s">
        <v>1201</v>
      </c>
    </row>
    <row r="3584" spans="1:16" x14ac:dyDescent="0.3">
      <c r="A3584" t="s">
        <v>1222</v>
      </c>
      <c r="B3584" t="s">
        <v>6</v>
      </c>
      <c r="C3584">
        <v>30</v>
      </c>
      <c r="D3584" t="s">
        <v>10</v>
      </c>
      <c r="E3584" t="s">
        <v>565</v>
      </c>
      <c r="F3584" s="43">
        <v>44732.291666666664</v>
      </c>
      <c r="G3584" s="43">
        <v>44732.3125</v>
      </c>
      <c r="H3584">
        <v>7</v>
      </c>
      <c r="I3584">
        <v>0</v>
      </c>
      <c r="J3584">
        <v>7</v>
      </c>
      <c r="K3584">
        <v>30</v>
      </c>
      <c r="L3584">
        <v>2022</v>
      </c>
      <c r="N3584" t="s">
        <v>47</v>
      </c>
      <c r="O3584" t="s">
        <v>47</v>
      </c>
      <c r="P3584" t="s">
        <v>1223</v>
      </c>
    </row>
    <row r="3585" spans="1:16" x14ac:dyDescent="0.3">
      <c r="A3585" t="s">
        <v>42</v>
      </c>
      <c r="B3585" t="s">
        <v>6</v>
      </c>
      <c r="C3585">
        <v>60</v>
      </c>
      <c r="D3585" t="s">
        <v>10</v>
      </c>
      <c r="E3585" t="s">
        <v>649</v>
      </c>
      <c r="F3585" s="43">
        <v>44732.229166666664</v>
      </c>
      <c r="G3585" s="43">
        <v>44732.270833333336</v>
      </c>
      <c r="H3585">
        <v>5</v>
      </c>
      <c r="I3585">
        <v>30</v>
      </c>
      <c r="J3585">
        <v>6</v>
      </c>
      <c r="K3585">
        <v>30</v>
      </c>
      <c r="L3585">
        <v>2022</v>
      </c>
      <c r="N3585" t="s">
        <v>47</v>
      </c>
      <c r="O3585" t="s">
        <v>47</v>
      </c>
      <c r="P3585" t="s">
        <v>1224</v>
      </c>
    </row>
    <row r="3586" spans="1:16" x14ac:dyDescent="0.3">
      <c r="A3586" t="s">
        <v>42</v>
      </c>
      <c r="B3586" t="s">
        <v>6</v>
      </c>
      <c r="C3586">
        <v>360</v>
      </c>
      <c r="D3586" t="s">
        <v>10</v>
      </c>
      <c r="E3586" t="s">
        <v>649</v>
      </c>
      <c r="F3586" s="43">
        <v>44731.291666666664</v>
      </c>
      <c r="G3586" s="43">
        <v>44731.541666666664</v>
      </c>
      <c r="H3586">
        <v>7</v>
      </c>
      <c r="I3586">
        <v>0</v>
      </c>
      <c r="J3586">
        <v>13</v>
      </c>
      <c r="K3586">
        <v>0</v>
      </c>
      <c r="L3586">
        <v>2022</v>
      </c>
      <c r="N3586" t="s">
        <v>47</v>
      </c>
      <c r="O3586" t="s">
        <v>47</v>
      </c>
      <c r="P3586" t="s">
        <v>1218</v>
      </c>
    </row>
    <row r="3587" spans="1:16" x14ac:dyDescent="0.3">
      <c r="A3587" t="s">
        <v>42</v>
      </c>
      <c r="B3587" t="s">
        <v>6</v>
      </c>
      <c r="C3587">
        <v>180</v>
      </c>
      <c r="D3587" t="s">
        <v>10</v>
      </c>
      <c r="E3587" t="s">
        <v>649</v>
      </c>
      <c r="F3587" s="43">
        <v>44730.375</v>
      </c>
      <c r="G3587" s="43">
        <v>44730.5</v>
      </c>
      <c r="H3587">
        <v>9</v>
      </c>
      <c r="I3587">
        <v>0</v>
      </c>
      <c r="J3587">
        <v>12</v>
      </c>
      <c r="K3587">
        <v>0</v>
      </c>
      <c r="L3587">
        <v>2022</v>
      </c>
      <c r="N3587" t="s">
        <v>47</v>
      </c>
      <c r="O3587" t="s">
        <v>47</v>
      </c>
      <c r="P3587" t="s">
        <v>1217</v>
      </c>
    </row>
    <row r="3588" spans="1:16" x14ac:dyDescent="0.3">
      <c r="A3588" t="s">
        <v>1229</v>
      </c>
      <c r="B3588" t="s">
        <v>20</v>
      </c>
      <c r="C3588">
        <v>30</v>
      </c>
      <c r="D3588" t="s">
        <v>10</v>
      </c>
      <c r="E3588" t="s">
        <v>501</v>
      </c>
      <c r="F3588" s="43">
        <v>44729.791666666664</v>
      </c>
      <c r="G3588" s="43">
        <v>44729.8125</v>
      </c>
      <c r="H3588">
        <v>19</v>
      </c>
      <c r="I3588">
        <v>0</v>
      </c>
      <c r="J3588">
        <v>19</v>
      </c>
      <c r="K3588">
        <v>30</v>
      </c>
      <c r="L3588">
        <v>2022</v>
      </c>
      <c r="N3588" t="s">
        <v>1230</v>
      </c>
      <c r="O3588" t="s">
        <v>47</v>
      </c>
      <c r="P3588" t="s">
        <v>1231</v>
      </c>
    </row>
    <row r="3589" spans="1:16" x14ac:dyDescent="0.3">
      <c r="A3589" t="s">
        <v>42</v>
      </c>
      <c r="B3589" t="s">
        <v>6</v>
      </c>
      <c r="C3589">
        <v>75</v>
      </c>
      <c r="D3589" t="s">
        <v>10</v>
      </c>
      <c r="E3589" t="s">
        <v>649</v>
      </c>
      <c r="F3589" s="43">
        <v>44729.666666666664</v>
      </c>
      <c r="G3589" s="43">
        <v>44729.71875</v>
      </c>
      <c r="H3589">
        <v>16</v>
      </c>
      <c r="I3589">
        <v>0</v>
      </c>
      <c r="J3589">
        <v>17</v>
      </c>
      <c r="K3589">
        <v>15</v>
      </c>
      <c r="L3589">
        <v>2022</v>
      </c>
      <c r="N3589" t="s">
        <v>47</v>
      </c>
      <c r="O3589" t="s">
        <v>47</v>
      </c>
      <c r="P3589" t="s">
        <v>1232</v>
      </c>
    </row>
    <row r="3590" spans="1:16" x14ac:dyDescent="0.3">
      <c r="A3590" t="s">
        <v>8</v>
      </c>
      <c r="B3590" t="s">
        <v>6</v>
      </c>
      <c r="C3590">
        <v>30</v>
      </c>
      <c r="D3590" t="s">
        <v>10</v>
      </c>
      <c r="F3590" s="43">
        <v>44729.645833333336</v>
      </c>
      <c r="G3590" s="43">
        <v>44729.666666666664</v>
      </c>
      <c r="H3590">
        <v>15</v>
      </c>
      <c r="I3590">
        <v>30</v>
      </c>
      <c r="J3590">
        <v>16</v>
      </c>
      <c r="K3590">
        <v>0</v>
      </c>
      <c r="L3590">
        <v>2022</v>
      </c>
      <c r="N3590" t="s">
        <v>47</v>
      </c>
      <c r="O3590" t="s">
        <v>47</v>
      </c>
      <c r="P3590" t="s">
        <v>1233</v>
      </c>
    </row>
    <row r="3591" spans="1:16" x14ac:dyDescent="0.3">
      <c r="A3591" t="s">
        <v>8</v>
      </c>
      <c r="B3591" t="s">
        <v>6</v>
      </c>
      <c r="C3591">
        <v>30</v>
      </c>
      <c r="D3591" t="s">
        <v>10</v>
      </c>
      <c r="F3591" s="43">
        <v>44729.625</v>
      </c>
      <c r="G3591" s="43">
        <v>44729.645833333336</v>
      </c>
      <c r="H3591">
        <v>15</v>
      </c>
      <c r="I3591">
        <v>0</v>
      </c>
      <c r="J3591">
        <v>15</v>
      </c>
      <c r="K3591">
        <v>30</v>
      </c>
      <c r="L3591">
        <v>2022</v>
      </c>
      <c r="N3591" t="s">
        <v>47</v>
      </c>
      <c r="O3591" t="s">
        <v>47</v>
      </c>
      <c r="P3591" t="s">
        <v>1234</v>
      </c>
    </row>
    <row r="3592" spans="1:16" x14ac:dyDescent="0.3">
      <c r="A3592" t="s">
        <v>1331</v>
      </c>
      <c r="B3592" t="s">
        <v>20</v>
      </c>
      <c r="C3592">
        <v>30</v>
      </c>
      <c r="D3592" t="s">
        <v>10</v>
      </c>
      <c r="E3592" t="s">
        <v>1332</v>
      </c>
      <c r="F3592" s="43">
        <v>44729.5625</v>
      </c>
      <c r="G3592" s="43">
        <v>44729.583333333336</v>
      </c>
      <c r="H3592">
        <v>13</v>
      </c>
      <c r="I3592">
        <v>30</v>
      </c>
      <c r="J3592">
        <v>14</v>
      </c>
      <c r="K3592">
        <v>0</v>
      </c>
      <c r="L3592">
        <v>2022</v>
      </c>
      <c r="N3592" t="s">
        <v>1333</v>
      </c>
      <c r="O3592" t="s">
        <v>48</v>
      </c>
      <c r="P3592" t="s">
        <v>1334</v>
      </c>
    </row>
    <row r="3593" spans="1:16" x14ac:dyDescent="0.3">
      <c r="A3593" t="s">
        <v>1235</v>
      </c>
      <c r="B3593" t="s">
        <v>109</v>
      </c>
      <c r="C3593">
        <v>30</v>
      </c>
      <c r="D3593" t="s">
        <v>10</v>
      </c>
      <c r="E3593" t="s">
        <v>1236</v>
      </c>
      <c r="F3593" s="43">
        <v>44729.541666666664</v>
      </c>
      <c r="G3593" s="43">
        <v>44729.5625</v>
      </c>
      <c r="H3593">
        <v>13</v>
      </c>
      <c r="I3593">
        <v>0</v>
      </c>
      <c r="J3593">
        <v>13</v>
      </c>
      <c r="K3593">
        <v>30</v>
      </c>
      <c r="L3593">
        <v>2022</v>
      </c>
      <c r="N3593" t="s">
        <v>47</v>
      </c>
      <c r="O3593" t="s">
        <v>47</v>
      </c>
      <c r="P3593" t="s">
        <v>1237</v>
      </c>
    </row>
    <row r="3594" spans="1:16" x14ac:dyDescent="0.3">
      <c r="A3594" t="s">
        <v>1313</v>
      </c>
      <c r="B3594" t="s">
        <v>20</v>
      </c>
      <c r="C3594">
        <v>60</v>
      </c>
      <c r="D3594" t="s">
        <v>10</v>
      </c>
      <c r="E3594" t="s">
        <v>1314</v>
      </c>
      <c r="F3594" s="43">
        <v>44729.5</v>
      </c>
      <c r="G3594" s="43">
        <v>44729.541666666664</v>
      </c>
      <c r="H3594">
        <v>12</v>
      </c>
      <c r="I3594">
        <v>0</v>
      </c>
      <c r="J3594">
        <v>13</v>
      </c>
      <c r="K3594">
        <v>0</v>
      </c>
      <c r="L3594">
        <v>2022</v>
      </c>
      <c r="N3594" t="s">
        <v>1315</v>
      </c>
      <c r="O3594" t="s">
        <v>48</v>
      </c>
      <c r="P3594" t="s">
        <v>1316</v>
      </c>
    </row>
    <row r="3595" spans="1:16" x14ac:dyDescent="0.3">
      <c r="A3595" t="s">
        <v>1258</v>
      </c>
      <c r="B3595" t="s">
        <v>20</v>
      </c>
      <c r="C3595">
        <v>30</v>
      </c>
      <c r="D3595" t="s">
        <v>10</v>
      </c>
      <c r="E3595" t="s">
        <v>1259</v>
      </c>
      <c r="F3595" s="43">
        <v>44729.458333333336</v>
      </c>
      <c r="G3595" s="43">
        <v>44729.479166666664</v>
      </c>
      <c r="H3595">
        <v>11</v>
      </c>
      <c r="I3595">
        <v>0</v>
      </c>
      <c r="J3595">
        <v>11</v>
      </c>
      <c r="K3595">
        <v>30</v>
      </c>
      <c r="L3595">
        <v>2022</v>
      </c>
      <c r="N3595" t="s">
        <v>1260</v>
      </c>
      <c r="O3595" t="s">
        <v>50</v>
      </c>
      <c r="P3595" t="s">
        <v>1261</v>
      </c>
    </row>
    <row r="3596" spans="1:16" x14ac:dyDescent="0.3">
      <c r="A3596" t="s">
        <v>1385</v>
      </c>
      <c r="B3596" t="s">
        <v>20</v>
      </c>
      <c r="C3596">
        <v>60</v>
      </c>
      <c r="D3596" t="s">
        <v>10</v>
      </c>
      <c r="E3596" t="s">
        <v>1239</v>
      </c>
      <c r="F3596" s="43">
        <v>44729.416666666664</v>
      </c>
      <c r="G3596" s="43">
        <v>44729.458333333336</v>
      </c>
      <c r="H3596">
        <v>10</v>
      </c>
      <c r="I3596">
        <v>0</v>
      </c>
      <c r="J3596">
        <v>11</v>
      </c>
      <c r="K3596">
        <v>0</v>
      </c>
      <c r="L3596">
        <v>2022</v>
      </c>
      <c r="N3596" t="s">
        <v>1240</v>
      </c>
      <c r="O3596" t="s">
        <v>1241</v>
      </c>
      <c r="P3596" t="s">
        <v>1386</v>
      </c>
    </row>
    <row r="3597" spans="1:16" x14ac:dyDescent="0.3">
      <c r="A3597" t="s">
        <v>1243</v>
      </c>
      <c r="B3597" t="s">
        <v>20</v>
      </c>
      <c r="C3597">
        <v>60</v>
      </c>
      <c r="D3597" t="s">
        <v>10</v>
      </c>
      <c r="E3597" t="s">
        <v>1244</v>
      </c>
      <c r="F3597" s="43">
        <v>44729.375</v>
      </c>
      <c r="G3597" s="43">
        <v>44729.416666666664</v>
      </c>
      <c r="H3597">
        <v>9</v>
      </c>
      <c r="I3597">
        <v>0</v>
      </c>
      <c r="J3597">
        <v>10</v>
      </c>
      <c r="K3597">
        <v>0</v>
      </c>
      <c r="L3597">
        <v>2022</v>
      </c>
      <c r="N3597" t="s">
        <v>47</v>
      </c>
      <c r="O3597" t="s">
        <v>47</v>
      </c>
      <c r="P3597" t="s">
        <v>1245</v>
      </c>
    </row>
    <row r="3598" spans="1:16" x14ac:dyDescent="0.3">
      <c r="A3598" t="s">
        <v>8</v>
      </c>
      <c r="B3598" t="s">
        <v>6</v>
      </c>
      <c r="C3598">
        <v>30</v>
      </c>
      <c r="D3598" t="s">
        <v>10</v>
      </c>
      <c r="E3598" t="s">
        <v>477</v>
      </c>
      <c r="F3598" s="43">
        <v>44729.354166666664</v>
      </c>
      <c r="G3598" s="43">
        <v>44729.375</v>
      </c>
      <c r="H3598">
        <v>8</v>
      </c>
      <c r="I3598">
        <v>30</v>
      </c>
      <c r="J3598">
        <v>9</v>
      </c>
      <c r="K3598">
        <v>0</v>
      </c>
      <c r="L3598">
        <v>2022</v>
      </c>
      <c r="N3598" t="s">
        <v>47</v>
      </c>
      <c r="O3598" t="s">
        <v>47</v>
      </c>
      <c r="P3598" t="s">
        <v>1246</v>
      </c>
    </row>
    <row r="3599" spans="1:16" x14ac:dyDescent="0.3">
      <c r="A3599" t="s">
        <v>1254</v>
      </c>
      <c r="B3599" t="s">
        <v>6</v>
      </c>
      <c r="C3599">
        <v>30</v>
      </c>
      <c r="D3599" t="s">
        <v>10</v>
      </c>
      <c r="E3599" t="s">
        <v>515</v>
      </c>
      <c r="F3599" s="43">
        <v>44729.333333333336</v>
      </c>
      <c r="G3599" s="43">
        <v>44729.354166666664</v>
      </c>
      <c r="H3599">
        <v>8</v>
      </c>
      <c r="I3599">
        <v>0</v>
      </c>
      <c r="J3599">
        <v>8</v>
      </c>
      <c r="K3599">
        <v>30</v>
      </c>
      <c r="L3599">
        <v>2022</v>
      </c>
      <c r="N3599" t="s">
        <v>47</v>
      </c>
      <c r="O3599" t="s">
        <v>47</v>
      </c>
      <c r="P3599" t="s">
        <v>1255</v>
      </c>
    </row>
    <row r="3600" spans="1:16" x14ac:dyDescent="0.3">
      <c r="A3600" t="s">
        <v>1256</v>
      </c>
      <c r="B3600" t="s">
        <v>20</v>
      </c>
      <c r="C3600">
        <v>15</v>
      </c>
      <c r="D3600" t="s">
        <v>10</v>
      </c>
      <c r="F3600" s="43">
        <v>44729.270833333336</v>
      </c>
      <c r="G3600" s="43">
        <v>44729.28125</v>
      </c>
      <c r="H3600">
        <v>6</v>
      </c>
      <c r="I3600">
        <v>30</v>
      </c>
      <c r="J3600">
        <v>6</v>
      </c>
      <c r="K3600">
        <v>45</v>
      </c>
      <c r="L3600">
        <v>2022</v>
      </c>
      <c r="N3600" t="s">
        <v>47</v>
      </c>
      <c r="O3600" t="s">
        <v>47</v>
      </c>
      <c r="P3600" t="s">
        <v>1257</v>
      </c>
    </row>
    <row r="3601" spans="1:16" x14ac:dyDescent="0.3">
      <c r="A3601" t="s">
        <v>1266</v>
      </c>
      <c r="B3601" t="s">
        <v>20</v>
      </c>
      <c r="C3601">
        <v>30</v>
      </c>
      <c r="D3601" t="s">
        <v>10</v>
      </c>
      <c r="E3601" t="s">
        <v>501</v>
      </c>
      <c r="F3601" s="43">
        <v>44729.25</v>
      </c>
      <c r="G3601" s="43">
        <v>44729.270833333336</v>
      </c>
      <c r="H3601">
        <v>6</v>
      </c>
      <c r="I3601">
        <v>0</v>
      </c>
      <c r="J3601">
        <v>6</v>
      </c>
      <c r="K3601">
        <v>30</v>
      </c>
      <c r="L3601">
        <v>2022</v>
      </c>
      <c r="N3601" t="s">
        <v>1267</v>
      </c>
      <c r="O3601" t="s">
        <v>47</v>
      </c>
      <c r="P3601" t="s">
        <v>1268</v>
      </c>
    </row>
    <row r="3602" spans="1:16" x14ac:dyDescent="0.3">
      <c r="A3602" t="s">
        <v>1269</v>
      </c>
      <c r="B3602" t="s">
        <v>20</v>
      </c>
      <c r="C3602">
        <v>25</v>
      </c>
      <c r="D3602" t="s">
        <v>10</v>
      </c>
      <c r="E3602" t="s">
        <v>1270</v>
      </c>
      <c r="F3602" s="43">
        <v>44729.229166666664</v>
      </c>
      <c r="G3602" s="43">
        <v>44729.246527777781</v>
      </c>
      <c r="H3602">
        <v>5</v>
      </c>
      <c r="I3602">
        <v>30</v>
      </c>
      <c r="J3602">
        <v>5</v>
      </c>
      <c r="K3602">
        <v>55</v>
      </c>
      <c r="L3602">
        <v>2022</v>
      </c>
      <c r="N3602" t="s">
        <v>1271</v>
      </c>
      <c r="O3602" t="s">
        <v>1272</v>
      </c>
      <c r="P3602" t="s">
        <v>1273</v>
      </c>
    </row>
    <row r="3603" spans="1:16" x14ac:dyDescent="0.3">
      <c r="A3603" t="s">
        <v>42</v>
      </c>
      <c r="B3603" t="s">
        <v>6</v>
      </c>
      <c r="C3603">
        <v>60</v>
      </c>
      <c r="D3603" t="s">
        <v>10</v>
      </c>
      <c r="E3603" t="s">
        <v>1262</v>
      </c>
      <c r="F3603" s="43">
        <v>44728.805555555555</v>
      </c>
      <c r="G3603" s="43">
        <v>44728.847222222219</v>
      </c>
      <c r="H3603">
        <v>19</v>
      </c>
      <c r="I3603">
        <v>20</v>
      </c>
      <c r="J3603">
        <v>20</v>
      </c>
      <c r="K3603">
        <v>20</v>
      </c>
      <c r="L3603">
        <v>2022</v>
      </c>
      <c r="N3603" t="s">
        <v>47</v>
      </c>
      <c r="O3603" t="s">
        <v>47</v>
      </c>
      <c r="P3603" t="s">
        <v>1263</v>
      </c>
    </row>
    <row r="3604" spans="1:16" x14ac:dyDescent="0.3">
      <c r="A3604" t="s">
        <v>42</v>
      </c>
      <c r="B3604" t="s">
        <v>6</v>
      </c>
      <c r="C3604">
        <v>45</v>
      </c>
      <c r="D3604" t="s">
        <v>10</v>
      </c>
      <c r="E3604" t="s">
        <v>1264</v>
      </c>
      <c r="F3604" s="43">
        <v>44728.760416666664</v>
      </c>
      <c r="G3604" s="43">
        <v>44728.791666666664</v>
      </c>
      <c r="H3604">
        <v>18</v>
      </c>
      <c r="I3604">
        <v>15</v>
      </c>
      <c r="J3604">
        <v>19</v>
      </c>
      <c r="K3604">
        <v>0</v>
      </c>
      <c r="L3604">
        <v>2022</v>
      </c>
      <c r="N3604" t="s">
        <v>47</v>
      </c>
      <c r="O3604" t="s">
        <v>47</v>
      </c>
      <c r="P3604" t="s">
        <v>1265</v>
      </c>
    </row>
    <row r="3605" spans="1:16" x14ac:dyDescent="0.3">
      <c r="A3605" t="s">
        <v>1249</v>
      </c>
      <c r="B3605" t="s">
        <v>31</v>
      </c>
      <c r="C3605">
        <v>60</v>
      </c>
      <c r="D3605" t="s">
        <v>10</v>
      </c>
      <c r="F3605" s="43">
        <v>44728.708333333336</v>
      </c>
      <c r="G3605" s="43">
        <v>44728.75</v>
      </c>
      <c r="H3605">
        <v>17</v>
      </c>
      <c r="I3605">
        <v>0</v>
      </c>
      <c r="J3605">
        <v>18</v>
      </c>
      <c r="K3605">
        <v>0</v>
      </c>
      <c r="L3605">
        <v>2022</v>
      </c>
      <c r="N3605" t="s">
        <v>47</v>
      </c>
      <c r="O3605" t="s">
        <v>47</v>
      </c>
      <c r="P3605" t="s">
        <v>1253</v>
      </c>
    </row>
    <row r="3606" spans="1:16" x14ac:dyDescent="0.3">
      <c r="A3606" t="s">
        <v>1274</v>
      </c>
      <c r="B3606" t="s">
        <v>109</v>
      </c>
      <c r="C3606">
        <v>30</v>
      </c>
      <c r="D3606" t="s">
        <v>10</v>
      </c>
      <c r="E3606" t="s">
        <v>1275</v>
      </c>
      <c r="F3606" s="43">
        <v>44728.6875</v>
      </c>
      <c r="G3606" s="43">
        <v>44728.708333333336</v>
      </c>
      <c r="H3606">
        <v>16</v>
      </c>
      <c r="I3606">
        <v>30</v>
      </c>
      <c r="J3606">
        <v>17</v>
      </c>
      <c r="K3606">
        <v>0</v>
      </c>
      <c r="L3606">
        <v>2022</v>
      </c>
      <c r="N3606" t="s">
        <v>47</v>
      </c>
      <c r="O3606" t="s">
        <v>47</v>
      </c>
      <c r="P3606" t="s">
        <v>1276</v>
      </c>
    </row>
    <row r="3607" spans="1:16" x14ac:dyDescent="0.3">
      <c r="A3607" t="s">
        <v>1277</v>
      </c>
      <c r="B3607" t="s">
        <v>6</v>
      </c>
      <c r="C3607">
        <v>30</v>
      </c>
      <c r="D3607" t="s">
        <v>10</v>
      </c>
      <c r="E3607" t="s">
        <v>649</v>
      </c>
      <c r="F3607" s="43">
        <v>44728.625</v>
      </c>
      <c r="G3607" s="43">
        <v>44728.645833333336</v>
      </c>
      <c r="H3607">
        <v>15</v>
      </c>
      <c r="I3607">
        <v>0</v>
      </c>
      <c r="J3607">
        <v>15</v>
      </c>
      <c r="K3607">
        <v>30</v>
      </c>
      <c r="L3607">
        <v>2022</v>
      </c>
      <c r="N3607" t="s">
        <v>47</v>
      </c>
      <c r="O3607" t="s">
        <v>47</v>
      </c>
      <c r="P3607" t="s">
        <v>1278</v>
      </c>
    </row>
    <row r="3608" spans="1:16" x14ac:dyDescent="0.3">
      <c r="A3608" t="s">
        <v>7</v>
      </c>
      <c r="B3608" t="s">
        <v>6</v>
      </c>
      <c r="C3608">
        <v>30</v>
      </c>
      <c r="D3608" t="s">
        <v>10</v>
      </c>
      <c r="E3608" t="s">
        <v>449</v>
      </c>
      <c r="F3608" s="43">
        <v>44728.597222222219</v>
      </c>
      <c r="G3608" s="43">
        <v>44728.618055555555</v>
      </c>
      <c r="H3608">
        <v>14</v>
      </c>
      <c r="I3608">
        <v>20</v>
      </c>
      <c r="J3608">
        <v>14</v>
      </c>
      <c r="K3608">
        <v>50</v>
      </c>
      <c r="L3608">
        <v>2022</v>
      </c>
      <c r="N3608" t="s">
        <v>47</v>
      </c>
      <c r="O3608" t="s">
        <v>47</v>
      </c>
      <c r="P3608" t="s">
        <v>1281</v>
      </c>
    </row>
    <row r="3609" spans="1:16" x14ac:dyDescent="0.3">
      <c r="A3609" t="s">
        <v>1279</v>
      </c>
      <c r="B3609" t="s">
        <v>223</v>
      </c>
      <c r="C3609">
        <v>60</v>
      </c>
      <c r="D3609" t="s">
        <v>10</v>
      </c>
      <c r="E3609" t="s">
        <v>438</v>
      </c>
      <c r="F3609" s="43">
        <v>44728.552083333336</v>
      </c>
      <c r="G3609" s="43">
        <v>44728.59375</v>
      </c>
      <c r="H3609">
        <v>13</v>
      </c>
      <c r="I3609">
        <v>15</v>
      </c>
      <c r="J3609">
        <v>14</v>
      </c>
      <c r="K3609">
        <v>15</v>
      </c>
      <c r="L3609">
        <v>2022</v>
      </c>
      <c r="N3609" t="s">
        <v>47</v>
      </c>
      <c r="O3609" t="s">
        <v>47</v>
      </c>
      <c r="P3609" t="s">
        <v>1280</v>
      </c>
    </row>
    <row r="3610" spans="1:16" x14ac:dyDescent="0.3">
      <c r="A3610" t="s">
        <v>42</v>
      </c>
      <c r="B3610" t="s">
        <v>6</v>
      </c>
      <c r="C3610">
        <v>30</v>
      </c>
      <c r="D3610" t="s">
        <v>10</v>
      </c>
      <c r="E3610" t="s">
        <v>649</v>
      </c>
      <c r="F3610" s="43">
        <v>44728.520833333336</v>
      </c>
      <c r="G3610" s="43">
        <v>44728.541666666664</v>
      </c>
      <c r="H3610">
        <v>12</v>
      </c>
      <c r="I3610">
        <v>30</v>
      </c>
      <c r="J3610">
        <v>13</v>
      </c>
      <c r="K3610">
        <v>0</v>
      </c>
      <c r="L3610">
        <v>2022</v>
      </c>
      <c r="N3610" t="s">
        <v>47</v>
      </c>
      <c r="O3610" t="s">
        <v>47</v>
      </c>
      <c r="P3610" t="s">
        <v>1282</v>
      </c>
    </row>
    <row r="3611" spans="1:16" x14ac:dyDescent="0.3">
      <c r="A3611" t="s">
        <v>1387</v>
      </c>
      <c r="B3611" t="s">
        <v>20</v>
      </c>
      <c r="C3611">
        <v>75</v>
      </c>
      <c r="D3611" t="s">
        <v>10</v>
      </c>
      <c r="E3611" t="s">
        <v>1239</v>
      </c>
      <c r="F3611" s="43">
        <v>44728.416666666664</v>
      </c>
      <c r="G3611" s="43">
        <v>44728.46875</v>
      </c>
      <c r="H3611">
        <v>10</v>
      </c>
      <c r="I3611">
        <v>0</v>
      </c>
      <c r="J3611">
        <v>11</v>
      </c>
      <c r="K3611">
        <v>15</v>
      </c>
      <c r="L3611">
        <v>2022</v>
      </c>
      <c r="N3611" t="s">
        <v>1240</v>
      </c>
      <c r="O3611" t="s">
        <v>1241</v>
      </c>
      <c r="P3611" t="s">
        <v>1388</v>
      </c>
    </row>
    <row r="3612" spans="1:16" x14ac:dyDescent="0.3">
      <c r="A3612" t="s">
        <v>1283</v>
      </c>
      <c r="B3612" t="s">
        <v>20</v>
      </c>
      <c r="C3612">
        <v>30</v>
      </c>
      <c r="D3612" t="s">
        <v>10</v>
      </c>
      <c r="E3612" t="s">
        <v>1244</v>
      </c>
      <c r="F3612" s="43">
        <v>44728.395833333336</v>
      </c>
      <c r="G3612" s="43">
        <v>44728.416666666664</v>
      </c>
      <c r="H3612">
        <v>9</v>
      </c>
      <c r="I3612">
        <v>30</v>
      </c>
      <c r="J3612">
        <v>10</v>
      </c>
      <c r="K3612">
        <v>0</v>
      </c>
      <c r="L3612">
        <v>2022</v>
      </c>
      <c r="N3612" t="s">
        <v>47</v>
      </c>
      <c r="O3612" t="s">
        <v>47</v>
      </c>
      <c r="P3612" t="s">
        <v>1285</v>
      </c>
    </row>
    <row r="3613" spans="1:16" x14ac:dyDescent="0.3">
      <c r="A3613" t="s">
        <v>1564</v>
      </c>
      <c r="B3613" t="s">
        <v>109</v>
      </c>
      <c r="C3613">
        <v>30</v>
      </c>
      <c r="D3613" t="s">
        <v>10</v>
      </c>
      <c r="E3613" t="s">
        <v>1565</v>
      </c>
      <c r="F3613" s="43">
        <v>44728.375</v>
      </c>
      <c r="G3613" s="43">
        <v>44728.395833333336</v>
      </c>
      <c r="H3613">
        <v>9</v>
      </c>
      <c r="I3613">
        <v>0</v>
      </c>
      <c r="J3613">
        <v>9</v>
      </c>
      <c r="K3613">
        <v>30</v>
      </c>
      <c r="L3613">
        <v>2022</v>
      </c>
      <c r="N3613" t="s">
        <v>549</v>
      </c>
      <c r="O3613" t="s">
        <v>458</v>
      </c>
      <c r="P3613" t="s">
        <v>1566</v>
      </c>
    </row>
    <row r="3614" spans="1:16" x14ac:dyDescent="0.3">
      <c r="A3614" t="s">
        <v>1283</v>
      </c>
      <c r="B3614" t="s">
        <v>20</v>
      </c>
      <c r="C3614">
        <v>30</v>
      </c>
      <c r="D3614" t="s">
        <v>10</v>
      </c>
      <c r="E3614" t="s">
        <v>1244</v>
      </c>
      <c r="F3614" s="43">
        <v>44728.354166666664</v>
      </c>
      <c r="G3614" s="43">
        <v>44728.375</v>
      </c>
      <c r="H3614">
        <v>8</v>
      </c>
      <c r="I3614">
        <v>30</v>
      </c>
      <c r="J3614">
        <v>9</v>
      </c>
      <c r="K3614">
        <v>0</v>
      </c>
      <c r="L3614">
        <v>2022</v>
      </c>
      <c r="N3614" t="s">
        <v>47</v>
      </c>
      <c r="O3614" t="s">
        <v>47</v>
      </c>
      <c r="P3614" t="s">
        <v>1284</v>
      </c>
    </row>
    <row r="3615" spans="1:16" x14ac:dyDescent="0.3">
      <c r="A3615" t="s">
        <v>1291</v>
      </c>
      <c r="B3615" t="s">
        <v>6</v>
      </c>
      <c r="C3615">
        <v>45</v>
      </c>
      <c r="D3615" t="s">
        <v>10</v>
      </c>
      <c r="E3615" t="s">
        <v>649</v>
      </c>
      <c r="F3615" s="43">
        <v>44728.3125</v>
      </c>
      <c r="G3615" s="43">
        <v>44728.34375</v>
      </c>
      <c r="H3615">
        <v>7</v>
      </c>
      <c r="I3615">
        <v>30</v>
      </c>
      <c r="J3615">
        <v>8</v>
      </c>
      <c r="K3615">
        <v>15</v>
      </c>
      <c r="L3615">
        <v>2022</v>
      </c>
      <c r="N3615" t="s">
        <v>47</v>
      </c>
      <c r="O3615" t="s">
        <v>47</v>
      </c>
      <c r="P3615" t="s">
        <v>1292</v>
      </c>
    </row>
    <row r="3616" spans="1:16" x14ac:dyDescent="0.3">
      <c r="A3616" t="s">
        <v>1293</v>
      </c>
      <c r="B3616" t="s">
        <v>6</v>
      </c>
      <c r="C3616">
        <v>30</v>
      </c>
      <c r="D3616" t="s">
        <v>10</v>
      </c>
      <c r="E3616" t="s">
        <v>477</v>
      </c>
      <c r="F3616" s="43">
        <v>44728.25</v>
      </c>
      <c r="G3616" s="43">
        <v>44728.270833333336</v>
      </c>
      <c r="H3616">
        <v>6</v>
      </c>
      <c r="I3616">
        <v>0</v>
      </c>
      <c r="J3616">
        <v>6</v>
      </c>
      <c r="K3616">
        <v>30</v>
      </c>
      <c r="L3616">
        <v>2022</v>
      </c>
      <c r="N3616" t="s">
        <v>47</v>
      </c>
      <c r="O3616" t="s">
        <v>47</v>
      </c>
      <c r="P3616" t="s">
        <v>1294</v>
      </c>
    </row>
    <row r="3617" spans="1:16" x14ac:dyDescent="0.3">
      <c r="A3617" t="s">
        <v>8</v>
      </c>
      <c r="B3617" t="s">
        <v>6</v>
      </c>
      <c r="C3617">
        <v>60</v>
      </c>
      <c r="D3617" t="s">
        <v>10</v>
      </c>
      <c r="E3617" t="s">
        <v>477</v>
      </c>
      <c r="F3617" s="43">
        <v>44728.208333333336</v>
      </c>
      <c r="G3617" s="43">
        <v>44728.25</v>
      </c>
      <c r="H3617">
        <v>5</v>
      </c>
      <c r="I3617">
        <v>0</v>
      </c>
      <c r="J3617">
        <v>6</v>
      </c>
      <c r="K3617">
        <v>0</v>
      </c>
      <c r="L3617">
        <v>2022</v>
      </c>
      <c r="N3617" t="s">
        <v>47</v>
      </c>
      <c r="O3617" t="s">
        <v>47</v>
      </c>
      <c r="P3617" t="s">
        <v>1295</v>
      </c>
    </row>
    <row r="3618" spans="1:16" x14ac:dyDescent="0.3">
      <c r="A3618" t="s">
        <v>1030</v>
      </c>
      <c r="B3618" t="s">
        <v>31</v>
      </c>
      <c r="C3618">
        <v>60</v>
      </c>
      <c r="D3618" t="s">
        <v>10</v>
      </c>
      <c r="F3618" s="43">
        <v>44727.791666666664</v>
      </c>
      <c r="G3618" s="43">
        <v>44727.833333333336</v>
      </c>
      <c r="H3618">
        <v>19</v>
      </c>
      <c r="I3618">
        <v>0</v>
      </c>
      <c r="J3618">
        <v>20</v>
      </c>
      <c r="K3618">
        <v>0</v>
      </c>
      <c r="L3618">
        <v>2022</v>
      </c>
      <c r="N3618" t="s">
        <v>47</v>
      </c>
      <c r="O3618" t="s">
        <v>47</v>
      </c>
      <c r="P3618" t="s">
        <v>1252</v>
      </c>
    </row>
    <row r="3619" spans="1:16" x14ac:dyDescent="0.3">
      <c r="A3619" t="s">
        <v>1300</v>
      </c>
      <c r="B3619" t="s">
        <v>20</v>
      </c>
      <c r="C3619">
        <v>60</v>
      </c>
      <c r="D3619" t="s">
        <v>10</v>
      </c>
      <c r="E3619" t="s">
        <v>1244</v>
      </c>
      <c r="F3619" s="43">
        <v>44727.75</v>
      </c>
      <c r="G3619" s="43">
        <v>44727.791666666664</v>
      </c>
      <c r="H3619">
        <v>18</v>
      </c>
      <c r="I3619">
        <v>0</v>
      </c>
      <c r="J3619">
        <v>19</v>
      </c>
      <c r="K3619">
        <v>0</v>
      </c>
      <c r="L3619">
        <v>2022</v>
      </c>
      <c r="N3619" t="s">
        <v>47</v>
      </c>
      <c r="O3619" t="s">
        <v>47</v>
      </c>
      <c r="P3619" t="s">
        <v>1301</v>
      </c>
    </row>
    <row r="3620" spans="1:16" x14ac:dyDescent="0.3">
      <c r="A3620" t="s">
        <v>1302</v>
      </c>
      <c r="B3620" t="s">
        <v>109</v>
      </c>
      <c r="C3620">
        <v>90</v>
      </c>
      <c r="D3620" t="s">
        <v>10</v>
      </c>
      <c r="E3620" t="s">
        <v>1303</v>
      </c>
      <c r="F3620" s="43">
        <v>44727.645833333336</v>
      </c>
      <c r="G3620" s="43">
        <v>44727.708333333336</v>
      </c>
      <c r="H3620">
        <v>15</v>
      </c>
      <c r="I3620">
        <v>30</v>
      </c>
      <c r="J3620">
        <v>17</v>
      </c>
      <c r="K3620">
        <v>0</v>
      </c>
      <c r="L3620">
        <v>2022</v>
      </c>
      <c r="N3620" t="s">
        <v>47</v>
      </c>
      <c r="O3620" t="s">
        <v>47</v>
      </c>
      <c r="P3620" t="s">
        <v>1304</v>
      </c>
    </row>
    <row r="3621" spans="1:16" x14ac:dyDescent="0.3">
      <c r="A3621" t="s">
        <v>1305</v>
      </c>
      <c r="B3621" t="s">
        <v>6</v>
      </c>
      <c r="C3621">
        <v>30</v>
      </c>
      <c r="D3621" t="s">
        <v>10</v>
      </c>
      <c r="E3621" t="s">
        <v>447</v>
      </c>
      <c r="F3621" s="43">
        <v>44727.604166666664</v>
      </c>
      <c r="G3621" s="43">
        <v>44727.625</v>
      </c>
      <c r="H3621">
        <v>14</v>
      </c>
      <c r="I3621">
        <v>30</v>
      </c>
      <c r="J3621">
        <v>15</v>
      </c>
      <c r="K3621">
        <v>0</v>
      </c>
      <c r="L3621">
        <v>2022</v>
      </c>
      <c r="N3621" t="s">
        <v>47</v>
      </c>
      <c r="O3621" t="s">
        <v>47</v>
      </c>
      <c r="P3621" t="s">
        <v>1306</v>
      </c>
    </row>
    <row r="3622" spans="1:16" x14ac:dyDescent="0.3">
      <c r="A3622" t="s">
        <v>43</v>
      </c>
      <c r="B3622" t="s">
        <v>6</v>
      </c>
      <c r="C3622">
        <v>90</v>
      </c>
      <c r="D3622" t="s">
        <v>10</v>
      </c>
      <c r="F3622" s="43">
        <v>44727.541666666664</v>
      </c>
      <c r="G3622" s="43">
        <v>44727.604166666664</v>
      </c>
      <c r="H3622">
        <v>13</v>
      </c>
      <c r="I3622">
        <v>0</v>
      </c>
      <c r="J3622">
        <v>14</v>
      </c>
      <c r="K3622">
        <v>30</v>
      </c>
      <c r="L3622">
        <v>2022</v>
      </c>
      <c r="O3622" t="s">
        <v>47</v>
      </c>
      <c r="P3622" t="s">
        <v>1308</v>
      </c>
    </row>
    <row r="3623" spans="1:16" x14ac:dyDescent="0.3">
      <c r="A3623" t="s">
        <v>1317</v>
      </c>
      <c r="B3623" t="s">
        <v>223</v>
      </c>
      <c r="C3623">
        <v>30</v>
      </c>
      <c r="D3623" t="s">
        <v>10</v>
      </c>
      <c r="E3623" t="s">
        <v>1318</v>
      </c>
      <c r="F3623" s="43">
        <v>44727.5</v>
      </c>
      <c r="G3623" s="43">
        <v>44727.520833333336</v>
      </c>
      <c r="H3623">
        <v>12</v>
      </c>
      <c r="I3623">
        <v>0</v>
      </c>
      <c r="J3623">
        <v>12</v>
      </c>
      <c r="K3623">
        <v>30</v>
      </c>
      <c r="L3623">
        <v>2022</v>
      </c>
      <c r="N3623" t="s">
        <v>1220</v>
      </c>
      <c r="O3623" t="s">
        <v>1134</v>
      </c>
      <c r="P3623" t="s">
        <v>1319</v>
      </c>
    </row>
    <row r="3624" spans="1:16" x14ac:dyDescent="0.3">
      <c r="A3624" t="s">
        <v>8</v>
      </c>
      <c r="B3624" t="s">
        <v>6</v>
      </c>
      <c r="C3624">
        <v>30</v>
      </c>
      <c r="D3624" t="s">
        <v>10</v>
      </c>
      <c r="F3624" s="43">
        <v>44727.479166666664</v>
      </c>
      <c r="G3624" s="43">
        <v>44727.5</v>
      </c>
      <c r="H3624">
        <v>11</v>
      </c>
      <c r="I3624">
        <v>30</v>
      </c>
      <c r="J3624">
        <v>12</v>
      </c>
      <c r="K3624">
        <v>0</v>
      </c>
      <c r="L3624">
        <v>2022</v>
      </c>
      <c r="O3624" t="s">
        <v>47</v>
      </c>
      <c r="P3624" t="s">
        <v>1307</v>
      </c>
    </row>
    <row r="3625" spans="1:16" x14ac:dyDescent="0.3">
      <c r="A3625" t="s">
        <v>1320</v>
      </c>
      <c r="B3625" t="s">
        <v>109</v>
      </c>
      <c r="C3625">
        <v>30</v>
      </c>
      <c r="D3625" t="s">
        <v>10</v>
      </c>
      <c r="E3625" t="s">
        <v>1303</v>
      </c>
      <c r="F3625" s="43">
        <v>44727.3125</v>
      </c>
      <c r="G3625" s="43">
        <v>44727.333333333336</v>
      </c>
      <c r="H3625">
        <v>7</v>
      </c>
      <c r="I3625">
        <v>30</v>
      </c>
      <c r="J3625">
        <v>8</v>
      </c>
      <c r="K3625">
        <v>0</v>
      </c>
      <c r="L3625">
        <v>2022</v>
      </c>
      <c r="N3625" t="s">
        <v>47</v>
      </c>
      <c r="O3625" t="s">
        <v>47</v>
      </c>
      <c r="P3625" t="s">
        <v>1321</v>
      </c>
    </row>
    <row r="3626" spans="1:16" x14ac:dyDescent="0.3">
      <c r="A3626" t="s">
        <v>1322</v>
      </c>
      <c r="B3626" t="s">
        <v>20</v>
      </c>
      <c r="C3626">
        <v>30</v>
      </c>
      <c r="D3626" t="s">
        <v>10</v>
      </c>
      <c r="E3626" t="s">
        <v>1323</v>
      </c>
      <c r="F3626" s="43">
        <v>44727.291666666664</v>
      </c>
      <c r="G3626" s="43">
        <v>44727.3125</v>
      </c>
      <c r="H3626">
        <v>7</v>
      </c>
      <c r="I3626">
        <v>0</v>
      </c>
      <c r="J3626">
        <v>7</v>
      </c>
      <c r="K3626">
        <v>30</v>
      </c>
      <c r="L3626">
        <v>2022</v>
      </c>
      <c r="N3626" t="s">
        <v>47</v>
      </c>
      <c r="O3626" t="s">
        <v>47</v>
      </c>
      <c r="P3626" t="s">
        <v>1324</v>
      </c>
    </row>
    <row r="3627" spans="1:16" x14ac:dyDescent="0.3">
      <c r="A3627" t="s">
        <v>8</v>
      </c>
      <c r="B3627" t="s">
        <v>6</v>
      </c>
      <c r="C3627">
        <v>15</v>
      </c>
      <c r="D3627" t="s">
        <v>10</v>
      </c>
      <c r="E3627" t="s">
        <v>477</v>
      </c>
      <c r="F3627" s="43">
        <v>44727.25</v>
      </c>
      <c r="G3627" s="43">
        <v>44727.260416666664</v>
      </c>
      <c r="H3627">
        <v>6</v>
      </c>
      <c r="I3627">
        <v>0</v>
      </c>
      <c r="J3627">
        <v>6</v>
      </c>
      <c r="K3627">
        <v>15</v>
      </c>
      <c r="L3627">
        <v>2022</v>
      </c>
      <c r="N3627" t="s">
        <v>47</v>
      </c>
      <c r="O3627" t="s">
        <v>47</v>
      </c>
      <c r="P3627" t="s">
        <v>1325</v>
      </c>
    </row>
    <row r="3628" spans="1:16" x14ac:dyDescent="0.3">
      <c r="A3628" t="s">
        <v>42</v>
      </c>
      <c r="B3628" t="s">
        <v>6</v>
      </c>
      <c r="C3628">
        <v>30</v>
      </c>
      <c r="D3628" t="s">
        <v>10</v>
      </c>
      <c r="E3628" t="s">
        <v>649</v>
      </c>
      <c r="F3628" s="43">
        <v>44726.833333333336</v>
      </c>
      <c r="G3628" s="43">
        <v>44726.854166666664</v>
      </c>
      <c r="H3628">
        <v>20</v>
      </c>
      <c r="I3628">
        <v>0</v>
      </c>
      <c r="J3628">
        <v>20</v>
      </c>
      <c r="K3628">
        <v>30</v>
      </c>
      <c r="L3628">
        <v>2022</v>
      </c>
      <c r="N3628" t="s">
        <v>47</v>
      </c>
      <c r="O3628" t="s">
        <v>47</v>
      </c>
      <c r="P3628" t="s">
        <v>1326</v>
      </c>
    </row>
    <row r="3629" spans="1:16" x14ac:dyDescent="0.3">
      <c r="A3629" t="s">
        <v>1030</v>
      </c>
      <c r="B3629" t="s">
        <v>31</v>
      </c>
      <c r="C3629">
        <v>60</v>
      </c>
      <c r="D3629" t="s">
        <v>10</v>
      </c>
      <c r="F3629" s="43">
        <v>44726.791666666664</v>
      </c>
      <c r="G3629" s="43">
        <v>44726.833333333336</v>
      </c>
      <c r="H3629">
        <v>19</v>
      </c>
      <c r="I3629">
        <v>0</v>
      </c>
      <c r="J3629">
        <v>20</v>
      </c>
      <c r="K3629">
        <v>0</v>
      </c>
      <c r="L3629">
        <v>2022</v>
      </c>
      <c r="N3629" t="s">
        <v>47</v>
      </c>
      <c r="O3629" t="s">
        <v>47</v>
      </c>
      <c r="P3629" t="s">
        <v>1251</v>
      </c>
    </row>
    <row r="3630" spans="1:16" x14ac:dyDescent="0.3">
      <c r="A3630" t="s">
        <v>1327</v>
      </c>
      <c r="B3630" t="s">
        <v>20</v>
      </c>
      <c r="C3630">
        <v>60</v>
      </c>
      <c r="D3630" t="s">
        <v>10</v>
      </c>
      <c r="E3630" t="s">
        <v>1323</v>
      </c>
      <c r="F3630" s="43">
        <v>44726.739583333336</v>
      </c>
      <c r="G3630" s="43">
        <v>44726.78125</v>
      </c>
      <c r="H3630">
        <v>17</v>
      </c>
      <c r="I3630">
        <v>45</v>
      </c>
      <c r="J3630">
        <v>18</v>
      </c>
      <c r="K3630">
        <v>45</v>
      </c>
      <c r="L3630">
        <v>2022</v>
      </c>
      <c r="N3630" t="s">
        <v>47</v>
      </c>
      <c r="O3630" t="s">
        <v>47</v>
      </c>
      <c r="P3630" t="s">
        <v>1328</v>
      </c>
    </row>
    <row r="3631" spans="1:16" x14ac:dyDescent="0.3">
      <c r="A3631" t="s">
        <v>35</v>
      </c>
      <c r="B3631" t="s">
        <v>6</v>
      </c>
      <c r="C3631">
        <v>45</v>
      </c>
      <c r="D3631" t="s">
        <v>10</v>
      </c>
      <c r="E3631" t="s">
        <v>649</v>
      </c>
      <c r="F3631" s="43">
        <v>44726.666666666664</v>
      </c>
      <c r="G3631" s="43">
        <v>44726.697916666664</v>
      </c>
      <c r="H3631">
        <v>16</v>
      </c>
      <c r="I3631">
        <v>0</v>
      </c>
      <c r="J3631">
        <v>16</v>
      </c>
      <c r="K3631">
        <v>45</v>
      </c>
      <c r="L3631">
        <v>2022</v>
      </c>
      <c r="N3631" t="s">
        <v>47</v>
      </c>
      <c r="O3631" t="s">
        <v>47</v>
      </c>
      <c r="P3631" t="s">
        <v>1329</v>
      </c>
    </row>
    <row r="3632" spans="1:16" x14ac:dyDescent="0.3">
      <c r="A3632" t="s">
        <v>1305</v>
      </c>
      <c r="B3632" t="s">
        <v>6</v>
      </c>
      <c r="C3632">
        <v>30</v>
      </c>
      <c r="D3632" t="s">
        <v>10</v>
      </c>
      <c r="E3632" t="s">
        <v>447</v>
      </c>
      <c r="F3632" s="43">
        <v>44726.645833333336</v>
      </c>
      <c r="G3632" s="43">
        <v>44726.666666666664</v>
      </c>
      <c r="H3632">
        <v>15</v>
      </c>
      <c r="I3632">
        <v>30</v>
      </c>
      <c r="J3632">
        <v>16</v>
      </c>
      <c r="K3632">
        <v>0</v>
      </c>
      <c r="L3632">
        <v>2022</v>
      </c>
      <c r="N3632" t="s">
        <v>47</v>
      </c>
      <c r="O3632" t="s">
        <v>47</v>
      </c>
      <c r="P3632" t="s">
        <v>1330</v>
      </c>
    </row>
    <row r="3633" spans="1:16" x14ac:dyDescent="0.3">
      <c r="A3633" t="s">
        <v>1247</v>
      </c>
      <c r="B3633" t="s">
        <v>31</v>
      </c>
      <c r="C3633">
        <v>60</v>
      </c>
      <c r="D3633" t="s">
        <v>10</v>
      </c>
      <c r="F3633" s="43">
        <v>44726.604166666664</v>
      </c>
      <c r="G3633" s="43">
        <v>44726.645833333336</v>
      </c>
      <c r="H3633">
        <v>14</v>
      </c>
      <c r="I3633">
        <v>30</v>
      </c>
      <c r="J3633">
        <v>15</v>
      </c>
      <c r="K3633">
        <v>30</v>
      </c>
      <c r="L3633">
        <v>2022</v>
      </c>
      <c r="N3633" t="s">
        <v>47</v>
      </c>
      <c r="O3633" t="s">
        <v>47</v>
      </c>
      <c r="P3633" t="s">
        <v>1248</v>
      </c>
    </row>
    <row r="3634" spans="1:16" x14ac:dyDescent="0.3">
      <c r="A3634" t="s">
        <v>7</v>
      </c>
      <c r="B3634" t="s">
        <v>6</v>
      </c>
      <c r="C3634">
        <v>30</v>
      </c>
      <c r="D3634" t="s">
        <v>10</v>
      </c>
      <c r="E3634" t="s">
        <v>449</v>
      </c>
      <c r="F3634" s="43">
        <v>44726.583333333336</v>
      </c>
      <c r="G3634" s="43">
        <v>44726.604166666664</v>
      </c>
      <c r="H3634">
        <v>14</v>
      </c>
      <c r="I3634">
        <v>0</v>
      </c>
      <c r="J3634">
        <v>14</v>
      </c>
      <c r="K3634">
        <v>30</v>
      </c>
      <c r="L3634">
        <v>2022</v>
      </c>
      <c r="N3634" t="s">
        <v>47</v>
      </c>
      <c r="O3634" t="s">
        <v>47</v>
      </c>
      <c r="P3634" t="s">
        <v>1335</v>
      </c>
    </row>
    <row r="3635" spans="1:16" x14ac:dyDescent="0.3">
      <c r="A3635" t="s">
        <v>1412</v>
      </c>
      <c r="B3635" t="s">
        <v>6</v>
      </c>
      <c r="C3635">
        <v>60</v>
      </c>
      <c r="D3635" t="s">
        <v>10</v>
      </c>
      <c r="E3635" t="s">
        <v>1413</v>
      </c>
      <c r="F3635" s="43">
        <v>44726.541666666664</v>
      </c>
      <c r="G3635" s="43">
        <v>44726.583333333336</v>
      </c>
      <c r="H3635">
        <v>13</v>
      </c>
      <c r="I3635">
        <v>0</v>
      </c>
      <c r="J3635">
        <v>14</v>
      </c>
      <c r="K3635">
        <v>0</v>
      </c>
      <c r="L3635">
        <v>2022</v>
      </c>
      <c r="N3635" t="s">
        <v>549</v>
      </c>
      <c r="O3635" t="s">
        <v>458</v>
      </c>
      <c r="P3635" t="s">
        <v>1414</v>
      </c>
    </row>
    <row r="3636" spans="1:16" x14ac:dyDescent="0.3">
      <c r="A3636" t="s">
        <v>1556</v>
      </c>
      <c r="B3636" t="s">
        <v>223</v>
      </c>
      <c r="C3636">
        <v>60</v>
      </c>
      <c r="D3636" t="s">
        <v>10</v>
      </c>
      <c r="E3636" t="s">
        <v>1557</v>
      </c>
      <c r="F3636" s="43">
        <v>44726.479166666664</v>
      </c>
      <c r="G3636" s="43">
        <v>44726.520833333336</v>
      </c>
      <c r="H3636">
        <v>11</v>
      </c>
      <c r="I3636">
        <v>30</v>
      </c>
      <c r="J3636">
        <v>12</v>
      </c>
      <c r="K3636">
        <v>30</v>
      </c>
      <c r="L3636">
        <v>2022</v>
      </c>
      <c r="N3636" t="s">
        <v>1558</v>
      </c>
      <c r="O3636" t="s">
        <v>458</v>
      </c>
      <c r="P3636" t="s">
        <v>1559</v>
      </c>
    </row>
    <row r="3637" spans="1:16" x14ac:dyDescent="0.3">
      <c r="A3637" t="s">
        <v>2021</v>
      </c>
      <c r="B3637" t="s">
        <v>20</v>
      </c>
      <c r="C3637">
        <v>60</v>
      </c>
      <c r="D3637" t="s">
        <v>10</v>
      </c>
      <c r="E3637" t="s">
        <v>2022</v>
      </c>
      <c r="F3637" s="43">
        <v>44726.416666666664</v>
      </c>
      <c r="G3637" s="43">
        <v>44726.458333333336</v>
      </c>
      <c r="H3637">
        <v>10</v>
      </c>
      <c r="I3637">
        <v>0</v>
      </c>
      <c r="J3637">
        <v>11</v>
      </c>
      <c r="K3637">
        <v>0</v>
      </c>
      <c r="L3637">
        <v>2022</v>
      </c>
      <c r="N3637" t="s">
        <v>2023</v>
      </c>
      <c r="O3637" t="s">
        <v>458</v>
      </c>
      <c r="P3637" t="s">
        <v>2024</v>
      </c>
    </row>
    <row r="3638" spans="1:16" x14ac:dyDescent="0.3">
      <c r="A3638" t="s">
        <v>1336</v>
      </c>
      <c r="B3638" t="s">
        <v>109</v>
      </c>
      <c r="C3638">
        <v>60</v>
      </c>
      <c r="D3638" t="s">
        <v>10</v>
      </c>
      <c r="E3638" t="s">
        <v>1337</v>
      </c>
      <c r="F3638" s="43">
        <v>44726.375</v>
      </c>
      <c r="G3638" s="43">
        <v>44726.416666666664</v>
      </c>
      <c r="H3638">
        <v>9</v>
      </c>
      <c r="I3638">
        <v>0</v>
      </c>
      <c r="J3638">
        <v>10</v>
      </c>
      <c r="K3638">
        <v>0</v>
      </c>
      <c r="L3638">
        <v>2022</v>
      </c>
      <c r="N3638" t="s">
        <v>47</v>
      </c>
      <c r="O3638" t="s">
        <v>47</v>
      </c>
      <c r="P3638" t="s">
        <v>1338</v>
      </c>
    </row>
    <row r="3639" spans="1:16" x14ac:dyDescent="0.3">
      <c r="A3639" t="s">
        <v>1339</v>
      </c>
      <c r="B3639" t="s">
        <v>109</v>
      </c>
      <c r="C3639">
        <v>35</v>
      </c>
      <c r="D3639" t="s">
        <v>10</v>
      </c>
      <c r="E3639" t="s">
        <v>1337</v>
      </c>
      <c r="F3639" s="43">
        <v>44726.322916666664</v>
      </c>
      <c r="G3639" s="43">
        <v>44726.347222222219</v>
      </c>
      <c r="H3639">
        <v>7</v>
      </c>
      <c r="I3639">
        <v>45</v>
      </c>
      <c r="J3639">
        <v>8</v>
      </c>
      <c r="K3639">
        <v>20</v>
      </c>
      <c r="L3639">
        <v>2022</v>
      </c>
      <c r="N3639" t="s">
        <v>47</v>
      </c>
      <c r="O3639" t="s">
        <v>47</v>
      </c>
      <c r="P3639" t="s">
        <v>1340</v>
      </c>
    </row>
    <row r="3640" spans="1:16" x14ac:dyDescent="0.3">
      <c r="A3640" t="s">
        <v>1341</v>
      </c>
      <c r="B3640" t="s">
        <v>109</v>
      </c>
      <c r="C3640">
        <v>30</v>
      </c>
      <c r="D3640" t="s">
        <v>10</v>
      </c>
      <c r="E3640" t="s">
        <v>1342</v>
      </c>
      <c r="F3640" s="43">
        <v>44726.25</v>
      </c>
      <c r="G3640" s="43">
        <v>44726.270833333336</v>
      </c>
      <c r="H3640">
        <v>6</v>
      </c>
      <c r="I3640">
        <v>0</v>
      </c>
      <c r="J3640">
        <v>6</v>
      </c>
      <c r="K3640">
        <v>30</v>
      </c>
      <c r="L3640">
        <v>2022</v>
      </c>
      <c r="N3640" t="s">
        <v>47</v>
      </c>
      <c r="O3640" t="s">
        <v>47</v>
      </c>
      <c r="P3640" t="s">
        <v>1343</v>
      </c>
    </row>
    <row r="3641" spans="1:16" x14ac:dyDescent="0.3">
      <c r="A3641" t="s">
        <v>1425</v>
      </c>
      <c r="B3641" t="s">
        <v>20</v>
      </c>
      <c r="C3641">
        <v>60</v>
      </c>
      <c r="D3641" t="s">
        <v>10</v>
      </c>
      <c r="E3641" t="s">
        <v>1270</v>
      </c>
      <c r="F3641" s="43">
        <v>44726.208333333336</v>
      </c>
      <c r="G3641" s="43">
        <v>44726.25</v>
      </c>
      <c r="H3641">
        <v>5</v>
      </c>
      <c r="I3641">
        <v>0</v>
      </c>
      <c r="J3641">
        <v>6</v>
      </c>
      <c r="K3641">
        <v>0</v>
      </c>
      <c r="L3641">
        <v>2022</v>
      </c>
      <c r="N3641" t="s">
        <v>1426</v>
      </c>
      <c r="O3641" t="s">
        <v>1272</v>
      </c>
      <c r="P3641" t="s">
        <v>1427</v>
      </c>
    </row>
    <row r="3642" spans="1:16" x14ac:dyDescent="0.3">
      <c r="A3642" t="s">
        <v>1341</v>
      </c>
      <c r="B3642" t="s">
        <v>109</v>
      </c>
      <c r="C3642">
        <v>45</v>
      </c>
      <c r="D3642" t="s">
        <v>10</v>
      </c>
      <c r="E3642" t="s">
        <v>1342</v>
      </c>
      <c r="F3642" s="43">
        <v>44725.791666666664</v>
      </c>
      <c r="G3642" s="43">
        <v>44725.822916666664</v>
      </c>
      <c r="H3642">
        <v>19</v>
      </c>
      <c r="I3642">
        <v>0</v>
      </c>
      <c r="J3642">
        <v>19</v>
      </c>
      <c r="K3642">
        <v>45</v>
      </c>
      <c r="L3642">
        <v>2022</v>
      </c>
      <c r="N3642" t="s">
        <v>47</v>
      </c>
      <c r="O3642" t="s">
        <v>47</v>
      </c>
      <c r="P3642" t="s">
        <v>1348</v>
      </c>
    </row>
    <row r="3643" spans="1:16" x14ac:dyDescent="0.3">
      <c r="A3643" t="s">
        <v>1349</v>
      </c>
      <c r="B3643" t="s">
        <v>109</v>
      </c>
      <c r="C3643">
        <v>45</v>
      </c>
      <c r="D3643" t="s">
        <v>10</v>
      </c>
      <c r="E3643" t="s">
        <v>1303</v>
      </c>
      <c r="F3643" s="43">
        <v>44725.760416666664</v>
      </c>
      <c r="G3643" s="43">
        <v>44725.791666666664</v>
      </c>
      <c r="H3643">
        <v>18</v>
      </c>
      <c r="I3643">
        <v>15</v>
      </c>
      <c r="J3643">
        <v>19</v>
      </c>
      <c r="K3643">
        <v>0</v>
      </c>
      <c r="L3643">
        <v>2022</v>
      </c>
      <c r="N3643" t="s">
        <v>47</v>
      </c>
      <c r="O3643" t="s">
        <v>47</v>
      </c>
      <c r="P3643" t="s">
        <v>1350</v>
      </c>
    </row>
    <row r="3644" spans="1:16" x14ac:dyDescent="0.3">
      <c r="A3644" t="s">
        <v>1249</v>
      </c>
      <c r="B3644" t="s">
        <v>31</v>
      </c>
      <c r="C3644">
        <v>60</v>
      </c>
      <c r="D3644" t="s">
        <v>10</v>
      </c>
      <c r="F3644" s="43">
        <v>44725.708333333336</v>
      </c>
      <c r="G3644" s="43">
        <v>44725.75</v>
      </c>
      <c r="H3644">
        <v>17</v>
      </c>
      <c r="I3644">
        <v>0</v>
      </c>
      <c r="J3644">
        <v>18</v>
      </c>
      <c r="K3644">
        <v>0</v>
      </c>
      <c r="L3644">
        <v>2022</v>
      </c>
      <c r="N3644" t="s">
        <v>47</v>
      </c>
      <c r="O3644" t="s">
        <v>47</v>
      </c>
      <c r="P3644" t="s">
        <v>1250</v>
      </c>
    </row>
    <row r="3645" spans="1:16" x14ac:dyDescent="0.3">
      <c r="A3645" t="s">
        <v>1351</v>
      </c>
      <c r="B3645" t="s">
        <v>109</v>
      </c>
      <c r="C3645">
        <v>60</v>
      </c>
      <c r="D3645" t="s">
        <v>10</v>
      </c>
      <c r="E3645" t="s">
        <v>1303</v>
      </c>
      <c r="F3645" s="43">
        <v>44725.666666666664</v>
      </c>
      <c r="G3645" s="43">
        <v>44725.708333333336</v>
      </c>
      <c r="H3645">
        <v>16</v>
      </c>
      <c r="I3645">
        <v>0</v>
      </c>
      <c r="J3645">
        <v>17</v>
      </c>
      <c r="K3645">
        <v>0</v>
      </c>
      <c r="L3645">
        <v>2022</v>
      </c>
      <c r="N3645" t="s">
        <v>47</v>
      </c>
      <c r="O3645" t="s">
        <v>47</v>
      </c>
      <c r="P3645" t="s">
        <v>1352</v>
      </c>
    </row>
    <row r="3646" spans="1:16" x14ac:dyDescent="0.3">
      <c r="A3646" t="s">
        <v>1353</v>
      </c>
      <c r="B3646" t="s">
        <v>20</v>
      </c>
      <c r="C3646">
        <v>30</v>
      </c>
      <c r="D3646" t="s">
        <v>10</v>
      </c>
      <c r="E3646" t="s">
        <v>1323</v>
      </c>
      <c r="F3646" s="43">
        <v>44725.645833333336</v>
      </c>
      <c r="G3646" s="43">
        <v>44725.666666666664</v>
      </c>
      <c r="H3646">
        <v>15</v>
      </c>
      <c r="I3646">
        <v>30</v>
      </c>
      <c r="J3646">
        <v>16</v>
      </c>
      <c r="K3646">
        <v>0</v>
      </c>
      <c r="L3646">
        <v>2022</v>
      </c>
      <c r="N3646" t="s">
        <v>47</v>
      </c>
      <c r="O3646" t="s">
        <v>47</v>
      </c>
      <c r="P3646" t="s">
        <v>1354</v>
      </c>
    </row>
    <row r="3647" spans="1:16" x14ac:dyDescent="0.3">
      <c r="A3647" t="s">
        <v>42</v>
      </c>
      <c r="B3647" t="s">
        <v>6</v>
      </c>
      <c r="C3647">
        <v>30</v>
      </c>
      <c r="D3647" t="s">
        <v>10</v>
      </c>
      <c r="E3647" t="s">
        <v>649</v>
      </c>
      <c r="F3647" s="43">
        <v>44725.625</v>
      </c>
      <c r="G3647" s="43">
        <v>44725.645833333336</v>
      </c>
      <c r="H3647">
        <v>15</v>
      </c>
      <c r="I3647">
        <v>0</v>
      </c>
      <c r="J3647">
        <v>15</v>
      </c>
      <c r="K3647">
        <v>30</v>
      </c>
      <c r="L3647">
        <v>2022</v>
      </c>
      <c r="N3647" t="s">
        <v>47</v>
      </c>
      <c r="O3647" t="s">
        <v>47</v>
      </c>
      <c r="P3647" t="s">
        <v>1355</v>
      </c>
    </row>
    <row r="3648" spans="1:16" x14ac:dyDescent="0.3">
      <c r="A3648" t="s">
        <v>1368</v>
      </c>
      <c r="B3648" t="s">
        <v>109</v>
      </c>
      <c r="C3648">
        <v>60</v>
      </c>
      <c r="D3648" t="s">
        <v>10</v>
      </c>
      <c r="E3648" t="s">
        <v>1369</v>
      </c>
      <c r="F3648" s="43">
        <v>44725.583333333336</v>
      </c>
      <c r="G3648" s="43">
        <v>44725.625</v>
      </c>
      <c r="H3648">
        <v>14</v>
      </c>
      <c r="I3648">
        <v>0</v>
      </c>
      <c r="J3648">
        <v>15</v>
      </c>
      <c r="K3648">
        <v>0</v>
      </c>
      <c r="L3648">
        <v>2022</v>
      </c>
      <c r="N3648" t="s">
        <v>47</v>
      </c>
      <c r="O3648" t="s">
        <v>47</v>
      </c>
      <c r="P3648" t="s">
        <v>1370</v>
      </c>
    </row>
    <row r="3649" spans="1:16" x14ac:dyDescent="0.3">
      <c r="A3649" t="s">
        <v>42</v>
      </c>
      <c r="B3649" t="s">
        <v>6</v>
      </c>
      <c r="C3649">
        <v>30</v>
      </c>
      <c r="D3649" t="s">
        <v>10</v>
      </c>
      <c r="E3649" t="s">
        <v>649</v>
      </c>
      <c r="F3649" s="43">
        <v>44725.520833333336</v>
      </c>
      <c r="G3649" s="43">
        <v>44725.541666666664</v>
      </c>
      <c r="H3649">
        <v>12</v>
      </c>
      <c r="I3649">
        <v>30</v>
      </c>
      <c r="J3649">
        <v>13</v>
      </c>
      <c r="K3649">
        <v>0</v>
      </c>
      <c r="L3649">
        <v>2022</v>
      </c>
      <c r="N3649" t="s">
        <v>47</v>
      </c>
      <c r="O3649" t="s">
        <v>47</v>
      </c>
      <c r="P3649" t="s">
        <v>1356</v>
      </c>
    </row>
    <row r="3650" spans="1:16" x14ac:dyDescent="0.3">
      <c r="A3650" t="s">
        <v>1406</v>
      </c>
      <c r="B3650" t="s">
        <v>109</v>
      </c>
      <c r="C3650">
        <v>30</v>
      </c>
      <c r="D3650" t="s">
        <v>10</v>
      </c>
      <c r="E3650" t="s">
        <v>1407</v>
      </c>
      <c r="F3650" s="43">
        <v>44725.458333333336</v>
      </c>
      <c r="G3650" s="43">
        <v>44725.479166666664</v>
      </c>
      <c r="H3650">
        <v>11</v>
      </c>
      <c r="I3650">
        <v>0</v>
      </c>
      <c r="J3650">
        <v>11</v>
      </c>
      <c r="K3650">
        <v>30</v>
      </c>
      <c r="L3650">
        <v>2022</v>
      </c>
      <c r="N3650" t="s">
        <v>931</v>
      </c>
      <c r="O3650" t="s">
        <v>50</v>
      </c>
      <c r="P3650" t="s">
        <v>1408</v>
      </c>
    </row>
    <row r="3651" spans="1:16" x14ac:dyDescent="0.3">
      <c r="A3651" t="s">
        <v>1357</v>
      </c>
      <c r="B3651" t="s">
        <v>6</v>
      </c>
      <c r="C3651">
        <v>30</v>
      </c>
      <c r="D3651" t="s">
        <v>10</v>
      </c>
      <c r="E3651" t="s">
        <v>565</v>
      </c>
      <c r="F3651" s="43">
        <v>44725.4375</v>
      </c>
      <c r="G3651" s="43">
        <v>44725.458333333336</v>
      </c>
      <c r="H3651">
        <v>10</v>
      </c>
      <c r="I3651">
        <v>30</v>
      </c>
      <c r="J3651">
        <v>11</v>
      </c>
      <c r="K3651">
        <v>0</v>
      </c>
      <c r="L3651">
        <v>2022</v>
      </c>
      <c r="N3651" t="s">
        <v>47</v>
      </c>
      <c r="O3651" t="s">
        <v>47</v>
      </c>
      <c r="P3651" t="s">
        <v>1358</v>
      </c>
    </row>
    <row r="3652" spans="1:16" x14ac:dyDescent="0.3">
      <c r="A3652" t="s">
        <v>1389</v>
      </c>
      <c r="B3652" t="s">
        <v>223</v>
      </c>
      <c r="C3652">
        <v>30</v>
      </c>
      <c r="D3652" t="s">
        <v>10</v>
      </c>
      <c r="E3652" t="s">
        <v>501</v>
      </c>
      <c r="F3652" s="43">
        <v>44725.416666666664</v>
      </c>
      <c r="G3652" s="43">
        <v>44725.4375</v>
      </c>
      <c r="H3652">
        <v>10</v>
      </c>
      <c r="I3652">
        <v>0</v>
      </c>
      <c r="J3652">
        <v>10</v>
      </c>
      <c r="K3652">
        <v>30</v>
      </c>
      <c r="L3652">
        <v>2022</v>
      </c>
      <c r="N3652" t="s">
        <v>1390</v>
      </c>
      <c r="O3652" t="s">
        <v>1134</v>
      </c>
      <c r="P3652" t="s">
        <v>1391</v>
      </c>
    </row>
    <row r="3653" spans="1:16" x14ac:dyDescent="0.3">
      <c r="A3653" t="s">
        <v>8</v>
      </c>
      <c r="B3653" t="s">
        <v>6</v>
      </c>
      <c r="C3653">
        <v>30</v>
      </c>
      <c r="D3653" t="s">
        <v>10</v>
      </c>
      <c r="E3653" t="s">
        <v>477</v>
      </c>
      <c r="F3653" s="43">
        <v>44725.354166666664</v>
      </c>
      <c r="G3653" s="43">
        <v>44725.375</v>
      </c>
      <c r="H3653">
        <v>8</v>
      </c>
      <c r="I3653">
        <v>30</v>
      </c>
      <c r="J3653">
        <v>9</v>
      </c>
      <c r="K3653">
        <v>0</v>
      </c>
      <c r="L3653">
        <v>2022</v>
      </c>
      <c r="N3653" t="s">
        <v>47</v>
      </c>
      <c r="O3653" t="s">
        <v>47</v>
      </c>
      <c r="P3653" t="s">
        <v>1359</v>
      </c>
    </row>
    <row r="3654" spans="1:16" x14ac:dyDescent="0.3">
      <c r="A3654" t="s">
        <v>41</v>
      </c>
      <c r="B3654" t="s">
        <v>109</v>
      </c>
      <c r="C3654">
        <v>95</v>
      </c>
      <c r="D3654" t="s">
        <v>10</v>
      </c>
      <c r="E3654" t="s">
        <v>1360</v>
      </c>
      <c r="F3654" s="43">
        <v>44725.21875</v>
      </c>
      <c r="G3654" s="43">
        <v>44725.284722222219</v>
      </c>
      <c r="H3654">
        <v>5</v>
      </c>
      <c r="I3654">
        <v>15</v>
      </c>
      <c r="J3654">
        <v>6</v>
      </c>
      <c r="K3654">
        <v>50</v>
      </c>
      <c r="L3654">
        <v>2022</v>
      </c>
      <c r="N3654" t="s">
        <v>47</v>
      </c>
      <c r="O3654" t="s">
        <v>47</v>
      </c>
      <c r="P3654" t="s">
        <v>1361</v>
      </c>
    </row>
    <row r="3655" spans="1:16" x14ac:dyDescent="0.3">
      <c r="A3655" t="s">
        <v>1935</v>
      </c>
      <c r="C3655">
        <v>30</v>
      </c>
      <c r="E3655" t="s">
        <v>21</v>
      </c>
      <c r="F3655" s="43">
        <v>44725</v>
      </c>
      <c r="G3655" s="43">
        <v>949997.9993055556</v>
      </c>
      <c r="H3655">
        <v>10</v>
      </c>
      <c r="I3655">
        <v>30</v>
      </c>
      <c r="J3655">
        <v>11</v>
      </c>
      <c r="K3655">
        <v>0</v>
      </c>
      <c r="L3655">
        <v>2022</v>
      </c>
      <c r="M3655" t="s">
        <v>33</v>
      </c>
      <c r="N3655" t="s">
        <v>1936</v>
      </c>
      <c r="O3655" t="s">
        <v>50</v>
      </c>
      <c r="P3655" t="s">
        <v>1937</v>
      </c>
    </row>
    <row r="3656" spans="1:16" x14ac:dyDescent="0.3">
      <c r="A3656" t="s">
        <v>1362</v>
      </c>
      <c r="B3656" t="s">
        <v>109</v>
      </c>
      <c r="C3656">
        <v>30</v>
      </c>
      <c r="D3656" t="s">
        <v>10</v>
      </c>
      <c r="E3656" t="s">
        <v>1360</v>
      </c>
      <c r="F3656" s="43">
        <v>44724.760416666664</v>
      </c>
      <c r="G3656" s="43">
        <v>44724.78125</v>
      </c>
      <c r="H3656">
        <v>18</v>
      </c>
      <c r="I3656">
        <v>15</v>
      </c>
      <c r="J3656">
        <v>18</v>
      </c>
      <c r="K3656">
        <v>45</v>
      </c>
      <c r="L3656">
        <v>2022</v>
      </c>
      <c r="N3656" t="s">
        <v>47</v>
      </c>
      <c r="O3656" t="s">
        <v>47</v>
      </c>
      <c r="P3656" t="s">
        <v>1363</v>
      </c>
    </row>
    <row r="3657" spans="1:16" x14ac:dyDescent="0.3">
      <c r="A3657" t="s">
        <v>1364</v>
      </c>
      <c r="B3657" t="s">
        <v>109</v>
      </c>
      <c r="C3657">
        <v>30</v>
      </c>
      <c r="D3657" t="s">
        <v>10</v>
      </c>
      <c r="E3657" t="s">
        <v>1360</v>
      </c>
      <c r="F3657" s="43">
        <v>44724.729166666664</v>
      </c>
      <c r="G3657" s="43">
        <v>44724.75</v>
      </c>
      <c r="H3657">
        <v>17</v>
      </c>
      <c r="I3657">
        <v>30</v>
      </c>
      <c r="J3657">
        <v>18</v>
      </c>
      <c r="K3657">
        <v>0</v>
      </c>
      <c r="L3657">
        <v>2022</v>
      </c>
      <c r="N3657" t="s">
        <v>47</v>
      </c>
      <c r="O3657" t="s">
        <v>47</v>
      </c>
      <c r="P3657" t="s">
        <v>1365</v>
      </c>
    </row>
    <row r="3658" spans="1:16" x14ac:dyDescent="0.3">
      <c r="A3658" t="s">
        <v>1366</v>
      </c>
      <c r="B3658" t="s">
        <v>223</v>
      </c>
      <c r="C3658">
        <v>60</v>
      </c>
      <c r="D3658" t="s">
        <v>10</v>
      </c>
      <c r="E3658" t="s">
        <v>438</v>
      </c>
      <c r="F3658" s="43">
        <v>44724.6875</v>
      </c>
      <c r="G3658" s="43">
        <v>44724.729166666664</v>
      </c>
      <c r="H3658">
        <v>16</v>
      </c>
      <c r="I3658">
        <v>30</v>
      </c>
      <c r="J3658">
        <v>17</v>
      </c>
      <c r="K3658">
        <v>30</v>
      </c>
      <c r="L3658">
        <v>2022</v>
      </c>
      <c r="N3658" t="s">
        <v>47</v>
      </c>
      <c r="O3658" t="s">
        <v>47</v>
      </c>
      <c r="P3658" t="s">
        <v>1367</v>
      </c>
    </row>
    <row r="3659" spans="1:16" x14ac:dyDescent="0.3">
      <c r="A3659" t="s">
        <v>1371</v>
      </c>
      <c r="B3659" t="s">
        <v>223</v>
      </c>
      <c r="C3659">
        <v>30</v>
      </c>
      <c r="D3659" t="s">
        <v>10</v>
      </c>
      <c r="E3659" t="s">
        <v>438</v>
      </c>
      <c r="F3659" s="43">
        <v>44724.5</v>
      </c>
      <c r="G3659" s="43">
        <v>44724.520833333336</v>
      </c>
      <c r="H3659">
        <v>12</v>
      </c>
      <c r="I3659">
        <v>0</v>
      </c>
      <c r="J3659">
        <v>12</v>
      </c>
      <c r="K3659">
        <v>30</v>
      </c>
      <c r="L3659">
        <v>2022</v>
      </c>
      <c r="N3659" t="s">
        <v>47</v>
      </c>
      <c r="O3659" t="s">
        <v>47</v>
      </c>
      <c r="P3659" t="s">
        <v>1372</v>
      </c>
    </row>
    <row r="3660" spans="1:16" x14ac:dyDescent="0.3">
      <c r="A3660" t="s">
        <v>1371</v>
      </c>
      <c r="B3660" t="s">
        <v>223</v>
      </c>
      <c r="C3660">
        <v>60</v>
      </c>
      <c r="D3660" t="s">
        <v>10</v>
      </c>
      <c r="E3660" t="s">
        <v>438</v>
      </c>
      <c r="F3660" s="43">
        <v>44724.354166666664</v>
      </c>
      <c r="G3660" s="43">
        <v>44724.395833333336</v>
      </c>
      <c r="H3660">
        <v>8</v>
      </c>
      <c r="I3660">
        <v>30</v>
      </c>
      <c r="J3660">
        <v>9</v>
      </c>
      <c r="K3660">
        <v>30</v>
      </c>
      <c r="L3660">
        <v>2022</v>
      </c>
      <c r="N3660" t="s">
        <v>47</v>
      </c>
      <c r="O3660" t="s">
        <v>47</v>
      </c>
      <c r="P3660" t="s">
        <v>1377</v>
      </c>
    </row>
    <row r="3661" spans="1:16" x14ac:dyDescent="0.3">
      <c r="A3661" t="s">
        <v>1371</v>
      </c>
      <c r="B3661" t="s">
        <v>223</v>
      </c>
      <c r="C3661">
        <v>60</v>
      </c>
      <c r="D3661" t="s">
        <v>10</v>
      </c>
      <c r="E3661" t="s">
        <v>438</v>
      </c>
      <c r="F3661" s="43">
        <v>44724.25</v>
      </c>
      <c r="G3661" s="43">
        <v>44724.291666666664</v>
      </c>
      <c r="H3661">
        <v>6</v>
      </c>
      <c r="I3661">
        <v>0</v>
      </c>
      <c r="J3661">
        <v>7</v>
      </c>
      <c r="K3661">
        <v>0</v>
      </c>
      <c r="L3661">
        <v>2022</v>
      </c>
      <c r="N3661" t="s">
        <v>47</v>
      </c>
      <c r="O3661" t="s">
        <v>47</v>
      </c>
      <c r="P3661" t="s">
        <v>1378</v>
      </c>
    </row>
    <row r="3662" spans="1:16" x14ac:dyDescent="0.3">
      <c r="A3662" t="s">
        <v>1373</v>
      </c>
      <c r="C3662">
        <v>120</v>
      </c>
      <c r="D3662" t="s">
        <v>10</v>
      </c>
      <c r="F3662" s="43">
        <v>44723.75</v>
      </c>
      <c r="G3662" s="43">
        <v>44723.833333333336</v>
      </c>
      <c r="H3662">
        <v>18</v>
      </c>
      <c r="I3662">
        <v>0</v>
      </c>
      <c r="J3662">
        <v>20</v>
      </c>
      <c r="K3662">
        <v>0</v>
      </c>
      <c r="L3662">
        <v>2022</v>
      </c>
      <c r="N3662" t="s">
        <v>47</v>
      </c>
      <c r="O3662" t="s">
        <v>47</v>
      </c>
      <c r="P3662" t="s">
        <v>1374</v>
      </c>
    </row>
    <row r="3663" spans="1:16" x14ac:dyDescent="0.3">
      <c r="A3663" t="s">
        <v>1375</v>
      </c>
      <c r="C3663">
        <v>60</v>
      </c>
      <c r="D3663" t="s">
        <v>10</v>
      </c>
      <c r="F3663" s="43">
        <v>44723.25</v>
      </c>
      <c r="G3663" s="43">
        <v>44723.291666666664</v>
      </c>
      <c r="H3663">
        <v>6</v>
      </c>
      <c r="I3663">
        <v>0</v>
      </c>
      <c r="J3663">
        <v>7</v>
      </c>
      <c r="K3663">
        <v>0</v>
      </c>
      <c r="L3663">
        <v>2022</v>
      </c>
      <c r="N3663" t="s">
        <v>47</v>
      </c>
      <c r="O3663" t="s">
        <v>47</v>
      </c>
      <c r="P3663" t="s">
        <v>1376</v>
      </c>
    </row>
    <row r="3664" spans="1:16" x14ac:dyDescent="0.3">
      <c r="A3664" t="s">
        <v>1379</v>
      </c>
      <c r="C3664">
        <v>80</v>
      </c>
      <c r="D3664" t="s">
        <v>10</v>
      </c>
      <c r="F3664" s="43">
        <v>44722.75</v>
      </c>
      <c r="G3664" s="43">
        <v>44722.805555555555</v>
      </c>
      <c r="H3664">
        <v>18</v>
      </c>
      <c r="I3664">
        <v>0</v>
      </c>
      <c r="J3664">
        <v>19</v>
      </c>
      <c r="K3664">
        <v>20</v>
      </c>
      <c r="L3664">
        <v>2022</v>
      </c>
      <c r="N3664" t="s">
        <v>47</v>
      </c>
      <c r="O3664" t="s">
        <v>47</v>
      </c>
      <c r="P3664" t="s">
        <v>1380</v>
      </c>
    </row>
    <row r="3665" spans="1:16" x14ac:dyDescent="0.3">
      <c r="A3665" t="s">
        <v>7</v>
      </c>
      <c r="C3665">
        <v>60</v>
      </c>
      <c r="D3665" t="s">
        <v>10</v>
      </c>
      <c r="F3665" s="43">
        <v>44722.666666666664</v>
      </c>
      <c r="G3665" s="43">
        <v>44722.708333333336</v>
      </c>
      <c r="H3665">
        <v>16</v>
      </c>
      <c r="I3665">
        <v>0</v>
      </c>
      <c r="J3665">
        <v>17</v>
      </c>
      <c r="K3665">
        <v>0</v>
      </c>
      <c r="L3665">
        <v>2022</v>
      </c>
      <c r="N3665" t="s">
        <v>47</v>
      </c>
      <c r="O3665" t="s">
        <v>47</v>
      </c>
      <c r="P3665" t="s">
        <v>1382</v>
      </c>
    </row>
    <row r="3666" spans="1:16" x14ac:dyDescent="0.3">
      <c r="A3666" t="s">
        <v>1341</v>
      </c>
      <c r="C3666">
        <v>30</v>
      </c>
      <c r="D3666" t="s">
        <v>10</v>
      </c>
      <c r="F3666" s="43">
        <v>44722.5625</v>
      </c>
      <c r="G3666" s="43">
        <v>44722.583333333336</v>
      </c>
      <c r="H3666">
        <v>13</v>
      </c>
      <c r="I3666">
        <v>30</v>
      </c>
      <c r="J3666">
        <v>14</v>
      </c>
      <c r="K3666">
        <v>0</v>
      </c>
      <c r="L3666">
        <v>2022</v>
      </c>
      <c r="O3666" t="s">
        <v>47</v>
      </c>
      <c r="P3666" t="s">
        <v>1383</v>
      </c>
    </row>
    <row r="3667" spans="1:16" x14ac:dyDescent="0.3">
      <c r="A3667" t="s">
        <v>1364</v>
      </c>
      <c r="C3667">
        <v>30</v>
      </c>
      <c r="D3667" t="s">
        <v>10</v>
      </c>
      <c r="F3667" s="43">
        <v>44722.541666666664</v>
      </c>
      <c r="G3667" s="43">
        <v>44722.5625</v>
      </c>
      <c r="H3667">
        <v>13</v>
      </c>
      <c r="I3667">
        <v>0</v>
      </c>
      <c r="J3667">
        <v>13</v>
      </c>
      <c r="K3667">
        <v>30</v>
      </c>
      <c r="L3667">
        <v>2022</v>
      </c>
      <c r="O3667" t="s">
        <v>47</v>
      </c>
      <c r="P3667" t="s">
        <v>1384</v>
      </c>
    </row>
    <row r="3668" spans="1:16" x14ac:dyDescent="0.3">
      <c r="A3668" t="s">
        <v>1398</v>
      </c>
      <c r="C3668">
        <v>30</v>
      </c>
      <c r="D3668" t="s">
        <v>10</v>
      </c>
      <c r="E3668" t="s">
        <v>5</v>
      </c>
      <c r="F3668" s="43">
        <v>44722.458333333336</v>
      </c>
      <c r="G3668" s="43">
        <v>44722.479166666664</v>
      </c>
      <c r="H3668">
        <v>11</v>
      </c>
      <c r="I3668">
        <v>0</v>
      </c>
      <c r="J3668">
        <v>11</v>
      </c>
      <c r="K3668">
        <v>30</v>
      </c>
      <c r="L3668">
        <v>2022</v>
      </c>
      <c r="N3668" t="s">
        <v>1399</v>
      </c>
      <c r="O3668" t="s">
        <v>1241</v>
      </c>
      <c r="P3668" t="s">
        <v>1400</v>
      </c>
    </row>
    <row r="3669" spans="1:16" x14ac:dyDescent="0.3">
      <c r="A3669" t="s">
        <v>8</v>
      </c>
      <c r="C3669">
        <v>30</v>
      </c>
      <c r="D3669" t="s">
        <v>10</v>
      </c>
      <c r="F3669" s="43">
        <v>44722.4375</v>
      </c>
      <c r="G3669" s="43">
        <v>44722.458333333336</v>
      </c>
      <c r="H3669">
        <v>10</v>
      </c>
      <c r="I3669">
        <v>30</v>
      </c>
      <c r="J3669">
        <v>11</v>
      </c>
      <c r="K3669">
        <v>0</v>
      </c>
      <c r="L3669">
        <v>2022</v>
      </c>
      <c r="N3669" t="s">
        <v>47</v>
      </c>
      <c r="O3669" t="s">
        <v>47</v>
      </c>
      <c r="P3669" t="s">
        <v>1381</v>
      </c>
    </row>
    <row r="3670" spans="1:16" x14ac:dyDescent="0.3">
      <c r="A3670" t="s">
        <v>1430</v>
      </c>
      <c r="C3670">
        <v>120</v>
      </c>
      <c r="D3670" t="s">
        <v>10</v>
      </c>
      <c r="F3670" s="43">
        <v>44722.354166666664</v>
      </c>
      <c r="G3670" s="43">
        <v>44722.4375</v>
      </c>
      <c r="H3670">
        <v>8</v>
      </c>
      <c r="I3670">
        <v>30</v>
      </c>
      <c r="J3670">
        <v>10</v>
      </c>
      <c r="K3670">
        <v>30</v>
      </c>
      <c r="L3670">
        <v>2022</v>
      </c>
      <c r="O3670" t="s">
        <v>47</v>
      </c>
      <c r="P3670" t="s">
        <v>1431</v>
      </c>
    </row>
    <row r="3671" spans="1:16" x14ac:dyDescent="0.3">
      <c r="A3671" t="s">
        <v>1392</v>
      </c>
      <c r="C3671">
        <v>30</v>
      </c>
      <c r="D3671" t="s">
        <v>10</v>
      </c>
      <c r="F3671" s="43">
        <v>44722.3125</v>
      </c>
      <c r="G3671" s="43">
        <v>44722.333333333336</v>
      </c>
      <c r="H3671">
        <v>7</v>
      </c>
      <c r="I3671">
        <v>30</v>
      </c>
      <c r="J3671">
        <v>8</v>
      </c>
      <c r="K3671">
        <v>0</v>
      </c>
      <c r="L3671">
        <v>2022</v>
      </c>
      <c r="N3671" t="s">
        <v>47</v>
      </c>
      <c r="O3671" t="s">
        <v>47</v>
      </c>
      <c r="P3671" t="s">
        <v>1393</v>
      </c>
    </row>
    <row r="3672" spans="1:16" x14ac:dyDescent="0.3">
      <c r="A3672" t="s">
        <v>1394</v>
      </c>
      <c r="C3672">
        <v>30</v>
      </c>
      <c r="D3672" t="s">
        <v>10</v>
      </c>
      <c r="F3672" s="43">
        <v>44722.229166666664</v>
      </c>
      <c r="G3672" s="43">
        <v>44722.25</v>
      </c>
      <c r="H3672">
        <v>5</v>
      </c>
      <c r="I3672">
        <v>30</v>
      </c>
      <c r="J3672">
        <v>6</v>
      </c>
      <c r="K3672">
        <v>0</v>
      </c>
      <c r="L3672">
        <v>2022</v>
      </c>
      <c r="N3672" t="s">
        <v>47</v>
      </c>
      <c r="O3672" t="s">
        <v>47</v>
      </c>
      <c r="P3672" t="s">
        <v>1395</v>
      </c>
    </row>
    <row r="3673" spans="1:16" x14ac:dyDescent="0.3">
      <c r="A3673" t="s">
        <v>1396</v>
      </c>
      <c r="C3673">
        <v>30</v>
      </c>
      <c r="D3673" t="s">
        <v>10</v>
      </c>
      <c r="F3673" s="43">
        <v>44722.208333333336</v>
      </c>
      <c r="G3673" s="43">
        <v>44722.229166666664</v>
      </c>
      <c r="H3673">
        <v>5</v>
      </c>
      <c r="I3673">
        <v>0</v>
      </c>
      <c r="J3673">
        <v>5</v>
      </c>
      <c r="K3673">
        <v>30</v>
      </c>
      <c r="L3673">
        <v>2022</v>
      </c>
      <c r="N3673" t="s">
        <v>47</v>
      </c>
      <c r="O3673" t="s">
        <v>47</v>
      </c>
      <c r="P3673" t="s">
        <v>1397</v>
      </c>
    </row>
    <row r="3674" spans="1:16" x14ac:dyDescent="0.3">
      <c r="A3674" t="s">
        <v>40</v>
      </c>
      <c r="C3674">
        <v>60</v>
      </c>
      <c r="D3674" t="s">
        <v>10</v>
      </c>
      <c r="F3674" s="43">
        <v>44721.763888888891</v>
      </c>
      <c r="G3674" s="43">
        <v>44721.805555555555</v>
      </c>
      <c r="H3674">
        <v>18</v>
      </c>
      <c r="I3674">
        <v>20</v>
      </c>
      <c r="J3674">
        <v>19</v>
      </c>
      <c r="K3674">
        <v>20</v>
      </c>
      <c r="L3674">
        <v>2022</v>
      </c>
      <c r="N3674" t="s">
        <v>47</v>
      </c>
      <c r="O3674" t="s">
        <v>47</v>
      </c>
      <c r="P3674" t="s">
        <v>1401</v>
      </c>
    </row>
    <row r="3675" spans="1:16" x14ac:dyDescent="0.3">
      <c r="A3675" t="s">
        <v>8</v>
      </c>
      <c r="C3675">
        <v>35</v>
      </c>
      <c r="D3675" t="s">
        <v>10</v>
      </c>
      <c r="F3675" s="43">
        <v>44721.71875</v>
      </c>
      <c r="G3675" s="43">
        <v>44721.743055555555</v>
      </c>
      <c r="H3675">
        <v>17</v>
      </c>
      <c r="I3675">
        <v>15</v>
      </c>
      <c r="J3675">
        <v>17</v>
      </c>
      <c r="K3675">
        <v>50</v>
      </c>
      <c r="L3675">
        <v>2022</v>
      </c>
      <c r="O3675" t="s">
        <v>47</v>
      </c>
      <c r="P3675" t="s">
        <v>1402</v>
      </c>
    </row>
    <row r="3676" spans="1:16" x14ac:dyDescent="0.3">
      <c r="A3676" t="s">
        <v>1403</v>
      </c>
      <c r="C3676">
        <v>45</v>
      </c>
      <c r="D3676" t="s">
        <v>10</v>
      </c>
      <c r="F3676" s="43">
        <v>44721.677083333336</v>
      </c>
      <c r="G3676" s="43">
        <v>44721.708333333336</v>
      </c>
      <c r="H3676">
        <v>16</v>
      </c>
      <c r="I3676">
        <v>15</v>
      </c>
      <c r="J3676">
        <v>17</v>
      </c>
      <c r="K3676">
        <v>0</v>
      </c>
      <c r="L3676">
        <v>2022</v>
      </c>
      <c r="O3676" t="s">
        <v>47</v>
      </c>
      <c r="P3676" t="s">
        <v>1404</v>
      </c>
    </row>
    <row r="3677" spans="1:16" x14ac:dyDescent="0.3">
      <c r="A3677" t="s">
        <v>8</v>
      </c>
      <c r="C3677">
        <v>90</v>
      </c>
      <c r="D3677" t="s">
        <v>10</v>
      </c>
      <c r="F3677" s="43">
        <v>44721.625</v>
      </c>
      <c r="G3677" s="43">
        <v>44721.6875</v>
      </c>
      <c r="H3677">
        <v>15</v>
      </c>
      <c r="I3677">
        <v>0</v>
      </c>
      <c r="J3677">
        <v>16</v>
      </c>
      <c r="K3677">
        <v>30</v>
      </c>
      <c r="L3677">
        <v>2022</v>
      </c>
      <c r="N3677" t="s">
        <v>47</v>
      </c>
      <c r="O3677" t="s">
        <v>47</v>
      </c>
      <c r="P3677" t="s">
        <v>1405</v>
      </c>
    </row>
    <row r="3678" spans="1:16" x14ac:dyDescent="0.3">
      <c r="A3678" t="s">
        <v>7</v>
      </c>
      <c r="C3678">
        <v>30</v>
      </c>
      <c r="D3678" t="s">
        <v>10</v>
      </c>
      <c r="F3678" s="43">
        <v>44721.5625</v>
      </c>
      <c r="G3678" s="43">
        <v>44721.583333333336</v>
      </c>
      <c r="H3678">
        <v>13</v>
      </c>
      <c r="I3678">
        <v>30</v>
      </c>
      <c r="J3678">
        <v>14</v>
      </c>
      <c r="K3678">
        <v>0</v>
      </c>
      <c r="L3678">
        <v>2022</v>
      </c>
      <c r="O3678" t="s">
        <v>47</v>
      </c>
      <c r="P3678" t="s">
        <v>1409</v>
      </c>
    </row>
    <row r="3679" spans="1:16" x14ac:dyDescent="0.3">
      <c r="A3679" t="s">
        <v>39</v>
      </c>
      <c r="C3679">
        <v>30</v>
      </c>
      <c r="D3679" t="s">
        <v>10</v>
      </c>
      <c r="F3679" s="43">
        <v>44721.520833333336</v>
      </c>
      <c r="G3679" s="43">
        <v>44721.541666666664</v>
      </c>
      <c r="H3679">
        <v>12</v>
      </c>
      <c r="I3679">
        <v>30</v>
      </c>
      <c r="J3679">
        <v>13</v>
      </c>
      <c r="K3679">
        <v>0</v>
      </c>
      <c r="L3679">
        <v>2022</v>
      </c>
      <c r="N3679" t="s">
        <v>47</v>
      </c>
      <c r="O3679" t="s">
        <v>47</v>
      </c>
      <c r="P3679" t="s">
        <v>1410</v>
      </c>
    </row>
    <row r="3680" spans="1:16" x14ac:dyDescent="0.3">
      <c r="A3680" t="s">
        <v>1542</v>
      </c>
      <c r="C3680">
        <v>30</v>
      </c>
      <c r="D3680" t="s">
        <v>10</v>
      </c>
      <c r="E3680" t="s">
        <v>21</v>
      </c>
      <c r="F3680" s="43">
        <v>44721.5</v>
      </c>
      <c r="G3680" s="43">
        <v>44721.520833333336</v>
      </c>
      <c r="H3680">
        <v>12</v>
      </c>
      <c r="I3680">
        <v>0</v>
      </c>
      <c r="J3680">
        <v>12</v>
      </c>
      <c r="K3680">
        <v>30</v>
      </c>
      <c r="L3680">
        <v>2022</v>
      </c>
      <c r="N3680" t="s">
        <v>1543</v>
      </c>
      <c r="O3680" t="s">
        <v>50</v>
      </c>
      <c r="P3680" t="s">
        <v>1544</v>
      </c>
    </row>
    <row r="3681" spans="1:16" x14ac:dyDescent="0.3">
      <c r="A3681" t="s">
        <v>1222</v>
      </c>
      <c r="C3681">
        <v>30</v>
      </c>
      <c r="D3681" t="s">
        <v>10</v>
      </c>
      <c r="F3681" s="43">
        <v>44721.479166666664</v>
      </c>
      <c r="G3681" s="43">
        <v>44721.5</v>
      </c>
      <c r="H3681">
        <v>11</v>
      </c>
      <c r="I3681">
        <v>30</v>
      </c>
      <c r="J3681">
        <v>12</v>
      </c>
      <c r="K3681">
        <v>0</v>
      </c>
      <c r="L3681">
        <v>2022</v>
      </c>
      <c r="N3681" t="s">
        <v>47</v>
      </c>
      <c r="O3681" t="s">
        <v>47</v>
      </c>
      <c r="P3681" t="s">
        <v>1411</v>
      </c>
    </row>
    <row r="3682" spans="1:16" x14ac:dyDescent="0.3">
      <c r="A3682" t="s">
        <v>827</v>
      </c>
      <c r="C3682">
        <v>30</v>
      </c>
      <c r="D3682" t="s">
        <v>10</v>
      </c>
      <c r="F3682" s="43">
        <v>44721.416666666664</v>
      </c>
      <c r="G3682" s="43">
        <v>44721.4375</v>
      </c>
      <c r="H3682">
        <v>10</v>
      </c>
      <c r="I3682">
        <v>0</v>
      </c>
      <c r="J3682">
        <v>10</v>
      </c>
      <c r="K3682">
        <v>30</v>
      </c>
      <c r="L3682">
        <v>2022</v>
      </c>
      <c r="N3682" t="s">
        <v>47</v>
      </c>
      <c r="O3682" t="s">
        <v>47</v>
      </c>
      <c r="P3682" t="s">
        <v>1421</v>
      </c>
    </row>
    <row r="3683" spans="1:16" x14ac:dyDescent="0.3">
      <c r="A3683" t="s">
        <v>1419</v>
      </c>
      <c r="C3683">
        <v>30</v>
      </c>
      <c r="D3683" t="s">
        <v>10</v>
      </c>
      <c r="F3683" s="43">
        <v>44721.375</v>
      </c>
      <c r="G3683" s="43">
        <v>44721.395833333336</v>
      </c>
      <c r="H3683">
        <v>9</v>
      </c>
      <c r="I3683">
        <v>0</v>
      </c>
      <c r="J3683">
        <v>9</v>
      </c>
      <c r="K3683">
        <v>30</v>
      </c>
      <c r="L3683">
        <v>2022</v>
      </c>
      <c r="N3683" t="s">
        <v>47</v>
      </c>
      <c r="O3683" t="s">
        <v>47</v>
      </c>
      <c r="P3683" t="s">
        <v>1420</v>
      </c>
    </row>
    <row r="3684" spans="1:16" x14ac:dyDescent="0.3">
      <c r="A3684" t="s">
        <v>8</v>
      </c>
      <c r="C3684">
        <v>20</v>
      </c>
      <c r="D3684" t="s">
        <v>10</v>
      </c>
      <c r="F3684" s="43">
        <v>44721.3125</v>
      </c>
      <c r="G3684" s="43">
        <v>44721.326388888891</v>
      </c>
      <c r="H3684">
        <v>7</v>
      </c>
      <c r="I3684">
        <v>30</v>
      </c>
      <c r="J3684">
        <v>7</v>
      </c>
      <c r="K3684">
        <v>50</v>
      </c>
      <c r="L3684">
        <v>2022</v>
      </c>
      <c r="N3684" t="s">
        <v>47</v>
      </c>
      <c r="O3684" t="s">
        <v>47</v>
      </c>
      <c r="P3684" t="s">
        <v>1422</v>
      </c>
    </row>
    <row r="3685" spans="1:16" x14ac:dyDescent="0.3">
      <c r="A3685" t="s">
        <v>1449</v>
      </c>
      <c r="C3685">
        <v>30</v>
      </c>
      <c r="D3685" t="s">
        <v>10</v>
      </c>
      <c r="E3685" t="s">
        <v>1450</v>
      </c>
      <c r="F3685" s="43">
        <v>44721.270833333336</v>
      </c>
      <c r="G3685" s="43">
        <v>44721.291666666664</v>
      </c>
      <c r="H3685">
        <v>6</v>
      </c>
      <c r="I3685">
        <v>30</v>
      </c>
      <c r="J3685">
        <v>7</v>
      </c>
      <c r="K3685">
        <v>0</v>
      </c>
      <c r="L3685">
        <v>2022</v>
      </c>
      <c r="N3685" t="s">
        <v>1133</v>
      </c>
      <c r="O3685" t="s">
        <v>1134</v>
      </c>
      <c r="P3685" t="s">
        <v>1451</v>
      </c>
    </row>
    <row r="3686" spans="1:16" x14ac:dyDescent="0.3">
      <c r="A3686" t="s">
        <v>17</v>
      </c>
      <c r="C3686">
        <v>30</v>
      </c>
      <c r="D3686" t="s">
        <v>10</v>
      </c>
      <c r="F3686" s="43">
        <v>44721.25</v>
      </c>
      <c r="G3686" s="43">
        <v>44721.270833333336</v>
      </c>
      <c r="H3686">
        <v>6</v>
      </c>
      <c r="I3686">
        <v>0</v>
      </c>
      <c r="J3686">
        <v>6</v>
      </c>
      <c r="K3686">
        <v>30</v>
      </c>
      <c r="L3686">
        <v>2022</v>
      </c>
      <c r="N3686" t="s">
        <v>47</v>
      </c>
      <c r="O3686" t="s">
        <v>47</v>
      </c>
      <c r="P3686" t="s">
        <v>1423</v>
      </c>
    </row>
    <row r="3687" spans="1:16" x14ac:dyDescent="0.3">
      <c r="A3687" t="s">
        <v>1419</v>
      </c>
      <c r="C3687">
        <v>60</v>
      </c>
      <c r="D3687" t="s">
        <v>10</v>
      </c>
      <c r="F3687" s="43">
        <v>44721.208333333336</v>
      </c>
      <c r="G3687" s="43">
        <v>44721.25</v>
      </c>
      <c r="H3687">
        <v>5</v>
      </c>
      <c r="I3687">
        <v>0</v>
      </c>
      <c r="J3687">
        <v>6</v>
      </c>
      <c r="K3687">
        <v>0</v>
      </c>
      <c r="L3687">
        <v>2022</v>
      </c>
      <c r="N3687" t="s">
        <v>47</v>
      </c>
      <c r="O3687" t="s">
        <v>47</v>
      </c>
      <c r="P3687" t="s">
        <v>1424</v>
      </c>
    </row>
    <row r="3688" spans="1:16" x14ac:dyDescent="0.3">
      <c r="A3688" t="s">
        <v>1440</v>
      </c>
      <c r="B3688" t="s">
        <v>6</v>
      </c>
      <c r="C3688">
        <v>30</v>
      </c>
      <c r="D3688" t="s">
        <v>256</v>
      </c>
      <c r="E3688" t="s">
        <v>593</v>
      </c>
      <c r="F3688" s="43">
        <v>44721</v>
      </c>
      <c r="G3688" s="43">
        <v>44866</v>
      </c>
      <c r="H3688">
        <v>8</v>
      </c>
      <c r="I3688">
        <v>30</v>
      </c>
      <c r="J3688">
        <v>9</v>
      </c>
      <c r="K3688">
        <v>0</v>
      </c>
      <c r="L3688">
        <v>2022</v>
      </c>
      <c r="N3688" t="s">
        <v>625</v>
      </c>
      <c r="O3688" t="s">
        <v>47</v>
      </c>
      <c r="P3688" t="s">
        <v>1441</v>
      </c>
    </row>
    <row r="3689" spans="1:16" x14ac:dyDescent="0.3">
      <c r="A3689" t="s">
        <v>1428</v>
      </c>
      <c r="C3689">
        <v>50</v>
      </c>
      <c r="D3689" t="s">
        <v>10</v>
      </c>
      <c r="F3689" s="43">
        <v>44720.8125</v>
      </c>
      <c r="G3689" s="43">
        <v>44720.847222222219</v>
      </c>
      <c r="H3689">
        <v>19</v>
      </c>
      <c r="I3689">
        <v>30</v>
      </c>
      <c r="J3689">
        <v>20</v>
      </c>
      <c r="K3689">
        <v>20</v>
      </c>
      <c r="L3689">
        <v>2022</v>
      </c>
      <c r="N3689" t="s">
        <v>47</v>
      </c>
      <c r="O3689" t="s">
        <v>47</v>
      </c>
      <c r="P3689" t="s">
        <v>1429</v>
      </c>
    </row>
    <row r="3690" spans="1:16" x14ac:dyDescent="0.3">
      <c r="A3690" t="s">
        <v>474</v>
      </c>
      <c r="C3690">
        <v>45</v>
      </c>
      <c r="D3690" t="s">
        <v>10</v>
      </c>
      <c r="F3690" s="43">
        <v>44720.760416666664</v>
      </c>
      <c r="G3690" s="43">
        <v>44720.791666666664</v>
      </c>
      <c r="H3690">
        <v>18</v>
      </c>
      <c r="I3690">
        <v>15</v>
      </c>
      <c r="J3690">
        <v>19</v>
      </c>
      <c r="K3690">
        <v>0</v>
      </c>
      <c r="L3690">
        <v>2022</v>
      </c>
      <c r="N3690" t="s">
        <v>47</v>
      </c>
      <c r="O3690" t="s">
        <v>47</v>
      </c>
      <c r="P3690" t="s">
        <v>1432</v>
      </c>
    </row>
    <row r="3691" spans="1:16" x14ac:dyDescent="0.3">
      <c r="A3691" t="s">
        <v>1433</v>
      </c>
      <c r="C3691">
        <v>90</v>
      </c>
      <c r="D3691" t="s">
        <v>10</v>
      </c>
      <c r="F3691" s="43">
        <v>44720.645833333336</v>
      </c>
      <c r="G3691" s="43">
        <v>44720.708333333336</v>
      </c>
      <c r="H3691">
        <v>15</v>
      </c>
      <c r="I3691">
        <v>30</v>
      </c>
      <c r="J3691">
        <v>17</v>
      </c>
      <c r="K3691">
        <v>0</v>
      </c>
      <c r="L3691">
        <v>2022</v>
      </c>
      <c r="N3691" t="s">
        <v>47</v>
      </c>
      <c r="O3691" t="s">
        <v>47</v>
      </c>
      <c r="P3691" t="s">
        <v>1434</v>
      </c>
    </row>
    <row r="3692" spans="1:16" x14ac:dyDescent="0.3">
      <c r="A3692" t="s">
        <v>7</v>
      </c>
      <c r="C3692">
        <v>40</v>
      </c>
      <c r="D3692" t="s">
        <v>10</v>
      </c>
      <c r="F3692" s="43">
        <v>44720.604166666664</v>
      </c>
      <c r="G3692" s="43">
        <v>44720.631944444445</v>
      </c>
      <c r="H3692">
        <v>14</v>
      </c>
      <c r="I3692">
        <v>30</v>
      </c>
      <c r="J3692">
        <v>15</v>
      </c>
      <c r="K3692">
        <v>10</v>
      </c>
      <c r="L3692">
        <v>2022</v>
      </c>
      <c r="N3692" t="s">
        <v>47</v>
      </c>
      <c r="O3692" t="s">
        <v>47</v>
      </c>
      <c r="P3692" t="s">
        <v>1435</v>
      </c>
    </row>
    <row r="3693" spans="1:16" x14ac:dyDescent="0.3">
      <c r="A3693" t="s">
        <v>1436</v>
      </c>
      <c r="C3693">
        <v>30</v>
      </c>
      <c r="D3693" t="s">
        <v>10</v>
      </c>
      <c r="F3693" s="1">
        <v>44720.583333333336</v>
      </c>
      <c r="G3693" s="1">
        <v>44720.604166666664</v>
      </c>
      <c r="H3693">
        <v>14</v>
      </c>
      <c r="I3693">
        <v>0</v>
      </c>
      <c r="J3693">
        <v>14</v>
      </c>
      <c r="K3693">
        <v>30</v>
      </c>
      <c r="L3693">
        <v>2022</v>
      </c>
      <c r="N3693" t="s">
        <v>47</v>
      </c>
      <c r="O3693" t="s">
        <v>47</v>
      </c>
      <c r="P3693" t="s">
        <v>1437</v>
      </c>
    </row>
    <row r="3694" spans="1:16" x14ac:dyDescent="0.3">
      <c r="A3694" t="s">
        <v>1438</v>
      </c>
      <c r="C3694">
        <v>60</v>
      </c>
      <c r="D3694" t="s">
        <v>10</v>
      </c>
      <c r="F3694" s="43">
        <v>44720.541666666664</v>
      </c>
      <c r="G3694" s="43">
        <v>44720.583333333336</v>
      </c>
      <c r="H3694">
        <v>13</v>
      </c>
      <c r="I3694">
        <v>0</v>
      </c>
      <c r="J3694">
        <v>14</v>
      </c>
      <c r="K3694">
        <v>0</v>
      </c>
      <c r="L3694">
        <v>2022</v>
      </c>
      <c r="N3694" t="s">
        <v>47</v>
      </c>
      <c r="O3694" t="s">
        <v>47</v>
      </c>
      <c r="P3694" t="s">
        <v>1439</v>
      </c>
    </row>
    <row r="3695" spans="1:16" x14ac:dyDescent="0.3">
      <c r="A3695" t="s">
        <v>1514</v>
      </c>
      <c r="C3695">
        <v>60</v>
      </c>
      <c r="D3695" t="s">
        <v>10</v>
      </c>
      <c r="F3695" s="43">
        <v>44720.458333333336</v>
      </c>
      <c r="G3695" s="43">
        <v>44720.5</v>
      </c>
      <c r="H3695">
        <v>11</v>
      </c>
      <c r="I3695">
        <v>0</v>
      </c>
      <c r="J3695">
        <v>12</v>
      </c>
      <c r="K3695">
        <v>0</v>
      </c>
      <c r="L3695">
        <v>2022</v>
      </c>
      <c r="N3695" t="s">
        <v>1515</v>
      </c>
      <c r="O3695" t="s">
        <v>1516</v>
      </c>
      <c r="P3695" t="s">
        <v>1517</v>
      </c>
    </row>
    <row r="3696" spans="1:16" x14ac:dyDescent="0.3">
      <c r="A3696" t="s">
        <v>1452</v>
      </c>
      <c r="C3696">
        <v>15</v>
      </c>
      <c r="D3696" t="s">
        <v>10</v>
      </c>
      <c r="E3696" t="s">
        <v>1453</v>
      </c>
      <c r="F3696" s="43">
        <v>44720.416666666664</v>
      </c>
      <c r="G3696" s="43">
        <v>44720.427083333336</v>
      </c>
      <c r="H3696">
        <v>10</v>
      </c>
      <c r="I3696">
        <v>0</v>
      </c>
      <c r="J3696">
        <v>10</v>
      </c>
      <c r="K3696">
        <v>15</v>
      </c>
      <c r="L3696">
        <v>2022</v>
      </c>
      <c r="N3696" t="s">
        <v>1454</v>
      </c>
      <c r="O3696" t="s">
        <v>48</v>
      </c>
      <c r="P3696" t="s">
        <v>1455</v>
      </c>
    </row>
    <row r="3697" spans="1:16" x14ac:dyDescent="0.3">
      <c r="A3697" t="s">
        <v>1442</v>
      </c>
      <c r="C3697">
        <v>30</v>
      </c>
      <c r="D3697" t="s">
        <v>10</v>
      </c>
      <c r="E3697" s="47">
        <v>0.32291666666666669</v>
      </c>
      <c r="F3697" s="43">
        <v>44720.302083333336</v>
      </c>
      <c r="G3697" s="43">
        <v>44720.322916666664</v>
      </c>
      <c r="H3697">
        <v>7</v>
      </c>
      <c r="I3697">
        <v>15</v>
      </c>
      <c r="J3697">
        <v>7</v>
      </c>
      <c r="K3697">
        <v>45</v>
      </c>
      <c r="L3697">
        <v>2022</v>
      </c>
      <c r="N3697" t="s">
        <v>47</v>
      </c>
      <c r="O3697" t="s">
        <v>47</v>
      </c>
      <c r="P3697" t="s">
        <v>1443</v>
      </c>
    </row>
    <row r="3698" spans="1:16" x14ac:dyDescent="0.3">
      <c r="A3698" t="s">
        <v>1444</v>
      </c>
      <c r="C3698">
        <v>30</v>
      </c>
      <c r="D3698" t="s">
        <v>10</v>
      </c>
      <c r="F3698" s="43">
        <v>44720.263888888891</v>
      </c>
      <c r="G3698" s="43">
        <v>44720.284722222219</v>
      </c>
      <c r="H3698">
        <v>6</v>
      </c>
      <c r="I3698">
        <v>20</v>
      </c>
      <c r="J3698">
        <v>6</v>
      </c>
      <c r="K3698">
        <v>50</v>
      </c>
      <c r="L3698">
        <v>2022</v>
      </c>
      <c r="N3698" t="s">
        <v>47</v>
      </c>
      <c r="O3698" t="s">
        <v>47</v>
      </c>
      <c r="P3698" t="s">
        <v>1445</v>
      </c>
    </row>
    <row r="3699" spans="1:16" x14ac:dyDescent="0.3">
      <c r="A3699" t="s">
        <v>1446</v>
      </c>
      <c r="C3699">
        <v>20</v>
      </c>
      <c r="D3699" t="s">
        <v>10</v>
      </c>
      <c r="F3699" s="43">
        <v>44720.25</v>
      </c>
      <c r="G3699" s="43">
        <v>44720.263888888891</v>
      </c>
      <c r="H3699">
        <v>6</v>
      </c>
      <c r="I3699">
        <v>0</v>
      </c>
      <c r="J3699">
        <v>6</v>
      </c>
      <c r="K3699">
        <v>20</v>
      </c>
      <c r="L3699">
        <v>2022</v>
      </c>
      <c r="N3699" t="s">
        <v>47</v>
      </c>
      <c r="O3699" t="s">
        <v>47</v>
      </c>
      <c r="P3699" t="s">
        <v>1447</v>
      </c>
    </row>
    <row r="3700" spans="1:16" x14ac:dyDescent="0.3">
      <c r="A3700" t="s">
        <v>8</v>
      </c>
      <c r="C3700">
        <v>30</v>
      </c>
      <c r="D3700" t="s">
        <v>10</v>
      </c>
      <c r="F3700" s="43">
        <v>44720.208333333336</v>
      </c>
      <c r="G3700" s="43">
        <v>44720.229166666664</v>
      </c>
      <c r="H3700">
        <v>5</v>
      </c>
      <c r="I3700">
        <v>0</v>
      </c>
      <c r="J3700">
        <v>5</v>
      </c>
      <c r="K3700">
        <v>30</v>
      </c>
      <c r="L3700">
        <v>2022</v>
      </c>
      <c r="N3700" t="s">
        <v>47</v>
      </c>
      <c r="O3700" t="s">
        <v>47</v>
      </c>
      <c r="P3700" t="s">
        <v>1448</v>
      </c>
    </row>
    <row r="3701" spans="1:16" x14ac:dyDescent="0.3">
      <c r="A3701" t="s">
        <v>8</v>
      </c>
      <c r="C3701">
        <v>30</v>
      </c>
      <c r="D3701" t="s">
        <v>10</v>
      </c>
      <c r="F3701" s="43">
        <v>44719.864583333336</v>
      </c>
      <c r="G3701" s="43">
        <v>44719.885416666664</v>
      </c>
      <c r="H3701">
        <v>20</v>
      </c>
      <c r="I3701">
        <v>45</v>
      </c>
      <c r="J3701">
        <v>21</v>
      </c>
      <c r="K3701">
        <v>15</v>
      </c>
      <c r="L3701">
        <v>2022</v>
      </c>
      <c r="N3701" t="s">
        <v>47</v>
      </c>
      <c r="O3701" t="s">
        <v>47</v>
      </c>
      <c r="P3701" t="s">
        <v>1456</v>
      </c>
    </row>
    <row r="3702" spans="1:16" x14ac:dyDescent="0.3">
      <c r="A3702" t="s">
        <v>1457</v>
      </c>
      <c r="C3702">
        <v>30</v>
      </c>
      <c r="D3702" t="s">
        <v>10</v>
      </c>
      <c r="F3702" s="43">
        <v>44719.770833333336</v>
      </c>
      <c r="G3702" s="43">
        <v>44719.791666666664</v>
      </c>
      <c r="H3702">
        <v>18</v>
      </c>
      <c r="I3702">
        <v>30</v>
      </c>
      <c r="J3702">
        <v>19</v>
      </c>
      <c r="K3702">
        <v>0</v>
      </c>
      <c r="L3702">
        <v>2022</v>
      </c>
      <c r="N3702" t="s">
        <v>47</v>
      </c>
      <c r="O3702" t="s">
        <v>47</v>
      </c>
      <c r="P3702" t="s">
        <v>1458</v>
      </c>
    </row>
    <row r="3703" spans="1:16" x14ac:dyDescent="0.3">
      <c r="A3703" t="s">
        <v>1459</v>
      </c>
      <c r="C3703">
        <v>60</v>
      </c>
      <c r="D3703" t="s">
        <v>10</v>
      </c>
      <c r="F3703" s="43">
        <v>44719.708333333336</v>
      </c>
      <c r="G3703" s="43">
        <v>44719.75</v>
      </c>
      <c r="H3703">
        <v>17</v>
      </c>
      <c r="I3703">
        <v>0</v>
      </c>
      <c r="J3703">
        <v>18</v>
      </c>
      <c r="K3703">
        <v>0</v>
      </c>
      <c r="L3703">
        <v>2022</v>
      </c>
      <c r="N3703" t="s">
        <v>47</v>
      </c>
      <c r="O3703" t="s">
        <v>47</v>
      </c>
      <c r="P3703" t="s">
        <v>1460</v>
      </c>
    </row>
    <row r="3704" spans="1:16" x14ac:dyDescent="0.3">
      <c r="A3704" t="s">
        <v>1457</v>
      </c>
      <c r="C3704">
        <v>60</v>
      </c>
      <c r="D3704" t="s">
        <v>10</v>
      </c>
      <c r="F3704" s="43">
        <v>44719.645833333336</v>
      </c>
      <c r="G3704" s="43">
        <v>44719.6875</v>
      </c>
      <c r="H3704">
        <v>15</v>
      </c>
      <c r="I3704">
        <v>30</v>
      </c>
      <c r="J3704">
        <v>16</v>
      </c>
      <c r="K3704">
        <v>30</v>
      </c>
      <c r="L3704">
        <v>2022</v>
      </c>
      <c r="N3704" t="s">
        <v>47</v>
      </c>
      <c r="O3704" t="s">
        <v>47</v>
      </c>
      <c r="P3704" t="s">
        <v>1461</v>
      </c>
    </row>
    <row r="3705" spans="1:16" x14ac:dyDescent="0.3">
      <c r="A3705" t="s">
        <v>1462</v>
      </c>
      <c r="C3705">
        <v>30</v>
      </c>
      <c r="D3705" t="s">
        <v>10</v>
      </c>
      <c r="F3705" s="43">
        <v>44719.604166666664</v>
      </c>
      <c r="G3705" s="43">
        <v>44719.625</v>
      </c>
      <c r="H3705">
        <v>14</v>
      </c>
      <c r="I3705">
        <v>30</v>
      </c>
      <c r="J3705">
        <v>15</v>
      </c>
      <c r="K3705">
        <v>0</v>
      </c>
      <c r="L3705">
        <v>2022</v>
      </c>
      <c r="O3705" t="s">
        <v>47</v>
      </c>
      <c r="P3705" t="s">
        <v>1463</v>
      </c>
    </row>
    <row r="3706" spans="1:16" x14ac:dyDescent="0.3">
      <c r="A3706" t="s">
        <v>9</v>
      </c>
      <c r="C3706">
        <v>40</v>
      </c>
      <c r="D3706" t="s">
        <v>10</v>
      </c>
      <c r="F3706" s="43">
        <v>44719.5625</v>
      </c>
      <c r="G3706" s="43">
        <v>44719.590277777781</v>
      </c>
      <c r="H3706">
        <v>13</v>
      </c>
      <c r="I3706">
        <v>30</v>
      </c>
      <c r="J3706">
        <v>14</v>
      </c>
      <c r="K3706">
        <v>10</v>
      </c>
      <c r="L3706">
        <v>2022</v>
      </c>
      <c r="N3706" t="s">
        <v>47</v>
      </c>
      <c r="O3706" t="s">
        <v>47</v>
      </c>
      <c r="P3706" t="s">
        <v>1464</v>
      </c>
    </row>
    <row r="3707" spans="1:16" x14ac:dyDescent="0.3">
      <c r="A3707" t="s">
        <v>1470</v>
      </c>
      <c r="C3707">
        <v>30</v>
      </c>
      <c r="D3707" t="s">
        <v>10</v>
      </c>
      <c r="F3707" s="43">
        <v>44719.541666666664</v>
      </c>
      <c r="G3707" s="43">
        <v>44719.5625</v>
      </c>
      <c r="H3707">
        <v>13</v>
      </c>
      <c r="I3707">
        <v>0</v>
      </c>
      <c r="J3707">
        <v>13</v>
      </c>
      <c r="K3707">
        <v>30</v>
      </c>
      <c r="L3707">
        <v>2022</v>
      </c>
      <c r="N3707" t="s">
        <v>48</v>
      </c>
      <c r="O3707" t="s">
        <v>47</v>
      </c>
      <c r="P3707" t="s">
        <v>1471</v>
      </c>
    </row>
    <row r="3708" spans="1:16" x14ac:dyDescent="0.3">
      <c r="A3708" t="s">
        <v>1472</v>
      </c>
      <c r="C3708">
        <v>30</v>
      </c>
      <c r="D3708" t="s">
        <v>10</v>
      </c>
      <c r="E3708" t="s">
        <v>501</v>
      </c>
      <c r="F3708" s="43">
        <v>44719.5</v>
      </c>
      <c r="G3708" s="43">
        <v>44719.520833333336</v>
      </c>
      <c r="H3708">
        <v>12</v>
      </c>
      <c r="I3708">
        <v>0</v>
      </c>
      <c r="J3708">
        <v>12</v>
      </c>
      <c r="K3708">
        <v>30</v>
      </c>
      <c r="L3708">
        <v>2022</v>
      </c>
      <c r="N3708" t="s">
        <v>51</v>
      </c>
      <c r="O3708" t="s">
        <v>47</v>
      </c>
      <c r="P3708" t="s">
        <v>1473</v>
      </c>
    </row>
    <row r="3709" spans="1:16" x14ac:dyDescent="0.3">
      <c r="A3709" t="s">
        <v>1256</v>
      </c>
      <c r="C3709">
        <v>30</v>
      </c>
      <c r="D3709" t="s">
        <v>10</v>
      </c>
      <c r="F3709" s="43">
        <v>44719.479166666664</v>
      </c>
      <c r="G3709" s="43">
        <v>44719.5</v>
      </c>
      <c r="H3709">
        <v>11</v>
      </c>
      <c r="I3709">
        <v>30</v>
      </c>
      <c r="J3709">
        <v>12</v>
      </c>
      <c r="K3709">
        <v>0</v>
      </c>
      <c r="L3709">
        <v>2022</v>
      </c>
      <c r="N3709" t="s">
        <v>47</v>
      </c>
      <c r="O3709" t="s">
        <v>47</v>
      </c>
      <c r="P3709" t="s">
        <v>1465</v>
      </c>
    </row>
    <row r="3710" spans="1:16" x14ac:dyDescent="0.3">
      <c r="A3710" t="s">
        <v>1646</v>
      </c>
      <c r="B3710" t="s">
        <v>20</v>
      </c>
      <c r="C3710">
        <v>60</v>
      </c>
      <c r="D3710" t="s">
        <v>10</v>
      </c>
      <c r="E3710" t="s">
        <v>5</v>
      </c>
      <c r="F3710" s="1">
        <v>44719.375</v>
      </c>
      <c r="G3710" s="1">
        <v>44719.416666666664</v>
      </c>
      <c r="H3710">
        <v>9</v>
      </c>
      <c r="I3710">
        <v>0</v>
      </c>
      <c r="J3710">
        <v>10</v>
      </c>
      <c r="K3710">
        <v>0</v>
      </c>
      <c r="L3710">
        <v>2022</v>
      </c>
      <c r="N3710" t="s">
        <v>1647</v>
      </c>
      <c r="O3710" t="s">
        <v>1241</v>
      </c>
      <c r="P3710" t="s">
        <v>1648</v>
      </c>
    </row>
    <row r="3711" spans="1:16" x14ac:dyDescent="0.3">
      <c r="A3711" t="s">
        <v>1477</v>
      </c>
      <c r="C3711">
        <v>30</v>
      </c>
      <c r="D3711" t="s">
        <v>10</v>
      </c>
      <c r="E3711" t="s">
        <v>501</v>
      </c>
      <c r="F3711" s="43">
        <v>44719.354166666664</v>
      </c>
      <c r="G3711" s="43">
        <v>44719.375</v>
      </c>
      <c r="H3711">
        <v>8</v>
      </c>
      <c r="I3711">
        <v>30</v>
      </c>
      <c r="J3711">
        <v>9</v>
      </c>
      <c r="K3711">
        <v>0</v>
      </c>
      <c r="L3711">
        <v>2022</v>
      </c>
      <c r="N3711" t="s">
        <v>1478</v>
      </c>
      <c r="O3711" t="s">
        <v>47</v>
      </c>
      <c r="P3711" t="s">
        <v>1479</v>
      </c>
    </row>
    <row r="3712" spans="1:16" x14ac:dyDescent="0.3">
      <c r="A3712" t="s">
        <v>1466</v>
      </c>
      <c r="C3712">
        <v>30</v>
      </c>
      <c r="D3712" t="s">
        <v>10</v>
      </c>
      <c r="F3712" s="43">
        <v>44719.333333333336</v>
      </c>
      <c r="G3712" s="43">
        <v>44719.354166666664</v>
      </c>
      <c r="H3712">
        <v>8</v>
      </c>
      <c r="I3712">
        <v>0</v>
      </c>
      <c r="J3712">
        <v>8</v>
      </c>
      <c r="K3712">
        <v>30</v>
      </c>
      <c r="L3712">
        <v>2022</v>
      </c>
      <c r="O3712" t="s">
        <v>47</v>
      </c>
      <c r="P3712" t="s">
        <v>1467</v>
      </c>
    </row>
    <row r="3713" spans="1:16" x14ac:dyDescent="0.3">
      <c r="A3713" t="s">
        <v>1468</v>
      </c>
      <c r="C3713">
        <v>60</v>
      </c>
      <c r="D3713" t="s">
        <v>10</v>
      </c>
      <c r="F3713" s="43">
        <v>44719.25</v>
      </c>
      <c r="G3713" s="43">
        <v>44719.291666666664</v>
      </c>
      <c r="H3713">
        <v>6</v>
      </c>
      <c r="I3713">
        <v>0</v>
      </c>
      <c r="J3713">
        <v>7</v>
      </c>
      <c r="K3713">
        <v>0</v>
      </c>
      <c r="L3713">
        <v>2022</v>
      </c>
      <c r="N3713" t="s">
        <v>47</v>
      </c>
      <c r="O3713" t="s">
        <v>47</v>
      </c>
      <c r="P3713" t="s">
        <v>1469</v>
      </c>
    </row>
    <row r="3714" spans="1:16" x14ac:dyDescent="0.3">
      <c r="A3714" t="s">
        <v>1474</v>
      </c>
      <c r="C3714">
        <v>45</v>
      </c>
      <c r="D3714" t="s">
        <v>10</v>
      </c>
      <c r="F3714" s="43">
        <v>44718.760416666664</v>
      </c>
      <c r="G3714" s="43">
        <v>44718.791666666664</v>
      </c>
      <c r="H3714">
        <v>18</v>
      </c>
      <c r="I3714">
        <v>15</v>
      </c>
      <c r="J3714">
        <v>19</v>
      </c>
      <c r="K3714">
        <v>0</v>
      </c>
      <c r="L3714">
        <v>2022</v>
      </c>
      <c r="O3714" t="s">
        <v>47</v>
      </c>
      <c r="P3714" t="s">
        <v>1475</v>
      </c>
    </row>
    <row r="3715" spans="1:16" x14ac:dyDescent="0.3">
      <c r="A3715" t="s">
        <v>1468</v>
      </c>
      <c r="C3715">
        <v>80</v>
      </c>
      <c r="D3715" t="s">
        <v>10</v>
      </c>
      <c r="F3715" s="43">
        <v>44718.666666666664</v>
      </c>
      <c r="G3715" s="43">
        <v>44718.722222222219</v>
      </c>
      <c r="H3715">
        <v>16</v>
      </c>
      <c r="I3715">
        <v>0</v>
      </c>
      <c r="J3715">
        <v>17</v>
      </c>
      <c r="K3715">
        <v>20</v>
      </c>
      <c r="L3715">
        <v>2022</v>
      </c>
      <c r="O3715" t="s">
        <v>47</v>
      </c>
      <c r="P3715" t="s">
        <v>1476</v>
      </c>
    </row>
    <row r="3716" spans="1:16" x14ac:dyDescent="0.3">
      <c r="A3716" t="s">
        <v>8</v>
      </c>
      <c r="C3716">
        <v>30</v>
      </c>
      <c r="D3716" t="s">
        <v>10</v>
      </c>
      <c r="F3716" s="43">
        <v>44718.625</v>
      </c>
      <c r="G3716" s="43">
        <v>44718.645833333336</v>
      </c>
      <c r="H3716">
        <v>15</v>
      </c>
      <c r="I3716">
        <v>0</v>
      </c>
      <c r="J3716">
        <v>15</v>
      </c>
      <c r="K3716">
        <v>30</v>
      </c>
      <c r="L3716">
        <v>2022</v>
      </c>
      <c r="O3716" t="s">
        <v>47</v>
      </c>
      <c r="P3716" t="s">
        <v>1480</v>
      </c>
    </row>
    <row r="3717" spans="1:16" x14ac:dyDescent="0.3">
      <c r="A3717" t="s">
        <v>1481</v>
      </c>
      <c r="C3717">
        <v>30</v>
      </c>
      <c r="D3717" t="s">
        <v>10</v>
      </c>
      <c r="F3717" s="43">
        <v>44718.604166666664</v>
      </c>
      <c r="G3717" s="43">
        <v>44718.625</v>
      </c>
      <c r="H3717">
        <v>14</v>
      </c>
      <c r="I3717">
        <v>30</v>
      </c>
      <c r="J3717">
        <v>15</v>
      </c>
      <c r="K3717">
        <v>0</v>
      </c>
      <c r="L3717">
        <v>2022</v>
      </c>
      <c r="O3717" t="s">
        <v>47</v>
      </c>
      <c r="P3717" t="s">
        <v>1482</v>
      </c>
    </row>
    <row r="3718" spans="1:16" x14ac:dyDescent="0.3">
      <c r="A3718" t="s">
        <v>7</v>
      </c>
      <c r="C3718">
        <v>21</v>
      </c>
      <c r="D3718" t="s">
        <v>10</v>
      </c>
      <c r="F3718" s="43">
        <v>44718.59375</v>
      </c>
      <c r="G3718" s="43">
        <v>44718.60833333333</v>
      </c>
      <c r="H3718">
        <v>14</v>
      </c>
      <c r="I3718">
        <v>15</v>
      </c>
      <c r="J3718">
        <v>14</v>
      </c>
      <c r="K3718">
        <v>36</v>
      </c>
      <c r="L3718">
        <v>2022</v>
      </c>
      <c r="N3718" t="s">
        <v>47</v>
      </c>
      <c r="O3718" t="s">
        <v>47</v>
      </c>
      <c r="P3718" t="s">
        <v>1483</v>
      </c>
    </row>
    <row r="3719" spans="1:16" x14ac:dyDescent="0.3">
      <c r="A3719" t="s">
        <v>8</v>
      </c>
      <c r="C3719">
        <v>15</v>
      </c>
      <c r="D3719" t="s">
        <v>10</v>
      </c>
      <c r="F3719" s="43">
        <v>44718.583333333336</v>
      </c>
      <c r="G3719" s="43">
        <v>44718.59375</v>
      </c>
      <c r="H3719">
        <v>14</v>
      </c>
      <c r="I3719">
        <v>0</v>
      </c>
      <c r="J3719">
        <v>14</v>
      </c>
      <c r="K3719">
        <v>15</v>
      </c>
      <c r="L3719">
        <v>2022</v>
      </c>
      <c r="N3719" t="s">
        <v>47</v>
      </c>
      <c r="O3719" t="s">
        <v>47</v>
      </c>
      <c r="P3719" t="s">
        <v>1484</v>
      </c>
    </row>
    <row r="3720" spans="1:16" x14ac:dyDescent="0.3">
      <c r="A3720" t="s">
        <v>8</v>
      </c>
      <c r="C3720">
        <v>45</v>
      </c>
      <c r="D3720" t="s">
        <v>10</v>
      </c>
      <c r="F3720" s="43">
        <v>44718.5</v>
      </c>
      <c r="G3720" s="43">
        <v>44718.53125</v>
      </c>
      <c r="H3720">
        <v>12</v>
      </c>
      <c r="I3720">
        <v>0</v>
      </c>
      <c r="J3720">
        <v>12</v>
      </c>
      <c r="K3720">
        <v>45</v>
      </c>
      <c r="L3720">
        <v>2022</v>
      </c>
      <c r="N3720" t="s">
        <v>47</v>
      </c>
      <c r="O3720" t="s">
        <v>47</v>
      </c>
      <c r="P3720" t="s">
        <v>1485</v>
      </c>
    </row>
    <row r="3721" spans="1:16" x14ac:dyDescent="0.3">
      <c r="A3721" t="s">
        <v>827</v>
      </c>
      <c r="C3721">
        <v>30</v>
      </c>
      <c r="D3721" t="s">
        <v>10</v>
      </c>
      <c r="F3721" s="43">
        <v>44718.479166666664</v>
      </c>
      <c r="G3721" s="43">
        <v>44718.5</v>
      </c>
      <c r="H3721">
        <v>11</v>
      </c>
      <c r="I3721">
        <v>30</v>
      </c>
      <c r="J3721">
        <v>12</v>
      </c>
      <c r="K3721">
        <v>0</v>
      </c>
      <c r="L3721">
        <v>2022</v>
      </c>
      <c r="N3721" t="s">
        <v>47</v>
      </c>
      <c r="O3721" t="s">
        <v>47</v>
      </c>
      <c r="P3721" t="s">
        <v>1486</v>
      </c>
    </row>
    <row r="3722" spans="1:16" x14ac:dyDescent="0.3">
      <c r="A3722" t="s">
        <v>1643</v>
      </c>
      <c r="B3722" t="s">
        <v>20</v>
      </c>
      <c r="C3722">
        <v>60</v>
      </c>
      <c r="D3722" t="s">
        <v>10</v>
      </c>
      <c r="E3722" t="s">
        <v>5</v>
      </c>
      <c r="F3722" s="43">
        <v>44718.416666666664</v>
      </c>
      <c r="G3722" s="43">
        <v>44718.458333333336</v>
      </c>
      <c r="H3722">
        <v>10</v>
      </c>
      <c r="I3722">
        <v>0</v>
      </c>
      <c r="J3722">
        <v>11</v>
      </c>
      <c r="K3722">
        <v>0</v>
      </c>
      <c r="L3722">
        <v>2022</v>
      </c>
      <c r="N3722" t="s">
        <v>1399</v>
      </c>
      <c r="O3722" t="s">
        <v>1241</v>
      </c>
      <c r="P3722" t="s">
        <v>1644</v>
      </c>
    </row>
    <row r="3723" spans="1:16" x14ac:dyDescent="0.3">
      <c r="A3723" t="s">
        <v>1666</v>
      </c>
      <c r="B3723" t="s">
        <v>20</v>
      </c>
      <c r="C3723">
        <v>60</v>
      </c>
      <c r="D3723" t="s">
        <v>10</v>
      </c>
      <c r="E3723" t="s">
        <v>1667</v>
      </c>
      <c r="F3723" s="43">
        <v>44718.375</v>
      </c>
      <c r="G3723" s="43">
        <v>44718.416666666664</v>
      </c>
      <c r="H3723">
        <v>9</v>
      </c>
      <c r="I3723">
        <v>0</v>
      </c>
      <c r="J3723">
        <v>10</v>
      </c>
      <c r="K3723">
        <v>0</v>
      </c>
      <c r="L3723">
        <v>2022</v>
      </c>
      <c r="N3723" t="s">
        <v>1668</v>
      </c>
      <c r="O3723" t="s">
        <v>1669</v>
      </c>
      <c r="P3723" t="s">
        <v>1670</v>
      </c>
    </row>
    <row r="3724" spans="1:16" x14ac:dyDescent="0.3">
      <c r="A3724" t="s">
        <v>1487</v>
      </c>
      <c r="B3724" t="s">
        <v>109</v>
      </c>
      <c r="C3724">
        <v>150</v>
      </c>
      <c r="D3724" t="s">
        <v>10</v>
      </c>
      <c r="E3724" t="s">
        <v>1488</v>
      </c>
      <c r="F3724" s="43">
        <v>44718.25</v>
      </c>
      <c r="G3724" s="43">
        <v>44718.354166666664</v>
      </c>
      <c r="H3724">
        <v>6</v>
      </c>
      <c r="I3724">
        <v>0</v>
      </c>
      <c r="J3724">
        <v>8</v>
      </c>
      <c r="K3724">
        <v>30</v>
      </c>
      <c r="L3724">
        <v>2022</v>
      </c>
      <c r="N3724" t="s">
        <v>47</v>
      </c>
      <c r="O3724" t="s">
        <v>47</v>
      </c>
      <c r="P3724" t="s">
        <v>1489</v>
      </c>
    </row>
    <row r="3725" spans="1:16" x14ac:dyDescent="0.3">
      <c r="A3725" t="s">
        <v>1560</v>
      </c>
      <c r="C3725">
        <v>60</v>
      </c>
      <c r="D3725" t="s">
        <v>10</v>
      </c>
      <c r="E3725" t="s">
        <v>1561</v>
      </c>
      <c r="F3725" s="43">
        <v>44718.208333333336</v>
      </c>
      <c r="G3725" s="43">
        <v>44718.25</v>
      </c>
      <c r="H3725">
        <v>5</v>
      </c>
      <c r="I3725">
        <v>0</v>
      </c>
      <c r="J3725">
        <v>6</v>
      </c>
      <c r="K3725">
        <v>0</v>
      </c>
      <c r="L3725">
        <v>2022</v>
      </c>
      <c r="M3725" t="s">
        <v>33</v>
      </c>
      <c r="N3725" t="s">
        <v>1562</v>
      </c>
      <c r="O3725" t="s">
        <v>458</v>
      </c>
      <c r="P3725" t="s">
        <v>1563</v>
      </c>
    </row>
    <row r="3726" spans="1:16" x14ac:dyDescent="0.3">
      <c r="A3726" t="s">
        <v>1487</v>
      </c>
      <c r="B3726" t="s">
        <v>109</v>
      </c>
      <c r="C3726">
        <v>90</v>
      </c>
      <c r="D3726" t="s">
        <v>10</v>
      </c>
      <c r="E3726" t="s">
        <v>1488</v>
      </c>
      <c r="F3726" s="43">
        <v>44718.1875</v>
      </c>
      <c r="G3726" s="43">
        <v>44718.25</v>
      </c>
      <c r="H3726">
        <v>4</v>
      </c>
      <c r="I3726">
        <v>30</v>
      </c>
      <c r="J3726">
        <v>6</v>
      </c>
      <c r="K3726">
        <v>0</v>
      </c>
      <c r="L3726">
        <v>2022</v>
      </c>
      <c r="N3726" t="s">
        <v>47</v>
      </c>
      <c r="O3726" t="s">
        <v>47</v>
      </c>
      <c r="P3726" t="s">
        <v>1490</v>
      </c>
    </row>
    <row r="3727" spans="1:16" x14ac:dyDescent="0.3">
      <c r="A3727" t="s">
        <v>1487</v>
      </c>
      <c r="C3727">
        <v>60</v>
      </c>
      <c r="D3727" t="s">
        <v>10</v>
      </c>
      <c r="E3727" t="s">
        <v>1488</v>
      </c>
      <c r="F3727" s="43">
        <v>44717.729166666664</v>
      </c>
      <c r="G3727" s="43">
        <v>44717.770833333336</v>
      </c>
      <c r="H3727">
        <v>17</v>
      </c>
      <c r="I3727">
        <v>30</v>
      </c>
      <c r="J3727">
        <v>18</v>
      </c>
      <c r="K3727">
        <v>30</v>
      </c>
      <c r="L3727">
        <v>2022</v>
      </c>
      <c r="N3727" t="s">
        <v>47</v>
      </c>
      <c r="O3727" t="s">
        <v>47</v>
      </c>
      <c r="P3727" t="s">
        <v>1491</v>
      </c>
    </row>
    <row r="3728" spans="1:16" x14ac:dyDescent="0.3">
      <c r="A3728" t="s">
        <v>1487</v>
      </c>
      <c r="C3728">
        <v>50</v>
      </c>
      <c r="D3728" t="s">
        <v>10</v>
      </c>
      <c r="E3728" t="s">
        <v>1488</v>
      </c>
      <c r="F3728" s="43">
        <v>44717.645833333336</v>
      </c>
      <c r="G3728" s="43">
        <v>44717.680555555555</v>
      </c>
      <c r="H3728">
        <v>15</v>
      </c>
      <c r="I3728">
        <v>30</v>
      </c>
      <c r="J3728">
        <v>16</v>
      </c>
      <c r="K3728">
        <v>20</v>
      </c>
      <c r="L3728">
        <v>2022</v>
      </c>
      <c r="N3728" t="s">
        <v>47</v>
      </c>
      <c r="O3728" t="s">
        <v>47</v>
      </c>
      <c r="P3728" t="s">
        <v>1492</v>
      </c>
    </row>
    <row r="3729" spans="1:16" x14ac:dyDescent="0.3">
      <c r="A3729" t="s">
        <v>1487</v>
      </c>
      <c r="C3729">
        <v>75</v>
      </c>
      <c r="D3729" t="s">
        <v>10</v>
      </c>
      <c r="E3729" t="s">
        <v>1488</v>
      </c>
      <c r="F3729" s="43">
        <v>44717.552083333336</v>
      </c>
      <c r="G3729" s="43">
        <v>44717.604166666664</v>
      </c>
      <c r="H3729">
        <v>13</v>
      </c>
      <c r="I3729">
        <v>15</v>
      </c>
      <c r="J3729">
        <v>14</v>
      </c>
      <c r="K3729">
        <v>30</v>
      </c>
      <c r="L3729">
        <v>2022</v>
      </c>
      <c r="N3729" t="s">
        <v>47</v>
      </c>
      <c r="O3729" t="s">
        <v>47</v>
      </c>
      <c r="P3729" t="s">
        <v>1493</v>
      </c>
    </row>
    <row r="3730" spans="1:16" x14ac:dyDescent="0.3">
      <c r="A3730" t="s">
        <v>1487</v>
      </c>
      <c r="B3730" t="s">
        <v>109</v>
      </c>
      <c r="C3730">
        <v>60</v>
      </c>
      <c r="D3730" t="s">
        <v>10</v>
      </c>
      <c r="E3730" t="s">
        <v>1488</v>
      </c>
      <c r="F3730" s="43">
        <v>44717.388888888891</v>
      </c>
      <c r="G3730" s="43">
        <v>44717.430555555555</v>
      </c>
      <c r="H3730">
        <v>9</v>
      </c>
      <c r="I3730">
        <v>20</v>
      </c>
      <c r="J3730">
        <v>10</v>
      </c>
      <c r="K3730">
        <v>20</v>
      </c>
      <c r="L3730">
        <v>2022</v>
      </c>
      <c r="N3730" t="s">
        <v>47</v>
      </c>
      <c r="O3730" t="s">
        <v>47</v>
      </c>
      <c r="P3730" t="s">
        <v>1494</v>
      </c>
    </row>
    <row r="3731" spans="1:16" x14ac:dyDescent="0.3">
      <c r="A3731" t="s">
        <v>1487</v>
      </c>
      <c r="B3731" t="s">
        <v>109</v>
      </c>
      <c r="C3731">
        <v>30</v>
      </c>
      <c r="D3731" t="s">
        <v>10</v>
      </c>
      <c r="F3731" s="43">
        <v>44717.25</v>
      </c>
      <c r="G3731" s="43">
        <v>44717.270833333336</v>
      </c>
      <c r="H3731">
        <v>6</v>
      </c>
      <c r="I3731">
        <v>0</v>
      </c>
      <c r="J3731">
        <v>6</v>
      </c>
      <c r="K3731">
        <v>30</v>
      </c>
      <c r="L3731">
        <v>2022</v>
      </c>
      <c r="N3731" t="s">
        <v>47</v>
      </c>
      <c r="O3731" t="s">
        <v>47</v>
      </c>
      <c r="P3731" t="s">
        <v>1495</v>
      </c>
    </row>
    <row r="3732" spans="1:16" x14ac:dyDescent="0.3">
      <c r="A3732" t="s">
        <v>1487</v>
      </c>
      <c r="C3732">
        <v>120</v>
      </c>
      <c r="D3732" t="s">
        <v>10</v>
      </c>
      <c r="E3732" t="s">
        <v>1488</v>
      </c>
      <c r="F3732" s="43">
        <v>44716.791666666664</v>
      </c>
      <c r="G3732" s="43">
        <v>44716.875</v>
      </c>
      <c r="H3732">
        <v>19</v>
      </c>
      <c r="I3732">
        <v>0</v>
      </c>
      <c r="J3732">
        <v>21</v>
      </c>
      <c r="K3732">
        <v>0</v>
      </c>
      <c r="L3732">
        <v>2022</v>
      </c>
      <c r="N3732" t="s">
        <v>47</v>
      </c>
      <c r="O3732" t="s">
        <v>47</v>
      </c>
      <c r="P3732" t="s">
        <v>1496</v>
      </c>
    </row>
    <row r="3733" spans="1:16" x14ac:dyDescent="0.3">
      <c r="A3733" t="s">
        <v>1487</v>
      </c>
      <c r="C3733">
        <v>50</v>
      </c>
      <c r="D3733" t="s">
        <v>10</v>
      </c>
      <c r="E3733" t="s">
        <v>1488</v>
      </c>
      <c r="F3733" s="43">
        <v>44716.666666666664</v>
      </c>
      <c r="G3733" s="43">
        <v>44716.701388888891</v>
      </c>
      <c r="H3733">
        <v>16</v>
      </c>
      <c r="I3733">
        <v>0</v>
      </c>
      <c r="J3733">
        <v>16</v>
      </c>
      <c r="K3733">
        <v>50</v>
      </c>
      <c r="L3733">
        <v>2022</v>
      </c>
      <c r="N3733" t="s">
        <v>47</v>
      </c>
      <c r="O3733" t="s">
        <v>47</v>
      </c>
      <c r="P3733" t="s">
        <v>1497</v>
      </c>
    </row>
    <row r="3734" spans="1:16" x14ac:dyDescent="0.3">
      <c r="A3734" t="s">
        <v>1487</v>
      </c>
      <c r="C3734">
        <v>60</v>
      </c>
      <c r="D3734" t="s">
        <v>10</v>
      </c>
      <c r="E3734" t="s">
        <v>1488</v>
      </c>
      <c r="F3734" s="43">
        <v>44716.583333333336</v>
      </c>
      <c r="G3734" s="43">
        <v>44716.625</v>
      </c>
      <c r="H3734">
        <v>14</v>
      </c>
      <c r="I3734">
        <v>0</v>
      </c>
      <c r="J3734">
        <v>15</v>
      </c>
      <c r="K3734">
        <v>0</v>
      </c>
      <c r="L3734">
        <v>2022</v>
      </c>
      <c r="N3734" t="s">
        <v>47</v>
      </c>
      <c r="O3734" t="s">
        <v>47</v>
      </c>
      <c r="P3734" t="s">
        <v>1498</v>
      </c>
    </row>
    <row r="3735" spans="1:16" x14ac:dyDescent="0.3">
      <c r="A3735" t="s">
        <v>1487</v>
      </c>
      <c r="C3735">
        <v>30</v>
      </c>
      <c r="D3735" t="s">
        <v>10</v>
      </c>
      <c r="E3735" t="s">
        <v>1488</v>
      </c>
      <c r="F3735" s="43">
        <v>44716.520833333336</v>
      </c>
      <c r="G3735" s="43">
        <v>44716.541666666664</v>
      </c>
      <c r="H3735">
        <v>12</v>
      </c>
      <c r="I3735">
        <v>30</v>
      </c>
      <c r="J3735">
        <v>13</v>
      </c>
      <c r="K3735">
        <v>0</v>
      </c>
      <c r="L3735">
        <v>2022</v>
      </c>
      <c r="N3735" t="s">
        <v>47</v>
      </c>
      <c r="O3735" t="s">
        <v>47</v>
      </c>
      <c r="P3735" t="s">
        <v>1499</v>
      </c>
    </row>
    <row r="3736" spans="1:16" x14ac:dyDescent="0.3">
      <c r="A3736" t="s">
        <v>1487</v>
      </c>
      <c r="C3736">
        <v>45</v>
      </c>
      <c r="D3736" t="s">
        <v>10</v>
      </c>
      <c r="E3736" t="s">
        <v>1488</v>
      </c>
      <c r="F3736" s="43">
        <v>44716.447916666664</v>
      </c>
      <c r="G3736" s="43">
        <v>44716.479166666664</v>
      </c>
      <c r="H3736">
        <v>10</v>
      </c>
      <c r="I3736">
        <v>45</v>
      </c>
      <c r="J3736">
        <v>11</v>
      </c>
      <c r="K3736">
        <v>30</v>
      </c>
      <c r="L3736">
        <v>2022</v>
      </c>
      <c r="N3736" t="s">
        <v>47</v>
      </c>
      <c r="O3736" t="s">
        <v>47</v>
      </c>
      <c r="P3736" t="s">
        <v>1500</v>
      </c>
    </row>
    <row r="3737" spans="1:16" x14ac:dyDescent="0.3">
      <c r="A3737" t="s">
        <v>8</v>
      </c>
      <c r="C3737">
        <v>45</v>
      </c>
      <c r="D3737" t="s">
        <v>10</v>
      </c>
      <c r="F3737" s="1">
        <v>44716.416666666664</v>
      </c>
      <c r="G3737" s="1">
        <v>44716.447916666664</v>
      </c>
      <c r="H3737">
        <v>10</v>
      </c>
      <c r="I3737">
        <v>0</v>
      </c>
      <c r="J3737">
        <v>10</v>
      </c>
      <c r="K3737">
        <v>45</v>
      </c>
      <c r="L3737">
        <v>2022</v>
      </c>
      <c r="O3737" t="s">
        <v>47</v>
      </c>
      <c r="P3737" t="s">
        <v>1501</v>
      </c>
    </row>
    <row r="3738" spans="1:16" x14ac:dyDescent="0.3">
      <c r="A3738" t="s">
        <v>1487</v>
      </c>
      <c r="C3738">
        <v>60</v>
      </c>
      <c r="D3738" t="s">
        <v>10</v>
      </c>
      <c r="F3738" s="43">
        <v>44716.229166666664</v>
      </c>
      <c r="G3738" s="43">
        <v>44716.270833333336</v>
      </c>
      <c r="H3738">
        <v>5</v>
      </c>
      <c r="I3738">
        <v>30</v>
      </c>
      <c r="J3738">
        <v>6</v>
      </c>
      <c r="K3738">
        <v>30</v>
      </c>
      <c r="L3738">
        <v>2022</v>
      </c>
      <c r="N3738" t="s">
        <v>47</v>
      </c>
      <c r="O3738" t="s">
        <v>47</v>
      </c>
      <c r="P3738" t="s">
        <v>1502</v>
      </c>
    </row>
    <row r="3739" spans="1:16" x14ac:dyDescent="0.3">
      <c r="A3739" t="s">
        <v>38</v>
      </c>
      <c r="C3739">
        <v>60</v>
      </c>
      <c r="D3739" t="s">
        <v>10</v>
      </c>
      <c r="F3739" s="43">
        <v>44715.791666666664</v>
      </c>
      <c r="G3739" s="43">
        <v>44715.833333333336</v>
      </c>
      <c r="H3739">
        <v>19</v>
      </c>
      <c r="I3739">
        <v>0</v>
      </c>
      <c r="J3739">
        <v>20</v>
      </c>
      <c r="K3739">
        <v>0</v>
      </c>
      <c r="L3739">
        <v>2022</v>
      </c>
      <c r="O3739" t="s">
        <v>47</v>
      </c>
      <c r="P3739" t="s">
        <v>1503</v>
      </c>
    </row>
    <row r="3740" spans="1:16" x14ac:dyDescent="0.3">
      <c r="A3740" t="s">
        <v>38</v>
      </c>
      <c r="C3740">
        <v>130</v>
      </c>
      <c r="D3740" t="s">
        <v>10</v>
      </c>
      <c r="F3740" s="43">
        <v>44715.645833333336</v>
      </c>
      <c r="G3740" s="43">
        <v>44715.736111111109</v>
      </c>
      <c r="H3740">
        <v>15</v>
      </c>
      <c r="I3740">
        <v>30</v>
      </c>
      <c r="J3740">
        <v>17</v>
      </c>
      <c r="K3740">
        <v>40</v>
      </c>
      <c r="L3740">
        <v>2022</v>
      </c>
      <c r="O3740" t="s">
        <v>47</v>
      </c>
      <c r="P3740" t="s">
        <v>1504</v>
      </c>
    </row>
    <row r="3741" spans="1:16" x14ac:dyDescent="0.3">
      <c r="A3741" t="s">
        <v>37</v>
      </c>
      <c r="C3741">
        <v>30</v>
      </c>
      <c r="D3741" t="s">
        <v>10</v>
      </c>
      <c r="F3741" s="43">
        <v>44715.59375</v>
      </c>
      <c r="G3741" s="43">
        <v>44715.614583333336</v>
      </c>
      <c r="H3741">
        <v>14</v>
      </c>
      <c r="I3741">
        <v>15</v>
      </c>
      <c r="J3741">
        <v>14</v>
      </c>
      <c r="K3741">
        <v>45</v>
      </c>
      <c r="L3741">
        <v>2022</v>
      </c>
      <c r="O3741" t="s">
        <v>47</v>
      </c>
      <c r="P3741" t="s">
        <v>1505</v>
      </c>
    </row>
    <row r="3742" spans="1:16" x14ac:dyDescent="0.3">
      <c r="A3742" t="s">
        <v>37</v>
      </c>
      <c r="C3742">
        <v>20</v>
      </c>
      <c r="D3742" t="s">
        <v>10</v>
      </c>
      <c r="F3742" s="43">
        <v>44715.541666666664</v>
      </c>
      <c r="G3742" s="43">
        <v>44715.555555555555</v>
      </c>
      <c r="H3742">
        <v>13</v>
      </c>
      <c r="I3742">
        <v>0</v>
      </c>
      <c r="J3742">
        <v>13</v>
      </c>
      <c r="K3742">
        <v>20</v>
      </c>
      <c r="L3742">
        <v>2022</v>
      </c>
      <c r="N3742" t="s">
        <v>47</v>
      </c>
      <c r="O3742" t="s">
        <v>47</v>
      </c>
      <c r="P3742" t="s">
        <v>1506</v>
      </c>
    </row>
    <row r="3743" spans="1:16" x14ac:dyDescent="0.3">
      <c r="A3743" t="s">
        <v>7</v>
      </c>
      <c r="C3743">
        <v>60</v>
      </c>
      <c r="D3743" t="s">
        <v>10</v>
      </c>
      <c r="F3743" s="43">
        <v>44715.5</v>
      </c>
      <c r="G3743" s="43">
        <v>44715.541666666664</v>
      </c>
      <c r="H3743">
        <v>12</v>
      </c>
      <c r="I3743">
        <v>0</v>
      </c>
      <c r="J3743">
        <v>13</v>
      </c>
      <c r="K3743">
        <v>0</v>
      </c>
      <c r="L3743">
        <v>2022</v>
      </c>
      <c r="N3743" t="s">
        <v>47</v>
      </c>
      <c r="O3743" t="s">
        <v>47</v>
      </c>
      <c r="P3743" t="s">
        <v>1508</v>
      </c>
    </row>
    <row r="3744" spans="1:16" x14ac:dyDescent="0.3">
      <c r="A3744" t="s">
        <v>37</v>
      </c>
      <c r="C3744">
        <v>30</v>
      </c>
      <c r="D3744" t="s">
        <v>10</v>
      </c>
      <c r="F3744" s="43">
        <v>44715.479166666664</v>
      </c>
      <c r="G3744" s="43">
        <v>44715.5</v>
      </c>
      <c r="H3744">
        <v>11</v>
      </c>
      <c r="I3744">
        <v>30</v>
      </c>
      <c r="J3744">
        <v>12</v>
      </c>
      <c r="K3744">
        <v>0</v>
      </c>
      <c r="L3744">
        <v>2022</v>
      </c>
      <c r="N3744" t="s">
        <v>47</v>
      </c>
      <c r="O3744" t="s">
        <v>47</v>
      </c>
      <c r="P3744" t="s">
        <v>1507</v>
      </c>
    </row>
    <row r="3745" spans="1:16" x14ac:dyDescent="0.3">
      <c r="A3745" t="s">
        <v>1524</v>
      </c>
      <c r="C3745">
        <v>90</v>
      </c>
      <c r="D3745" t="s">
        <v>10</v>
      </c>
      <c r="F3745" s="43">
        <v>44715.375</v>
      </c>
      <c r="G3745" s="43">
        <v>44715.4375</v>
      </c>
      <c r="H3745">
        <v>9</v>
      </c>
      <c r="I3745">
        <v>0</v>
      </c>
      <c r="J3745">
        <v>10</v>
      </c>
      <c r="K3745">
        <v>30</v>
      </c>
      <c r="L3745">
        <v>2022</v>
      </c>
      <c r="O3745" t="s">
        <v>47</v>
      </c>
      <c r="P3745" t="s">
        <v>1525</v>
      </c>
    </row>
    <row r="3746" spans="1:16" x14ac:dyDescent="0.3">
      <c r="A3746" t="s">
        <v>1528</v>
      </c>
      <c r="C3746">
        <v>30</v>
      </c>
      <c r="D3746" t="s">
        <v>10</v>
      </c>
      <c r="E3746" t="s">
        <v>1529</v>
      </c>
      <c r="F3746" s="43">
        <v>44715.34375</v>
      </c>
      <c r="G3746" s="43">
        <v>44715.364583333336</v>
      </c>
      <c r="H3746">
        <v>8</v>
      </c>
      <c r="I3746">
        <v>15</v>
      </c>
      <c r="J3746">
        <v>8</v>
      </c>
      <c r="K3746">
        <v>45</v>
      </c>
      <c r="L3746">
        <v>2022</v>
      </c>
      <c r="N3746" t="s">
        <v>1530</v>
      </c>
      <c r="O3746" t="s">
        <v>1134</v>
      </c>
      <c r="P3746" t="s">
        <v>1531</v>
      </c>
    </row>
    <row r="3747" spans="1:16" x14ac:dyDescent="0.3">
      <c r="A3747" t="s">
        <v>1509</v>
      </c>
      <c r="C3747">
        <v>15</v>
      </c>
      <c r="D3747" t="s">
        <v>10</v>
      </c>
      <c r="F3747" s="43">
        <v>44715.260416666664</v>
      </c>
      <c r="G3747" s="43">
        <v>44715.270833333336</v>
      </c>
      <c r="H3747">
        <v>6</v>
      </c>
      <c r="I3747">
        <v>15</v>
      </c>
      <c r="J3747">
        <v>6</v>
      </c>
      <c r="K3747">
        <v>30</v>
      </c>
      <c r="L3747">
        <v>2022</v>
      </c>
      <c r="N3747" t="s">
        <v>47</v>
      </c>
      <c r="O3747" t="s">
        <v>47</v>
      </c>
      <c r="P3747" t="s">
        <v>1510</v>
      </c>
    </row>
    <row r="3748" spans="1:16" x14ac:dyDescent="0.3">
      <c r="A3748" t="s">
        <v>1511</v>
      </c>
      <c r="B3748" t="s">
        <v>223</v>
      </c>
      <c r="C3748">
        <v>75</v>
      </c>
      <c r="D3748" t="s">
        <v>10</v>
      </c>
      <c r="E3748" t="s">
        <v>1512</v>
      </c>
      <c r="F3748" s="43">
        <v>44715.208333333336</v>
      </c>
      <c r="G3748" s="43">
        <v>44715.260416666664</v>
      </c>
      <c r="H3748">
        <v>5</v>
      </c>
      <c r="I3748">
        <v>0</v>
      </c>
      <c r="J3748">
        <v>6</v>
      </c>
      <c r="K3748">
        <v>15</v>
      </c>
      <c r="L3748">
        <v>2022</v>
      </c>
      <c r="N3748" t="s">
        <v>47</v>
      </c>
      <c r="O3748" t="s">
        <v>47</v>
      </c>
      <c r="P3748" t="s">
        <v>1513</v>
      </c>
    </row>
    <row r="3749" spans="1:16" x14ac:dyDescent="0.3">
      <c r="A3749" t="s">
        <v>1457</v>
      </c>
      <c r="C3749">
        <v>30</v>
      </c>
      <c r="D3749" t="s">
        <v>10</v>
      </c>
      <c r="F3749" s="43">
        <v>44714.8125</v>
      </c>
      <c r="G3749" s="43">
        <v>44714.833333333336</v>
      </c>
      <c r="H3749">
        <v>19</v>
      </c>
      <c r="I3749">
        <v>30</v>
      </c>
      <c r="J3749">
        <v>20</v>
      </c>
      <c r="K3749">
        <v>0</v>
      </c>
      <c r="L3749">
        <v>2022</v>
      </c>
      <c r="N3749" t="s">
        <v>47</v>
      </c>
      <c r="O3749" t="s">
        <v>47</v>
      </c>
      <c r="P3749" t="s">
        <v>1518</v>
      </c>
    </row>
    <row r="3750" spans="1:16" x14ac:dyDescent="0.3">
      <c r="A3750" t="s">
        <v>1468</v>
      </c>
      <c r="C3750">
        <v>60</v>
      </c>
      <c r="D3750" t="s">
        <v>10</v>
      </c>
      <c r="F3750" s="43">
        <v>44714.770833333336</v>
      </c>
      <c r="G3750" s="43">
        <v>44714.8125</v>
      </c>
      <c r="H3750">
        <v>18</v>
      </c>
      <c r="I3750">
        <v>30</v>
      </c>
      <c r="J3750">
        <v>19</v>
      </c>
      <c r="K3750">
        <v>30</v>
      </c>
      <c r="L3750">
        <v>2022</v>
      </c>
      <c r="N3750" t="s">
        <v>47</v>
      </c>
      <c r="O3750" t="s">
        <v>47</v>
      </c>
      <c r="P3750" t="s">
        <v>1520</v>
      </c>
    </row>
    <row r="3751" spans="1:16" x14ac:dyDescent="0.3">
      <c r="A3751" t="s">
        <v>1468</v>
      </c>
      <c r="C3751">
        <v>60</v>
      </c>
      <c r="D3751" t="s">
        <v>10</v>
      </c>
      <c r="F3751" s="43">
        <v>44714.666666666664</v>
      </c>
      <c r="G3751" s="43">
        <v>44714.708333333336</v>
      </c>
      <c r="H3751">
        <v>16</v>
      </c>
      <c r="I3751">
        <v>0</v>
      </c>
      <c r="J3751">
        <v>17</v>
      </c>
      <c r="K3751">
        <v>0</v>
      </c>
      <c r="L3751">
        <v>2022</v>
      </c>
      <c r="N3751" t="s">
        <v>47</v>
      </c>
      <c r="O3751" t="s">
        <v>47</v>
      </c>
      <c r="P3751" t="s">
        <v>1519</v>
      </c>
    </row>
    <row r="3752" spans="1:16" x14ac:dyDescent="0.3">
      <c r="A3752" t="s">
        <v>1468</v>
      </c>
      <c r="C3752">
        <v>45</v>
      </c>
      <c r="D3752" t="s">
        <v>10</v>
      </c>
      <c r="F3752" s="1">
        <v>44714.604166666664</v>
      </c>
      <c r="G3752" s="43">
        <v>44714.635416666664</v>
      </c>
      <c r="H3752">
        <v>14</v>
      </c>
      <c r="I3752">
        <v>30</v>
      </c>
      <c r="J3752">
        <v>15</v>
      </c>
      <c r="K3752">
        <v>15</v>
      </c>
      <c r="L3752">
        <v>2022</v>
      </c>
      <c r="N3752" t="s">
        <v>47</v>
      </c>
      <c r="O3752" t="s">
        <v>47</v>
      </c>
      <c r="P3752" t="s">
        <v>1521</v>
      </c>
    </row>
    <row r="3753" spans="1:16" x14ac:dyDescent="0.3">
      <c r="A3753" t="s">
        <v>1522</v>
      </c>
      <c r="C3753">
        <v>30</v>
      </c>
      <c r="D3753" t="s">
        <v>10</v>
      </c>
      <c r="F3753" s="43">
        <v>44714.583333333336</v>
      </c>
      <c r="G3753" s="43">
        <v>44714.604166666664</v>
      </c>
      <c r="H3753">
        <v>14</v>
      </c>
      <c r="I3753">
        <v>0</v>
      </c>
      <c r="J3753">
        <v>14</v>
      </c>
      <c r="K3753">
        <v>30</v>
      </c>
      <c r="L3753">
        <v>2022</v>
      </c>
      <c r="N3753" t="s">
        <v>47</v>
      </c>
      <c r="O3753" t="s">
        <v>47</v>
      </c>
      <c r="P3753" t="s">
        <v>1523</v>
      </c>
    </row>
    <row r="3754" spans="1:16" x14ac:dyDescent="0.3">
      <c r="A3754" t="s">
        <v>446</v>
      </c>
      <c r="C3754">
        <v>15</v>
      </c>
      <c r="D3754" t="s">
        <v>10</v>
      </c>
      <c r="F3754" s="43">
        <v>44714.520833333336</v>
      </c>
      <c r="G3754" s="43">
        <v>44714.53125</v>
      </c>
      <c r="H3754">
        <v>12</v>
      </c>
      <c r="I3754">
        <v>30</v>
      </c>
      <c r="J3754">
        <v>12</v>
      </c>
      <c r="K3754">
        <v>45</v>
      </c>
      <c r="L3754">
        <v>2022</v>
      </c>
      <c r="N3754" t="s">
        <v>47</v>
      </c>
      <c r="O3754" t="s">
        <v>47</v>
      </c>
      <c r="P3754" t="s">
        <v>1526</v>
      </c>
    </row>
    <row r="3755" spans="1:16" x14ac:dyDescent="0.3">
      <c r="A3755" t="s">
        <v>2133</v>
      </c>
      <c r="B3755" t="s">
        <v>20</v>
      </c>
      <c r="C3755">
        <v>60</v>
      </c>
      <c r="D3755" t="s">
        <v>10</v>
      </c>
      <c r="E3755" t="s">
        <v>2134</v>
      </c>
      <c r="F3755" s="43">
        <v>44714.479166666664</v>
      </c>
      <c r="G3755" s="43">
        <v>44714.520833333336</v>
      </c>
      <c r="H3755">
        <v>11</v>
      </c>
      <c r="I3755">
        <v>30</v>
      </c>
      <c r="J3755">
        <v>12</v>
      </c>
      <c r="K3755">
        <v>30</v>
      </c>
      <c r="L3755">
        <v>2022</v>
      </c>
      <c r="N3755" t="s">
        <v>2135</v>
      </c>
      <c r="O3755" t="s">
        <v>2136</v>
      </c>
      <c r="P3755" t="s">
        <v>2137</v>
      </c>
    </row>
    <row r="3756" spans="1:16" x14ac:dyDescent="0.3">
      <c r="A3756" t="s">
        <v>8</v>
      </c>
      <c r="C3756">
        <v>30</v>
      </c>
      <c r="D3756" t="s">
        <v>10</v>
      </c>
      <c r="F3756" s="43">
        <v>44714.4375</v>
      </c>
      <c r="G3756" s="43">
        <v>44714.458333333336</v>
      </c>
      <c r="H3756">
        <v>10</v>
      </c>
      <c r="I3756">
        <v>30</v>
      </c>
      <c r="J3756">
        <v>11</v>
      </c>
      <c r="K3756">
        <v>0</v>
      </c>
      <c r="L3756">
        <v>2022</v>
      </c>
      <c r="N3756" t="s">
        <v>47</v>
      </c>
      <c r="O3756" t="s">
        <v>47</v>
      </c>
      <c r="P3756" t="s">
        <v>1527</v>
      </c>
    </row>
    <row r="3757" spans="1:16" x14ac:dyDescent="0.3">
      <c r="A3757" t="s">
        <v>1534</v>
      </c>
      <c r="B3757" t="s">
        <v>20</v>
      </c>
      <c r="C3757">
        <v>30</v>
      </c>
      <c r="D3757" t="s">
        <v>10</v>
      </c>
      <c r="E3757" t="s">
        <v>1535</v>
      </c>
      <c r="F3757" s="43">
        <v>44714.416666666664</v>
      </c>
      <c r="G3757" s="43">
        <v>44714.4375</v>
      </c>
      <c r="H3757">
        <v>10</v>
      </c>
      <c r="I3757">
        <v>0</v>
      </c>
      <c r="J3757">
        <v>10</v>
      </c>
      <c r="K3757">
        <v>30</v>
      </c>
      <c r="L3757">
        <v>2022</v>
      </c>
      <c r="N3757" t="s">
        <v>1536</v>
      </c>
      <c r="O3757" t="s">
        <v>1537</v>
      </c>
      <c r="P3757" t="s">
        <v>1538</v>
      </c>
    </row>
    <row r="3758" spans="1:16" x14ac:dyDescent="0.3">
      <c r="A3758" t="s">
        <v>1532</v>
      </c>
      <c r="C3758">
        <v>60</v>
      </c>
      <c r="D3758" t="s">
        <v>10</v>
      </c>
      <c r="F3758" s="43">
        <v>44714.375</v>
      </c>
      <c r="G3758" s="43">
        <v>44714.416666666664</v>
      </c>
      <c r="H3758">
        <v>9</v>
      </c>
      <c r="I3758">
        <v>0</v>
      </c>
      <c r="J3758">
        <v>10</v>
      </c>
      <c r="K3758">
        <v>0</v>
      </c>
      <c r="L3758">
        <v>2022</v>
      </c>
      <c r="N3758" t="s">
        <v>47</v>
      </c>
      <c r="O3758" t="s">
        <v>47</v>
      </c>
      <c r="P3758" t="s">
        <v>1533</v>
      </c>
    </row>
    <row r="3759" spans="1:16" x14ac:dyDescent="0.3">
      <c r="A3759" t="s">
        <v>8</v>
      </c>
      <c r="C3759">
        <v>30</v>
      </c>
      <c r="D3759" t="s">
        <v>10</v>
      </c>
      <c r="F3759" s="43">
        <v>44714.3125</v>
      </c>
      <c r="G3759" s="43">
        <v>44714.333333333336</v>
      </c>
      <c r="H3759">
        <v>7</v>
      </c>
      <c r="I3759">
        <v>30</v>
      </c>
      <c r="J3759">
        <v>8</v>
      </c>
      <c r="K3759">
        <v>0</v>
      </c>
      <c r="L3759">
        <v>2022</v>
      </c>
      <c r="N3759" t="s">
        <v>47</v>
      </c>
      <c r="O3759" t="s">
        <v>47</v>
      </c>
      <c r="P3759" t="s">
        <v>1539</v>
      </c>
    </row>
    <row r="3760" spans="1:16" x14ac:dyDescent="0.3">
      <c r="A3760" t="s">
        <v>1468</v>
      </c>
      <c r="C3760">
        <v>60</v>
      </c>
      <c r="D3760" t="s">
        <v>10</v>
      </c>
      <c r="E3760" t="s">
        <v>1540</v>
      </c>
      <c r="F3760" s="43">
        <v>44714.229166666664</v>
      </c>
      <c r="G3760" s="43">
        <v>44714.270833333336</v>
      </c>
      <c r="H3760">
        <v>5</v>
      </c>
      <c r="I3760">
        <v>30</v>
      </c>
      <c r="J3760">
        <v>6</v>
      </c>
      <c r="K3760">
        <v>30</v>
      </c>
      <c r="L3760">
        <v>2022</v>
      </c>
      <c r="N3760" t="s">
        <v>47</v>
      </c>
      <c r="O3760" t="s">
        <v>47</v>
      </c>
      <c r="P3760" t="s">
        <v>1541</v>
      </c>
    </row>
    <row r="3761" spans="1:16" x14ac:dyDescent="0.3">
      <c r="A3761" t="s">
        <v>34</v>
      </c>
      <c r="C3761">
        <v>60</v>
      </c>
      <c r="D3761" t="s">
        <v>10</v>
      </c>
      <c r="F3761" s="43">
        <v>44713.802083333336</v>
      </c>
      <c r="G3761" s="43">
        <v>44713.84375</v>
      </c>
      <c r="H3761">
        <v>19</v>
      </c>
      <c r="I3761">
        <v>15</v>
      </c>
      <c r="J3761">
        <v>20</v>
      </c>
      <c r="K3761">
        <v>15</v>
      </c>
      <c r="L3761">
        <v>2022</v>
      </c>
      <c r="N3761" t="s">
        <v>47</v>
      </c>
      <c r="O3761" t="s">
        <v>47</v>
      </c>
      <c r="P3761" t="s">
        <v>1545</v>
      </c>
    </row>
    <row r="3762" spans="1:16" x14ac:dyDescent="0.3">
      <c r="A3762" t="s">
        <v>1468</v>
      </c>
      <c r="C3762">
        <v>30</v>
      </c>
      <c r="D3762" t="s">
        <v>10</v>
      </c>
      <c r="E3762" t="s">
        <v>1540</v>
      </c>
      <c r="F3762" s="43">
        <v>44713.760416666664</v>
      </c>
      <c r="G3762" s="43">
        <v>44713.78125</v>
      </c>
      <c r="H3762">
        <v>18</v>
      </c>
      <c r="I3762">
        <v>15</v>
      </c>
      <c r="J3762">
        <v>18</v>
      </c>
      <c r="K3762">
        <v>45</v>
      </c>
      <c r="L3762">
        <v>2022</v>
      </c>
      <c r="O3762" t="s">
        <v>47</v>
      </c>
      <c r="P3762" t="s">
        <v>1546</v>
      </c>
    </row>
    <row r="3763" spans="1:16" x14ac:dyDescent="0.3">
      <c r="A3763" t="s">
        <v>446</v>
      </c>
      <c r="C3763">
        <v>60</v>
      </c>
      <c r="D3763" t="s">
        <v>10</v>
      </c>
      <c r="F3763" s="43">
        <v>44713.666666666664</v>
      </c>
      <c r="G3763" s="43">
        <v>44713.708333333336</v>
      </c>
      <c r="H3763">
        <v>16</v>
      </c>
      <c r="I3763">
        <v>0</v>
      </c>
      <c r="J3763">
        <v>17</v>
      </c>
      <c r="K3763">
        <v>0</v>
      </c>
      <c r="L3763">
        <v>2022</v>
      </c>
      <c r="O3763" t="s">
        <v>47</v>
      </c>
      <c r="P3763" t="s">
        <v>1547</v>
      </c>
    </row>
    <row r="3764" spans="1:16" x14ac:dyDescent="0.3">
      <c r="A3764" t="s">
        <v>34</v>
      </c>
      <c r="C3764">
        <v>60</v>
      </c>
      <c r="D3764" t="s">
        <v>10</v>
      </c>
      <c r="F3764" s="43">
        <v>44713.625</v>
      </c>
      <c r="G3764" s="43">
        <v>44713.666666666664</v>
      </c>
      <c r="H3764">
        <v>15</v>
      </c>
      <c r="I3764">
        <v>0</v>
      </c>
      <c r="J3764">
        <v>16</v>
      </c>
      <c r="K3764">
        <v>0</v>
      </c>
      <c r="L3764">
        <v>2022</v>
      </c>
      <c r="N3764" t="s">
        <v>47</v>
      </c>
      <c r="O3764" t="s">
        <v>47</v>
      </c>
      <c r="P3764" t="s">
        <v>1551</v>
      </c>
    </row>
    <row r="3765" spans="1:16" x14ac:dyDescent="0.3">
      <c r="A3765" t="s">
        <v>1549</v>
      </c>
      <c r="C3765">
        <v>30</v>
      </c>
      <c r="D3765" t="s">
        <v>10</v>
      </c>
      <c r="F3765" s="43">
        <v>44713.604166666664</v>
      </c>
      <c r="G3765" s="43">
        <v>44713.625</v>
      </c>
      <c r="H3765">
        <v>14</v>
      </c>
      <c r="I3765">
        <v>30</v>
      </c>
      <c r="J3765">
        <v>15</v>
      </c>
      <c r="K3765">
        <v>0</v>
      </c>
      <c r="L3765">
        <v>2022</v>
      </c>
      <c r="N3765" t="s">
        <v>47</v>
      </c>
      <c r="O3765" t="s">
        <v>47</v>
      </c>
      <c r="P3765" t="s">
        <v>1550</v>
      </c>
    </row>
    <row r="3766" spans="1:16" x14ac:dyDescent="0.3">
      <c r="A3766" t="s">
        <v>8</v>
      </c>
      <c r="C3766">
        <v>30</v>
      </c>
      <c r="D3766" t="s">
        <v>10</v>
      </c>
      <c r="F3766" s="43">
        <v>44713.5625</v>
      </c>
      <c r="G3766" s="43">
        <v>44713.583333333336</v>
      </c>
      <c r="H3766">
        <v>13</v>
      </c>
      <c r="I3766">
        <v>30</v>
      </c>
      <c r="J3766">
        <v>14</v>
      </c>
      <c r="K3766">
        <v>0</v>
      </c>
      <c r="L3766">
        <v>2022</v>
      </c>
      <c r="O3766" t="s">
        <v>47</v>
      </c>
      <c r="P3766" t="s">
        <v>1548</v>
      </c>
    </row>
    <row r="3767" spans="1:16" x14ac:dyDescent="0.3">
      <c r="A3767" t="s">
        <v>1552</v>
      </c>
      <c r="B3767" t="s">
        <v>223</v>
      </c>
      <c r="C3767">
        <v>45</v>
      </c>
      <c r="D3767" t="s">
        <v>10</v>
      </c>
      <c r="E3767" t="s">
        <v>1553</v>
      </c>
      <c r="F3767" s="43">
        <v>44713.510416666664</v>
      </c>
      <c r="G3767" s="43">
        <v>44713.541666666664</v>
      </c>
      <c r="H3767">
        <v>12</v>
      </c>
      <c r="I3767">
        <v>15</v>
      </c>
      <c r="J3767">
        <v>13</v>
      </c>
      <c r="K3767">
        <v>0</v>
      </c>
      <c r="L3767">
        <v>2022</v>
      </c>
      <c r="O3767" t="s">
        <v>47</v>
      </c>
      <c r="P3767" t="s">
        <v>1554</v>
      </c>
    </row>
    <row r="3768" spans="1:16" x14ac:dyDescent="0.3">
      <c r="A3768" t="s">
        <v>8</v>
      </c>
      <c r="C3768">
        <v>30</v>
      </c>
      <c r="D3768" t="s">
        <v>10</v>
      </c>
      <c r="F3768" s="43">
        <v>44713.479166666664</v>
      </c>
      <c r="G3768" s="43">
        <v>44713.5</v>
      </c>
      <c r="H3768">
        <v>11</v>
      </c>
      <c r="I3768">
        <v>30</v>
      </c>
      <c r="J3768">
        <v>12</v>
      </c>
      <c r="K3768">
        <v>0</v>
      </c>
      <c r="L3768">
        <v>2022</v>
      </c>
      <c r="N3768" t="s">
        <v>47</v>
      </c>
      <c r="O3768" t="s">
        <v>47</v>
      </c>
      <c r="P3768" t="s">
        <v>1555</v>
      </c>
    </row>
    <row r="3769" spans="1:16" x14ac:dyDescent="0.3">
      <c r="A3769" t="s">
        <v>1582</v>
      </c>
      <c r="C3769">
        <v>30</v>
      </c>
      <c r="D3769" t="s">
        <v>10</v>
      </c>
      <c r="E3769" t="s">
        <v>1583</v>
      </c>
      <c r="F3769" s="43">
        <v>44713.416666666664</v>
      </c>
      <c r="G3769" s="43">
        <v>44713.4375</v>
      </c>
      <c r="H3769">
        <v>10</v>
      </c>
      <c r="I3769">
        <v>0</v>
      </c>
      <c r="J3769">
        <v>10</v>
      </c>
      <c r="K3769">
        <v>30</v>
      </c>
      <c r="L3769">
        <v>2022</v>
      </c>
      <c r="N3769" t="s">
        <v>549</v>
      </c>
      <c r="O3769" t="s">
        <v>458</v>
      </c>
      <c r="P3769" t="s">
        <v>1584</v>
      </c>
    </row>
    <row r="3770" spans="1:16" x14ac:dyDescent="0.3">
      <c r="A3770" t="s">
        <v>1567</v>
      </c>
      <c r="C3770">
        <v>30</v>
      </c>
      <c r="D3770" t="s">
        <v>10</v>
      </c>
      <c r="E3770" t="s">
        <v>1568</v>
      </c>
      <c r="F3770" s="43">
        <v>44713.291666666664</v>
      </c>
      <c r="G3770" s="43">
        <v>44713.3125</v>
      </c>
      <c r="H3770">
        <v>7</v>
      </c>
      <c r="I3770">
        <v>0</v>
      </c>
      <c r="J3770">
        <v>7</v>
      </c>
      <c r="K3770">
        <v>30</v>
      </c>
      <c r="L3770">
        <v>2022</v>
      </c>
      <c r="N3770" t="s">
        <v>549</v>
      </c>
      <c r="O3770" t="s">
        <v>458</v>
      </c>
      <c r="P3770" t="s">
        <v>1569</v>
      </c>
    </row>
    <row r="3771" spans="1:16" x14ac:dyDescent="0.3">
      <c r="A3771" t="s">
        <v>1570</v>
      </c>
      <c r="C3771">
        <v>30</v>
      </c>
      <c r="D3771" t="s">
        <v>10</v>
      </c>
      <c r="F3771" s="43">
        <v>44713.25</v>
      </c>
      <c r="G3771" s="43">
        <v>44713.270833333336</v>
      </c>
      <c r="H3771">
        <v>6</v>
      </c>
      <c r="I3771">
        <v>0</v>
      </c>
      <c r="J3771">
        <v>6</v>
      </c>
      <c r="K3771">
        <v>30</v>
      </c>
      <c r="L3771">
        <v>2022</v>
      </c>
      <c r="N3771" t="s">
        <v>47</v>
      </c>
      <c r="O3771" t="s">
        <v>47</v>
      </c>
      <c r="P3771" t="s">
        <v>1571</v>
      </c>
    </row>
    <row r="3772" spans="1:16" x14ac:dyDescent="0.3">
      <c r="A3772" t="s">
        <v>8</v>
      </c>
      <c r="C3772">
        <v>30</v>
      </c>
      <c r="D3772" t="s">
        <v>10</v>
      </c>
      <c r="F3772" s="43">
        <v>44712.708333333336</v>
      </c>
      <c r="G3772" s="43">
        <v>44712.729166666664</v>
      </c>
      <c r="H3772">
        <v>17</v>
      </c>
      <c r="I3772">
        <v>0</v>
      </c>
      <c r="J3772">
        <v>17</v>
      </c>
      <c r="K3772">
        <v>30</v>
      </c>
      <c r="L3772">
        <v>2022</v>
      </c>
      <c r="N3772" t="s">
        <v>47</v>
      </c>
      <c r="O3772" t="s">
        <v>47</v>
      </c>
      <c r="P3772" t="s">
        <v>1572</v>
      </c>
    </row>
    <row r="3773" spans="1:16" x14ac:dyDescent="0.3">
      <c r="A3773" t="s">
        <v>7</v>
      </c>
      <c r="C3773">
        <v>60</v>
      </c>
      <c r="D3773" t="s">
        <v>10</v>
      </c>
      <c r="F3773" s="43">
        <v>44712.666666666664</v>
      </c>
      <c r="G3773" s="43">
        <v>44712.708333333336</v>
      </c>
      <c r="H3773">
        <v>16</v>
      </c>
      <c r="I3773">
        <v>0</v>
      </c>
      <c r="J3773">
        <v>17</v>
      </c>
      <c r="K3773">
        <v>0</v>
      </c>
      <c r="L3773">
        <v>2022</v>
      </c>
      <c r="O3773" t="s">
        <v>47</v>
      </c>
      <c r="P3773" t="s">
        <v>1574</v>
      </c>
    </row>
    <row r="3774" spans="1:16" x14ac:dyDescent="0.3">
      <c r="A3774" t="s">
        <v>8</v>
      </c>
      <c r="C3774">
        <v>30</v>
      </c>
      <c r="D3774" t="s">
        <v>10</v>
      </c>
      <c r="F3774" s="43">
        <v>44712.645833333336</v>
      </c>
      <c r="G3774" s="43">
        <v>44712.666666666664</v>
      </c>
      <c r="H3774">
        <v>15</v>
      </c>
      <c r="I3774">
        <v>30</v>
      </c>
      <c r="J3774">
        <v>16</v>
      </c>
      <c r="K3774">
        <v>0</v>
      </c>
      <c r="L3774">
        <v>2022</v>
      </c>
      <c r="O3774" t="s">
        <v>47</v>
      </c>
      <c r="P3774" t="s">
        <v>1573</v>
      </c>
    </row>
    <row r="3775" spans="1:16" x14ac:dyDescent="0.3">
      <c r="A3775" t="s">
        <v>1577</v>
      </c>
      <c r="C3775">
        <v>60</v>
      </c>
      <c r="D3775" t="s">
        <v>10</v>
      </c>
      <c r="F3775" s="43">
        <v>44712.5625</v>
      </c>
      <c r="G3775" s="43">
        <v>44712.604166666664</v>
      </c>
      <c r="H3775">
        <v>13</v>
      </c>
      <c r="I3775">
        <v>30</v>
      </c>
      <c r="J3775">
        <v>14</v>
      </c>
      <c r="K3775">
        <v>30</v>
      </c>
      <c r="L3775">
        <v>2022</v>
      </c>
      <c r="N3775" t="s">
        <v>47</v>
      </c>
      <c r="O3775" t="s">
        <v>47</v>
      </c>
      <c r="P3775" t="s">
        <v>1578</v>
      </c>
    </row>
    <row r="3776" spans="1:16" x14ac:dyDescent="0.3">
      <c r="A3776" t="s">
        <v>1579</v>
      </c>
      <c r="C3776">
        <v>30</v>
      </c>
      <c r="D3776" t="s">
        <v>10</v>
      </c>
      <c r="F3776" s="43">
        <v>44712.541666666664</v>
      </c>
      <c r="G3776" s="43">
        <v>44712.5625</v>
      </c>
      <c r="H3776">
        <v>13</v>
      </c>
      <c r="I3776">
        <v>0</v>
      </c>
      <c r="J3776">
        <v>13</v>
      </c>
      <c r="K3776">
        <v>30</v>
      </c>
      <c r="L3776">
        <v>2022</v>
      </c>
      <c r="N3776" t="s">
        <v>47</v>
      </c>
      <c r="O3776" t="s">
        <v>47</v>
      </c>
      <c r="P3776" t="s">
        <v>1580</v>
      </c>
    </row>
    <row r="3777" spans="1:16" x14ac:dyDescent="0.3">
      <c r="A3777" t="s">
        <v>1575</v>
      </c>
      <c r="C3777">
        <v>30</v>
      </c>
      <c r="D3777" t="s">
        <v>10</v>
      </c>
      <c r="F3777" s="43">
        <v>44712.5</v>
      </c>
      <c r="G3777" s="43">
        <v>44712.520833333336</v>
      </c>
      <c r="H3777">
        <v>12</v>
      </c>
      <c r="I3777">
        <v>0</v>
      </c>
      <c r="J3777">
        <v>12</v>
      </c>
      <c r="K3777">
        <v>30</v>
      </c>
      <c r="L3777">
        <v>2022</v>
      </c>
      <c r="N3777" t="s">
        <v>47</v>
      </c>
      <c r="O3777" t="s">
        <v>47</v>
      </c>
      <c r="P3777" t="s">
        <v>1576</v>
      </c>
    </row>
    <row r="3778" spans="1:16" x14ac:dyDescent="0.3">
      <c r="A3778" t="s">
        <v>1222</v>
      </c>
      <c r="C3778">
        <v>30</v>
      </c>
      <c r="D3778" t="s">
        <v>10</v>
      </c>
      <c r="F3778" s="43">
        <v>44712.479166666664</v>
      </c>
      <c r="G3778" s="43">
        <v>44712.5</v>
      </c>
      <c r="H3778">
        <v>11</v>
      </c>
      <c r="I3778">
        <v>30</v>
      </c>
      <c r="J3778">
        <v>12</v>
      </c>
      <c r="K3778">
        <v>0</v>
      </c>
      <c r="L3778">
        <v>2022</v>
      </c>
      <c r="N3778" t="s">
        <v>47</v>
      </c>
      <c r="O3778" t="s">
        <v>47</v>
      </c>
      <c r="P3778" t="s">
        <v>1581</v>
      </c>
    </row>
    <row r="3779" spans="1:16" x14ac:dyDescent="0.3">
      <c r="A3779" t="s">
        <v>1598</v>
      </c>
      <c r="C3779">
        <v>120</v>
      </c>
      <c r="D3779" t="s">
        <v>10</v>
      </c>
      <c r="E3779" t="s">
        <v>1599</v>
      </c>
      <c r="F3779" s="43">
        <v>44712.333333333336</v>
      </c>
      <c r="G3779" s="43">
        <v>44712.416666666664</v>
      </c>
      <c r="H3779">
        <v>8</v>
      </c>
      <c r="I3779">
        <v>0</v>
      </c>
      <c r="J3779">
        <v>10</v>
      </c>
      <c r="K3779">
        <v>0</v>
      </c>
      <c r="L3779">
        <v>2022</v>
      </c>
      <c r="N3779" t="s">
        <v>1600</v>
      </c>
      <c r="O3779" t="s">
        <v>1601</v>
      </c>
      <c r="P3779" t="s">
        <v>1602</v>
      </c>
    </row>
    <row r="3780" spans="1:16" x14ac:dyDescent="0.3">
      <c r="A3780" t="s">
        <v>1585</v>
      </c>
      <c r="C3780">
        <v>60</v>
      </c>
      <c r="D3780" t="s">
        <v>10</v>
      </c>
      <c r="F3780" s="43">
        <v>44712.291666666664</v>
      </c>
      <c r="G3780" s="43">
        <v>44712.333333333336</v>
      </c>
      <c r="H3780">
        <v>7</v>
      </c>
      <c r="I3780">
        <v>0</v>
      </c>
      <c r="J3780">
        <v>8</v>
      </c>
      <c r="K3780">
        <v>0</v>
      </c>
      <c r="L3780">
        <v>2022</v>
      </c>
      <c r="N3780" t="s">
        <v>47</v>
      </c>
      <c r="O3780" t="s">
        <v>47</v>
      </c>
      <c r="P3780" t="s">
        <v>1586</v>
      </c>
    </row>
    <row r="3781" spans="1:16" x14ac:dyDescent="0.3">
      <c r="A3781" t="s">
        <v>1595</v>
      </c>
      <c r="C3781">
        <v>90</v>
      </c>
      <c r="D3781" t="s">
        <v>10</v>
      </c>
      <c r="F3781" s="43">
        <v>44712.208333333336</v>
      </c>
      <c r="G3781" s="43">
        <v>44712.270833333336</v>
      </c>
      <c r="H3781">
        <v>5</v>
      </c>
      <c r="I3781">
        <v>0</v>
      </c>
      <c r="J3781">
        <v>6</v>
      </c>
      <c r="K3781">
        <v>30</v>
      </c>
      <c r="L3781">
        <v>2022</v>
      </c>
      <c r="N3781" t="s">
        <v>47</v>
      </c>
      <c r="O3781" t="s">
        <v>47</v>
      </c>
      <c r="P3781" t="s">
        <v>1596</v>
      </c>
    </row>
    <row r="3782" spans="1:16" x14ac:dyDescent="0.3">
      <c r="A3782" t="s">
        <v>1394</v>
      </c>
      <c r="B3782" t="s">
        <v>6</v>
      </c>
      <c r="C3782">
        <v>60</v>
      </c>
      <c r="D3782" t="s">
        <v>10</v>
      </c>
      <c r="E3782" t="s">
        <v>787</v>
      </c>
      <c r="F3782" s="43">
        <v>44711.791666666664</v>
      </c>
      <c r="G3782" s="43">
        <v>44711.833333333336</v>
      </c>
      <c r="H3782">
        <v>19</v>
      </c>
      <c r="I3782">
        <v>0</v>
      </c>
      <c r="J3782">
        <v>20</v>
      </c>
      <c r="K3782">
        <v>0</v>
      </c>
      <c r="L3782">
        <v>2022</v>
      </c>
      <c r="N3782" t="s">
        <v>47</v>
      </c>
      <c r="O3782" t="s">
        <v>47</v>
      </c>
      <c r="P3782" t="s">
        <v>1597</v>
      </c>
    </row>
    <row r="3783" spans="1:16" x14ac:dyDescent="0.3">
      <c r="A3783" t="s">
        <v>1603</v>
      </c>
      <c r="C3783">
        <v>30</v>
      </c>
      <c r="D3783" t="s">
        <v>10</v>
      </c>
      <c r="F3783" s="43">
        <v>44711.708333333336</v>
      </c>
      <c r="G3783" s="43">
        <v>44711.729166666664</v>
      </c>
      <c r="H3783">
        <v>17</v>
      </c>
      <c r="I3783">
        <v>0</v>
      </c>
      <c r="J3783">
        <v>17</v>
      </c>
      <c r="K3783">
        <v>30</v>
      </c>
      <c r="L3783">
        <v>2022</v>
      </c>
      <c r="N3783" t="s">
        <v>47</v>
      </c>
      <c r="O3783" t="s">
        <v>47</v>
      </c>
      <c r="P3783" t="s">
        <v>1604</v>
      </c>
    </row>
    <row r="3784" spans="1:16" x14ac:dyDescent="0.3">
      <c r="A3784" t="s">
        <v>36</v>
      </c>
      <c r="C3784">
        <v>60</v>
      </c>
      <c r="D3784" t="s">
        <v>10</v>
      </c>
      <c r="F3784" s="43">
        <v>44711.666666666664</v>
      </c>
      <c r="G3784" s="43">
        <v>44711.708333333336</v>
      </c>
      <c r="H3784">
        <v>16</v>
      </c>
      <c r="I3784">
        <v>0</v>
      </c>
      <c r="J3784">
        <v>17</v>
      </c>
      <c r="K3784">
        <v>0</v>
      </c>
      <c r="L3784">
        <v>2022</v>
      </c>
      <c r="N3784" t="s">
        <v>47</v>
      </c>
      <c r="O3784" t="s">
        <v>47</v>
      </c>
      <c r="P3784" t="s">
        <v>1607</v>
      </c>
    </row>
    <row r="3785" spans="1:16" x14ac:dyDescent="0.3">
      <c r="A3785" t="s">
        <v>1605</v>
      </c>
      <c r="C3785">
        <v>30</v>
      </c>
      <c r="D3785" t="s">
        <v>10</v>
      </c>
      <c r="F3785" s="43">
        <v>44711.625</v>
      </c>
      <c r="G3785" s="43">
        <v>44711.645833333336</v>
      </c>
      <c r="H3785">
        <v>15</v>
      </c>
      <c r="I3785">
        <v>0</v>
      </c>
      <c r="J3785">
        <v>15</v>
      </c>
      <c r="K3785">
        <v>30</v>
      </c>
      <c r="L3785">
        <v>2022</v>
      </c>
      <c r="N3785" t="s">
        <v>47</v>
      </c>
      <c r="O3785" t="s">
        <v>47</v>
      </c>
      <c r="P3785" t="s">
        <v>1606</v>
      </c>
    </row>
    <row r="3786" spans="1:16" x14ac:dyDescent="0.3">
      <c r="A3786" t="s">
        <v>1610</v>
      </c>
      <c r="C3786">
        <v>80</v>
      </c>
      <c r="D3786" t="s">
        <v>10</v>
      </c>
      <c r="F3786" s="43">
        <v>44711.555555555555</v>
      </c>
      <c r="G3786" s="43">
        <v>44711.611111111109</v>
      </c>
      <c r="H3786">
        <v>13</v>
      </c>
      <c r="I3786">
        <v>20</v>
      </c>
      <c r="J3786">
        <v>14</v>
      </c>
      <c r="K3786">
        <v>40</v>
      </c>
      <c r="L3786">
        <v>2022</v>
      </c>
      <c r="N3786" t="s">
        <v>47</v>
      </c>
      <c r="O3786" t="s">
        <v>47</v>
      </c>
      <c r="P3786" t="s">
        <v>1611</v>
      </c>
    </row>
    <row r="3787" spans="1:16" x14ac:dyDescent="0.3">
      <c r="A3787" t="s">
        <v>7</v>
      </c>
      <c r="C3787">
        <v>60</v>
      </c>
      <c r="D3787" t="s">
        <v>10</v>
      </c>
      <c r="F3787" s="43">
        <v>44711.458333333336</v>
      </c>
      <c r="G3787" s="43">
        <v>44711.5</v>
      </c>
      <c r="H3787">
        <v>11</v>
      </c>
      <c r="I3787">
        <v>0</v>
      </c>
      <c r="J3787">
        <v>12</v>
      </c>
      <c r="K3787">
        <v>0</v>
      </c>
      <c r="L3787">
        <v>2022</v>
      </c>
      <c r="N3787" t="s">
        <v>47</v>
      </c>
      <c r="O3787" t="s">
        <v>47</v>
      </c>
      <c r="P3787" t="s">
        <v>1608</v>
      </c>
    </row>
    <row r="3788" spans="1:16" x14ac:dyDescent="0.3">
      <c r="A3788" t="s">
        <v>17</v>
      </c>
      <c r="C3788">
        <v>30</v>
      </c>
      <c r="D3788" t="s">
        <v>10</v>
      </c>
      <c r="F3788" s="43">
        <v>44711.4375</v>
      </c>
      <c r="G3788" s="43">
        <v>44711.458333333336</v>
      </c>
      <c r="H3788">
        <v>10</v>
      </c>
      <c r="I3788">
        <v>30</v>
      </c>
      <c r="J3788">
        <v>11</v>
      </c>
      <c r="K3788">
        <v>0</v>
      </c>
      <c r="L3788">
        <v>2022</v>
      </c>
      <c r="N3788" t="s">
        <v>47</v>
      </c>
      <c r="O3788" t="s">
        <v>47</v>
      </c>
      <c r="P3788" t="s">
        <v>1609</v>
      </c>
    </row>
    <row r="3789" spans="1:16" x14ac:dyDescent="0.3">
      <c r="A3789" t="s">
        <v>1661</v>
      </c>
      <c r="C3789">
        <v>30</v>
      </c>
      <c r="D3789" t="s">
        <v>10</v>
      </c>
      <c r="E3789" t="s">
        <v>1662</v>
      </c>
      <c r="F3789" s="43">
        <v>44711.416666666664</v>
      </c>
      <c r="G3789" s="43">
        <v>44711.4375</v>
      </c>
      <c r="H3789">
        <v>10</v>
      </c>
      <c r="I3789">
        <v>0</v>
      </c>
      <c r="J3789">
        <v>10</v>
      </c>
      <c r="K3789">
        <v>30</v>
      </c>
      <c r="L3789">
        <v>2022</v>
      </c>
      <c r="N3789" t="s">
        <v>1663</v>
      </c>
      <c r="O3789" t="s">
        <v>458</v>
      </c>
      <c r="P3789" t="s">
        <v>1664</v>
      </c>
    </row>
    <row r="3790" spans="1:16" x14ac:dyDescent="0.3">
      <c r="A3790" t="s">
        <v>1341</v>
      </c>
      <c r="C3790">
        <v>30</v>
      </c>
      <c r="D3790" t="s">
        <v>10</v>
      </c>
      <c r="F3790" s="43">
        <v>44711.375</v>
      </c>
      <c r="G3790" s="43">
        <v>44711.395833333336</v>
      </c>
      <c r="H3790">
        <v>9</v>
      </c>
      <c r="I3790">
        <v>0</v>
      </c>
      <c r="J3790">
        <v>9</v>
      </c>
      <c r="K3790">
        <v>30</v>
      </c>
      <c r="L3790">
        <v>2022</v>
      </c>
      <c r="N3790" t="s">
        <v>47</v>
      </c>
      <c r="O3790" t="s">
        <v>47</v>
      </c>
      <c r="P3790" t="s">
        <v>1612</v>
      </c>
    </row>
    <row r="3791" spans="1:16" x14ac:dyDescent="0.3">
      <c r="A3791" t="s">
        <v>1614</v>
      </c>
      <c r="C3791">
        <v>30</v>
      </c>
      <c r="D3791" t="s">
        <v>10</v>
      </c>
      <c r="F3791" s="43">
        <v>44711.3125</v>
      </c>
      <c r="G3791" s="43">
        <v>44711.333333333336</v>
      </c>
      <c r="H3791">
        <v>7</v>
      </c>
      <c r="I3791">
        <v>30</v>
      </c>
      <c r="J3791">
        <v>8</v>
      </c>
      <c r="K3791">
        <v>0</v>
      </c>
      <c r="L3791">
        <v>2022</v>
      </c>
      <c r="N3791" t="s">
        <v>47</v>
      </c>
      <c r="O3791" t="s">
        <v>47</v>
      </c>
      <c r="P3791" t="s">
        <v>1615</v>
      </c>
    </row>
    <row r="3792" spans="1:16" x14ac:dyDescent="0.3">
      <c r="A3792" t="s">
        <v>1616</v>
      </c>
      <c r="C3792">
        <v>30</v>
      </c>
      <c r="D3792" t="s">
        <v>10</v>
      </c>
      <c r="E3792" t="s">
        <v>1617</v>
      </c>
      <c r="F3792" s="43">
        <v>44711.270833333336</v>
      </c>
      <c r="G3792" s="43">
        <v>44711.291666666664</v>
      </c>
      <c r="H3792">
        <v>6</v>
      </c>
      <c r="I3792">
        <v>30</v>
      </c>
      <c r="J3792">
        <v>7</v>
      </c>
      <c r="K3792">
        <v>0</v>
      </c>
      <c r="L3792">
        <v>2022</v>
      </c>
      <c r="N3792" t="s">
        <v>549</v>
      </c>
      <c r="O3792" t="s">
        <v>458</v>
      </c>
      <c r="P3792" t="s">
        <v>1618</v>
      </c>
    </row>
    <row r="3793" spans="1:16" x14ac:dyDescent="0.3">
      <c r="A3793" t="s">
        <v>827</v>
      </c>
      <c r="C3793">
        <v>60</v>
      </c>
      <c r="D3793" t="s">
        <v>10</v>
      </c>
      <c r="F3793" s="43">
        <v>44711.229166666664</v>
      </c>
      <c r="G3793" s="43">
        <v>44711.270833333336</v>
      </c>
      <c r="H3793">
        <v>5</v>
      </c>
      <c r="I3793">
        <v>30</v>
      </c>
      <c r="J3793">
        <v>6</v>
      </c>
      <c r="K3793">
        <v>30</v>
      </c>
      <c r="L3793">
        <v>2022</v>
      </c>
      <c r="N3793" t="s">
        <v>47</v>
      </c>
      <c r="O3793" t="s">
        <v>47</v>
      </c>
      <c r="P3793" t="s">
        <v>1613</v>
      </c>
    </row>
    <row r="3794" spans="1:16" x14ac:dyDescent="0.3">
      <c r="A3794" t="s">
        <v>8</v>
      </c>
      <c r="C3794">
        <v>60</v>
      </c>
      <c r="D3794" t="s">
        <v>10</v>
      </c>
      <c r="F3794" s="43">
        <v>44710.75</v>
      </c>
      <c r="G3794" s="43">
        <v>44710.791666666664</v>
      </c>
      <c r="H3794">
        <v>18</v>
      </c>
      <c r="I3794">
        <v>0</v>
      </c>
      <c r="J3794">
        <v>19</v>
      </c>
      <c r="K3794">
        <v>0</v>
      </c>
      <c r="L3794">
        <v>2022</v>
      </c>
      <c r="N3794" t="s">
        <v>47</v>
      </c>
      <c r="O3794" t="s">
        <v>47</v>
      </c>
      <c r="P3794" t="s">
        <v>1591</v>
      </c>
    </row>
    <row r="3795" spans="1:16" x14ac:dyDescent="0.3">
      <c r="A3795" t="s">
        <v>1593</v>
      </c>
      <c r="C3795">
        <v>90</v>
      </c>
      <c r="D3795" t="s">
        <v>10</v>
      </c>
      <c r="F3795" s="43">
        <v>44710.583333333336</v>
      </c>
      <c r="G3795" s="43">
        <v>44710.645833333336</v>
      </c>
      <c r="H3795">
        <v>14</v>
      </c>
      <c r="I3795">
        <v>0</v>
      </c>
      <c r="J3795">
        <v>15</v>
      </c>
      <c r="K3795">
        <v>30</v>
      </c>
      <c r="L3795">
        <v>2022</v>
      </c>
      <c r="N3795" t="s">
        <v>47</v>
      </c>
      <c r="O3795" t="s">
        <v>47</v>
      </c>
      <c r="P3795" t="s">
        <v>1594</v>
      </c>
    </row>
    <row r="3796" spans="1:16" x14ac:dyDescent="0.3">
      <c r="A3796" t="s">
        <v>1394</v>
      </c>
      <c r="B3796" t="s">
        <v>6</v>
      </c>
      <c r="C3796">
        <v>90</v>
      </c>
      <c r="D3796" t="s">
        <v>10</v>
      </c>
      <c r="E3796" t="s">
        <v>787</v>
      </c>
      <c r="F3796" s="43">
        <v>44710.458333333336</v>
      </c>
      <c r="G3796" s="43">
        <v>44710.520833333336</v>
      </c>
      <c r="H3796">
        <v>11</v>
      </c>
      <c r="I3796">
        <v>0</v>
      </c>
      <c r="J3796">
        <v>12</v>
      </c>
      <c r="K3796">
        <v>30</v>
      </c>
      <c r="L3796">
        <v>2022</v>
      </c>
      <c r="N3796" t="s">
        <v>47</v>
      </c>
      <c r="O3796" t="s">
        <v>47</v>
      </c>
      <c r="P3796" t="s">
        <v>1592</v>
      </c>
    </row>
    <row r="3797" spans="1:16" x14ac:dyDescent="0.3">
      <c r="A3797" t="s">
        <v>1394</v>
      </c>
      <c r="B3797" t="s">
        <v>6</v>
      </c>
      <c r="C3797">
        <v>70</v>
      </c>
      <c r="D3797" t="s">
        <v>10</v>
      </c>
      <c r="E3797" t="s">
        <v>787</v>
      </c>
      <c r="F3797" s="43">
        <v>44710.208333333336</v>
      </c>
      <c r="G3797" s="43">
        <v>44710.256944444445</v>
      </c>
      <c r="H3797">
        <v>5</v>
      </c>
      <c r="I3797">
        <v>0</v>
      </c>
      <c r="J3797">
        <v>6</v>
      </c>
      <c r="K3797">
        <v>10</v>
      </c>
      <c r="L3797">
        <v>2022</v>
      </c>
      <c r="N3797" t="s">
        <v>47</v>
      </c>
      <c r="O3797" t="s">
        <v>47</v>
      </c>
      <c r="P3797" t="s">
        <v>1619</v>
      </c>
    </row>
    <row r="3798" spans="1:16" x14ac:dyDescent="0.3">
      <c r="A3798" t="s">
        <v>1394</v>
      </c>
      <c r="B3798" t="s">
        <v>6</v>
      </c>
      <c r="C3798">
        <v>70</v>
      </c>
      <c r="D3798" t="s">
        <v>10</v>
      </c>
      <c r="E3798" t="s">
        <v>787</v>
      </c>
      <c r="F3798" s="43">
        <v>44709.784722222219</v>
      </c>
      <c r="G3798" s="43">
        <v>44709.833333333336</v>
      </c>
      <c r="H3798">
        <v>18</v>
      </c>
      <c r="I3798">
        <v>50</v>
      </c>
      <c r="J3798">
        <v>20</v>
      </c>
      <c r="K3798">
        <v>0</v>
      </c>
      <c r="L3798">
        <v>2022</v>
      </c>
      <c r="N3798" t="s">
        <v>47</v>
      </c>
      <c r="O3798" t="s">
        <v>47</v>
      </c>
      <c r="P3798" t="s">
        <v>1620</v>
      </c>
    </row>
    <row r="3799" spans="1:16" x14ac:dyDescent="0.3">
      <c r="A3799" t="s">
        <v>1394</v>
      </c>
      <c r="B3799" t="s">
        <v>6</v>
      </c>
      <c r="C3799">
        <v>90</v>
      </c>
      <c r="D3799" t="s">
        <v>10</v>
      </c>
      <c r="E3799" t="s">
        <v>787</v>
      </c>
      <c r="F3799" s="43">
        <v>44709.645833333336</v>
      </c>
      <c r="G3799" s="43">
        <v>44709.708333333336</v>
      </c>
      <c r="H3799">
        <v>15</v>
      </c>
      <c r="I3799">
        <v>30</v>
      </c>
      <c r="J3799">
        <v>17</v>
      </c>
      <c r="K3799">
        <v>0</v>
      </c>
      <c r="L3799">
        <v>2022</v>
      </c>
      <c r="N3799" t="s">
        <v>47</v>
      </c>
      <c r="O3799" t="s">
        <v>47</v>
      </c>
      <c r="P3799" t="s">
        <v>1621</v>
      </c>
    </row>
    <row r="3800" spans="1:16" x14ac:dyDescent="0.3">
      <c r="A3800" t="s">
        <v>1622</v>
      </c>
      <c r="B3800" t="s">
        <v>6</v>
      </c>
      <c r="C3800">
        <v>77</v>
      </c>
      <c r="D3800" t="s">
        <v>10</v>
      </c>
      <c r="E3800" t="s">
        <v>787</v>
      </c>
      <c r="F3800" s="43">
        <v>44709.520833333336</v>
      </c>
      <c r="G3800" s="43">
        <v>44709.574305555558</v>
      </c>
      <c r="H3800">
        <v>12</v>
      </c>
      <c r="I3800">
        <v>30</v>
      </c>
      <c r="J3800">
        <v>13</v>
      </c>
      <c r="K3800">
        <v>47</v>
      </c>
      <c r="L3800">
        <v>2022</v>
      </c>
      <c r="N3800" t="s">
        <v>47</v>
      </c>
      <c r="O3800" t="s">
        <v>47</v>
      </c>
      <c r="P3800" t="s">
        <v>1623</v>
      </c>
    </row>
    <row r="3801" spans="1:16" x14ac:dyDescent="0.3">
      <c r="A3801" t="s">
        <v>1624</v>
      </c>
      <c r="C3801">
        <v>70</v>
      </c>
      <c r="D3801" t="s">
        <v>10</v>
      </c>
      <c r="F3801" s="43">
        <v>44709.229166666664</v>
      </c>
      <c r="G3801" s="43">
        <v>44709.277777777781</v>
      </c>
      <c r="H3801">
        <v>5</v>
      </c>
      <c r="I3801">
        <v>30</v>
      </c>
      <c r="J3801">
        <v>6</v>
      </c>
      <c r="K3801">
        <v>40</v>
      </c>
      <c r="L3801">
        <v>2022</v>
      </c>
      <c r="N3801" t="s">
        <v>47</v>
      </c>
      <c r="O3801" t="s">
        <v>47</v>
      </c>
      <c r="P3801" t="s">
        <v>1625</v>
      </c>
    </row>
    <row r="3802" spans="1:16" x14ac:dyDescent="0.3">
      <c r="A3802" t="s">
        <v>1626</v>
      </c>
      <c r="C3802">
        <v>35</v>
      </c>
      <c r="D3802" t="s">
        <v>10</v>
      </c>
      <c r="F3802" s="43">
        <v>44708.729166666664</v>
      </c>
      <c r="G3802" s="43">
        <v>44708.753472222219</v>
      </c>
      <c r="H3802">
        <v>17</v>
      </c>
      <c r="I3802">
        <v>30</v>
      </c>
      <c r="J3802">
        <v>18</v>
      </c>
      <c r="K3802">
        <v>5</v>
      </c>
      <c r="L3802">
        <v>2022</v>
      </c>
      <c r="N3802" t="s">
        <v>47</v>
      </c>
      <c r="O3802" t="s">
        <v>47</v>
      </c>
      <c r="P3802" t="s">
        <v>1627</v>
      </c>
    </row>
    <row r="3803" spans="1:16" x14ac:dyDescent="0.3">
      <c r="A3803" t="s">
        <v>1291</v>
      </c>
      <c r="B3803" t="s">
        <v>6</v>
      </c>
      <c r="C3803">
        <v>60</v>
      </c>
      <c r="D3803" t="s">
        <v>10</v>
      </c>
      <c r="E3803" t="s">
        <v>787</v>
      </c>
      <c r="F3803" s="43">
        <v>44708.65625</v>
      </c>
      <c r="G3803" s="43">
        <v>44708.697916666664</v>
      </c>
      <c r="H3803">
        <v>15</v>
      </c>
      <c r="I3803">
        <v>45</v>
      </c>
      <c r="J3803">
        <v>16</v>
      </c>
      <c r="K3803">
        <v>45</v>
      </c>
      <c r="L3803">
        <v>2022</v>
      </c>
      <c r="N3803" t="s">
        <v>47</v>
      </c>
      <c r="O3803" t="s">
        <v>47</v>
      </c>
      <c r="P3803" t="s">
        <v>1628</v>
      </c>
    </row>
    <row r="3804" spans="1:16" x14ac:dyDescent="0.3">
      <c r="A3804" t="s">
        <v>7</v>
      </c>
      <c r="C3804">
        <v>60</v>
      </c>
      <c r="D3804" t="s">
        <v>10</v>
      </c>
      <c r="F3804" s="43">
        <v>44708.572916666664</v>
      </c>
      <c r="G3804" s="43">
        <v>44708.614583333336</v>
      </c>
      <c r="H3804">
        <v>13</v>
      </c>
      <c r="I3804">
        <v>45</v>
      </c>
      <c r="J3804">
        <v>14</v>
      </c>
      <c r="K3804">
        <v>45</v>
      </c>
      <c r="L3804">
        <v>2022</v>
      </c>
      <c r="N3804" t="s">
        <v>47</v>
      </c>
      <c r="O3804" t="s">
        <v>47</v>
      </c>
      <c r="P3804" t="s">
        <v>1631</v>
      </c>
    </row>
    <row r="3805" spans="1:16" x14ac:dyDescent="0.3">
      <c r="A3805" t="s">
        <v>8</v>
      </c>
      <c r="C3805">
        <v>15</v>
      </c>
      <c r="D3805" t="s">
        <v>10</v>
      </c>
      <c r="F3805" s="43">
        <v>44708.5625</v>
      </c>
      <c r="G3805" s="43">
        <v>44708.572916666664</v>
      </c>
      <c r="H3805">
        <v>13</v>
      </c>
      <c r="I3805">
        <v>30</v>
      </c>
      <c r="J3805">
        <v>13</v>
      </c>
      <c r="K3805">
        <v>45</v>
      </c>
      <c r="L3805">
        <v>2022</v>
      </c>
      <c r="N3805" t="s">
        <v>47</v>
      </c>
      <c r="O3805" t="s">
        <v>47</v>
      </c>
      <c r="P3805" t="s">
        <v>1630</v>
      </c>
    </row>
    <row r="3806" spans="1:16" x14ac:dyDescent="0.3">
      <c r="A3806" t="s">
        <v>827</v>
      </c>
      <c r="C3806">
        <v>45</v>
      </c>
      <c r="D3806" t="s">
        <v>10</v>
      </c>
      <c r="F3806" s="43">
        <v>44708.5</v>
      </c>
      <c r="G3806" s="43">
        <v>44708.53125</v>
      </c>
      <c r="H3806">
        <v>12</v>
      </c>
      <c r="I3806">
        <v>0</v>
      </c>
      <c r="J3806">
        <v>12</v>
      </c>
      <c r="K3806">
        <v>45</v>
      </c>
      <c r="L3806">
        <v>2022</v>
      </c>
      <c r="N3806" t="s">
        <v>47</v>
      </c>
      <c r="O3806" t="s">
        <v>47</v>
      </c>
      <c r="P3806" t="s">
        <v>1632</v>
      </c>
    </row>
    <row r="3807" spans="1:16" x14ac:dyDescent="0.3">
      <c r="A3807" t="s">
        <v>1681</v>
      </c>
      <c r="B3807" t="s">
        <v>20</v>
      </c>
      <c r="C3807">
        <v>45</v>
      </c>
      <c r="D3807" t="s">
        <v>10</v>
      </c>
      <c r="E3807" t="s">
        <v>1682</v>
      </c>
      <c r="F3807" s="43">
        <v>44708.427083333336</v>
      </c>
      <c r="G3807" s="43">
        <v>44708.458333333336</v>
      </c>
      <c r="H3807">
        <v>10</v>
      </c>
      <c r="I3807">
        <v>15</v>
      </c>
      <c r="J3807">
        <v>11</v>
      </c>
      <c r="K3807">
        <v>0</v>
      </c>
      <c r="L3807">
        <v>2022</v>
      </c>
      <c r="N3807" t="s">
        <v>1683</v>
      </c>
      <c r="O3807" t="s">
        <v>48</v>
      </c>
      <c r="P3807" t="s">
        <v>1684</v>
      </c>
    </row>
    <row r="3808" spans="1:16" x14ac:dyDescent="0.3">
      <c r="A3808" t="s">
        <v>1633</v>
      </c>
      <c r="C3808">
        <v>30</v>
      </c>
      <c r="D3808" t="s">
        <v>10</v>
      </c>
      <c r="E3808" t="s">
        <v>1634</v>
      </c>
      <c r="F3808" s="43">
        <v>44708.375</v>
      </c>
      <c r="G3808" s="43">
        <v>44708.395833333336</v>
      </c>
      <c r="H3808">
        <v>9</v>
      </c>
      <c r="I3808">
        <v>0</v>
      </c>
      <c r="J3808">
        <v>9</v>
      </c>
      <c r="K3808">
        <v>30</v>
      </c>
      <c r="L3808">
        <v>2022</v>
      </c>
      <c r="N3808" t="s">
        <v>1635</v>
      </c>
      <c r="O3808" t="s">
        <v>48</v>
      </c>
      <c r="P3808" t="s">
        <v>1636</v>
      </c>
    </row>
    <row r="3809" spans="1:16" x14ac:dyDescent="0.3">
      <c r="A3809" t="s">
        <v>1711</v>
      </c>
      <c r="C3809">
        <v>30</v>
      </c>
      <c r="D3809" t="s">
        <v>10</v>
      </c>
      <c r="E3809" t="s">
        <v>1712</v>
      </c>
      <c r="F3809" s="43">
        <v>44708.354166666664</v>
      </c>
      <c r="G3809" s="43">
        <v>44708.375</v>
      </c>
      <c r="H3809">
        <v>8</v>
      </c>
      <c r="I3809">
        <v>30</v>
      </c>
      <c r="J3809">
        <v>9</v>
      </c>
      <c r="K3809">
        <v>0</v>
      </c>
      <c r="L3809">
        <v>2022</v>
      </c>
      <c r="N3809" t="s">
        <v>1713</v>
      </c>
      <c r="O3809" t="s">
        <v>48</v>
      </c>
      <c r="P3809" t="s">
        <v>1714</v>
      </c>
    </row>
    <row r="3810" spans="1:16" x14ac:dyDescent="0.3">
      <c r="A3810" t="s">
        <v>1398</v>
      </c>
      <c r="C3810">
        <v>30</v>
      </c>
      <c r="D3810" t="s">
        <v>10</v>
      </c>
      <c r="E3810" t="s">
        <v>5</v>
      </c>
      <c r="F3810" s="43">
        <v>44708.270833333336</v>
      </c>
      <c r="G3810" s="43">
        <v>44708.291666666664</v>
      </c>
      <c r="H3810">
        <v>6</v>
      </c>
      <c r="I3810">
        <v>30</v>
      </c>
      <c r="J3810">
        <v>7</v>
      </c>
      <c r="K3810">
        <v>0</v>
      </c>
      <c r="L3810">
        <v>2022</v>
      </c>
      <c r="N3810" t="s">
        <v>1399</v>
      </c>
      <c r="O3810" t="s">
        <v>1241</v>
      </c>
      <c r="P3810" t="s">
        <v>1645</v>
      </c>
    </row>
    <row r="3811" spans="1:16" x14ac:dyDescent="0.3">
      <c r="A3811" t="s">
        <v>8</v>
      </c>
      <c r="C3811">
        <v>60</v>
      </c>
      <c r="D3811" t="s">
        <v>10</v>
      </c>
      <c r="F3811" s="43">
        <v>44708.229166666664</v>
      </c>
      <c r="G3811" s="43">
        <v>44708.270833333336</v>
      </c>
      <c r="H3811">
        <v>5</v>
      </c>
      <c r="I3811">
        <v>30</v>
      </c>
      <c r="J3811">
        <v>6</v>
      </c>
      <c r="K3811">
        <v>30</v>
      </c>
      <c r="L3811">
        <v>2022</v>
      </c>
      <c r="N3811" t="s">
        <v>47</v>
      </c>
      <c r="O3811" t="s">
        <v>47</v>
      </c>
      <c r="P3811" t="s">
        <v>1629</v>
      </c>
    </row>
    <row r="3812" spans="1:16" x14ac:dyDescent="0.3">
      <c r="A3812" t="s">
        <v>1394</v>
      </c>
      <c r="C3812">
        <v>60</v>
      </c>
      <c r="D3812" t="s">
        <v>10</v>
      </c>
      <c r="F3812" s="43">
        <v>44707.729166666664</v>
      </c>
      <c r="G3812" s="43">
        <v>44707.770833333336</v>
      </c>
      <c r="H3812">
        <v>17</v>
      </c>
      <c r="I3812">
        <v>30</v>
      </c>
      <c r="J3812">
        <v>18</v>
      </c>
      <c r="K3812">
        <v>30</v>
      </c>
      <c r="L3812">
        <v>2022</v>
      </c>
      <c r="N3812" t="s">
        <v>47</v>
      </c>
      <c r="O3812" t="s">
        <v>47</v>
      </c>
      <c r="P3812" t="s">
        <v>1637</v>
      </c>
    </row>
    <row r="3813" spans="1:16" x14ac:dyDescent="0.3">
      <c r="A3813" t="s">
        <v>9</v>
      </c>
      <c r="C3813">
        <v>60</v>
      </c>
      <c r="D3813" t="s">
        <v>10</v>
      </c>
      <c r="F3813" s="43">
        <v>44707.645833333336</v>
      </c>
      <c r="G3813" s="43">
        <v>44707.6875</v>
      </c>
      <c r="H3813">
        <v>15</v>
      </c>
      <c r="I3813">
        <v>30</v>
      </c>
      <c r="J3813">
        <v>16</v>
      </c>
      <c r="K3813">
        <v>30</v>
      </c>
      <c r="L3813">
        <v>2022</v>
      </c>
      <c r="N3813" t="s">
        <v>47</v>
      </c>
      <c r="O3813" t="s">
        <v>47</v>
      </c>
      <c r="P3813" t="s">
        <v>1639</v>
      </c>
    </row>
    <row r="3814" spans="1:16" x14ac:dyDescent="0.3">
      <c r="A3814" t="s">
        <v>1779</v>
      </c>
      <c r="C3814">
        <v>30</v>
      </c>
      <c r="D3814" t="s">
        <v>10</v>
      </c>
      <c r="E3814" t="s">
        <v>5</v>
      </c>
      <c r="F3814" s="43">
        <v>44707.625</v>
      </c>
      <c r="G3814" s="43">
        <v>44707.645833333336</v>
      </c>
      <c r="H3814">
        <v>15</v>
      </c>
      <c r="I3814">
        <v>0</v>
      </c>
      <c r="J3814">
        <v>15</v>
      </c>
      <c r="K3814">
        <v>30</v>
      </c>
      <c r="L3814">
        <v>2022</v>
      </c>
      <c r="N3814" t="s">
        <v>1780</v>
      </c>
      <c r="O3814" t="s">
        <v>1781</v>
      </c>
      <c r="P3814" t="s">
        <v>1782</v>
      </c>
    </row>
    <row r="3815" spans="1:16" x14ac:dyDescent="0.3">
      <c r="A3815" t="s">
        <v>8</v>
      </c>
      <c r="C3815">
        <v>30</v>
      </c>
      <c r="D3815" t="s">
        <v>10</v>
      </c>
      <c r="F3815" s="43">
        <v>44707.5625</v>
      </c>
      <c r="G3815" s="43">
        <v>44707.583333333336</v>
      </c>
      <c r="H3815">
        <v>13</v>
      </c>
      <c r="I3815">
        <v>30</v>
      </c>
      <c r="J3815">
        <v>14</v>
      </c>
      <c r="K3815">
        <v>0</v>
      </c>
      <c r="L3815">
        <v>2022</v>
      </c>
      <c r="N3815" t="s">
        <v>47</v>
      </c>
      <c r="O3815" t="s">
        <v>47</v>
      </c>
      <c r="P3815" t="s">
        <v>1638</v>
      </c>
    </row>
    <row r="3816" spans="1:16" x14ac:dyDescent="0.3">
      <c r="A3816" t="s">
        <v>1640</v>
      </c>
      <c r="C3816">
        <v>50</v>
      </c>
      <c r="D3816" t="s">
        <v>10</v>
      </c>
      <c r="E3816" t="s">
        <v>5</v>
      </c>
      <c r="F3816" s="43">
        <v>44707.527777777781</v>
      </c>
      <c r="G3816" s="43">
        <v>44707.5625</v>
      </c>
      <c r="H3816">
        <v>12</v>
      </c>
      <c r="I3816">
        <v>40</v>
      </c>
      <c r="J3816">
        <v>13</v>
      </c>
      <c r="K3816">
        <v>30</v>
      </c>
      <c r="L3816">
        <v>2022</v>
      </c>
      <c r="N3816" t="s">
        <v>931</v>
      </c>
      <c r="O3816" t="s">
        <v>50</v>
      </c>
      <c r="P3816" t="s">
        <v>1641</v>
      </c>
    </row>
    <row r="3817" spans="1:16" x14ac:dyDescent="0.3">
      <c r="A3817" t="s">
        <v>1695</v>
      </c>
      <c r="B3817" t="s">
        <v>20</v>
      </c>
      <c r="C3817">
        <v>60</v>
      </c>
      <c r="D3817" t="s">
        <v>10</v>
      </c>
      <c r="E3817" t="s">
        <v>501</v>
      </c>
      <c r="F3817" s="43">
        <v>44707.458333333336</v>
      </c>
      <c r="G3817" s="43">
        <v>44707.5</v>
      </c>
      <c r="H3817">
        <v>11</v>
      </c>
      <c r="I3817">
        <v>0</v>
      </c>
      <c r="J3817">
        <v>12</v>
      </c>
      <c r="K3817">
        <v>0</v>
      </c>
      <c r="L3817">
        <v>2022</v>
      </c>
      <c r="N3817" t="s">
        <v>1696</v>
      </c>
      <c r="O3817" t="s">
        <v>48</v>
      </c>
      <c r="P3817" t="s">
        <v>1697</v>
      </c>
    </row>
    <row r="3818" spans="1:16" x14ac:dyDescent="0.3">
      <c r="A3818" t="s">
        <v>1799</v>
      </c>
      <c r="B3818" t="s">
        <v>20</v>
      </c>
      <c r="C3818">
        <v>60</v>
      </c>
      <c r="D3818" t="s">
        <v>10</v>
      </c>
      <c r="E3818" t="s">
        <v>1800</v>
      </c>
      <c r="F3818" s="43">
        <v>44707.375</v>
      </c>
      <c r="G3818" s="43">
        <v>44707.416666666664</v>
      </c>
      <c r="H3818">
        <v>9</v>
      </c>
      <c r="I3818">
        <v>0</v>
      </c>
      <c r="J3818">
        <v>10</v>
      </c>
      <c r="K3818">
        <v>0</v>
      </c>
      <c r="L3818">
        <v>2022</v>
      </c>
      <c r="N3818" t="s">
        <v>1801</v>
      </c>
      <c r="O3818" t="s">
        <v>458</v>
      </c>
      <c r="P3818" t="s">
        <v>1802</v>
      </c>
    </row>
    <row r="3819" spans="1:16" x14ac:dyDescent="0.3">
      <c r="A3819" t="s">
        <v>1649</v>
      </c>
      <c r="C3819">
        <v>30</v>
      </c>
      <c r="D3819" t="s">
        <v>10</v>
      </c>
      <c r="E3819" t="s">
        <v>1650</v>
      </c>
      <c r="F3819" s="43">
        <v>44707.3125</v>
      </c>
      <c r="G3819" s="43">
        <v>44707.333333333336</v>
      </c>
      <c r="H3819">
        <v>7</v>
      </c>
      <c r="I3819">
        <v>30</v>
      </c>
      <c r="J3819">
        <v>8</v>
      </c>
      <c r="K3819">
        <v>0</v>
      </c>
      <c r="L3819">
        <v>2022</v>
      </c>
      <c r="N3819" t="s">
        <v>549</v>
      </c>
      <c r="O3819" t="s">
        <v>458</v>
      </c>
      <c r="P3819" t="s">
        <v>1651</v>
      </c>
    </row>
    <row r="3820" spans="1:16" x14ac:dyDescent="0.3">
      <c r="A3820" t="s">
        <v>1394</v>
      </c>
      <c r="C3820">
        <v>60</v>
      </c>
      <c r="D3820" t="s">
        <v>10</v>
      </c>
      <c r="F3820" s="43">
        <v>44707.25</v>
      </c>
      <c r="G3820" s="43">
        <v>44707.291666666664</v>
      </c>
      <c r="H3820">
        <v>6</v>
      </c>
      <c r="I3820">
        <v>0</v>
      </c>
      <c r="J3820">
        <v>7</v>
      </c>
      <c r="K3820">
        <v>0</v>
      </c>
      <c r="L3820">
        <v>2022</v>
      </c>
      <c r="N3820" t="s">
        <v>47</v>
      </c>
      <c r="O3820" t="s">
        <v>47</v>
      </c>
      <c r="P3820" t="s">
        <v>1642</v>
      </c>
    </row>
    <row r="3821" spans="1:16" x14ac:dyDescent="0.3">
      <c r="A3821" t="s">
        <v>1655</v>
      </c>
      <c r="C3821">
        <v>60</v>
      </c>
      <c r="D3821" t="s">
        <v>10</v>
      </c>
      <c r="F3821" s="43">
        <v>44706.833333333336</v>
      </c>
      <c r="G3821" s="43">
        <v>44706.875</v>
      </c>
      <c r="H3821">
        <v>20</v>
      </c>
      <c r="I3821">
        <v>0</v>
      </c>
      <c r="J3821">
        <v>21</v>
      </c>
      <c r="K3821">
        <v>0</v>
      </c>
      <c r="L3821">
        <v>2022</v>
      </c>
      <c r="N3821" t="s">
        <v>47</v>
      </c>
      <c r="O3821" t="s">
        <v>47</v>
      </c>
      <c r="P3821" t="s">
        <v>1656</v>
      </c>
    </row>
    <row r="3822" spans="1:16" x14ac:dyDescent="0.3">
      <c r="A3822" t="s">
        <v>1671</v>
      </c>
      <c r="B3822" t="s">
        <v>221</v>
      </c>
      <c r="C3822">
        <v>210</v>
      </c>
      <c r="D3822" t="s">
        <v>10</v>
      </c>
      <c r="E3822" t="s">
        <v>1672</v>
      </c>
      <c r="F3822" s="43">
        <v>44706.6875</v>
      </c>
      <c r="G3822" s="43">
        <v>44706.833333333336</v>
      </c>
      <c r="H3822">
        <v>16</v>
      </c>
      <c r="I3822">
        <v>30</v>
      </c>
      <c r="J3822">
        <v>20</v>
      </c>
      <c r="K3822">
        <v>0</v>
      </c>
      <c r="L3822">
        <v>2022</v>
      </c>
      <c r="N3822" t="s">
        <v>47</v>
      </c>
      <c r="O3822" t="s">
        <v>47</v>
      </c>
      <c r="P3822" t="s">
        <v>1673</v>
      </c>
    </row>
    <row r="3823" spans="1:16" x14ac:dyDescent="0.3">
      <c r="A3823" t="s">
        <v>1653</v>
      </c>
      <c r="C3823">
        <v>60</v>
      </c>
      <c r="D3823" t="s">
        <v>10</v>
      </c>
      <c r="F3823" s="43">
        <v>44706.645833333336</v>
      </c>
      <c r="G3823" s="43">
        <v>44706.6875</v>
      </c>
      <c r="H3823">
        <v>15</v>
      </c>
      <c r="I3823">
        <v>30</v>
      </c>
      <c r="J3823">
        <v>16</v>
      </c>
      <c r="K3823">
        <v>30</v>
      </c>
      <c r="L3823">
        <v>2022</v>
      </c>
      <c r="N3823" t="s">
        <v>47</v>
      </c>
      <c r="O3823" t="s">
        <v>47</v>
      </c>
      <c r="P3823" t="s">
        <v>1654</v>
      </c>
    </row>
    <row r="3824" spans="1:16" x14ac:dyDescent="0.3">
      <c r="A3824" t="s">
        <v>24</v>
      </c>
      <c r="B3824" t="s">
        <v>31</v>
      </c>
      <c r="C3824">
        <v>30</v>
      </c>
      <c r="D3824" t="s">
        <v>10</v>
      </c>
      <c r="F3824" s="43">
        <v>44706.625</v>
      </c>
      <c r="G3824" s="43">
        <v>44706.645833333336</v>
      </c>
      <c r="H3824">
        <v>15</v>
      </c>
      <c r="I3824">
        <v>0</v>
      </c>
      <c r="J3824">
        <v>15</v>
      </c>
      <c r="K3824">
        <v>30</v>
      </c>
      <c r="L3824">
        <v>2022</v>
      </c>
      <c r="N3824" t="s">
        <v>47</v>
      </c>
      <c r="O3824" t="s">
        <v>47</v>
      </c>
      <c r="P3824" t="s">
        <v>2082</v>
      </c>
    </row>
    <row r="3825" spans="1:16" x14ac:dyDescent="0.3">
      <c r="A3825" t="s">
        <v>7</v>
      </c>
      <c r="C3825">
        <v>60</v>
      </c>
      <c r="D3825" t="s">
        <v>10</v>
      </c>
      <c r="F3825" s="43">
        <v>44706.583333333336</v>
      </c>
      <c r="G3825" s="43">
        <v>44706.625</v>
      </c>
      <c r="H3825">
        <v>14</v>
      </c>
      <c r="I3825">
        <v>0</v>
      </c>
      <c r="J3825">
        <v>15</v>
      </c>
      <c r="K3825">
        <v>0</v>
      </c>
      <c r="L3825">
        <v>2022</v>
      </c>
      <c r="N3825" t="s">
        <v>47</v>
      </c>
      <c r="O3825" t="s">
        <v>47</v>
      </c>
      <c r="P3825" t="s">
        <v>1652</v>
      </c>
    </row>
    <row r="3826" spans="1:16" x14ac:dyDescent="0.3">
      <c r="A3826" t="s">
        <v>8</v>
      </c>
      <c r="C3826">
        <v>30</v>
      </c>
      <c r="D3826" t="s">
        <v>10</v>
      </c>
      <c r="F3826" s="43">
        <v>44706.548611111109</v>
      </c>
      <c r="G3826" s="43">
        <v>44706.569444444445</v>
      </c>
      <c r="H3826">
        <v>13</v>
      </c>
      <c r="I3826">
        <v>10</v>
      </c>
      <c r="J3826">
        <v>13</v>
      </c>
      <c r="K3826">
        <v>40</v>
      </c>
      <c r="L3826">
        <v>2022</v>
      </c>
      <c r="N3826" t="s">
        <v>47</v>
      </c>
      <c r="O3826" t="s">
        <v>47</v>
      </c>
      <c r="P3826" t="s">
        <v>1658</v>
      </c>
    </row>
    <row r="3827" spans="1:16" x14ac:dyDescent="0.3">
      <c r="A3827" t="s">
        <v>1659</v>
      </c>
      <c r="C3827">
        <v>50</v>
      </c>
      <c r="D3827" t="s">
        <v>10</v>
      </c>
      <c r="F3827" s="43">
        <v>44706.479166666664</v>
      </c>
      <c r="G3827" s="43">
        <v>44706.513888888891</v>
      </c>
      <c r="H3827">
        <v>11</v>
      </c>
      <c r="I3827">
        <v>30</v>
      </c>
      <c r="J3827">
        <v>12</v>
      </c>
      <c r="K3827">
        <v>20</v>
      </c>
      <c r="L3827">
        <v>2022</v>
      </c>
      <c r="N3827" t="s">
        <v>47</v>
      </c>
      <c r="O3827" t="s">
        <v>47</v>
      </c>
      <c r="P3827" t="s">
        <v>1660</v>
      </c>
    </row>
    <row r="3828" spans="1:16" x14ac:dyDescent="0.3">
      <c r="A3828" t="s">
        <v>1747</v>
      </c>
      <c r="C3828">
        <v>60</v>
      </c>
      <c r="D3828" t="s">
        <v>10</v>
      </c>
      <c r="E3828" t="s">
        <v>1748</v>
      </c>
      <c r="F3828" s="43">
        <v>44706.416666666664</v>
      </c>
      <c r="G3828" s="43">
        <v>44706.458333333336</v>
      </c>
      <c r="H3828">
        <v>10</v>
      </c>
      <c r="I3828">
        <v>0</v>
      </c>
      <c r="J3828">
        <v>11</v>
      </c>
      <c r="K3828">
        <v>0</v>
      </c>
      <c r="L3828">
        <v>2022</v>
      </c>
      <c r="N3828" t="s">
        <v>465</v>
      </c>
      <c r="O3828" t="s">
        <v>458</v>
      </c>
      <c r="P3828" t="s">
        <v>1749</v>
      </c>
    </row>
    <row r="3829" spans="1:16" x14ac:dyDescent="0.3">
      <c r="A3829" t="s">
        <v>35</v>
      </c>
      <c r="B3829" t="s">
        <v>6</v>
      </c>
      <c r="C3829">
        <v>20</v>
      </c>
      <c r="D3829" t="s">
        <v>10</v>
      </c>
      <c r="E3829" t="s">
        <v>649</v>
      </c>
      <c r="F3829" s="43">
        <v>44706.25</v>
      </c>
      <c r="G3829" s="43">
        <v>44706.263888888891</v>
      </c>
      <c r="H3829">
        <v>6</v>
      </c>
      <c r="I3829">
        <v>0</v>
      </c>
      <c r="J3829">
        <v>6</v>
      </c>
      <c r="K3829">
        <v>20</v>
      </c>
      <c r="L3829">
        <v>2022</v>
      </c>
      <c r="N3829" t="s">
        <v>47</v>
      </c>
      <c r="O3829" t="s">
        <v>47</v>
      </c>
      <c r="P3829" t="s">
        <v>1665</v>
      </c>
    </row>
    <row r="3830" spans="1:16" x14ac:dyDescent="0.3">
      <c r="A3830" t="s">
        <v>1487</v>
      </c>
      <c r="B3830" t="s">
        <v>109</v>
      </c>
      <c r="C3830">
        <v>30</v>
      </c>
      <c r="D3830" t="s">
        <v>10</v>
      </c>
      <c r="E3830" t="s">
        <v>1488</v>
      </c>
      <c r="F3830" s="43">
        <v>44705.708333333336</v>
      </c>
      <c r="G3830" s="43">
        <v>44705.729166666664</v>
      </c>
      <c r="H3830">
        <v>17</v>
      </c>
      <c r="I3830">
        <v>0</v>
      </c>
      <c r="J3830">
        <v>17</v>
      </c>
      <c r="K3830">
        <v>30</v>
      </c>
      <c r="L3830">
        <v>2022</v>
      </c>
      <c r="N3830" t="s">
        <v>47</v>
      </c>
      <c r="O3830" t="s">
        <v>47</v>
      </c>
      <c r="P3830" t="s">
        <v>1674</v>
      </c>
    </row>
    <row r="3831" spans="1:16" x14ac:dyDescent="0.3">
      <c r="A3831" t="s">
        <v>1487</v>
      </c>
      <c r="B3831" t="s">
        <v>109</v>
      </c>
      <c r="C3831">
        <v>90</v>
      </c>
      <c r="D3831" t="s">
        <v>10</v>
      </c>
      <c r="E3831" t="s">
        <v>1488</v>
      </c>
      <c r="F3831" s="43">
        <v>44705.625</v>
      </c>
      <c r="G3831" s="43">
        <v>44705.6875</v>
      </c>
      <c r="H3831">
        <v>15</v>
      </c>
      <c r="I3831">
        <v>0</v>
      </c>
      <c r="J3831">
        <v>16</v>
      </c>
      <c r="K3831">
        <v>30</v>
      </c>
      <c r="L3831">
        <v>2022</v>
      </c>
      <c r="N3831" t="s">
        <v>47</v>
      </c>
      <c r="O3831" t="s">
        <v>47</v>
      </c>
      <c r="P3831" t="s">
        <v>1675</v>
      </c>
    </row>
    <row r="3832" spans="1:16" x14ac:dyDescent="0.3">
      <c r="A3832" t="s">
        <v>1676</v>
      </c>
      <c r="B3832" t="s">
        <v>6</v>
      </c>
      <c r="C3832">
        <v>20</v>
      </c>
      <c r="D3832" t="s">
        <v>10</v>
      </c>
      <c r="E3832" t="s">
        <v>649</v>
      </c>
      <c r="F3832" s="43">
        <v>44705.583333333336</v>
      </c>
      <c r="G3832" s="43">
        <v>44705.597222222219</v>
      </c>
      <c r="H3832">
        <v>14</v>
      </c>
      <c r="I3832">
        <v>0</v>
      </c>
      <c r="J3832">
        <v>14</v>
      </c>
      <c r="K3832">
        <v>20</v>
      </c>
      <c r="L3832">
        <v>2022</v>
      </c>
      <c r="N3832" t="s">
        <v>47</v>
      </c>
      <c r="O3832" t="s">
        <v>47</v>
      </c>
      <c r="P3832" t="s">
        <v>1677</v>
      </c>
    </row>
    <row r="3833" spans="1:16" x14ac:dyDescent="0.3">
      <c r="A3833" t="s">
        <v>827</v>
      </c>
      <c r="B3833" t="s">
        <v>6</v>
      </c>
      <c r="C3833">
        <v>30</v>
      </c>
      <c r="D3833" t="s">
        <v>10</v>
      </c>
      <c r="E3833" t="s">
        <v>515</v>
      </c>
      <c r="F3833" s="43">
        <v>44705.541666666664</v>
      </c>
      <c r="G3833" s="43">
        <v>44705.5625</v>
      </c>
      <c r="H3833">
        <v>13</v>
      </c>
      <c r="I3833">
        <v>0</v>
      </c>
      <c r="J3833">
        <v>13</v>
      </c>
      <c r="K3833">
        <v>30</v>
      </c>
      <c r="L3833">
        <v>2022</v>
      </c>
      <c r="N3833" t="s">
        <v>47</v>
      </c>
      <c r="O3833" t="s">
        <v>47</v>
      </c>
      <c r="P3833" t="s">
        <v>1678</v>
      </c>
    </row>
    <row r="3834" spans="1:16" x14ac:dyDescent="0.3">
      <c r="A3834" t="s">
        <v>1487</v>
      </c>
      <c r="B3834" t="s">
        <v>109</v>
      </c>
      <c r="C3834">
        <v>60</v>
      </c>
      <c r="D3834" t="s">
        <v>10</v>
      </c>
      <c r="E3834" t="s">
        <v>1488</v>
      </c>
      <c r="F3834" s="43">
        <v>44705.458333333336</v>
      </c>
      <c r="G3834" s="43">
        <v>44705.5</v>
      </c>
      <c r="H3834">
        <v>11</v>
      </c>
      <c r="I3834">
        <v>0</v>
      </c>
      <c r="J3834">
        <v>12</v>
      </c>
      <c r="K3834">
        <v>0</v>
      </c>
      <c r="L3834">
        <v>2022</v>
      </c>
      <c r="N3834" t="s">
        <v>47</v>
      </c>
      <c r="O3834" t="s">
        <v>47</v>
      </c>
      <c r="P3834" t="s">
        <v>1679</v>
      </c>
    </row>
    <row r="3835" spans="1:16" x14ac:dyDescent="0.3">
      <c r="A3835" t="s">
        <v>1719</v>
      </c>
      <c r="B3835" t="s">
        <v>31</v>
      </c>
      <c r="C3835">
        <v>60</v>
      </c>
      <c r="D3835" t="s">
        <v>10</v>
      </c>
      <c r="E3835" t="s">
        <v>1720</v>
      </c>
      <c r="F3835" s="43">
        <v>44705.416666666664</v>
      </c>
      <c r="G3835" s="43">
        <v>44705.458333333336</v>
      </c>
      <c r="H3835">
        <v>10</v>
      </c>
      <c r="I3835">
        <v>0</v>
      </c>
      <c r="J3835">
        <v>11</v>
      </c>
      <c r="K3835">
        <v>0</v>
      </c>
      <c r="L3835">
        <v>2022</v>
      </c>
      <c r="N3835" t="s">
        <v>47</v>
      </c>
      <c r="O3835" t="s">
        <v>47</v>
      </c>
      <c r="P3835" t="s">
        <v>1721</v>
      </c>
    </row>
    <row r="3836" spans="1:16" x14ac:dyDescent="0.3">
      <c r="A3836" t="s">
        <v>1487</v>
      </c>
      <c r="B3836" t="s">
        <v>109</v>
      </c>
      <c r="C3836">
        <v>60</v>
      </c>
      <c r="D3836" t="s">
        <v>10</v>
      </c>
      <c r="E3836" t="s">
        <v>1488</v>
      </c>
      <c r="F3836" s="43">
        <v>44705.375</v>
      </c>
      <c r="G3836" s="43">
        <v>44705.416666666664</v>
      </c>
      <c r="H3836">
        <v>9</v>
      </c>
      <c r="I3836">
        <v>0</v>
      </c>
      <c r="J3836">
        <v>10</v>
      </c>
      <c r="K3836">
        <v>0</v>
      </c>
      <c r="L3836">
        <v>2022</v>
      </c>
      <c r="N3836" t="s">
        <v>47</v>
      </c>
      <c r="O3836" t="s">
        <v>47</v>
      </c>
      <c r="P3836" t="s">
        <v>1680</v>
      </c>
    </row>
    <row r="3837" spans="1:16" x14ac:dyDescent="0.3">
      <c r="A3837" t="s">
        <v>1614</v>
      </c>
      <c r="B3837" t="s">
        <v>109</v>
      </c>
      <c r="C3837">
        <v>15</v>
      </c>
      <c r="D3837" t="s">
        <v>10</v>
      </c>
      <c r="E3837">
        <v>2718644671</v>
      </c>
      <c r="F3837" s="43">
        <v>44705.25</v>
      </c>
      <c r="G3837" s="43">
        <v>44705.260416666664</v>
      </c>
      <c r="H3837">
        <v>6</v>
      </c>
      <c r="I3837">
        <v>0</v>
      </c>
      <c r="J3837">
        <v>6</v>
      </c>
      <c r="K3837">
        <v>15</v>
      </c>
      <c r="L3837">
        <v>2022</v>
      </c>
      <c r="N3837" t="s">
        <v>47</v>
      </c>
      <c r="O3837" t="s">
        <v>47</v>
      </c>
      <c r="P3837" t="s">
        <v>1685</v>
      </c>
    </row>
    <row r="3838" spans="1:16" x14ac:dyDescent="0.3">
      <c r="A3838" t="s">
        <v>6</v>
      </c>
      <c r="B3838" t="s">
        <v>6</v>
      </c>
      <c r="C3838">
        <v>30</v>
      </c>
      <c r="D3838" t="s">
        <v>10</v>
      </c>
      <c r="F3838" s="43">
        <v>44705.229166666664</v>
      </c>
      <c r="G3838" s="43">
        <v>44705.25</v>
      </c>
      <c r="H3838">
        <v>5</v>
      </c>
      <c r="I3838">
        <v>30</v>
      </c>
      <c r="J3838">
        <v>6</v>
      </c>
      <c r="K3838">
        <v>0</v>
      </c>
      <c r="L3838">
        <v>2022</v>
      </c>
      <c r="N3838" t="s">
        <v>47</v>
      </c>
      <c r="O3838" t="s">
        <v>47</v>
      </c>
      <c r="P3838" t="s">
        <v>1686</v>
      </c>
    </row>
    <row r="3839" spans="1:16" x14ac:dyDescent="0.3">
      <c r="A3839" t="s">
        <v>1614</v>
      </c>
      <c r="B3839" t="s">
        <v>109</v>
      </c>
      <c r="C3839">
        <v>60</v>
      </c>
      <c r="D3839" t="s">
        <v>10</v>
      </c>
      <c r="E3839">
        <v>2718644671</v>
      </c>
      <c r="F3839" s="43">
        <v>44705.1875</v>
      </c>
      <c r="G3839" s="43">
        <v>44705.229166666664</v>
      </c>
      <c r="H3839">
        <v>4</v>
      </c>
      <c r="I3839">
        <v>30</v>
      </c>
      <c r="J3839">
        <v>5</v>
      </c>
      <c r="K3839">
        <v>30</v>
      </c>
      <c r="L3839">
        <v>2022</v>
      </c>
      <c r="N3839" t="s">
        <v>47</v>
      </c>
      <c r="O3839" t="s">
        <v>47</v>
      </c>
      <c r="P3839" t="s">
        <v>1687</v>
      </c>
    </row>
    <row r="3840" spans="1:16" x14ac:dyDescent="0.3">
      <c r="A3840" t="s">
        <v>1614</v>
      </c>
      <c r="B3840" t="s">
        <v>109</v>
      </c>
      <c r="C3840">
        <v>75</v>
      </c>
      <c r="D3840" t="s">
        <v>10</v>
      </c>
      <c r="E3840">
        <v>2718644671</v>
      </c>
      <c r="F3840" s="43">
        <v>44704.770833333336</v>
      </c>
      <c r="G3840" s="43">
        <v>44704.822916666664</v>
      </c>
      <c r="H3840">
        <v>18</v>
      </c>
      <c r="I3840">
        <v>30</v>
      </c>
      <c r="J3840">
        <v>19</v>
      </c>
      <c r="K3840">
        <v>45</v>
      </c>
      <c r="L3840">
        <v>2022</v>
      </c>
      <c r="N3840" t="s">
        <v>47</v>
      </c>
      <c r="O3840" t="s">
        <v>47</v>
      </c>
      <c r="P3840" t="s">
        <v>1692</v>
      </c>
    </row>
    <row r="3841" spans="1:16" x14ac:dyDescent="0.3">
      <c r="A3841" t="s">
        <v>1614</v>
      </c>
      <c r="B3841" t="s">
        <v>109</v>
      </c>
      <c r="C3841">
        <v>60</v>
      </c>
      <c r="D3841" t="s">
        <v>10</v>
      </c>
      <c r="E3841">
        <v>2718644671</v>
      </c>
      <c r="F3841" s="43">
        <v>44704.708333333336</v>
      </c>
      <c r="G3841" s="43">
        <v>44704.75</v>
      </c>
      <c r="H3841">
        <v>17</v>
      </c>
      <c r="I3841">
        <v>0</v>
      </c>
      <c r="J3841">
        <v>18</v>
      </c>
      <c r="K3841">
        <v>0</v>
      </c>
      <c r="L3841">
        <v>2022</v>
      </c>
      <c r="N3841" t="s">
        <v>47</v>
      </c>
      <c r="O3841" t="s">
        <v>47</v>
      </c>
      <c r="P3841" t="s">
        <v>1691</v>
      </c>
    </row>
    <row r="3842" spans="1:16" x14ac:dyDescent="0.3">
      <c r="A3842" t="s">
        <v>1688</v>
      </c>
      <c r="B3842" t="s">
        <v>223</v>
      </c>
      <c r="C3842">
        <v>60</v>
      </c>
      <c r="D3842" t="s">
        <v>10</v>
      </c>
      <c r="E3842" t="s">
        <v>1689</v>
      </c>
      <c r="F3842" s="43">
        <v>44704.666666666664</v>
      </c>
      <c r="G3842" s="43">
        <v>44704.708333333336</v>
      </c>
      <c r="H3842">
        <v>16</v>
      </c>
      <c r="I3842">
        <v>0</v>
      </c>
      <c r="J3842">
        <v>17</v>
      </c>
      <c r="K3842">
        <v>0</v>
      </c>
      <c r="L3842">
        <v>2022</v>
      </c>
      <c r="N3842" t="s">
        <v>47</v>
      </c>
      <c r="O3842" t="s">
        <v>47</v>
      </c>
      <c r="P3842" t="s">
        <v>1690</v>
      </c>
    </row>
    <row r="3843" spans="1:16" x14ac:dyDescent="0.3">
      <c r="A3843" t="s">
        <v>2085</v>
      </c>
      <c r="B3843" t="s">
        <v>31</v>
      </c>
      <c r="C3843">
        <v>30</v>
      </c>
      <c r="D3843" t="s">
        <v>10</v>
      </c>
      <c r="F3843" s="43">
        <v>44704.625</v>
      </c>
      <c r="G3843" s="43">
        <v>44704.645833333336</v>
      </c>
      <c r="H3843">
        <v>15</v>
      </c>
      <c r="I3843">
        <v>0</v>
      </c>
      <c r="J3843">
        <v>15</v>
      </c>
      <c r="K3843">
        <v>30</v>
      </c>
      <c r="L3843">
        <v>2022</v>
      </c>
      <c r="N3843" t="s">
        <v>47</v>
      </c>
      <c r="O3843" t="s">
        <v>47</v>
      </c>
      <c r="P3843" t="s">
        <v>2086</v>
      </c>
    </row>
    <row r="3844" spans="1:16" x14ac:dyDescent="0.3">
      <c r="A3844" t="s">
        <v>35</v>
      </c>
      <c r="B3844" t="s">
        <v>6</v>
      </c>
      <c r="C3844">
        <v>30</v>
      </c>
      <c r="D3844" t="s">
        <v>10</v>
      </c>
      <c r="E3844" t="s">
        <v>649</v>
      </c>
      <c r="F3844" s="43">
        <v>44704.604166666664</v>
      </c>
      <c r="G3844" s="43">
        <v>44704.625</v>
      </c>
      <c r="H3844">
        <v>14</v>
      </c>
      <c r="I3844">
        <v>30</v>
      </c>
      <c r="J3844">
        <v>15</v>
      </c>
      <c r="K3844">
        <v>0</v>
      </c>
      <c r="L3844">
        <v>2022</v>
      </c>
      <c r="N3844" t="s">
        <v>47</v>
      </c>
      <c r="O3844" t="s">
        <v>47</v>
      </c>
      <c r="P3844" t="s">
        <v>1694</v>
      </c>
    </row>
    <row r="3845" spans="1:16" x14ac:dyDescent="0.3">
      <c r="A3845" t="s">
        <v>827</v>
      </c>
      <c r="B3845" t="s">
        <v>6</v>
      </c>
      <c r="C3845">
        <v>30</v>
      </c>
      <c r="D3845" t="s">
        <v>10</v>
      </c>
      <c r="E3845" t="s">
        <v>515</v>
      </c>
      <c r="F3845" s="43">
        <v>44704.5625</v>
      </c>
      <c r="G3845" s="43">
        <v>44704.583333333336</v>
      </c>
      <c r="H3845">
        <v>13</v>
      </c>
      <c r="I3845">
        <v>30</v>
      </c>
      <c r="J3845">
        <v>14</v>
      </c>
      <c r="K3845">
        <v>0</v>
      </c>
      <c r="L3845">
        <v>2022</v>
      </c>
      <c r="N3845" t="s">
        <v>47</v>
      </c>
      <c r="O3845" t="s">
        <v>47</v>
      </c>
      <c r="P3845" t="s">
        <v>1698</v>
      </c>
    </row>
    <row r="3846" spans="1:16" x14ac:dyDescent="0.3">
      <c r="A3846" t="s">
        <v>6</v>
      </c>
      <c r="B3846" t="s">
        <v>6</v>
      </c>
      <c r="C3846">
        <v>30</v>
      </c>
      <c r="D3846" t="s">
        <v>10</v>
      </c>
      <c r="F3846" s="43">
        <v>44704.541666666664</v>
      </c>
      <c r="G3846" s="43">
        <v>44704.5625</v>
      </c>
      <c r="H3846">
        <v>13</v>
      </c>
      <c r="I3846">
        <v>0</v>
      </c>
      <c r="J3846">
        <v>13</v>
      </c>
      <c r="K3846">
        <v>30</v>
      </c>
      <c r="L3846">
        <v>2022</v>
      </c>
      <c r="N3846" t="s">
        <v>47</v>
      </c>
      <c r="O3846" t="s">
        <v>47</v>
      </c>
      <c r="P3846" t="s">
        <v>1699</v>
      </c>
    </row>
    <row r="3847" spans="1:16" x14ac:dyDescent="0.3">
      <c r="A3847" t="s">
        <v>8</v>
      </c>
      <c r="B3847" t="s">
        <v>6</v>
      </c>
      <c r="C3847">
        <v>30</v>
      </c>
      <c r="D3847" t="s">
        <v>10</v>
      </c>
      <c r="F3847" s="43">
        <v>44704.4375</v>
      </c>
      <c r="G3847" s="43">
        <v>44704.458333333336</v>
      </c>
      <c r="H3847">
        <v>10</v>
      </c>
      <c r="I3847">
        <v>30</v>
      </c>
      <c r="J3847">
        <v>11</v>
      </c>
      <c r="K3847">
        <v>0</v>
      </c>
      <c r="L3847">
        <v>2022</v>
      </c>
      <c r="N3847" t="s">
        <v>47</v>
      </c>
      <c r="O3847" t="s">
        <v>47</v>
      </c>
      <c r="P3847" t="s">
        <v>1709</v>
      </c>
    </row>
    <row r="3848" spans="1:16" x14ac:dyDescent="0.3">
      <c r="A3848" t="s">
        <v>1731</v>
      </c>
      <c r="B3848" t="s">
        <v>20</v>
      </c>
      <c r="C3848">
        <v>30</v>
      </c>
      <c r="D3848" t="s">
        <v>10</v>
      </c>
      <c r="E3848" t="s">
        <v>1732</v>
      </c>
      <c r="F3848" s="43">
        <v>44704.416666666664</v>
      </c>
      <c r="G3848" s="43">
        <v>44704.4375</v>
      </c>
      <c r="H3848">
        <v>10</v>
      </c>
      <c r="I3848">
        <v>0</v>
      </c>
      <c r="J3848">
        <v>10</v>
      </c>
      <c r="K3848">
        <v>30</v>
      </c>
      <c r="L3848">
        <v>2022</v>
      </c>
      <c r="N3848" t="s">
        <v>1733</v>
      </c>
      <c r="O3848" t="s">
        <v>458</v>
      </c>
      <c r="P3848" t="s">
        <v>1734</v>
      </c>
    </row>
    <row r="3849" spans="1:16" x14ac:dyDescent="0.3">
      <c r="A3849" t="s">
        <v>1706</v>
      </c>
      <c r="B3849" t="s">
        <v>6</v>
      </c>
      <c r="C3849">
        <v>60</v>
      </c>
      <c r="D3849" t="s">
        <v>10</v>
      </c>
      <c r="E3849" t="s">
        <v>649</v>
      </c>
      <c r="F3849" s="43">
        <v>44704.291666666664</v>
      </c>
      <c r="G3849" s="43">
        <v>44704.333333333336</v>
      </c>
      <c r="H3849">
        <v>7</v>
      </c>
      <c r="I3849">
        <v>0</v>
      </c>
      <c r="J3849">
        <v>8</v>
      </c>
      <c r="K3849">
        <v>0</v>
      </c>
      <c r="L3849">
        <v>2022</v>
      </c>
      <c r="N3849" t="s">
        <v>47</v>
      </c>
      <c r="O3849" t="s">
        <v>47</v>
      </c>
      <c r="P3849" t="s">
        <v>1707</v>
      </c>
    </row>
    <row r="3850" spans="1:16" x14ac:dyDescent="0.3">
      <c r="A3850" t="s">
        <v>8</v>
      </c>
      <c r="B3850" t="s">
        <v>6</v>
      </c>
      <c r="C3850">
        <v>60</v>
      </c>
      <c r="D3850" t="s">
        <v>10</v>
      </c>
      <c r="F3850" s="43">
        <v>44704.25</v>
      </c>
      <c r="G3850" s="43">
        <v>44704.291666666664</v>
      </c>
      <c r="H3850">
        <v>6</v>
      </c>
      <c r="I3850">
        <v>0</v>
      </c>
      <c r="J3850">
        <v>7</v>
      </c>
      <c r="K3850">
        <v>0</v>
      </c>
      <c r="L3850">
        <v>2022</v>
      </c>
      <c r="N3850" t="s">
        <v>47</v>
      </c>
      <c r="O3850" t="s">
        <v>47</v>
      </c>
      <c r="P3850" t="s">
        <v>1708</v>
      </c>
    </row>
    <row r="3851" spans="1:16" x14ac:dyDescent="0.3">
      <c r="A3851" t="s">
        <v>35</v>
      </c>
      <c r="B3851" t="s">
        <v>6</v>
      </c>
      <c r="C3851">
        <v>60</v>
      </c>
      <c r="D3851" t="s">
        <v>10</v>
      </c>
      <c r="E3851" t="s">
        <v>649</v>
      </c>
      <c r="F3851" s="43">
        <v>44703.75</v>
      </c>
      <c r="G3851" s="43">
        <v>44703.791666666664</v>
      </c>
      <c r="H3851">
        <v>18</v>
      </c>
      <c r="I3851">
        <v>0</v>
      </c>
      <c r="J3851">
        <v>19</v>
      </c>
      <c r="K3851">
        <v>0</v>
      </c>
      <c r="L3851">
        <v>2022</v>
      </c>
      <c r="N3851" t="s">
        <v>47</v>
      </c>
      <c r="O3851" t="s">
        <v>47</v>
      </c>
      <c r="P3851" t="s">
        <v>1700</v>
      </c>
    </row>
    <row r="3852" spans="1:16" x14ac:dyDescent="0.3">
      <c r="A3852" t="s">
        <v>35</v>
      </c>
      <c r="B3852" t="s">
        <v>6</v>
      </c>
      <c r="C3852">
        <v>120</v>
      </c>
      <c r="D3852" t="s">
        <v>10</v>
      </c>
      <c r="E3852" t="s">
        <v>649</v>
      </c>
      <c r="F3852" s="1">
        <v>44703.541666666664</v>
      </c>
      <c r="G3852" s="1">
        <v>44703.625</v>
      </c>
      <c r="H3852">
        <v>13</v>
      </c>
      <c r="I3852">
        <v>0</v>
      </c>
      <c r="J3852">
        <v>15</v>
      </c>
      <c r="K3852">
        <v>0</v>
      </c>
      <c r="L3852">
        <v>2022</v>
      </c>
      <c r="N3852" t="s">
        <v>47</v>
      </c>
      <c r="O3852" t="s">
        <v>47</v>
      </c>
      <c r="P3852" t="s">
        <v>1701</v>
      </c>
    </row>
    <row r="3853" spans="1:16" x14ac:dyDescent="0.3">
      <c r="A3853" t="s">
        <v>827</v>
      </c>
      <c r="B3853" t="s">
        <v>6</v>
      </c>
      <c r="C3853">
        <v>60</v>
      </c>
      <c r="D3853" t="s">
        <v>10</v>
      </c>
      <c r="E3853" t="s">
        <v>515</v>
      </c>
      <c r="F3853" s="43">
        <v>44703.333333333336</v>
      </c>
      <c r="G3853" s="43">
        <v>44703.375</v>
      </c>
      <c r="H3853">
        <v>8</v>
      </c>
      <c r="I3853">
        <v>0</v>
      </c>
      <c r="J3853">
        <v>9</v>
      </c>
      <c r="K3853">
        <v>0</v>
      </c>
      <c r="L3853">
        <v>2022</v>
      </c>
      <c r="N3853" t="s">
        <v>47</v>
      </c>
      <c r="O3853" t="s">
        <v>47</v>
      </c>
      <c r="P3853" t="s">
        <v>1704</v>
      </c>
    </row>
    <row r="3854" spans="1:16" x14ac:dyDescent="0.3">
      <c r="A3854" t="s">
        <v>691</v>
      </c>
      <c r="B3854" t="s">
        <v>6</v>
      </c>
      <c r="C3854">
        <v>60</v>
      </c>
      <c r="D3854" t="s">
        <v>10</v>
      </c>
      <c r="E3854" t="s">
        <v>649</v>
      </c>
      <c r="F3854" s="43">
        <v>44703.25</v>
      </c>
      <c r="G3854" s="43">
        <v>44703.291666666664</v>
      </c>
      <c r="H3854">
        <v>6</v>
      </c>
      <c r="I3854">
        <v>0</v>
      </c>
      <c r="J3854">
        <v>7</v>
      </c>
      <c r="K3854">
        <v>0</v>
      </c>
      <c r="L3854">
        <v>2022</v>
      </c>
      <c r="N3854" t="s">
        <v>47</v>
      </c>
      <c r="O3854" t="s">
        <v>47</v>
      </c>
      <c r="P3854" t="s">
        <v>1705</v>
      </c>
    </row>
    <row r="3855" spans="1:16" x14ac:dyDescent="0.3">
      <c r="A3855" t="s">
        <v>35</v>
      </c>
      <c r="B3855" t="s">
        <v>6</v>
      </c>
      <c r="C3855">
        <v>60</v>
      </c>
      <c r="D3855" t="s">
        <v>10</v>
      </c>
      <c r="E3855" t="s">
        <v>649</v>
      </c>
      <c r="F3855" s="43">
        <v>44702.583333333336</v>
      </c>
      <c r="G3855" s="43">
        <v>44702.625</v>
      </c>
      <c r="H3855">
        <v>14</v>
      </c>
      <c r="I3855">
        <v>0</v>
      </c>
      <c r="J3855">
        <v>15</v>
      </c>
      <c r="K3855">
        <v>0</v>
      </c>
      <c r="L3855">
        <v>2022</v>
      </c>
      <c r="N3855" t="s">
        <v>47</v>
      </c>
      <c r="O3855" t="s">
        <v>47</v>
      </c>
      <c r="P3855" t="s">
        <v>1702</v>
      </c>
    </row>
    <row r="3856" spans="1:16" x14ac:dyDescent="0.3">
      <c r="A3856" t="s">
        <v>1487</v>
      </c>
      <c r="B3856" t="s">
        <v>109</v>
      </c>
      <c r="C3856">
        <v>180</v>
      </c>
      <c r="D3856" t="s">
        <v>10</v>
      </c>
      <c r="E3856" t="s">
        <v>1488</v>
      </c>
      <c r="F3856" s="43">
        <v>44702.375</v>
      </c>
      <c r="G3856" s="43">
        <v>44702.5</v>
      </c>
      <c r="H3856">
        <v>9</v>
      </c>
      <c r="I3856">
        <v>0</v>
      </c>
      <c r="J3856">
        <v>12</v>
      </c>
      <c r="K3856">
        <v>0</v>
      </c>
      <c r="L3856">
        <v>2022</v>
      </c>
      <c r="N3856" t="s">
        <v>47</v>
      </c>
      <c r="O3856" t="s">
        <v>47</v>
      </c>
      <c r="P3856" t="s">
        <v>1703</v>
      </c>
    </row>
    <row r="3857" spans="1:16" x14ac:dyDescent="0.3">
      <c r="A3857" t="s">
        <v>691</v>
      </c>
      <c r="B3857" t="s">
        <v>6</v>
      </c>
      <c r="C3857">
        <v>60</v>
      </c>
      <c r="D3857" t="s">
        <v>10</v>
      </c>
      <c r="E3857" t="s">
        <v>649</v>
      </c>
      <c r="F3857" s="43">
        <v>44702.256944444445</v>
      </c>
      <c r="G3857" s="43">
        <v>44702.298611111109</v>
      </c>
      <c r="H3857">
        <v>6</v>
      </c>
      <c r="I3857">
        <v>10</v>
      </c>
      <c r="J3857">
        <v>7</v>
      </c>
      <c r="K3857">
        <v>10</v>
      </c>
      <c r="L3857">
        <v>2022</v>
      </c>
      <c r="N3857" t="s">
        <v>47</v>
      </c>
      <c r="O3857" t="s">
        <v>47</v>
      </c>
      <c r="P3857" t="s">
        <v>1710</v>
      </c>
    </row>
    <row r="3858" spans="1:16" x14ac:dyDescent="0.3">
      <c r="A3858" t="s">
        <v>691</v>
      </c>
      <c r="B3858" t="s">
        <v>6</v>
      </c>
      <c r="C3858">
        <v>20</v>
      </c>
      <c r="D3858" t="s">
        <v>10</v>
      </c>
      <c r="E3858" t="s">
        <v>649</v>
      </c>
      <c r="F3858" s="43">
        <v>44701.854166666664</v>
      </c>
      <c r="G3858" s="43">
        <v>44701.868055555555</v>
      </c>
      <c r="H3858">
        <v>20</v>
      </c>
      <c r="I3858">
        <v>30</v>
      </c>
      <c r="J3858">
        <v>20</v>
      </c>
      <c r="K3858">
        <v>50</v>
      </c>
      <c r="L3858">
        <v>2022</v>
      </c>
      <c r="N3858" t="s">
        <v>47</v>
      </c>
      <c r="O3858" t="s">
        <v>47</v>
      </c>
      <c r="P3858" t="s">
        <v>1715</v>
      </c>
    </row>
    <row r="3859" spans="1:16" x14ac:dyDescent="0.3">
      <c r="A3859" t="s">
        <v>691</v>
      </c>
      <c r="B3859" t="s">
        <v>6</v>
      </c>
      <c r="C3859">
        <v>30</v>
      </c>
      <c r="D3859" t="s">
        <v>10</v>
      </c>
      <c r="E3859" t="s">
        <v>649</v>
      </c>
      <c r="F3859" s="43">
        <v>44701.791666666664</v>
      </c>
      <c r="G3859" s="43">
        <v>44701.8125</v>
      </c>
      <c r="H3859">
        <v>19</v>
      </c>
      <c r="I3859">
        <v>0</v>
      </c>
      <c r="J3859">
        <v>19</v>
      </c>
      <c r="K3859">
        <v>30</v>
      </c>
      <c r="L3859">
        <v>2022</v>
      </c>
      <c r="N3859" t="s">
        <v>47</v>
      </c>
      <c r="O3859" t="s">
        <v>47</v>
      </c>
      <c r="P3859" t="s">
        <v>1716</v>
      </c>
    </row>
    <row r="3860" spans="1:16" x14ac:dyDescent="0.3">
      <c r="A3860" t="s">
        <v>1717</v>
      </c>
      <c r="C3860">
        <v>15</v>
      </c>
      <c r="D3860" t="s">
        <v>10</v>
      </c>
      <c r="F3860" s="43">
        <v>44701.708333333336</v>
      </c>
      <c r="G3860" s="43">
        <v>44701.71875</v>
      </c>
      <c r="H3860">
        <v>17</v>
      </c>
      <c r="I3860">
        <v>0</v>
      </c>
      <c r="J3860">
        <v>17</v>
      </c>
      <c r="K3860">
        <v>15</v>
      </c>
      <c r="L3860">
        <v>2022</v>
      </c>
      <c r="N3860" t="s">
        <v>47</v>
      </c>
      <c r="O3860" t="s">
        <v>47</v>
      </c>
      <c r="P3860" t="s">
        <v>1718</v>
      </c>
    </row>
    <row r="3861" spans="1:16" x14ac:dyDescent="0.3">
      <c r="A3861" t="s">
        <v>1723</v>
      </c>
      <c r="C3861">
        <v>30</v>
      </c>
      <c r="D3861" t="s">
        <v>10</v>
      </c>
      <c r="F3861" s="43">
        <v>44701.6875</v>
      </c>
      <c r="G3861" s="43">
        <v>44701.708333333336</v>
      </c>
      <c r="H3861">
        <v>16</v>
      </c>
      <c r="I3861">
        <v>30</v>
      </c>
      <c r="J3861">
        <v>17</v>
      </c>
      <c r="K3861">
        <v>0</v>
      </c>
      <c r="L3861">
        <v>2022</v>
      </c>
      <c r="N3861" t="s">
        <v>47</v>
      </c>
      <c r="O3861" t="s">
        <v>47</v>
      </c>
      <c r="P3861" t="s">
        <v>1724</v>
      </c>
    </row>
    <row r="3862" spans="1:16" x14ac:dyDescent="0.3">
      <c r="A3862" t="s">
        <v>35</v>
      </c>
      <c r="B3862" t="s">
        <v>6</v>
      </c>
      <c r="C3862">
        <v>75</v>
      </c>
      <c r="D3862" t="s">
        <v>10</v>
      </c>
      <c r="E3862" t="s">
        <v>649</v>
      </c>
      <c r="F3862" s="43">
        <v>44701.614583333336</v>
      </c>
      <c r="G3862" s="43">
        <v>44701.666666666664</v>
      </c>
      <c r="H3862">
        <v>14</v>
      </c>
      <c r="I3862">
        <v>45</v>
      </c>
      <c r="J3862">
        <v>16</v>
      </c>
      <c r="K3862">
        <v>0</v>
      </c>
      <c r="L3862">
        <v>2022</v>
      </c>
      <c r="N3862" t="s">
        <v>47</v>
      </c>
      <c r="O3862" t="s">
        <v>47</v>
      </c>
      <c r="P3862" t="s">
        <v>1722</v>
      </c>
    </row>
    <row r="3863" spans="1:16" x14ac:dyDescent="0.3">
      <c r="A3863" t="s">
        <v>1752</v>
      </c>
      <c r="B3863" t="s">
        <v>109</v>
      </c>
      <c r="C3863">
        <v>30</v>
      </c>
      <c r="D3863" t="s">
        <v>10</v>
      </c>
      <c r="E3863" t="s">
        <v>1753</v>
      </c>
      <c r="F3863" s="43">
        <v>44701.5</v>
      </c>
      <c r="G3863" s="43">
        <v>44701.520833333336</v>
      </c>
      <c r="H3863">
        <v>12</v>
      </c>
      <c r="I3863">
        <v>0</v>
      </c>
      <c r="J3863">
        <v>12</v>
      </c>
      <c r="K3863">
        <v>30</v>
      </c>
      <c r="L3863">
        <v>2022</v>
      </c>
      <c r="N3863" t="s">
        <v>1754</v>
      </c>
      <c r="O3863" t="s">
        <v>48</v>
      </c>
      <c r="P3863" t="s">
        <v>1755</v>
      </c>
    </row>
    <row r="3864" spans="1:16" x14ac:dyDescent="0.3">
      <c r="A3864" t="s">
        <v>17</v>
      </c>
      <c r="B3864" t="s">
        <v>6</v>
      </c>
      <c r="C3864">
        <v>60</v>
      </c>
      <c r="D3864" t="s">
        <v>10</v>
      </c>
      <c r="E3864" t="s">
        <v>515</v>
      </c>
      <c r="F3864" s="43">
        <v>44701.458333333336</v>
      </c>
      <c r="G3864" s="43">
        <v>44701.5</v>
      </c>
      <c r="H3864">
        <v>11</v>
      </c>
      <c r="I3864">
        <v>0</v>
      </c>
      <c r="J3864">
        <v>12</v>
      </c>
      <c r="K3864">
        <v>0</v>
      </c>
      <c r="L3864">
        <v>2022</v>
      </c>
      <c r="N3864" t="s">
        <v>47</v>
      </c>
      <c r="O3864" t="s">
        <v>47</v>
      </c>
      <c r="P3864" t="s">
        <v>1725</v>
      </c>
    </row>
    <row r="3865" spans="1:16" x14ac:dyDescent="0.3">
      <c r="A3865" t="s">
        <v>1726</v>
      </c>
      <c r="B3865" t="s">
        <v>109</v>
      </c>
      <c r="C3865">
        <v>60</v>
      </c>
      <c r="D3865" t="s">
        <v>10</v>
      </c>
      <c r="E3865" t="s">
        <v>1727</v>
      </c>
      <c r="F3865" s="43">
        <v>44701.416666666664</v>
      </c>
      <c r="G3865" s="43">
        <v>44701.458333333336</v>
      </c>
      <c r="H3865">
        <v>10</v>
      </c>
      <c r="I3865">
        <v>0</v>
      </c>
      <c r="J3865">
        <v>11</v>
      </c>
      <c r="K3865">
        <v>0</v>
      </c>
      <c r="L3865">
        <v>2022</v>
      </c>
      <c r="N3865" t="s">
        <v>47</v>
      </c>
      <c r="O3865" t="s">
        <v>47</v>
      </c>
      <c r="P3865" t="s">
        <v>1728</v>
      </c>
    </row>
    <row r="3866" spans="1:16" x14ac:dyDescent="0.3">
      <c r="A3866" t="s">
        <v>1729</v>
      </c>
      <c r="B3866" t="s">
        <v>109</v>
      </c>
      <c r="C3866">
        <v>60</v>
      </c>
      <c r="D3866" t="s">
        <v>10</v>
      </c>
      <c r="E3866" t="s">
        <v>1727</v>
      </c>
      <c r="F3866" s="43">
        <v>44701.375</v>
      </c>
      <c r="G3866" s="43">
        <v>44701.416666666664</v>
      </c>
      <c r="H3866">
        <v>9</v>
      </c>
      <c r="I3866">
        <v>0</v>
      </c>
      <c r="J3866">
        <v>10</v>
      </c>
      <c r="K3866">
        <v>0</v>
      </c>
      <c r="L3866">
        <v>2022</v>
      </c>
      <c r="N3866" t="s">
        <v>47</v>
      </c>
      <c r="O3866" t="s">
        <v>47</v>
      </c>
      <c r="P3866" t="s">
        <v>1730</v>
      </c>
    </row>
    <row r="3867" spans="1:16" x14ac:dyDescent="0.3">
      <c r="A3867" t="s">
        <v>1711</v>
      </c>
      <c r="C3867">
        <v>30</v>
      </c>
      <c r="D3867" t="s">
        <v>10</v>
      </c>
      <c r="E3867" t="s">
        <v>1712</v>
      </c>
      <c r="F3867" s="43">
        <v>44701.354166666664</v>
      </c>
      <c r="G3867" s="43">
        <v>44701.375</v>
      </c>
      <c r="H3867">
        <v>8</v>
      </c>
      <c r="I3867">
        <v>30</v>
      </c>
      <c r="J3867">
        <v>9</v>
      </c>
      <c r="K3867">
        <v>0</v>
      </c>
      <c r="L3867">
        <v>2022</v>
      </c>
      <c r="N3867" t="s">
        <v>1827</v>
      </c>
      <c r="O3867" t="s">
        <v>48</v>
      </c>
      <c r="P3867" t="s">
        <v>1828</v>
      </c>
    </row>
    <row r="3868" spans="1:16" x14ac:dyDescent="0.3">
      <c r="A3868" t="s">
        <v>8</v>
      </c>
      <c r="B3868" t="s">
        <v>6</v>
      </c>
      <c r="C3868">
        <v>80</v>
      </c>
      <c r="D3868" t="s">
        <v>10</v>
      </c>
      <c r="F3868" s="43">
        <v>44701.229166666664</v>
      </c>
      <c r="G3868" s="43">
        <v>44701.284722222219</v>
      </c>
      <c r="H3868">
        <v>5</v>
      </c>
      <c r="I3868">
        <v>30</v>
      </c>
      <c r="J3868">
        <v>6</v>
      </c>
      <c r="K3868">
        <v>50</v>
      </c>
      <c r="L3868">
        <v>2022</v>
      </c>
      <c r="N3868" t="s">
        <v>47</v>
      </c>
      <c r="O3868" t="s">
        <v>47</v>
      </c>
      <c r="P3868" t="s">
        <v>1735</v>
      </c>
    </row>
    <row r="3869" spans="1:16" x14ac:dyDescent="0.3">
      <c r="A3869" t="s">
        <v>691</v>
      </c>
      <c r="B3869" t="s">
        <v>6</v>
      </c>
      <c r="C3869">
        <v>30</v>
      </c>
      <c r="D3869" t="s">
        <v>10</v>
      </c>
      <c r="E3869" t="s">
        <v>649</v>
      </c>
      <c r="F3869" s="43">
        <v>44700.791666666664</v>
      </c>
      <c r="G3869" s="43">
        <v>44700.8125</v>
      </c>
      <c r="H3869">
        <v>19</v>
      </c>
      <c r="I3869">
        <v>0</v>
      </c>
      <c r="J3869">
        <v>19</v>
      </c>
      <c r="K3869">
        <v>30</v>
      </c>
      <c r="L3869">
        <v>2022</v>
      </c>
      <c r="N3869" t="s">
        <v>47</v>
      </c>
      <c r="O3869" t="s">
        <v>47</v>
      </c>
      <c r="P3869" t="s">
        <v>1736</v>
      </c>
    </row>
    <row r="3870" spans="1:16" x14ac:dyDescent="0.3">
      <c r="A3870" t="s">
        <v>1737</v>
      </c>
      <c r="C3870">
        <v>60</v>
      </c>
      <c r="D3870" t="s">
        <v>10</v>
      </c>
      <c r="F3870" s="43">
        <v>44700.71875</v>
      </c>
      <c r="G3870" s="43">
        <v>44700.760416666664</v>
      </c>
      <c r="H3870">
        <v>17</v>
      </c>
      <c r="I3870">
        <v>15</v>
      </c>
      <c r="J3870">
        <v>18</v>
      </c>
      <c r="K3870">
        <v>15</v>
      </c>
      <c r="L3870">
        <v>2022</v>
      </c>
      <c r="N3870" t="s">
        <v>47</v>
      </c>
      <c r="O3870" t="s">
        <v>47</v>
      </c>
      <c r="P3870" t="s">
        <v>1738</v>
      </c>
    </row>
    <row r="3871" spans="1:16" x14ac:dyDescent="0.3">
      <c r="A3871" t="s">
        <v>446</v>
      </c>
      <c r="C3871">
        <v>30</v>
      </c>
      <c r="D3871" t="s">
        <v>10</v>
      </c>
      <c r="F3871" s="43">
        <v>44700.6875</v>
      </c>
      <c r="G3871" s="43">
        <v>44700.708333333336</v>
      </c>
      <c r="H3871">
        <v>16</v>
      </c>
      <c r="I3871">
        <v>30</v>
      </c>
      <c r="J3871">
        <v>17</v>
      </c>
      <c r="K3871">
        <v>0</v>
      </c>
      <c r="L3871">
        <v>2022</v>
      </c>
      <c r="N3871" t="s">
        <v>47</v>
      </c>
      <c r="O3871" t="s">
        <v>47</v>
      </c>
      <c r="P3871" t="s">
        <v>1739</v>
      </c>
    </row>
    <row r="3872" spans="1:16" x14ac:dyDescent="0.3">
      <c r="A3872" t="s">
        <v>1740</v>
      </c>
      <c r="B3872" t="s">
        <v>109</v>
      </c>
      <c r="C3872">
        <v>180</v>
      </c>
      <c r="D3872" t="s">
        <v>10</v>
      </c>
      <c r="E3872" t="s">
        <v>649</v>
      </c>
      <c r="F3872" s="43">
        <v>44700.541666666664</v>
      </c>
      <c r="G3872" s="43">
        <v>44700.666666666664</v>
      </c>
      <c r="H3872">
        <v>13</v>
      </c>
      <c r="I3872">
        <v>0</v>
      </c>
      <c r="J3872">
        <v>16</v>
      </c>
      <c r="K3872">
        <v>0</v>
      </c>
      <c r="L3872">
        <v>2022</v>
      </c>
      <c r="N3872" t="s">
        <v>47</v>
      </c>
      <c r="O3872" t="s">
        <v>47</v>
      </c>
      <c r="P3872" t="s">
        <v>1741</v>
      </c>
    </row>
    <row r="3873" spans="1:16" x14ac:dyDescent="0.3">
      <c r="A3873" t="s">
        <v>1772</v>
      </c>
      <c r="B3873" t="s">
        <v>6</v>
      </c>
      <c r="C3873">
        <v>120</v>
      </c>
      <c r="D3873" t="s">
        <v>10</v>
      </c>
      <c r="E3873" t="s">
        <v>1773</v>
      </c>
      <c r="F3873" s="43">
        <v>44700.458333333336</v>
      </c>
      <c r="G3873" s="43">
        <v>44700.541666666664</v>
      </c>
      <c r="H3873">
        <v>11</v>
      </c>
      <c r="I3873">
        <v>0</v>
      </c>
      <c r="J3873">
        <v>13</v>
      </c>
      <c r="K3873">
        <v>0</v>
      </c>
      <c r="L3873">
        <v>2022</v>
      </c>
      <c r="N3873" t="s">
        <v>47</v>
      </c>
      <c r="O3873" t="s">
        <v>47</v>
      </c>
      <c r="P3873" t="s">
        <v>1774</v>
      </c>
    </row>
    <row r="3874" spans="1:16" x14ac:dyDescent="0.3">
      <c r="A3874" t="s">
        <v>1745</v>
      </c>
      <c r="C3874">
        <v>30</v>
      </c>
      <c r="D3874" t="s">
        <v>10</v>
      </c>
      <c r="F3874" s="43">
        <v>44700.416666666664</v>
      </c>
      <c r="G3874" s="43">
        <v>44700.4375</v>
      </c>
      <c r="H3874">
        <v>10</v>
      </c>
      <c r="I3874">
        <v>0</v>
      </c>
      <c r="J3874">
        <v>10</v>
      </c>
      <c r="K3874">
        <v>30</v>
      </c>
      <c r="L3874">
        <v>2022</v>
      </c>
      <c r="N3874" t="s">
        <v>47</v>
      </c>
      <c r="O3874" t="s">
        <v>47</v>
      </c>
      <c r="P3874" t="s">
        <v>1746</v>
      </c>
    </row>
    <row r="3875" spans="1:16" x14ac:dyDescent="0.3">
      <c r="A3875" t="s">
        <v>1105</v>
      </c>
      <c r="C3875">
        <v>30</v>
      </c>
      <c r="D3875" t="s">
        <v>10</v>
      </c>
      <c r="F3875" s="43">
        <v>44700.395833333336</v>
      </c>
      <c r="G3875" s="43">
        <v>44700.416666666664</v>
      </c>
      <c r="H3875">
        <v>9</v>
      </c>
      <c r="I3875">
        <v>30</v>
      </c>
      <c r="J3875">
        <v>10</v>
      </c>
      <c r="K3875">
        <v>0</v>
      </c>
      <c r="L3875">
        <v>2022</v>
      </c>
      <c r="N3875" t="s">
        <v>47</v>
      </c>
      <c r="O3875" t="s">
        <v>47</v>
      </c>
      <c r="P3875" t="s">
        <v>1744</v>
      </c>
    </row>
    <row r="3876" spans="1:16" x14ac:dyDescent="0.3">
      <c r="A3876" t="s">
        <v>7</v>
      </c>
      <c r="C3876">
        <v>30</v>
      </c>
      <c r="D3876" t="s">
        <v>10</v>
      </c>
      <c r="F3876" s="43">
        <v>44700.375</v>
      </c>
      <c r="G3876" s="43">
        <v>44700.395833333336</v>
      </c>
      <c r="H3876">
        <v>9</v>
      </c>
      <c r="I3876">
        <v>0</v>
      </c>
      <c r="J3876">
        <v>9</v>
      </c>
      <c r="K3876">
        <v>30</v>
      </c>
      <c r="L3876">
        <v>2022</v>
      </c>
      <c r="N3876" t="s">
        <v>47</v>
      </c>
      <c r="O3876" t="s">
        <v>47</v>
      </c>
      <c r="P3876" t="s">
        <v>1743</v>
      </c>
    </row>
    <row r="3877" spans="1:16" x14ac:dyDescent="0.3">
      <c r="A3877" t="s">
        <v>1784</v>
      </c>
      <c r="B3877" t="s">
        <v>6</v>
      </c>
      <c r="C3877">
        <v>60</v>
      </c>
      <c r="D3877" t="s">
        <v>10</v>
      </c>
      <c r="E3877" t="s">
        <v>1785</v>
      </c>
      <c r="F3877" s="43">
        <v>44700.291666666664</v>
      </c>
      <c r="G3877" s="43">
        <v>44700.333333333336</v>
      </c>
      <c r="H3877">
        <v>7</v>
      </c>
      <c r="I3877">
        <v>0</v>
      </c>
      <c r="J3877">
        <v>8</v>
      </c>
      <c r="K3877">
        <v>0</v>
      </c>
      <c r="L3877">
        <v>2022</v>
      </c>
      <c r="N3877" t="s">
        <v>629</v>
      </c>
      <c r="O3877" t="s">
        <v>47</v>
      </c>
      <c r="P3877" t="s">
        <v>1786</v>
      </c>
    </row>
    <row r="3878" spans="1:16" x14ac:dyDescent="0.3">
      <c r="A3878" t="s">
        <v>8</v>
      </c>
      <c r="B3878" t="s">
        <v>6</v>
      </c>
      <c r="C3878">
        <v>30</v>
      </c>
      <c r="D3878" t="s">
        <v>10</v>
      </c>
      <c r="F3878" s="43">
        <v>44700.270833333336</v>
      </c>
      <c r="G3878" s="43">
        <v>44700.291666666664</v>
      </c>
      <c r="H3878">
        <v>6</v>
      </c>
      <c r="I3878">
        <v>30</v>
      </c>
      <c r="J3878">
        <v>7</v>
      </c>
      <c r="K3878">
        <v>0</v>
      </c>
      <c r="L3878">
        <v>2022</v>
      </c>
      <c r="N3878" t="s">
        <v>47</v>
      </c>
      <c r="O3878" t="s">
        <v>47</v>
      </c>
      <c r="P3878" t="s">
        <v>1742</v>
      </c>
    </row>
    <row r="3879" spans="1:16" x14ac:dyDescent="0.3">
      <c r="A3879" t="s">
        <v>1750</v>
      </c>
      <c r="B3879" t="s">
        <v>20</v>
      </c>
      <c r="C3879">
        <v>30</v>
      </c>
      <c r="D3879" t="s">
        <v>10</v>
      </c>
      <c r="F3879" s="43">
        <v>44699.770833333336</v>
      </c>
      <c r="G3879" s="43">
        <v>44699.791666666664</v>
      </c>
      <c r="H3879">
        <v>18</v>
      </c>
      <c r="I3879">
        <v>30</v>
      </c>
      <c r="J3879">
        <v>19</v>
      </c>
      <c r="K3879">
        <v>0</v>
      </c>
      <c r="L3879">
        <v>2022</v>
      </c>
      <c r="N3879" t="s">
        <v>47</v>
      </c>
      <c r="O3879" t="s">
        <v>47</v>
      </c>
      <c r="P3879" t="s">
        <v>1751</v>
      </c>
    </row>
    <row r="3880" spans="1:16" x14ac:dyDescent="0.3">
      <c r="A3880" t="s">
        <v>1487</v>
      </c>
      <c r="B3880" t="s">
        <v>109</v>
      </c>
      <c r="C3880">
        <v>75</v>
      </c>
      <c r="D3880" t="s">
        <v>10</v>
      </c>
      <c r="E3880" t="s">
        <v>1488</v>
      </c>
      <c r="F3880" s="1">
        <v>44699.666666666664</v>
      </c>
      <c r="G3880" s="1">
        <v>44699.71875</v>
      </c>
      <c r="H3880">
        <v>16</v>
      </c>
      <c r="I3880">
        <v>0</v>
      </c>
      <c r="J3880">
        <v>17</v>
      </c>
      <c r="K3880">
        <v>15</v>
      </c>
      <c r="L3880">
        <v>2022</v>
      </c>
      <c r="N3880" t="s">
        <v>47</v>
      </c>
      <c r="O3880" t="s">
        <v>47</v>
      </c>
      <c r="P3880" t="s">
        <v>1756</v>
      </c>
    </row>
    <row r="3881" spans="1:16" x14ac:dyDescent="0.3">
      <c r="A3881" t="s">
        <v>1487</v>
      </c>
      <c r="B3881" t="s">
        <v>109</v>
      </c>
      <c r="C3881">
        <v>30</v>
      </c>
      <c r="D3881" t="s">
        <v>10</v>
      </c>
      <c r="E3881" t="s">
        <v>1757</v>
      </c>
      <c r="F3881" s="1">
        <v>44699.625</v>
      </c>
      <c r="G3881" s="1">
        <v>44699.645833333336</v>
      </c>
      <c r="H3881">
        <v>15</v>
      </c>
      <c r="I3881">
        <v>0</v>
      </c>
      <c r="J3881">
        <v>15</v>
      </c>
      <c r="K3881">
        <v>30</v>
      </c>
      <c r="L3881">
        <v>2022</v>
      </c>
      <c r="N3881" t="s">
        <v>47</v>
      </c>
      <c r="O3881" t="s">
        <v>47</v>
      </c>
      <c r="P3881" t="s">
        <v>1758</v>
      </c>
    </row>
    <row r="3882" spans="1:16" x14ac:dyDescent="0.3">
      <c r="A3882" t="s">
        <v>1614</v>
      </c>
      <c r="C3882">
        <v>60</v>
      </c>
      <c r="D3882" t="s">
        <v>10</v>
      </c>
      <c r="F3882" s="1">
        <v>44699.583333333336</v>
      </c>
      <c r="G3882" s="1">
        <v>44699.625</v>
      </c>
      <c r="H3882">
        <v>14</v>
      </c>
      <c r="I3882">
        <v>0</v>
      </c>
      <c r="J3882">
        <v>15</v>
      </c>
      <c r="K3882">
        <v>0</v>
      </c>
      <c r="L3882">
        <v>2022</v>
      </c>
      <c r="N3882" t="s">
        <v>47</v>
      </c>
      <c r="O3882" t="s">
        <v>47</v>
      </c>
      <c r="P3882" t="s">
        <v>1759</v>
      </c>
    </row>
    <row r="3883" spans="1:16" x14ac:dyDescent="0.3">
      <c r="A3883" t="s">
        <v>1760</v>
      </c>
      <c r="C3883">
        <v>60</v>
      </c>
      <c r="D3883" t="s">
        <v>10</v>
      </c>
      <c r="F3883" s="43">
        <v>44699.541666666664</v>
      </c>
      <c r="G3883" s="43">
        <v>44699.583333333336</v>
      </c>
      <c r="H3883">
        <v>13</v>
      </c>
      <c r="I3883">
        <v>0</v>
      </c>
      <c r="J3883">
        <v>14</v>
      </c>
      <c r="K3883">
        <v>0</v>
      </c>
      <c r="L3883">
        <v>2022</v>
      </c>
      <c r="N3883" t="s">
        <v>47</v>
      </c>
      <c r="O3883" t="s">
        <v>47</v>
      </c>
      <c r="P3883" t="s">
        <v>1761</v>
      </c>
    </row>
    <row r="3884" spans="1:16" x14ac:dyDescent="0.3">
      <c r="A3884" t="s">
        <v>1763</v>
      </c>
      <c r="C3884">
        <v>30</v>
      </c>
      <c r="D3884" t="s">
        <v>10</v>
      </c>
      <c r="E3884" t="s">
        <v>501</v>
      </c>
      <c r="F3884" s="43">
        <v>44699.458333333336</v>
      </c>
      <c r="G3884" s="43">
        <v>44699.479166666664</v>
      </c>
      <c r="H3884">
        <v>11</v>
      </c>
      <c r="I3884">
        <v>0</v>
      </c>
      <c r="J3884">
        <v>11</v>
      </c>
      <c r="K3884">
        <v>30</v>
      </c>
      <c r="L3884">
        <v>2022</v>
      </c>
      <c r="N3884" t="s">
        <v>1764</v>
      </c>
      <c r="O3884" t="s">
        <v>47</v>
      </c>
      <c r="P3884" t="s">
        <v>1765</v>
      </c>
    </row>
    <row r="3885" spans="1:16" x14ac:dyDescent="0.3">
      <c r="A3885" t="s">
        <v>1888</v>
      </c>
      <c r="B3885" t="s">
        <v>20</v>
      </c>
      <c r="C3885">
        <v>60</v>
      </c>
      <c r="D3885" t="s">
        <v>10</v>
      </c>
      <c r="E3885" t="s">
        <v>1889</v>
      </c>
      <c r="F3885" s="43">
        <v>44699.416666666664</v>
      </c>
      <c r="G3885" s="43">
        <v>44699.458333333336</v>
      </c>
      <c r="H3885">
        <v>10</v>
      </c>
      <c r="I3885">
        <v>0</v>
      </c>
      <c r="J3885">
        <v>11</v>
      </c>
      <c r="K3885">
        <v>0</v>
      </c>
      <c r="L3885">
        <v>2022</v>
      </c>
      <c r="N3885" t="s">
        <v>1890</v>
      </c>
      <c r="O3885" t="s">
        <v>458</v>
      </c>
      <c r="P3885" t="s">
        <v>1891</v>
      </c>
    </row>
    <row r="3886" spans="1:16" x14ac:dyDescent="0.3">
      <c r="A3886" t="s">
        <v>1766</v>
      </c>
      <c r="C3886">
        <v>30</v>
      </c>
      <c r="D3886" t="s">
        <v>10</v>
      </c>
      <c r="E3886" t="s">
        <v>501</v>
      </c>
      <c r="F3886" s="43">
        <v>44699.375</v>
      </c>
      <c r="G3886" s="43">
        <v>44699.395833333336</v>
      </c>
      <c r="H3886">
        <v>9</v>
      </c>
      <c r="I3886">
        <v>0</v>
      </c>
      <c r="J3886">
        <v>9</v>
      </c>
      <c r="K3886">
        <v>30</v>
      </c>
      <c r="L3886">
        <v>2022</v>
      </c>
      <c r="N3886" t="s">
        <v>1767</v>
      </c>
      <c r="O3886" t="s">
        <v>47</v>
      </c>
      <c r="P3886" t="s">
        <v>1768</v>
      </c>
    </row>
    <row r="3887" spans="1:16" x14ac:dyDescent="0.3">
      <c r="A3887" t="s">
        <v>1787</v>
      </c>
      <c r="C3887">
        <v>30</v>
      </c>
      <c r="D3887" t="s">
        <v>10</v>
      </c>
      <c r="E3887" t="s">
        <v>5</v>
      </c>
      <c r="F3887" s="43">
        <v>44699.333333333336</v>
      </c>
      <c r="G3887" s="43">
        <v>44699.354166666664</v>
      </c>
      <c r="H3887">
        <v>8</v>
      </c>
      <c r="I3887">
        <v>0</v>
      </c>
      <c r="J3887">
        <v>8</v>
      </c>
      <c r="K3887">
        <v>30</v>
      </c>
      <c r="L3887">
        <v>2022</v>
      </c>
      <c r="N3887" t="s">
        <v>1788</v>
      </c>
      <c r="O3887" t="s">
        <v>1241</v>
      </c>
      <c r="P3887" t="s">
        <v>1789</v>
      </c>
    </row>
    <row r="3888" spans="1:16" x14ac:dyDescent="0.3">
      <c r="A3888" t="s">
        <v>6</v>
      </c>
      <c r="C3888">
        <v>30</v>
      </c>
      <c r="D3888" t="s">
        <v>10</v>
      </c>
      <c r="F3888" s="43">
        <v>44699.3125</v>
      </c>
      <c r="G3888" s="43">
        <v>44699.333333333336</v>
      </c>
      <c r="H3888">
        <v>7</v>
      </c>
      <c r="I3888">
        <v>30</v>
      </c>
      <c r="J3888">
        <v>8</v>
      </c>
      <c r="K3888">
        <v>0</v>
      </c>
      <c r="L3888">
        <v>2022</v>
      </c>
      <c r="N3888" t="s">
        <v>47</v>
      </c>
      <c r="O3888" t="s">
        <v>47</v>
      </c>
      <c r="P3888" t="s">
        <v>1762</v>
      </c>
    </row>
    <row r="3889" spans="1:16" x14ac:dyDescent="0.3">
      <c r="A3889" t="s">
        <v>1769</v>
      </c>
      <c r="C3889">
        <v>15</v>
      </c>
      <c r="D3889" t="s">
        <v>10</v>
      </c>
      <c r="F3889" s="43">
        <v>44699.25</v>
      </c>
      <c r="G3889" s="43">
        <v>44699.260416666664</v>
      </c>
      <c r="H3889">
        <v>6</v>
      </c>
      <c r="I3889">
        <v>0</v>
      </c>
      <c r="J3889">
        <v>6</v>
      </c>
      <c r="K3889">
        <v>15</v>
      </c>
      <c r="L3889">
        <v>2022</v>
      </c>
      <c r="N3889" t="s">
        <v>47</v>
      </c>
      <c r="O3889" t="s">
        <v>47</v>
      </c>
      <c r="P3889" t="s">
        <v>1770</v>
      </c>
    </row>
    <row r="3890" spans="1:16" x14ac:dyDescent="0.3">
      <c r="A3890" t="s">
        <v>7</v>
      </c>
      <c r="B3890" t="s">
        <v>6</v>
      </c>
      <c r="C3890">
        <v>50</v>
      </c>
      <c r="D3890" t="s">
        <v>10</v>
      </c>
      <c r="E3890" t="s">
        <v>449</v>
      </c>
      <c r="F3890" s="43">
        <v>44698.6875</v>
      </c>
      <c r="G3890" s="43">
        <v>44698.722222222219</v>
      </c>
      <c r="H3890">
        <v>16</v>
      </c>
      <c r="I3890">
        <v>30</v>
      </c>
      <c r="J3890">
        <v>17</v>
      </c>
      <c r="K3890">
        <v>20</v>
      </c>
      <c r="L3890">
        <v>2022</v>
      </c>
      <c r="N3890" t="s">
        <v>47</v>
      </c>
      <c r="O3890" t="s">
        <v>47</v>
      </c>
      <c r="P3890" t="s">
        <v>1771</v>
      </c>
    </row>
    <row r="3891" spans="1:16" x14ac:dyDescent="0.3">
      <c r="A3891" t="s">
        <v>1775</v>
      </c>
      <c r="B3891" t="s">
        <v>109</v>
      </c>
      <c r="C3891">
        <v>45</v>
      </c>
      <c r="D3891" t="s">
        <v>10</v>
      </c>
      <c r="E3891" t="s">
        <v>1727</v>
      </c>
      <c r="F3891" s="43">
        <v>44698.65625</v>
      </c>
      <c r="G3891" s="43">
        <v>44698.6875</v>
      </c>
      <c r="H3891">
        <v>15</v>
      </c>
      <c r="I3891">
        <v>45</v>
      </c>
      <c r="J3891">
        <v>16</v>
      </c>
      <c r="K3891">
        <v>30</v>
      </c>
      <c r="L3891">
        <v>2022</v>
      </c>
      <c r="N3891" t="s">
        <v>47</v>
      </c>
      <c r="O3891" t="s">
        <v>47</v>
      </c>
      <c r="P3891" t="s">
        <v>1776</v>
      </c>
    </row>
    <row r="3892" spans="1:16" x14ac:dyDescent="0.3">
      <c r="A3892" t="s">
        <v>1614</v>
      </c>
      <c r="B3892" t="s">
        <v>109</v>
      </c>
      <c r="C3892">
        <v>45</v>
      </c>
      <c r="D3892" t="s">
        <v>10</v>
      </c>
      <c r="E3892" t="s">
        <v>1777</v>
      </c>
      <c r="F3892" s="43">
        <v>44698.625</v>
      </c>
      <c r="G3892" s="43">
        <v>44698.65625</v>
      </c>
      <c r="H3892">
        <v>15</v>
      </c>
      <c r="I3892">
        <v>0</v>
      </c>
      <c r="J3892">
        <v>15</v>
      </c>
      <c r="K3892">
        <v>45</v>
      </c>
      <c r="L3892">
        <v>2022</v>
      </c>
      <c r="N3892" t="s">
        <v>47</v>
      </c>
      <c r="O3892" t="s">
        <v>47</v>
      </c>
      <c r="P3892" t="s">
        <v>1778</v>
      </c>
    </row>
    <row r="3893" spans="1:16" x14ac:dyDescent="0.3">
      <c r="A3893" t="s">
        <v>1910</v>
      </c>
      <c r="B3893" t="s">
        <v>20</v>
      </c>
      <c r="C3893">
        <v>60</v>
      </c>
      <c r="D3893" t="s">
        <v>10</v>
      </c>
      <c r="E3893" t="s">
        <v>1911</v>
      </c>
      <c r="F3893" s="43">
        <v>44698.416666666664</v>
      </c>
      <c r="G3893" s="43">
        <v>44698.458333333336</v>
      </c>
      <c r="H3893">
        <v>10</v>
      </c>
      <c r="I3893">
        <v>0</v>
      </c>
      <c r="J3893">
        <v>11</v>
      </c>
      <c r="K3893">
        <v>0</v>
      </c>
      <c r="L3893">
        <v>2022</v>
      </c>
      <c r="N3893" t="s">
        <v>1912</v>
      </c>
      <c r="O3893" t="s">
        <v>458</v>
      </c>
      <c r="P3893" t="s">
        <v>1913</v>
      </c>
    </row>
    <row r="3894" spans="1:16" x14ac:dyDescent="0.3">
      <c r="A3894" t="s">
        <v>1876</v>
      </c>
      <c r="B3894" t="s">
        <v>20</v>
      </c>
      <c r="C3894">
        <v>30</v>
      </c>
      <c r="D3894" t="s">
        <v>10</v>
      </c>
      <c r="F3894" s="43">
        <v>44698.375</v>
      </c>
      <c r="G3894" s="43">
        <v>44698.395833333336</v>
      </c>
      <c r="H3894">
        <v>9</v>
      </c>
      <c r="I3894">
        <v>0</v>
      </c>
      <c r="J3894">
        <v>9</v>
      </c>
      <c r="K3894">
        <v>30</v>
      </c>
      <c r="L3894">
        <v>2022</v>
      </c>
      <c r="N3894" t="s">
        <v>1877</v>
      </c>
      <c r="O3894" t="s">
        <v>1129</v>
      </c>
      <c r="P3894" t="s">
        <v>1878</v>
      </c>
    </row>
    <row r="3895" spans="1:16" x14ac:dyDescent="0.3">
      <c r="A3895" t="s">
        <v>1834</v>
      </c>
      <c r="C3895">
        <v>60</v>
      </c>
      <c r="D3895" t="s">
        <v>10</v>
      </c>
      <c r="E3895" t="s">
        <v>5</v>
      </c>
      <c r="F3895" s="43">
        <v>44698.333333333336</v>
      </c>
      <c r="G3895" s="43">
        <v>44698.375</v>
      </c>
      <c r="H3895">
        <v>8</v>
      </c>
      <c r="I3895">
        <v>0</v>
      </c>
      <c r="J3895">
        <v>9</v>
      </c>
      <c r="K3895">
        <v>0</v>
      </c>
      <c r="L3895">
        <v>2022</v>
      </c>
      <c r="N3895" t="s">
        <v>1835</v>
      </c>
      <c r="O3895" t="s">
        <v>1836</v>
      </c>
      <c r="P3895" t="s">
        <v>1837</v>
      </c>
    </row>
    <row r="3896" spans="1:16" x14ac:dyDescent="0.3">
      <c r="A3896" t="s">
        <v>803</v>
      </c>
      <c r="C3896">
        <v>30</v>
      </c>
      <c r="D3896" t="s">
        <v>10</v>
      </c>
      <c r="E3896" t="s">
        <v>5</v>
      </c>
      <c r="F3896" s="43">
        <v>44698.291666666664</v>
      </c>
      <c r="G3896" s="43">
        <v>44698.3125</v>
      </c>
      <c r="H3896">
        <v>7</v>
      </c>
      <c r="I3896">
        <v>0</v>
      </c>
      <c r="J3896">
        <v>7</v>
      </c>
      <c r="K3896">
        <v>30</v>
      </c>
      <c r="L3896">
        <v>2022</v>
      </c>
      <c r="N3896" t="s">
        <v>1399</v>
      </c>
      <c r="O3896" t="s">
        <v>1241</v>
      </c>
      <c r="P3896" t="s">
        <v>1803</v>
      </c>
    </row>
    <row r="3897" spans="1:16" x14ac:dyDescent="0.3">
      <c r="A3897" t="s">
        <v>6</v>
      </c>
      <c r="B3897" t="s">
        <v>6</v>
      </c>
      <c r="C3897">
        <v>30</v>
      </c>
      <c r="D3897" t="s">
        <v>10</v>
      </c>
      <c r="F3897" s="43">
        <v>44698.25</v>
      </c>
      <c r="G3897" s="43">
        <v>44698.270833333336</v>
      </c>
      <c r="H3897">
        <v>6</v>
      </c>
      <c r="I3897">
        <v>0</v>
      </c>
      <c r="J3897">
        <v>6</v>
      </c>
      <c r="K3897">
        <v>30</v>
      </c>
      <c r="L3897">
        <v>2022</v>
      </c>
      <c r="O3897" t="s">
        <v>47</v>
      </c>
      <c r="P3897" t="s">
        <v>1783</v>
      </c>
    </row>
    <row r="3898" spans="1:16" x14ac:dyDescent="0.3">
      <c r="A3898" t="s">
        <v>1790</v>
      </c>
      <c r="B3898" t="s">
        <v>109</v>
      </c>
      <c r="C3898">
        <v>30</v>
      </c>
      <c r="D3898" t="s">
        <v>10</v>
      </c>
      <c r="E3898" t="s">
        <v>1777</v>
      </c>
      <c r="F3898" s="43">
        <v>44697.770833333336</v>
      </c>
      <c r="G3898" s="43">
        <v>44697.791666666664</v>
      </c>
      <c r="H3898">
        <v>18</v>
      </c>
      <c r="I3898">
        <v>30</v>
      </c>
      <c r="J3898">
        <v>19</v>
      </c>
      <c r="K3898">
        <v>0</v>
      </c>
      <c r="L3898">
        <v>2022</v>
      </c>
      <c r="N3898" t="s">
        <v>47</v>
      </c>
      <c r="O3898" t="s">
        <v>47</v>
      </c>
      <c r="P3898" t="s">
        <v>1791</v>
      </c>
    </row>
    <row r="3899" spans="1:16" x14ac:dyDescent="0.3">
      <c r="A3899" t="s">
        <v>691</v>
      </c>
      <c r="B3899" t="s">
        <v>109</v>
      </c>
      <c r="C3899">
        <v>30</v>
      </c>
      <c r="D3899" t="s">
        <v>10</v>
      </c>
      <c r="E3899" t="s">
        <v>649</v>
      </c>
      <c r="F3899" s="43">
        <v>44697.71875</v>
      </c>
      <c r="G3899" s="43">
        <v>44697.739583333336</v>
      </c>
      <c r="H3899">
        <v>17</v>
      </c>
      <c r="I3899">
        <v>15</v>
      </c>
      <c r="J3899">
        <v>17</v>
      </c>
      <c r="K3899">
        <v>45</v>
      </c>
      <c r="L3899">
        <v>2022</v>
      </c>
      <c r="N3899" t="s">
        <v>47</v>
      </c>
      <c r="O3899" t="s">
        <v>47</v>
      </c>
      <c r="P3899" t="s">
        <v>1792</v>
      </c>
    </row>
    <row r="3900" spans="1:16" x14ac:dyDescent="0.3">
      <c r="A3900" t="s">
        <v>1793</v>
      </c>
      <c r="B3900" t="s">
        <v>109</v>
      </c>
      <c r="C3900">
        <v>75</v>
      </c>
      <c r="D3900" t="s">
        <v>10</v>
      </c>
      <c r="E3900" t="s">
        <v>1727</v>
      </c>
      <c r="F3900" s="43">
        <v>44697.666666666664</v>
      </c>
      <c r="G3900" s="43">
        <v>44697.71875</v>
      </c>
      <c r="H3900">
        <v>16</v>
      </c>
      <c r="I3900">
        <v>0</v>
      </c>
      <c r="J3900">
        <v>17</v>
      </c>
      <c r="K3900">
        <v>15</v>
      </c>
      <c r="L3900">
        <v>2022</v>
      </c>
      <c r="N3900" t="s">
        <v>47</v>
      </c>
      <c r="O3900" t="s">
        <v>47</v>
      </c>
      <c r="P3900" t="s">
        <v>1794</v>
      </c>
    </row>
    <row r="3901" spans="1:16" x14ac:dyDescent="0.3">
      <c r="A3901" t="s">
        <v>7</v>
      </c>
      <c r="B3901" t="s">
        <v>6</v>
      </c>
      <c r="C3901">
        <v>60</v>
      </c>
      <c r="D3901" t="s">
        <v>10</v>
      </c>
      <c r="E3901" t="s">
        <v>449</v>
      </c>
      <c r="F3901" s="43">
        <v>44697.625</v>
      </c>
      <c r="G3901" s="43">
        <v>44697.666666666664</v>
      </c>
      <c r="H3901">
        <v>15</v>
      </c>
      <c r="I3901">
        <v>0</v>
      </c>
      <c r="J3901">
        <v>16</v>
      </c>
      <c r="K3901">
        <v>0</v>
      </c>
      <c r="L3901">
        <v>2022</v>
      </c>
      <c r="N3901" t="s">
        <v>47</v>
      </c>
      <c r="O3901" t="s">
        <v>47</v>
      </c>
      <c r="P3901" t="s">
        <v>1795</v>
      </c>
    </row>
    <row r="3902" spans="1:16" x14ac:dyDescent="0.3">
      <c r="A3902" t="s">
        <v>1775</v>
      </c>
      <c r="B3902" t="s">
        <v>109</v>
      </c>
      <c r="C3902">
        <v>30</v>
      </c>
      <c r="D3902" t="s">
        <v>10</v>
      </c>
      <c r="E3902" t="s">
        <v>1727</v>
      </c>
      <c r="F3902" s="43">
        <v>44697.604166666664</v>
      </c>
      <c r="G3902" s="43">
        <v>44697.625</v>
      </c>
      <c r="H3902">
        <v>14</v>
      </c>
      <c r="I3902">
        <v>30</v>
      </c>
      <c r="J3902">
        <v>15</v>
      </c>
      <c r="K3902">
        <v>0</v>
      </c>
      <c r="L3902">
        <v>2022</v>
      </c>
      <c r="N3902" t="s">
        <v>47</v>
      </c>
      <c r="O3902" t="s">
        <v>47</v>
      </c>
      <c r="P3902" t="s">
        <v>1796</v>
      </c>
    </row>
    <row r="3903" spans="1:16" x14ac:dyDescent="0.3">
      <c r="A3903" t="s">
        <v>17</v>
      </c>
      <c r="B3903" t="s">
        <v>6</v>
      </c>
      <c r="C3903">
        <v>30</v>
      </c>
      <c r="D3903" t="s">
        <v>10</v>
      </c>
      <c r="E3903" t="s">
        <v>515</v>
      </c>
      <c r="F3903" s="43">
        <v>44697.5625</v>
      </c>
      <c r="G3903" s="43">
        <v>44697.583333333336</v>
      </c>
      <c r="H3903">
        <v>13</v>
      </c>
      <c r="I3903">
        <v>30</v>
      </c>
      <c r="J3903">
        <v>14</v>
      </c>
      <c r="K3903">
        <v>0</v>
      </c>
      <c r="L3903">
        <v>2022</v>
      </c>
      <c r="N3903" t="s">
        <v>47</v>
      </c>
      <c r="O3903" t="s">
        <v>47</v>
      </c>
      <c r="P3903" t="s">
        <v>1798</v>
      </c>
    </row>
    <row r="3904" spans="1:16" x14ac:dyDescent="0.3">
      <c r="A3904" t="s">
        <v>1829</v>
      </c>
      <c r="B3904" t="s">
        <v>109</v>
      </c>
      <c r="C3904">
        <v>30</v>
      </c>
      <c r="D3904" t="s">
        <v>10</v>
      </c>
      <c r="E3904" t="s">
        <v>1830</v>
      </c>
      <c r="F3904" s="43">
        <v>44697.541666666664</v>
      </c>
      <c r="G3904" s="43">
        <v>44697.5625</v>
      </c>
      <c r="H3904">
        <v>13</v>
      </c>
      <c r="I3904">
        <v>0</v>
      </c>
      <c r="J3904">
        <v>13</v>
      </c>
      <c r="K3904">
        <v>30</v>
      </c>
      <c r="L3904">
        <v>2022</v>
      </c>
      <c r="N3904" t="s">
        <v>549</v>
      </c>
      <c r="O3904" t="s">
        <v>458</v>
      </c>
      <c r="P3904" t="s">
        <v>1831</v>
      </c>
    </row>
    <row r="3905" spans="1:16" x14ac:dyDescent="0.3">
      <c r="A3905" t="s">
        <v>1823</v>
      </c>
      <c r="B3905" t="s">
        <v>20</v>
      </c>
      <c r="C3905">
        <v>45</v>
      </c>
      <c r="D3905" t="s">
        <v>10</v>
      </c>
      <c r="E3905" t="s">
        <v>1712</v>
      </c>
      <c r="F3905" s="43">
        <v>44697.5</v>
      </c>
      <c r="G3905" s="43">
        <v>44697.53125</v>
      </c>
      <c r="H3905">
        <v>12</v>
      </c>
      <c r="I3905">
        <v>0</v>
      </c>
      <c r="J3905">
        <v>12</v>
      </c>
      <c r="K3905">
        <v>45</v>
      </c>
      <c r="L3905">
        <v>2022</v>
      </c>
      <c r="N3905" t="s">
        <v>1824</v>
      </c>
      <c r="O3905" t="s">
        <v>48</v>
      </c>
      <c r="P3905" t="s">
        <v>1825</v>
      </c>
    </row>
    <row r="3906" spans="1:16" x14ac:dyDescent="0.3">
      <c r="A3906" t="s">
        <v>1879</v>
      </c>
      <c r="B3906" t="s">
        <v>20</v>
      </c>
      <c r="C3906">
        <v>30</v>
      </c>
      <c r="D3906" t="s">
        <v>10</v>
      </c>
      <c r="E3906" t="s">
        <v>21</v>
      </c>
      <c r="F3906" s="43">
        <v>44697.479166666664</v>
      </c>
      <c r="G3906" s="43">
        <v>44697.5</v>
      </c>
      <c r="H3906">
        <v>11</v>
      </c>
      <c r="I3906">
        <v>30</v>
      </c>
      <c r="J3906">
        <v>12</v>
      </c>
      <c r="K3906">
        <v>0</v>
      </c>
      <c r="L3906">
        <v>2022</v>
      </c>
      <c r="N3906" t="s">
        <v>1880</v>
      </c>
      <c r="O3906" t="s">
        <v>50</v>
      </c>
      <c r="P3906" t="s">
        <v>1881</v>
      </c>
    </row>
    <row r="3907" spans="1:16" x14ac:dyDescent="0.3">
      <c r="A3907" t="s">
        <v>1804</v>
      </c>
      <c r="B3907" t="s">
        <v>109</v>
      </c>
      <c r="C3907">
        <v>30</v>
      </c>
      <c r="D3907" t="s">
        <v>10</v>
      </c>
      <c r="E3907" t="s">
        <v>1753</v>
      </c>
      <c r="F3907" s="43">
        <v>44697.458333333336</v>
      </c>
      <c r="G3907" s="43">
        <v>44697.479166666664</v>
      </c>
      <c r="H3907">
        <v>11</v>
      </c>
      <c r="I3907">
        <v>0</v>
      </c>
      <c r="J3907">
        <v>11</v>
      </c>
      <c r="K3907">
        <v>30</v>
      </c>
      <c r="L3907">
        <v>2022</v>
      </c>
      <c r="N3907" t="s">
        <v>523</v>
      </c>
      <c r="O3907" t="s">
        <v>48</v>
      </c>
      <c r="P3907" t="s">
        <v>1805</v>
      </c>
    </row>
    <row r="3908" spans="1:16" x14ac:dyDescent="0.3">
      <c r="A3908" t="s">
        <v>1817</v>
      </c>
      <c r="B3908" t="s">
        <v>31</v>
      </c>
      <c r="C3908">
        <v>105</v>
      </c>
      <c r="D3908" t="s">
        <v>10</v>
      </c>
      <c r="F3908" s="43">
        <v>44697.364583333336</v>
      </c>
      <c r="G3908" s="43">
        <v>44697.4375</v>
      </c>
      <c r="H3908">
        <v>8</v>
      </c>
      <c r="I3908">
        <v>45</v>
      </c>
      <c r="J3908">
        <v>10</v>
      </c>
      <c r="K3908">
        <v>30</v>
      </c>
      <c r="L3908">
        <v>2022</v>
      </c>
      <c r="N3908" t="s">
        <v>47</v>
      </c>
      <c r="O3908" t="s">
        <v>47</v>
      </c>
      <c r="P3908" t="s">
        <v>1818</v>
      </c>
    </row>
    <row r="3909" spans="1:16" x14ac:dyDescent="0.3">
      <c r="A3909" t="s">
        <v>1838</v>
      </c>
      <c r="B3909" t="s">
        <v>6</v>
      </c>
      <c r="C3909">
        <v>60</v>
      </c>
      <c r="D3909" t="s">
        <v>10</v>
      </c>
      <c r="E3909" t="s">
        <v>1785</v>
      </c>
      <c r="F3909" s="43">
        <v>44697.291666666664</v>
      </c>
      <c r="G3909" s="43">
        <v>44697.333333333336</v>
      </c>
      <c r="H3909">
        <v>7</v>
      </c>
      <c r="I3909">
        <v>0</v>
      </c>
      <c r="J3909">
        <v>8</v>
      </c>
      <c r="K3909">
        <v>0</v>
      </c>
      <c r="L3909">
        <v>2022</v>
      </c>
      <c r="N3909" t="s">
        <v>1839</v>
      </c>
      <c r="O3909" t="s">
        <v>47</v>
      </c>
      <c r="P3909" t="s">
        <v>1840</v>
      </c>
    </row>
    <row r="3910" spans="1:16" x14ac:dyDescent="0.3">
      <c r="A3910" t="s">
        <v>8</v>
      </c>
      <c r="B3910" t="s">
        <v>6</v>
      </c>
      <c r="C3910">
        <v>60</v>
      </c>
      <c r="D3910" t="s">
        <v>10</v>
      </c>
      <c r="F3910" s="43">
        <v>44697.229166666664</v>
      </c>
      <c r="G3910" s="43">
        <v>44697.270833333336</v>
      </c>
      <c r="H3910">
        <v>5</v>
      </c>
      <c r="I3910">
        <v>30</v>
      </c>
      <c r="J3910">
        <v>6</v>
      </c>
      <c r="K3910">
        <v>30</v>
      </c>
      <c r="L3910">
        <v>2022</v>
      </c>
      <c r="N3910" t="s">
        <v>47</v>
      </c>
      <c r="O3910" t="s">
        <v>47</v>
      </c>
      <c r="P3910" t="s">
        <v>1797</v>
      </c>
    </row>
    <row r="3911" spans="1:16" x14ac:dyDescent="0.3">
      <c r="A3911" t="s">
        <v>1806</v>
      </c>
      <c r="B3911" t="s">
        <v>6</v>
      </c>
      <c r="C3911">
        <v>45</v>
      </c>
      <c r="D3911" t="s">
        <v>10</v>
      </c>
      <c r="E3911" t="s">
        <v>649</v>
      </c>
      <c r="F3911" s="43">
        <v>44696.791666666664</v>
      </c>
      <c r="G3911" s="43">
        <v>44696.822916666664</v>
      </c>
      <c r="H3911">
        <v>19</v>
      </c>
      <c r="I3911">
        <v>0</v>
      </c>
      <c r="J3911">
        <v>19</v>
      </c>
      <c r="K3911">
        <v>45</v>
      </c>
      <c r="L3911">
        <v>2022</v>
      </c>
      <c r="N3911" t="s">
        <v>47</v>
      </c>
      <c r="O3911" t="s">
        <v>47</v>
      </c>
      <c r="P3911" t="s">
        <v>1807</v>
      </c>
    </row>
    <row r="3912" spans="1:16" x14ac:dyDescent="0.3">
      <c r="A3912" t="s">
        <v>1808</v>
      </c>
      <c r="C3912">
        <v>60</v>
      </c>
      <c r="D3912" t="s">
        <v>10</v>
      </c>
      <c r="F3912" s="43">
        <v>44696.75</v>
      </c>
      <c r="G3912" s="43">
        <v>44696.791666666664</v>
      </c>
      <c r="H3912">
        <v>18</v>
      </c>
      <c r="I3912">
        <v>0</v>
      </c>
      <c r="J3912">
        <v>19</v>
      </c>
      <c r="K3912">
        <v>0</v>
      </c>
      <c r="L3912">
        <v>2022</v>
      </c>
      <c r="N3912" t="s">
        <v>47</v>
      </c>
      <c r="O3912" t="s">
        <v>47</v>
      </c>
      <c r="P3912" t="s">
        <v>1809</v>
      </c>
    </row>
    <row r="3913" spans="1:16" x14ac:dyDescent="0.3">
      <c r="A3913" t="s">
        <v>1810</v>
      </c>
      <c r="B3913" t="s">
        <v>109</v>
      </c>
      <c r="C3913">
        <v>60</v>
      </c>
      <c r="D3913" t="s">
        <v>10</v>
      </c>
      <c r="E3913" t="s">
        <v>1727</v>
      </c>
      <c r="F3913" s="43">
        <v>44696.666666666664</v>
      </c>
      <c r="G3913" s="43">
        <v>44696.708333333336</v>
      </c>
      <c r="H3913">
        <v>16</v>
      </c>
      <c r="I3913">
        <v>0</v>
      </c>
      <c r="J3913">
        <v>17</v>
      </c>
      <c r="K3913">
        <v>0</v>
      </c>
      <c r="L3913">
        <v>2022</v>
      </c>
      <c r="N3913" t="s">
        <v>47</v>
      </c>
      <c r="O3913" t="s">
        <v>47</v>
      </c>
      <c r="P3913" t="s">
        <v>1811</v>
      </c>
    </row>
    <row r="3914" spans="1:16" x14ac:dyDescent="0.3">
      <c r="A3914" t="s">
        <v>8</v>
      </c>
      <c r="B3914" t="s">
        <v>6</v>
      </c>
      <c r="C3914">
        <v>45</v>
      </c>
      <c r="D3914" t="s">
        <v>10</v>
      </c>
      <c r="F3914" s="43">
        <v>44696.5625</v>
      </c>
      <c r="G3914" s="43">
        <v>44696.59375</v>
      </c>
      <c r="H3914">
        <v>13</v>
      </c>
      <c r="I3914">
        <v>30</v>
      </c>
      <c r="J3914">
        <v>14</v>
      </c>
      <c r="K3914">
        <v>15</v>
      </c>
      <c r="L3914">
        <v>2022</v>
      </c>
      <c r="N3914" t="s">
        <v>47</v>
      </c>
      <c r="O3914" t="s">
        <v>47</v>
      </c>
      <c r="P3914" t="s">
        <v>1812</v>
      </c>
    </row>
    <row r="3915" spans="1:16" x14ac:dyDescent="0.3">
      <c r="A3915" t="s">
        <v>691</v>
      </c>
      <c r="B3915" t="s">
        <v>6</v>
      </c>
      <c r="C3915">
        <v>90</v>
      </c>
      <c r="D3915" t="s">
        <v>10</v>
      </c>
      <c r="E3915" t="s">
        <v>649</v>
      </c>
      <c r="F3915" s="43">
        <v>44696.291666666664</v>
      </c>
      <c r="G3915" s="43">
        <v>44696.354166666664</v>
      </c>
      <c r="H3915">
        <v>7</v>
      </c>
      <c r="I3915">
        <v>0</v>
      </c>
      <c r="J3915">
        <v>8</v>
      </c>
      <c r="K3915">
        <v>30</v>
      </c>
      <c r="L3915">
        <v>2022</v>
      </c>
      <c r="N3915" t="s">
        <v>47</v>
      </c>
      <c r="O3915" t="s">
        <v>47</v>
      </c>
      <c r="P3915" t="s">
        <v>1813</v>
      </c>
    </row>
    <row r="3916" spans="1:16" x14ac:dyDescent="0.3">
      <c r="A3916" t="s">
        <v>1487</v>
      </c>
      <c r="C3916">
        <v>90</v>
      </c>
      <c r="D3916" t="s">
        <v>10</v>
      </c>
      <c r="F3916" s="43">
        <v>44695.75</v>
      </c>
      <c r="G3916" s="43">
        <v>44695.8125</v>
      </c>
      <c r="H3916">
        <v>18</v>
      </c>
      <c r="I3916">
        <v>0</v>
      </c>
      <c r="J3916">
        <v>19</v>
      </c>
      <c r="K3916">
        <v>30</v>
      </c>
      <c r="L3916">
        <v>2022</v>
      </c>
      <c r="N3916" t="s">
        <v>47</v>
      </c>
      <c r="O3916" t="s">
        <v>47</v>
      </c>
      <c r="P3916" t="s">
        <v>1814</v>
      </c>
    </row>
    <row r="3917" spans="1:16" x14ac:dyDescent="0.3">
      <c r="A3917" t="s">
        <v>1815</v>
      </c>
      <c r="C3917">
        <v>60</v>
      </c>
      <c r="D3917" t="s">
        <v>10</v>
      </c>
      <c r="F3917" s="43">
        <v>44695.666666666664</v>
      </c>
      <c r="G3917" s="43">
        <v>44695.708333333336</v>
      </c>
      <c r="H3917">
        <v>16</v>
      </c>
      <c r="I3917">
        <v>0</v>
      </c>
      <c r="J3917">
        <v>17</v>
      </c>
      <c r="K3917">
        <v>0</v>
      </c>
      <c r="L3917">
        <v>2022</v>
      </c>
      <c r="N3917" t="s">
        <v>47</v>
      </c>
      <c r="O3917" t="s">
        <v>47</v>
      </c>
      <c r="P3917" t="s">
        <v>1816</v>
      </c>
    </row>
    <row r="3918" spans="1:16" x14ac:dyDescent="0.3">
      <c r="A3918" t="s">
        <v>657</v>
      </c>
      <c r="B3918" t="s">
        <v>6</v>
      </c>
      <c r="C3918">
        <v>60</v>
      </c>
      <c r="D3918" t="s">
        <v>10</v>
      </c>
      <c r="E3918" t="s">
        <v>649</v>
      </c>
      <c r="F3918" s="43">
        <v>44695.583333333336</v>
      </c>
      <c r="G3918" s="43">
        <v>44695.625</v>
      </c>
      <c r="H3918">
        <v>14</v>
      </c>
      <c r="I3918">
        <v>0</v>
      </c>
      <c r="J3918">
        <v>15</v>
      </c>
      <c r="K3918">
        <v>0</v>
      </c>
      <c r="L3918">
        <v>2022</v>
      </c>
      <c r="N3918" t="s">
        <v>47</v>
      </c>
      <c r="O3918" t="s">
        <v>47</v>
      </c>
      <c r="P3918" t="s">
        <v>1819</v>
      </c>
    </row>
    <row r="3919" spans="1:16" x14ac:dyDescent="0.3">
      <c r="A3919" t="s">
        <v>657</v>
      </c>
      <c r="B3919" t="s">
        <v>6</v>
      </c>
      <c r="C3919">
        <v>60</v>
      </c>
      <c r="D3919" t="s">
        <v>10</v>
      </c>
      <c r="E3919" t="s">
        <v>649</v>
      </c>
      <c r="F3919" s="43">
        <v>44695.375</v>
      </c>
      <c r="G3919" s="43">
        <v>44695.416666666664</v>
      </c>
      <c r="H3919">
        <v>9</v>
      </c>
      <c r="I3919">
        <v>0</v>
      </c>
      <c r="J3919">
        <v>10</v>
      </c>
      <c r="K3919">
        <v>0</v>
      </c>
      <c r="L3919">
        <v>2022</v>
      </c>
      <c r="N3919" t="s">
        <v>47</v>
      </c>
      <c r="O3919" t="s">
        <v>47</v>
      </c>
      <c r="P3919" t="s">
        <v>1820</v>
      </c>
    </row>
    <row r="3920" spans="1:16" x14ac:dyDescent="0.3">
      <c r="A3920" t="s">
        <v>34</v>
      </c>
      <c r="B3920" t="s">
        <v>6</v>
      </c>
      <c r="C3920">
        <v>35</v>
      </c>
      <c r="D3920" t="s">
        <v>10</v>
      </c>
      <c r="E3920" t="s">
        <v>649</v>
      </c>
      <c r="F3920" s="43">
        <v>44694.71875</v>
      </c>
      <c r="G3920" s="43">
        <v>44694.743055555555</v>
      </c>
      <c r="H3920">
        <v>17</v>
      </c>
      <c r="I3920">
        <v>15</v>
      </c>
      <c r="J3920">
        <v>17</v>
      </c>
      <c r="K3920">
        <v>50</v>
      </c>
      <c r="L3920">
        <v>2022</v>
      </c>
      <c r="N3920" t="s">
        <v>47</v>
      </c>
      <c r="O3920" t="s">
        <v>47</v>
      </c>
      <c r="P3920" t="s">
        <v>1821</v>
      </c>
    </row>
    <row r="3921" spans="1:16" x14ac:dyDescent="0.3">
      <c r="A3921" t="s">
        <v>9</v>
      </c>
      <c r="B3921" t="s">
        <v>6</v>
      </c>
      <c r="C3921">
        <v>60</v>
      </c>
      <c r="D3921" t="s">
        <v>10</v>
      </c>
      <c r="F3921" s="43">
        <v>44694.677083333336</v>
      </c>
      <c r="G3921" s="43">
        <v>44694.71875</v>
      </c>
      <c r="H3921">
        <v>16</v>
      </c>
      <c r="I3921">
        <v>15</v>
      </c>
      <c r="J3921">
        <v>17</v>
      </c>
      <c r="K3921">
        <v>15</v>
      </c>
      <c r="L3921">
        <v>2022</v>
      </c>
      <c r="N3921" t="s">
        <v>47</v>
      </c>
      <c r="O3921" t="s">
        <v>47</v>
      </c>
      <c r="P3921" t="s">
        <v>1822</v>
      </c>
    </row>
    <row r="3922" spans="1:16" x14ac:dyDescent="0.3">
      <c r="A3922" t="s">
        <v>779</v>
      </c>
      <c r="B3922" t="s">
        <v>6</v>
      </c>
      <c r="C3922">
        <v>60</v>
      </c>
      <c r="D3922" t="s">
        <v>10</v>
      </c>
      <c r="E3922" t="s">
        <v>649</v>
      </c>
      <c r="F3922" s="43">
        <v>44694.569444444445</v>
      </c>
      <c r="G3922" s="43">
        <v>44694.611111111109</v>
      </c>
      <c r="H3922">
        <v>13</v>
      </c>
      <c r="I3922">
        <v>40</v>
      </c>
      <c r="J3922">
        <v>14</v>
      </c>
      <c r="K3922">
        <v>40</v>
      </c>
      <c r="L3922">
        <v>2022</v>
      </c>
      <c r="N3922" t="s">
        <v>47</v>
      </c>
      <c r="O3922" t="s">
        <v>47</v>
      </c>
      <c r="P3922" t="s">
        <v>1826</v>
      </c>
    </row>
    <row r="3923" spans="1:16" x14ac:dyDescent="0.3">
      <c r="A3923" t="s">
        <v>1855</v>
      </c>
      <c r="B3923" t="s">
        <v>20</v>
      </c>
      <c r="C3923">
        <v>30</v>
      </c>
      <c r="D3923" t="s">
        <v>10</v>
      </c>
      <c r="E3923" t="s">
        <v>5</v>
      </c>
      <c r="F3923" s="43">
        <v>44694.458333333336</v>
      </c>
      <c r="G3923" s="43">
        <v>44694.479166666664</v>
      </c>
      <c r="H3923">
        <v>11</v>
      </c>
      <c r="I3923">
        <v>0</v>
      </c>
      <c r="J3923">
        <v>11</v>
      </c>
      <c r="K3923">
        <v>30</v>
      </c>
      <c r="L3923">
        <v>2022</v>
      </c>
      <c r="N3923" t="s">
        <v>805</v>
      </c>
      <c r="O3923" t="s">
        <v>806</v>
      </c>
      <c r="P3923" t="s">
        <v>1856</v>
      </c>
    </row>
    <row r="3924" spans="1:16" x14ac:dyDescent="0.3">
      <c r="A3924" t="s">
        <v>1852</v>
      </c>
      <c r="B3924" t="s">
        <v>20</v>
      </c>
      <c r="C3924">
        <v>60</v>
      </c>
      <c r="D3924" t="s">
        <v>10</v>
      </c>
      <c r="E3924" t="s">
        <v>1712</v>
      </c>
      <c r="F3924" s="43">
        <v>44694.416666666664</v>
      </c>
      <c r="G3924" s="43">
        <v>44694.458333333336</v>
      </c>
      <c r="H3924">
        <v>10</v>
      </c>
      <c r="I3924">
        <v>0</v>
      </c>
      <c r="J3924">
        <v>11</v>
      </c>
      <c r="K3924">
        <v>0</v>
      </c>
      <c r="L3924">
        <v>2022</v>
      </c>
      <c r="N3924" t="s">
        <v>1853</v>
      </c>
      <c r="O3924" t="s">
        <v>48</v>
      </c>
      <c r="P3924" t="s">
        <v>1854</v>
      </c>
    </row>
    <row r="3925" spans="1:16" x14ac:dyDescent="0.3">
      <c r="A3925" t="s">
        <v>1928</v>
      </c>
      <c r="B3925" t="s">
        <v>20</v>
      </c>
      <c r="C3925">
        <v>45</v>
      </c>
      <c r="D3925" t="s">
        <v>10</v>
      </c>
      <c r="E3925" t="s">
        <v>1712</v>
      </c>
      <c r="F3925" s="43">
        <v>44694.385416666664</v>
      </c>
      <c r="G3925" s="43">
        <v>44694.416666666664</v>
      </c>
      <c r="H3925">
        <v>9</v>
      </c>
      <c r="I3925">
        <v>15</v>
      </c>
      <c r="J3925">
        <v>10</v>
      </c>
      <c r="K3925">
        <v>0</v>
      </c>
      <c r="L3925">
        <v>2022</v>
      </c>
      <c r="N3925" t="s">
        <v>1929</v>
      </c>
      <c r="O3925" t="s">
        <v>48</v>
      </c>
      <c r="P3925" t="s">
        <v>1930</v>
      </c>
    </row>
    <row r="3926" spans="1:16" x14ac:dyDescent="0.3">
      <c r="A3926" t="s">
        <v>1867</v>
      </c>
      <c r="C3926">
        <v>30</v>
      </c>
      <c r="D3926" t="s">
        <v>10</v>
      </c>
      <c r="E3926" t="s">
        <v>1868</v>
      </c>
      <c r="F3926" s="43">
        <v>44694.364583333336</v>
      </c>
      <c r="G3926" s="43">
        <v>44694.385416666664</v>
      </c>
      <c r="H3926">
        <v>8</v>
      </c>
      <c r="I3926">
        <v>45</v>
      </c>
      <c r="J3926">
        <v>9</v>
      </c>
      <c r="K3926">
        <v>15</v>
      </c>
      <c r="L3926">
        <v>2022</v>
      </c>
      <c r="N3926" t="s">
        <v>1869</v>
      </c>
      <c r="O3926" t="s">
        <v>52</v>
      </c>
      <c r="P3926" t="s">
        <v>1870</v>
      </c>
    </row>
    <row r="3927" spans="1:16" x14ac:dyDescent="0.3">
      <c r="A3927" t="s">
        <v>1832</v>
      </c>
      <c r="C3927">
        <v>30</v>
      </c>
      <c r="D3927" t="s">
        <v>10</v>
      </c>
      <c r="E3927" t="s">
        <v>21</v>
      </c>
      <c r="F3927" s="43">
        <v>44694.354166666664</v>
      </c>
      <c r="G3927" s="43">
        <v>44694.375</v>
      </c>
      <c r="H3927">
        <v>8</v>
      </c>
      <c r="I3927">
        <v>30</v>
      </c>
      <c r="J3927">
        <v>9</v>
      </c>
      <c r="K3927">
        <v>0</v>
      </c>
      <c r="L3927">
        <v>2022</v>
      </c>
      <c r="N3927" t="s">
        <v>1260</v>
      </c>
      <c r="O3927" t="s">
        <v>50</v>
      </c>
      <c r="P3927" t="s">
        <v>1833</v>
      </c>
    </row>
    <row r="3928" spans="1:16" x14ac:dyDescent="0.3">
      <c r="A3928" t="s">
        <v>1841</v>
      </c>
      <c r="B3928" t="s">
        <v>109</v>
      </c>
      <c r="C3928">
        <v>120</v>
      </c>
      <c r="D3928" t="s">
        <v>10</v>
      </c>
      <c r="E3928" t="s">
        <v>1777</v>
      </c>
      <c r="F3928" s="43">
        <v>44693.6875</v>
      </c>
      <c r="G3928" s="43">
        <v>44693.770833333336</v>
      </c>
      <c r="H3928">
        <v>16</v>
      </c>
      <c r="I3928">
        <v>30</v>
      </c>
      <c r="J3928">
        <v>18</v>
      </c>
      <c r="K3928">
        <v>30</v>
      </c>
      <c r="L3928">
        <v>2022</v>
      </c>
      <c r="N3928" t="s">
        <v>47</v>
      </c>
      <c r="O3928" t="s">
        <v>47</v>
      </c>
      <c r="P3928" t="s">
        <v>1842</v>
      </c>
    </row>
    <row r="3929" spans="1:16" x14ac:dyDescent="0.3">
      <c r="A3929" t="s">
        <v>1841</v>
      </c>
      <c r="B3929" t="s">
        <v>1843</v>
      </c>
      <c r="C3929">
        <v>30</v>
      </c>
      <c r="D3929" t="s">
        <v>10</v>
      </c>
      <c r="E3929" t="s">
        <v>1777</v>
      </c>
      <c r="F3929" s="43">
        <v>44693.625</v>
      </c>
      <c r="G3929" s="43">
        <v>44693.645833333336</v>
      </c>
      <c r="H3929">
        <v>15</v>
      </c>
      <c r="I3929">
        <v>0</v>
      </c>
      <c r="J3929">
        <v>15</v>
      </c>
      <c r="K3929">
        <v>30</v>
      </c>
      <c r="L3929">
        <v>2022</v>
      </c>
      <c r="N3929" t="s">
        <v>47</v>
      </c>
      <c r="O3929" t="s">
        <v>47</v>
      </c>
      <c r="P3929" t="s">
        <v>1844</v>
      </c>
    </row>
    <row r="3930" spans="1:16" x14ac:dyDescent="0.3">
      <c r="A3930" t="s">
        <v>9</v>
      </c>
      <c r="B3930" t="s">
        <v>6</v>
      </c>
      <c r="C3930">
        <v>30</v>
      </c>
      <c r="D3930" t="s">
        <v>10</v>
      </c>
      <c r="E3930" t="s">
        <v>449</v>
      </c>
      <c r="F3930" s="43">
        <v>44693.604166666664</v>
      </c>
      <c r="G3930" s="43">
        <v>44693.625</v>
      </c>
      <c r="H3930">
        <v>14</v>
      </c>
      <c r="I3930">
        <v>30</v>
      </c>
      <c r="J3930">
        <v>15</v>
      </c>
      <c r="K3930">
        <v>0</v>
      </c>
      <c r="L3930">
        <v>2022</v>
      </c>
      <c r="N3930" t="s">
        <v>47</v>
      </c>
      <c r="O3930" t="s">
        <v>47</v>
      </c>
      <c r="P3930" t="s">
        <v>1845</v>
      </c>
    </row>
    <row r="3931" spans="1:16" x14ac:dyDescent="0.3">
      <c r="A3931" t="s">
        <v>1614</v>
      </c>
      <c r="B3931" t="s">
        <v>20</v>
      </c>
      <c r="C3931">
        <v>30</v>
      </c>
      <c r="D3931" t="s">
        <v>10</v>
      </c>
      <c r="E3931" t="s">
        <v>1777</v>
      </c>
      <c r="F3931" s="43">
        <v>44693.583333333336</v>
      </c>
      <c r="G3931" s="43">
        <v>44693.604166666664</v>
      </c>
      <c r="H3931">
        <v>14</v>
      </c>
      <c r="I3931">
        <v>0</v>
      </c>
      <c r="J3931">
        <v>14</v>
      </c>
      <c r="K3931">
        <v>30</v>
      </c>
      <c r="L3931">
        <v>2022</v>
      </c>
      <c r="N3931" t="s">
        <v>47</v>
      </c>
      <c r="O3931" t="s">
        <v>47</v>
      </c>
      <c r="P3931" t="s">
        <v>1846</v>
      </c>
    </row>
    <row r="3932" spans="1:16" x14ac:dyDescent="0.3">
      <c r="A3932" t="s">
        <v>1848</v>
      </c>
      <c r="B3932" t="s">
        <v>20</v>
      </c>
      <c r="C3932">
        <v>30</v>
      </c>
      <c r="D3932" t="s">
        <v>10</v>
      </c>
      <c r="E3932" t="s">
        <v>501</v>
      </c>
      <c r="F3932" s="43">
        <v>44693.479166666664</v>
      </c>
      <c r="G3932" s="43">
        <v>44693.5</v>
      </c>
      <c r="H3932">
        <v>11</v>
      </c>
      <c r="I3932">
        <v>30</v>
      </c>
      <c r="J3932">
        <v>12</v>
      </c>
      <c r="K3932">
        <v>0</v>
      </c>
      <c r="L3932">
        <v>2022</v>
      </c>
      <c r="N3932" t="s">
        <v>1849</v>
      </c>
      <c r="O3932" t="s">
        <v>47</v>
      </c>
      <c r="P3932" t="s">
        <v>1850</v>
      </c>
    </row>
    <row r="3933" spans="1:16" x14ac:dyDescent="0.3">
      <c r="A3933" t="s">
        <v>1860</v>
      </c>
      <c r="C3933">
        <v>30</v>
      </c>
      <c r="D3933" t="s">
        <v>10</v>
      </c>
      <c r="E3933" t="s">
        <v>1861</v>
      </c>
      <c r="F3933" s="43">
        <v>44693.458333333336</v>
      </c>
      <c r="G3933" s="43">
        <v>44693.479166666664</v>
      </c>
      <c r="H3933">
        <v>11</v>
      </c>
      <c r="I3933">
        <v>0</v>
      </c>
      <c r="J3933">
        <v>11</v>
      </c>
      <c r="K3933">
        <v>30</v>
      </c>
      <c r="L3933">
        <v>2022</v>
      </c>
      <c r="N3933" t="s">
        <v>1862</v>
      </c>
      <c r="O3933" t="s">
        <v>1863</v>
      </c>
      <c r="P3933" t="s">
        <v>1864</v>
      </c>
    </row>
    <row r="3934" spans="1:16" x14ac:dyDescent="0.3">
      <c r="A3934" t="s">
        <v>8</v>
      </c>
      <c r="C3934">
        <v>15</v>
      </c>
      <c r="D3934" t="s">
        <v>10</v>
      </c>
      <c r="F3934" s="43">
        <v>44693.427083333336</v>
      </c>
      <c r="G3934" s="43">
        <v>44693.4375</v>
      </c>
      <c r="H3934">
        <v>10</v>
      </c>
      <c r="I3934">
        <v>15</v>
      </c>
      <c r="J3934">
        <v>10</v>
      </c>
      <c r="K3934">
        <v>30</v>
      </c>
      <c r="L3934">
        <v>2022</v>
      </c>
      <c r="N3934" t="s">
        <v>47</v>
      </c>
      <c r="O3934" t="s">
        <v>47</v>
      </c>
      <c r="P3934" t="s">
        <v>1847</v>
      </c>
    </row>
    <row r="3935" spans="1:16" x14ac:dyDescent="0.3">
      <c r="A3935" t="s">
        <v>827</v>
      </c>
      <c r="C3935">
        <v>15</v>
      </c>
      <c r="D3935" t="s">
        <v>10</v>
      </c>
      <c r="F3935" s="43">
        <v>44693.416666666664</v>
      </c>
      <c r="G3935" s="43">
        <v>44693.427083333336</v>
      </c>
      <c r="H3935">
        <v>10</v>
      </c>
      <c r="I3935">
        <v>0</v>
      </c>
      <c r="J3935">
        <v>10</v>
      </c>
      <c r="K3935">
        <v>15</v>
      </c>
      <c r="L3935">
        <v>2022</v>
      </c>
      <c r="N3935" t="s">
        <v>47</v>
      </c>
      <c r="O3935" t="s">
        <v>47</v>
      </c>
      <c r="P3935" t="s">
        <v>1851</v>
      </c>
    </row>
    <row r="3936" spans="1:16" x14ac:dyDescent="0.3">
      <c r="A3936" t="s">
        <v>1857</v>
      </c>
      <c r="C3936">
        <v>30</v>
      </c>
      <c r="D3936" t="s">
        <v>10</v>
      </c>
      <c r="E3936" t="s">
        <v>5</v>
      </c>
      <c r="F3936" s="43">
        <v>44693.375</v>
      </c>
      <c r="G3936" s="43">
        <v>44693.395833333336</v>
      </c>
      <c r="H3936">
        <v>9</v>
      </c>
      <c r="I3936">
        <v>0</v>
      </c>
      <c r="J3936">
        <v>9</v>
      </c>
      <c r="K3936">
        <v>30</v>
      </c>
      <c r="L3936">
        <v>2022</v>
      </c>
      <c r="N3936" t="s">
        <v>1858</v>
      </c>
      <c r="O3936" t="s">
        <v>956</v>
      </c>
      <c r="P3936" t="s">
        <v>1859</v>
      </c>
    </row>
    <row r="3937" spans="1:16" x14ac:dyDescent="0.3">
      <c r="A3937" t="s">
        <v>6</v>
      </c>
      <c r="B3937" t="s">
        <v>6</v>
      </c>
      <c r="C3937">
        <v>30</v>
      </c>
      <c r="D3937" t="s">
        <v>10</v>
      </c>
      <c r="F3937" s="43">
        <v>44693.3125</v>
      </c>
      <c r="G3937" s="43">
        <v>44693.333333333336</v>
      </c>
      <c r="H3937">
        <v>7</v>
      </c>
      <c r="I3937">
        <v>30</v>
      </c>
      <c r="J3937">
        <v>8</v>
      </c>
      <c r="K3937">
        <v>0</v>
      </c>
      <c r="L3937">
        <v>2022</v>
      </c>
      <c r="N3937" t="s">
        <v>47</v>
      </c>
      <c r="O3937" t="s">
        <v>47</v>
      </c>
      <c r="P3937" t="s">
        <v>1865</v>
      </c>
    </row>
    <row r="3938" spans="1:16" x14ac:dyDescent="0.3">
      <c r="A3938" t="s">
        <v>6</v>
      </c>
      <c r="B3938" t="s">
        <v>6</v>
      </c>
      <c r="C3938">
        <v>30</v>
      </c>
      <c r="D3938" t="s">
        <v>10</v>
      </c>
      <c r="F3938" s="43">
        <v>44693.25</v>
      </c>
      <c r="G3938" s="43">
        <v>44693.270833333336</v>
      </c>
      <c r="H3938">
        <v>6</v>
      </c>
      <c r="I3938">
        <v>0</v>
      </c>
      <c r="J3938">
        <v>6</v>
      </c>
      <c r="K3938">
        <v>30</v>
      </c>
      <c r="L3938">
        <v>2022</v>
      </c>
      <c r="N3938" t="s">
        <v>47</v>
      </c>
      <c r="O3938" t="s">
        <v>47</v>
      </c>
      <c r="P3938" t="s">
        <v>1866</v>
      </c>
    </row>
    <row r="3939" spans="1:16" x14ac:dyDescent="0.3">
      <c r="A3939" t="s">
        <v>2017</v>
      </c>
      <c r="B3939" t="s">
        <v>20</v>
      </c>
      <c r="C3939">
        <v>60</v>
      </c>
      <c r="D3939" t="s">
        <v>10</v>
      </c>
      <c r="E3939" t="s">
        <v>2018</v>
      </c>
      <c r="F3939" s="43">
        <v>44693.166666666664</v>
      </c>
      <c r="G3939" s="43">
        <v>44693.208333333336</v>
      </c>
      <c r="H3939">
        <v>4</v>
      </c>
      <c r="I3939">
        <v>0</v>
      </c>
      <c r="J3939">
        <v>5</v>
      </c>
      <c r="K3939">
        <v>0</v>
      </c>
      <c r="L3939">
        <v>2022</v>
      </c>
      <c r="N3939" t="s">
        <v>2019</v>
      </c>
      <c r="O3939" t="s">
        <v>458</v>
      </c>
      <c r="P3939" t="s">
        <v>2020</v>
      </c>
    </row>
    <row r="3940" spans="1:16" x14ac:dyDescent="0.3">
      <c r="A3940" t="s">
        <v>1871</v>
      </c>
      <c r="B3940" t="s">
        <v>109</v>
      </c>
      <c r="C3940">
        <v>90</v>
      </c>
      <c r="D3940" t="s">
        <v>10</v>
      </c>
      <c r="E3940" t="s">
        <v>1872</v>
      </c>
      <c r="F3940" s="43">
        <v>44692.6875</v>
      </c>
      <c r="G3940" s="43">
        <v>44692.75</v>
      </c>
      <c r="H3940">
        <v>16</v>
      </c>
      <c r="I3940">
        <v>30</v>
      </c>
      <c r="J3940">
        <v>18</v>
      </c>
      <c r="K3940">
        <v>0</v>
      </c>
      <c r="L3940">
        <v>2022</v>
      </c>
      <c r="N3940" t="s">
        <v>47</v>
      </c>
      <c r="O3940" t="s">
        <v>47</v>
      </c>
      <c r="P3940" t="s">
        <v>1873</v>
      </c>
    </row>
    <row r="3941" spans="1:16" x14ac:dyDescent="0.3">
      <c r="A3941" t="s">
        <v>8</v>
      </c>
      <c r="B3941" t="s">
        <v>6</v>
      </c>
      <c r="C3941">
        <v>30</v>
      </c>
      <c r="D3941" t="s">
        <v>10</v>
      </c>
      <c r="F3941" s="43">
        <v>44692.677083333336</v>
      </c>
      <c r="G3941" s="43">
        <v>44692.697916666664</v>
      </c>
      <c r="H3941">
        <v>16</v>
      </c>
      <c r="I3941">
        <v>15</v>
      </c>
      <c r="J3941">
        <v>16</v>
      </c>
      <c r="K3941">
        <v>45</v>
      </c>
      <c r="L3941">
        <v>2022</v>
      </c>
      <c r="N3941" t="s">
        <v>47</v>
      </c>
      <c r="O3941" t="s">
        <v>47</v>
      </c>
      <c r="P3941" t="s">
        <v>1874</v>
      </c>
    </row>
    <row r="3942" spans="1:16" x14ac:dyDescent="0.3">
      <c r="A3942" t="s">
        <v>7</v>
      </c>
      <c r="B3942" t="s">
        <v>6</v>
      </c>
      <c r="C3942">
        <v>45</v>
      </c>
      <c r="D3942" t="s">
        <v>10</v>
      </c>
      <c r="E3942" t="s">
        <v>449</v>
      </c>
      <c r="F3942" s="43">
        <v>44692.5625</v>
      </c>
      <c r="G3942" s="43">
        <v>44692.59375</v>
      </c>
      <c r="H3942">
        <v>13</v>
      </c>
      <c r="I3942">
        <v>30</v>
      </c>
      <c r="J3942">
        <v>14</v>
      </c>
      <c r="K3942">
        <v>15</v>
      </c>
      <c r="L3942">
        <v>2022</v>
      </c>
      <c r="N3942" t="s">
        <v>47</v>
      </c>
      <c r="O3942" t="s">
        <v>47</v>
      </c>
      <c r="P3942" t="s">
        <v>1875</v>
      </c>
    </row>
    <row r="3943" spans="1:16" x14ac:dyDescent="0.3">
      <c r="A3943" t="s">
        <v>2000</v>
      </c>
      <c r="B3943" t="s">
        <v>20</v>
      </c>
      <c r="C3943">
        <v>60</v>
      </c>
      <c r="D3943" t="s">
        <v>10</v>
      </c>
      <c r="E3943" t="s">
        <v>2001</v>
      </c>
      <c r="F3943" s="43">
        <v>44692.520833333336</v>
      </c>
      <c r="G3943" s="43">
        <v>44692.5625</v>
      </c>
      <c r="H3943">
        <v>12</v>
      </c>
      <c r="I3943">
        <v>30</v>
      </c>
      <c r="J3943">
        <v>13</v>
      </c>
      <c r="K3943">
        <v>30</v>
      </c>
      <c r="L3943">
        <v>2022</v>
      </c>
      <c r="N3943" t="s">
        <v>2002</v>
      </c>
      <c r="O3943" t="s">
        <v>458</v>
      </c>
      <c r="P3943" t="s">
        <v>2003</v>
      </c>
    </row>
    <row r="3944" spans="1:16" x14ac:dyDescent="0.3">
      <c r="A3944" t="s">
        <v>1907</v>
      </c>
      <c r="C3944">
        <v>30</v>
      </c>
      <c r="D3944" t="s">
        <v>10</v>
      </c>
      <c r="E3944" t="s">
        <v>1535</v>
      </c>
      <c r="F3944" s="43">
        <v>44692.416666666664</v>
      </c>
      <c r="G3944" s="43">
        <v>44692.4375</v>
      </c>
      <c r="H3944">
        <v>10</v>
      </c>
      <c r="I3944">
        <v>0</v>
      </c>
      <c r="J3944">
        <v>10</v>
      </c>
      <c r="K3944">
        <v>30</v>
      </c>
      <c r="L3944">
        <v>2022</v>
      </c>
      <c r="N3944" t="s">
        <v>549</v>
      </c>
      <c r="O3944" t="s">
        <v>458</v>
      </c>
      <c r="P3944" t="s">
        <v>1908</v>
      </c>
    </row>
    <row r="3945" spans="1:16" x14ac:dyDescent="0.3">
      <c r="A3945" t="s">
        <v>1886</v>
      </c>
      <c r="B3945" t="s">
        <v>109</v>
      </c>
      <c r="C3945">
        <v>30</v>
      </c>
      <c r="D3945" t="s">
        <v>10</v>
      </c>
      <c r="E3945" t="s">
        <v>1883</v>
      </c>
      <c r="F3945" s="43">
        <v>44692.375</v>
      </c>
      <c r="G3945" s="43">
        <v>44692.395833333336</v>
      </c>
      <c r="H3945">
        <v>9</v>
      </c>
      <c r="I3945">
        <v>0</v>
      </c>
      <c r="J3945">
        <v>9</v>
      </c>
      <c r="K3945">
        <v>30</v>
      </c>
      <c r="L3945">
        <v>2022</v>
      </c>
      <c r="N3945" t="s">
        <v>47</v>
      </c>
      <c r="O3945" t="s">
        <v>47</v>
      </c>
      <c r="P3945" t="s">
        <v>1887</v>
      </c>
    </row>
    <row r="3946" spans="1:16" x14ac:dyDescent="0.3">
      <c r="A3946" t="s">
        <v>1931</v>
      </c>
      <c r="B3946" t="s">
        <v>20</v>
      </c>
      <c r="C3946">
        <v>45</v>
      </c>
      <c r="D3946" t="s">
        <v>10</v>
      </c>
      <c r="E3946" t="s">
        <v>1932</v>
      </c>
      <c r="F3946" s="43">
        <v>44692.34375</v>
      </c>
      <c r="G3946" s="43">
        <v>44692.375</v>
      </c>
      <c r="H3946">
        <v>8</v>
      </c>
      <c r="I3946">
        <v>15</v>
      </c>
      <c r="J3946">
        <v>9</v>
      </c>
      <c r="K3946">
        <v>0</v>
      </c>
      <c r="L3946">
        <v>2022</v>
      </c>
      <c r="N3946" t="s">
        <v>1933</v>
      </c>
      <c r="O3946" t="s">
        <v>48</v>
      </c>
      <c r="P3946" t="s">
        <v>1934</v>
      </c>
    </row>
    <row r="3947" spans="1:16" x14ac:dyDescent="0.3">
      <c r="A3947" t="s">
        <v>1882</v>
      </c>
      <c r="B3947" t="s">
        <v>109</v>
      </c>
      <c r="C3947">
        <v>90</v>
      </c>
      <c r="D3947" t="s">
        <v>10</v>
      </c>
      <c r="E3947" t="s">
        <v>1883</v>
      </c>
      <c r="F3947" s="43">
        <v>44692.25</v>
      </c>
      <c r="G3947" s="43">
        <v>44692.3125</v>
      </c>
      <c r="H3947">
        <v>6</v>
      </c>
      <c r="I3947">
        <v>0</v>
      </c>
      <c r="J3947">
        <v>7</v>
      </c>
      <c r="K3947">
        <v>30</v>
      </c>
      <c r="L3947">
        <v>2022</v>
      </c>
      <c r="N3947" t="s">
        <v>47</v>
      </c>
      <c r="O3947" t="s">
        <v>47</v>
      </c>
      <c r="P3947" t="s">
        <v>1884</v>
      </c>
    </row>
    <row r="3948" spans="1:16" x14ac:dyDescent="0.3">
      <c r="A3948" t="s">
        <v>8</v>
      </c>
      <c r="B3948" t="s">
        <v>6</v>
      </c>
      <c r="C3948">
        <v>15</v>
      </c>
      <c r="D3948" t="s">
        <v>10</v>
      </c>
      <c r="F3948" s="43">
        <v>44692.21875</v>
      </c>
      <c r="G3948" s="43">
        <v>44692.229166666664</v>
      </c>
      <c r="H3948">
        <v>5</v>
      </c>
      <c r="I3948">
        <v>15</v>
      </c>
      <c r="J3948">
        <v>5</v>
      </c>
      <c r="K3948">
        <v>30</v>
      </c>
      <c r="L3948">
        <v>2022</v>
      </c>
      <c r="N3948" t="s">
        <v>47</v>
      </c>
      <c r="O3948" t="s">
        <v>47</v>
      </c>
      <c r="P3948" t="s">
        <v>1885</v>
      </c>
    </row>
    <row r="3949" spans="1:16" x14ac:dyDescent="0.3">
      <c r="A3949" t="s">
        <v>1723</v>
      </c>
      <c r="C3949">
        <v>30</v>
      </c>
      <c r="D3949" t="s">
        <v>10</v>
      </c>
      <c r="F3949" s="43">
        <v>44691.802083333336</v>
      </c>
      <c r="G3949" s="43">
        <v>44691.822916666664</v>
      </c>
      <c r="H3949">
        <v>19</v>
      </c>
      <c r="I3949">
        <v>15</v>
      </c>
      <c r="J3949">
        <v>19</v>
      </c>
      <c r="K3949">
        <v>45</v>
      </c>
      <c r="L3949">
        <v>2022</v>
      </c>
      <c r="N3949" t="s">
        <v>47</v>
      </c>
      <c r="O3949" t="s">
        <v>47</v>
      </c>
      <c r="P3949" t="s">
        <v>1892</v>
      </c>
    </row>
    <row r="3950" spans="1:16" x14ac:dyDescent="0.3">
      <c r="A3950" t="s">
        <v>1723</v>
      </c>
      <c r="B3950" t="s">
        <v>1897</v>
      </c>
      <c r="C3950">
        <v>100</v>
      </c>
      <c r="D3950" t="s">
        <v>10</v>
      </c>
      <c r="E3950" t="s">
        <v>1883</v>
      </c>
      <c r="F3950" s="43">
        <v>44691.680555555555</v>
      </c>
      <c r="G3950" s="43">
        <v>44691.75</v>
      </c>
      <c r="H3950">
        <v>16</v>
      </c>
      <c r="I3950">
        <v>20</v>
      </c>
      <c r="J3950">
        <v>18</v>
      </c>
      <c r="K3950">
        <v>0</v>
      </c>
      <c r="L3950">
        <v>2022</v>
      </c>
      <c r="N3950" t="s">
        <v>47</v>
      </c>
      <c r="O3950" t="s">
        <v>47</v>
      </c>
      <c r="P3950" t="s">
        <v>1898</v>
      </c>
    </row>
    <row r="3951" spans="1:16" x14ac:dyDescent="0.3">
      <c r="A3951" t="s">
        <v>1899</v>
      </c>
      <c r="C3951">
        <v>60</v>
      </c>
      <c r="D3951" t="s">
        <v>10</v>
      </c>
      <c r="F3951" s="43">
        <v>44691.590277777781</v>
      </c>
      <c r="G3951" s="43">
        <v>44691.631944444445</v>
      </c>
      <c r="H3951">
        <v>14</v>
      </c>
      <c r="I3951">
        <v>10</v>
      </c>
      <c r="J3951">
        <v>15</v>
      </c>
      <c r="K3951">
        <v>10</v>
      </c>
      <c r="L3951">
        <v>2022</v>
      </c>
      <c r="N3951" t="s">
        <v>47</v>
      </c>
      <c r="O3951" t="s">
        <v>47</v>
      </c>
      <c r="P3951" t="s">
        <v>1900</v>
      </c>
    </row>
    <row r="3952" spans="1:16" x14ac:dyDescent="0.3">
      <c r="A3952" t="s">
        <v>8</v>
      </c>
      <c r="B3952" t="s">
        <v>6</v>
      </c>
      <c r="C3952">
        <v>30</v>
      </c>
      <c r="D3952" t="s">
        <v>10</v>
      </c>
      <c r="F3952" s="43">
        <v>44691.569444444445</v>
      </c>
      <c r="G3952" s="43">
        <v>44691.590277777781</v>
      </c>
      <c r="H3952">
        <v>13</v>
      </c>
      <c r="I3952">
        <v>40</v>
      </c>
      <c r="J3952">
        <v>14</v>
      </c>
      <c r="K3952">
        <v>10</v>
      </c>
      <c r="L3952">
        <v>2022</v>
      </c>
      <c r="N3952" t="s">
        <v>47</v>
      </c>
      <c r="O3952" t="s">
        <v>47</v>
      </c>
      <c r="P3952" t="s">
        <v>1901</v>
      </c>
    </row>
    <row r="3953" spans="1:16" x14ac:dyDescent="0.3">
      <c r="A3953" t="s">
        <v>1902</v>
      </c>
      <c r="C3953">
        <v>20</v>
      </c>
      <c r="D3953" t="s">
        <v>10</v>
      </c>
      <c r="F3953" s="43">
        <v>44691.555555555555</v>
      </c>
      <c r="G3953" s="43">
        <v>44691.569444444445</v>
      </c>
      <c r="H3953">
        <v>13</v>
      </c>
      <c r="I3953">
        <v>20</v>
      </c>
      <c r="J3953">
        <v>13</v>
      </c>
      <c r="K3953">
        <v>40</v>
      </c>
      <c r="L3953">
        <v>2022</v>
      </c>
      <c r="N3953" t="s">
        <v>47</v>
      </c>
      <c r="O3953" t="s">
        <v>47</v>
      </c>
      <c r="P3953" t="s">
        <v>1903</v>
      </c>
    </row>
    <row r="3954" spans="1:16" x14ac:dyDescent="0.3">
      <c r="A3954" t="s">
        <v>1985</v>
      </c>
      <c r="B3954" t="s">
        <v>20</v>
      </c>
      <c r="C3954">
        <v>30</v>
      </c>
      <c r="D3954" t="s">
        <v>10</v>
      </c>
      <c r="E3954" t="s">
        <v>1599</v>
      </c>
      <c r="F3954" s="43">
        <v>44691.458333333336</v>
      </c>
      <c r="G3954" s="43">
        <v>44691.479166666664</v>
      </c>
      <c r="H3954">
        <v>11</v>
      </c>
      <c r="I3954">
        <v>0</v>
      </c>
      <c r="J3954">
        <v>11</v>
      </c>
      <c r="K3954">
        <v>30</v>
      </c>
      <c r="L3954">
        <v>2022</v>
      </c>
      <c r="N3954" t="s">
        <v>1986</v>
      </c>
      <c r="O3954" t="s">
        <v>1987</v>
      </c>
      <c r="P3954" t="s">
        <v>1988</v>
      </c>
    </row>
    <row r="3955" spans="1:16" x14ac:dyDescent="0.3">
      <c r="A3955" t="s">
        <v>2163</v>
      </c>
      <c r="B3955" t="s">
        <v>20</v>
      </c>
      <c r="C3955">
        <v>60</v>
      </c>
      <c r="D3955" t="s">
        <v>10</v>
      </c>
      <c r="E3955" t="s">
        <v>2164</v>
      </c>
      <c r="F3955" s="43">
        <v>44691.416666666664</v>
      </c>
      <c r="G3955" s="43">
        <v>44691.458333333336</v>
      </c>
      <c r="H3955">
        <v>10</v>
      </c>
      <c r="I3955">
        <v>0</v>
      </c>
      <c r="J3955">
        <v>11</v>
      </c>
      <c r="K3955">
        <v>0</v>
      </c>
      <c r="L3955">
        <v>2022</v>
      </c>
      <c r="N3955" t="s">
        <v>2165</v>
      </c>
      <c r="O3955" t="s">
        <v>458</v>
      </c>
      <c r="P3955" t="s">
        <v>2166</v>
      </c>
    </row>
    <row r="3956" spans="1:16" x14ac:dyDescent="0.3">
      <c r="A3956" t="s">
        <v>1904</v>
      </c>
      <c r="B3956" t="s">
        <v>109</v>
      </c>
      <c r="C3956">
        <v>60</v>
      </c>
      <c r="D3956" t="s">
        <v>10</v>
      </c>
      <c r="E3956" t="s">
        <v>1905</v>
      </c>
      <c r="F3956" s="43">
        <v>44691.375</v>
      </c>
      <c r="G3956" s="43">
        <v>44691.416666666664</v>
      </c>
      <c r="H3956">
        <v>9</v>
      </c>
      <c r="I3956">
        <v>0</v>
      </c>
      <c r="J3956">
        <v>10</v>
      </c>
      <c r="K3956">
        <v>0</v>
      </c>
      <c r="L3956">
        <v>2022</v>
      </c>
      <c r="N3956" t="s">
        <v>47</v>
      </c>
      <c r="O3956" t="s">
        <v>47</v>
      </c>
      <c r="P3956" t="s">
        <v>1906</v>
      </c>
    </row>
    <row r="3957" spans="1:16" x14ac:dyDescent="0.3">
      <c r="A3957" t="s">
        <v>1938</v>
      </c>
      <c r="B3957" t="s">
        <v>109</v>
      </c>
      <c r="C3957">
        <v>30</v>
      </c>
      <c r="D3957" t="s">
        <v>10</v>
      </c>
      <c r="E3957" t="s">
        <v>1939</v>
      </c>
      <c r="F3957" s="43">
        <v>44691.354166666664</v>
      </c>
      <c r="G3957" s="43">
        <v>44691.375</v>
      </c>
      <c r="H3957">
        <v>8</v>
      </c>
      <c r="I3957">
        <v>30</v>
      </c>
      <c r="J3957">
        <v>9</v>
      </c>
      <c r="K3957">
        <v>0</v>
      </c>
      <c r="L3957">
        <v>2022</v>
      </c>
      <c r="N3957" t="s">
        <v>549</v>
      </c>
      <c r="O3957" t="s">
        <v>458</v>
      </c>
      <c r="P3957" t="s">
        <v>1940</v>
      </c>
    </row>
    <row r="3958" spans="1:16" x14ac:dyDescent="0.3">
      <c r="A3958" t="s">
        <v>8</v>
      </c>
      <c r="B3958" t="s">
        <v>6</v>
      </c>
      <c r="C3958">
        <v>60</v>
      </c>
      <c r="D3958" t="s">
        <v>10</v>
      </c>
      <c r="F3958" s="43">
        <v>44691.229166666664</v>
      </c>
      <c r="G3958" s="43">
        <v>44691.270833333336</v>
      </c>
      <c r="H3958">
        <v>5</v>
      </c>
      <c r="I3958">
        <v>30</v>
      </c>
      <c r="J3958">
        <v>6</v>
      </c>
      <c r="K3958">
        <v>30</v>
      </c>
      <c r="L3958">
        <v>2022</v>
      </c>
      <c r="N3958" t="s">
        <v>47</v>
      </c>
      <c r="O3958" t="s">
        <v>47</v>
      </c>
      <c r="P3958" t="s">
        <v>1909</v>
      </c>
    </row>
    <row r="3959" spans="1:16" x14ac:dyDescent="0.3">
      <c r="A3959" t="s">
        <v>1914</v>
      </c>
      <c r="C3959">
        <v>60</v>
      </c>
      <c r="D3959" t="s">
        <v>10</v>
      </c>
      <c r="F3959" s="43">
        <v>44690.708333333336</v>
      </c>
      <c r="G3959" s="43">
        <v>44690.75</v>
      </c>
      <c r="H3959">
        <v>17</v>
      </c>
      <c r="I3959">
        <v>0</v>
      </c>
      <c r="J3959">
        <v>18</v>
      </c>
      <c r="K3959">
        <v>0</v>
      </c>
      <c r="L3959">
        <v>2022</v>
      </c>
      <c r="N3959" t="s">
        <v>47</v>
      </c>
      <c r="O3959" t="s">
        <v>47</v>
      </c>
      <c r="P3959" t="s">
        <v>1915</v>
      </c>
    </row>
    <row r="3960" spans="1:16" x14ac:dyDescent="0.3">
      <c r="A3960" t="s">
        <v>1916</v>
      </c>
      <c r="C3960">
        <v>30</v>
      </c>
      <c r="D3960" t="s">
        <v>10</v>
      </c>
      <c r="F3960" s="43">
        <v>44690.666666666664</v>
      </c>
      <c r="G3960" s="43">
        <v>44690.6875</v>
      </c>
      <c r="H3960">
        <v>16</v>
      </c>
      <c r="I3960">
        <v>0</v>
      </c>
      <c r="J3960">
        <v>16</v>
      </c>
      <c r="K3960">
        <v>30</v>
      </c>
      <c r="L3960">
        <v>2022</v>
      </c>
      <c r="N3960" t="s">
        <v>47</v>
      </c>
      <c r="O3960" t="s">
        <v>47</v>
      </c>
      <c r="P3960" t="s">
        <v>1917</v>
      </c>
    </row>
    <row r="3961" spans="1:16" x14ac:dyDescent="0.3">
      <c r="A3961" t="s">
        <v>7</v>
      </c>
      <c r="B3961" t="s">
        <v>6</v>
      </c>
      <c r="C3961">
        <v>30</v>
      </c>
      <c r="D3961" t="s">
        <v>10</v>
      </c>
      <c r="E3961" t="s">
        <v>449</v>
      </c>
      <c r="F3961" s="43">
        <v>44690.645833333336</v>
      </c>
      <c r="G3961" s="43">
        <v>44690.666666666664</v>
      </c>
      <c r="H3961">
        <v>15</v>
      </c>
      <c r="I3961">
        <v>30</v>
      </c>
      <c r="J3961">
        <v>16</v>
      </c>
      <c r="K3961">
        <v>0</v>
      </c>
      <c r="L3961">
        <v>2022</v>
      </c>
      <c r="N3961" t="s">
        <v>47</v>
      </c>
      <c r="O3961" t="s">
        <v>47</v>
      </c>
      <c r="P3961" t="s">
        <v>1920</v>
      </c>
    </row>
    <row r="3962" spans="1:16" x14ac:dyDescent="0.3">
      <c r="A3962" t="s">
        <v>2032</v>
      </c>
      <c r="B3962" t="s">
        <v>20</v>
      </c>
      <c r="C3962">
        <v>30</v>
      </c>
      <c r="D3962" t="s">
        <v>10</v>
      </c>
      <c r="E3962" t="s">
        <v>501</v>
      </c>
      <c r="F3962" s="43">
        <v>44690.625</v>
      </c>
      <c r="G3962" s="43">
        <v>44690.645833333336</v>
      </c>
      <c r="H3962">
        <v>15</v>
      </c>
      <c r="I3962">
        <v>0</v>
      </c>
      <c r="J3962">
        <v>15</v>
      </c>
      <c r="K3962">
        <v>30</v>
      </c>
      <c r="L3962">
        <v>2022</v>
      </c>
      <c r="N3962" t="s">
        <v>2033</v>
      </c>
      <c r="O3962" t="s">
        <v>47</v>
      </c>
      <c r="P3962" t="s">
        <v>2034</v>
      </c>
    </row>
    <row r="3963" spans="1:16" x14ac:dyDescent="0.3">
      <c r="A3963" t="s">
        <v>1918</v>
      </c>
      <c r="C3963">
        <v>30</v>
      </c>
      <c r="D3963" t="s">
        <v>10</v>
      </c>
      <c r="F3963" s="43">
        <v>44690.604166666664</v>
      </c>
      <c r="G3963" s="43">
        <v>44690.625</v>
      </c>
      <c r="H3963">
        <v>14</v>
      </c>
      <c r="I3963">
        <v>30</v>
      </c>
      <c r="J3963">
        <v>15</v>
      </c>
      <c r="K3963">
        <v>0</v>
      </c>
      <c r="L3963">
        <v>2022</v>
      </c>
      <c r="N3963" t="s">
        <v>47</v>
      </c>
      <c r="O3963" t="s">
        <v>47</v>
      </c>
      <c r="P3963" t="s">
        <v>1919</v>
      </c>
    </row>
    <row r="3964" spans="1:16" x14ac:dyDescent="0.3">
      <c r="A3964" t="s">
        <v>1921</v>
      </c>
      <c r="B3964" t="s">
        <v>20</v>
      </c>
      <c r="C3964">
        <v>15</v>
      </c>
      <c r="D3964" t="s">
        <v>10</v>
      </c>
      <c r="E3964" t="s">
        <v>1777</v>
      </c>
      <c r="F3964" s="43">
        <v>44690.583333333336</v>
      </c>
      <c r="G3964" s="43">
        <v>44690.59375</v>
      </c>
      <c r="H3964">
        <v>14</v>
      </c>
      <c r="I3964">
        <v>0</v>
      </c>
      <c r="J3964">
        <v>14</v>
      </c>
      <c r="K3964">
        <v>15</v>
      </c>
      <c r="L3964">
        <v>2022</v>
      </c>
      <c r="N3964" t="s">
        <v>47</v>
      </c>
      <c r="O3964" t="s">
        <v>47</v>
      </c>
      <c r="P3964" t="s">
        <v>1922</v>
      </c>
    </row>
    <row r="3965" spans="1:16" x14ac:dyDescent="0.3">
      <c r="A3965" t="s">
        <v>1923</v>
      </c>
      <c r="B3965" t="s">
        <v>109</v>
      </c>
      <c r="C3965">
        <v>15</v>
      </c>
      <c r="D3965" t="s">
        <v>10</v>
      </c>
      <c r="E3965" t="s">
        <v>1924</v>
      </c>
      <c r="F3965" s="43">
        <v>44690.572916666664</v>
      </c>
      <c r="G3965" s="43">
        <v>44690.583333333336</v>
      </c>
      <c r="H3965">
        <v>13</v>
      </c>
      <c r="I3965">
        <v>45</v>
      </c>
      <c r="J3965">
        <v>14</v>
      </c>
      <c r="K3965">
        <v>0</v>
      </c>
      <c r="L3965">
        <v>2022</v>
      </c>
      <c r="N3965" t="s">
        <v>47</v>
      </c>
      <c r="O3965" t="s">
        <v>47</v>
      </c>
      <c r="P3965" t="s">
        <v>1925</v>
      </c>
    </row>
    <row r="3966" spans="1:16" x14ac:dyDescent="0.3">
      <c r="A3966" t="s">
        <v>1918</v>
      </c>
      <c r="B3966" t="s">
        <v>223</v>
      </c>
      <c r="C3966">
        <v>15</v>
      </c>
      <c r="D3966" t="s">
        <v>10</v>
      </c>
      <c r="E3966" t="s">
        <v>1926</v>
      </c>
      <c r="F3966" s="43">
        <v>44690.5625</v>
      </c>
      <c r="G3966" s="43">
        <v>44690.572916666664</v>
      </c>
      <c r="H3966">
        <v>13</v>
      </c>
      <c r="I3966">
        <v>30</v>
      </c>
      <c r="J3966">
        <v>13</v>
      </c>
      <c r="K3966">
        <v>45</v>
      </c>
      <c r="L3966">
        <v>2022</v>
      </c>
      <c r="N3966" t="s">
        <v>47</v>
      </c>
      <c r="O3966" t="s">
        <v>47</v>
      </c>
      <c r="P3966" t="s">
        <v>1927</v>
      </c>
    </row>
    <row r="3967" spans="1:16" x14ac:dyDescent="0.3">
      <c r="A3967" t="s">
        <v>2128</v>
      </c>
      <c r="C3967">
        <v>30</v>
      </c>
      <c r="D3967" t="s">
        <v>10</v>
      </c>
      <c r="E3967" t="s">
        <v>1712</v>
      </c>
      <c r="F3967" s="43">
        <v>44690.4375</v>
      </c>
      <c r="G3967" s="43">
        <v>44690.458333333336</v>
      </c>
      <c r="H3967">
        <v>10</v>
      </c>
      <c r="I3967">
        <v>30</v>
      </c>
      <c r="J3967">
        <v>11</v>
      </c>
      <c r="K3967">
        <v>0</v>
      </c>
      <c r="L3967">
        <v>2022</v>
      </c>
      <c r="N3967" t="s">
        <v>2129</v>
      </c>
      <c r="O3967" t="s">
        <v>48</v>
      </c>
      <c r="P3967" t="s">
        <v>2130</v>
      </c>
    </row>
    <row r="3968" spans="1:16" x14ac:dyDescent="0.3">
      <c r="A3968" t="s">
        <v>1976</v>
      </c>
      <c r="B3968" t="s">
        <v>20</v>
      </c>
      <c r="C3968">
        <v>45</v>
      </c>
      <c r="D3968" t="s">
        <v>10</v>
      </c>
      <c r="E3968" t="s">
        <v>1712</v>
      </c>
      <c r="F3968" s="43">
        <v>44690.34375</v>
      </c>
      <c r="G3968" s="43">
        <v>44690.375</v>
      </c>
      <c r="H3968">
        <v>8</v>
      </c>
      <c r="I3968">
        <v>15</v>
      </c>
      <c r="J3968">
        <v>9</v>
      </c>
      <c r="K3968">
        <v>0</v>
      </c>
      <c r="L3968">
        <v>2022</v>
      </c>
      <c r="N3968" t="s">
        <v>523</v>
      </c>
      <c r="O3968" t="s">
        <v>48</v>
      </c>
      <c r="P3968" t="s">
        <v>1977</v>
      </c>
    </row>
    <row r="3969" spans="1:16" x14ac:dyDescent="0.3">
      <c r="A3969" t="s">
        <v>1945</v>
      </c>
      <c r="B3969" t="s">
        <v>109</v>
      </c>
      <c r="C3969">
        <v>45</v>
      </c>
      <c r="D3969" t="s">
        <v>10</v>
      </c>
      <c r="E3969" t="s">
        <v>1727</v>
      </c>
      <c r="F3969" s="43">
        <v>44690.239583333336</v>
      </c>
      <c r="G3969" s="43">
        <v>44690.270833333336</v>
      </c>
      <c r="H3969">
        <v>5</v>
      </c>
      <c r="I3969">
        <v>45</v>
      </c>
      <c r="J3969">
        <v>6</v>
      </c>
      <c r="K3969">
        <v>30</v>
      </c>
      <c r="L3969">
        <v>2022</v>
      </c>
      <c r="N3969" t="s">
        <v>47</v>
      </c>
      <c r="O3969" t="s">
        <v>47</v>
      </c>
      <c r="P3969" t="s">
        <v>1946</v>
      </c>
    </row>
    <row r="3970" spans="1:16" x14ac:dyDescent="0.3">
      <c r="A3970" t="s">
        <v>1941</v>
      </c>
      <c r="C3970">
        <v>30</v>
      </c>
      <c r="D3970" t="s">
        <v>10</v>
      </c>
      <c r="F3970" s="43">
        <v>44690</v>
      </c>
      <c r="G3970" s="43">
        <v>44690.020833333336</v>
      </c>
      <c r="H3970">
        <v>0</v>
      </c>
      <c r="I3970">
        <v>0</v>
      </c>
      <c r="J3970">
        <v>0</v>
      </c>
      <c r="K3970">
        <v>30</v>
      </c>
      <c r="L3970">
        <v>2022</v>
      </c>
      <c r="O3970" t="s">
        <v>47</v>
      </c>
      <c r="P3970" t="s">
        <v>1942</v>
      </c>
    </row>
    <row r="3971" spans="1:16" x14ac:dyDescent="0.3">
      <c r="A3971" t="s">
        <v>1994</v>
      </c>
      <c r="B3971" t="s">
        <v>6</v>
      </c>
      <c r="C3971">
        <v>45</v>
      </c>
      <c r="E3971" t="s">
        <v>21</v>
      </c>
      <c r="F3971" s="43">
        <v>44690</v>
      </c>
      <c r="G3971" s="43">
        <v>949997.9993055556</v>
      </c>
      <c r="H3971">
        <v>11</v>
      </c>
      <c r="I3971">
        <v>30</v>
      </c>
      <c r="J3971">
        <v>12</v>
      </c>
      <c r="K3971">
        <v>15</v>
      </c>
      <c r="L3971">
        <v>2022</v>
      </c>
      <c r="N3971" t="s">
        <v>55</v>
      </c>
      <c r="O3971" t="s">
        <v>50</v>
      </c>
      <c r="P3971" t="s">
        <v>1995</v>
      </c>
    </row>
    <row r="3972" spans="1:16" x14ac:dyDescent="0.3">
      <c r="A3972" t="s">
        <v>8</v>
      </c>
      <c r="C3972">
        <v>30</v>
      </c>
      <c r="D3972" t="s">
        <v>10</v>
      </c>
      <c r="F3972" s="43">
        <v>44689.8125</v>
      </c>
      <c r="G3972" s="43">
        <v>44689.833333333336</v>
      </c>
      <c r="H3972">
        <v>19</v>
      </c>
      <c r="I3972">
        <v>30</v>
      </c>
      <c r="J3972">
        <v>20</v>
      </c>
      <c r="K3972">
        <v>0</v>
      </c>
      <c r="L3972">
        <v>2022</v>
      </c>
      <c r="N3972" t="s">
        <v>47</v>
      </c>
      <c r="O3972" t="s">
        <v>47</v>
      </c>
      <c r="P3972" t="s">
        <v>1947</v>
      </c>
    </row>
    <row r="3973" spans="1:16" x14ac:dyDescent="0.3">
      <c r="A3973" t="s">
        <v>1948</v>
      </c>
      <c r="C3973">
        <v>30</v>
      </c>
      <c r="D3973" t="s">
        <v>10</v>
      </c>
      <c r="F3973" s="43">
        <v>44689.722222222219</v>
      </c>
      <c r="G3973" s="43">
        <v>44689.743055555555</v>
      </c>
      <c r="H3973">
        <v>17</v>
      </c>
      <c r="I3973">
        <v>20</v>
      </c>
      <c r="J3973">
        <v>17</v>
      </c>
      <c r="K3973">
        <v>50</v>
      </c>
      <c r="L3973">
        <v>2022</v>
      </c>
      <c r="N3973" t="s">
        <v>47</v>
      </c>
      <c r="O3973" t="s">
        <v>47</v>
      </c>
      <c r="P3973" t="s">
        <v>1949</v>
      </c>
    </row>
    <row r="3974" spans="1:16" x14ac:dyDescent="0.3">
      <c r="A3974" t="s">
        <v>8</v>
      </c>
      <c r="B3974" t="s">
        <v>6</v>
      </c>
      <c r="C3974">
        <v>30</v>
      </c>
      <c r="D3974" t="s">
        <v>10</v>
      </c>
      <c r="F3974" s="43">
        <v>44689.635416666664</v>
      </c>
      <c r="G3974" s="43">
        <v>44689.65625</v>
      </c>
      <c r="H3974">
        <v>15</v>
      </c>
      <c r="I3974">
        <v>15</v>
      </c>
      <c r="J3974">
        <v>15</v>
      </c>
      <c r="K3974">
        <v>45</v>
      </c>
      <c r="L3974">
        <v>2022</v>
      </c>
      <c r="N3974" t="s">
        <v>47</v>
      </c>
      <c r="O3974" t="s">
        <v>47</v>
      </c>
      <c r="P3974" t="s">
        <v>1950</v>
      </c>
    </row>
    <row r="3975" spans="1:16" x14ac:dyDescent="0.3">
      <c r="A3975" t="s">
        <v>1951</v>
      </c>
      <c r="C3975">
        <v>60</v>
      </c>
      <c r="D3975" t="s">
        <v>10</v>
      </c>
      <c r="F3975" s="43">
        <v>44689.583333333336</v>
      </c>
      <c r="G3975" s="43">
        <v>44689.625</v>
      </c>
      <c r="H3975">
        <v>14</v>
      </c>
      <c r="I3975">
        <v>0</v>
      </c>
      <c r="J3975">
        <v>15</v>
      </c>
      <c r="K3975">
        <v>0</v>
      </c>
      <c r="L3975">
        <v>2022</v>
      </c>
      <c r="N3975" t="s">
        <v>47</v>
      </c>
      <c r="O3975" t="s">
        <v>47</v>
      </c>
      <c r="P3975" t="s">
        <v>1952</v>
      </c>
    </row>
    <row r="3976" spans="1:16" x14ac:dyDescent="0.3">
      <c r="A3976" t="s">
        <v>1948</v>
      </c>
      <c r="B3976" t="s">
        <v>109</v>
      </c>
      <c r="C3976">
        <v>60</v>
      </c>
      <c r="D3976" t="s">
        <v>10</v>
      </c>
      <c r="E3976" t="s">
        <v>1727</v>
      </c>
      <c r="F3976" s="43">
        <v>44689.458333333336</v>
      </c>
      <c r="G3976" s="43">
        <v>44689.5</v>
      </c>
      <c r="H3976">
        <v>11</v>
      </c>
      <c r="I3976">
        <v>0</v>
      </c>
      <c r="J3976">
        <v>12</v>
      </c>
      <c r="K3976">
        <v>0</v>
      </c>
      <c r="L3976">
        <v>2022</v>
      </c>
      <c r="N3976" t="s">
        <v>47</v>
      </c>
      <c r="O3976" t="s">
        <v>47</v>
      </c>
      <c r="P3976" t="s">
        <v>1953</v>
      </c>
    </row>
    <row r="3977" spans="1:16" x14ac:dyDescent="0.3">
      <c r="A3977" t="s">
        <v>1954</v>
      </c>
      <c r="C3977">
        <v>60</v>
      </c>
      <c r="D3977" t="s">
        <v>10</v>
      </c>
      <c r="F3977" s="43">
        <v>44689.229166666664</v>
      </c>
      <c r="G3977" s="43">
        <v>44689.270833333336</v>
      </c>
      <c r="H3977">
        <v>5</v>
      </c>
      <c r="I3977">
        <v>30</v>
      </c>
      <c r="J3977">
        <v>6</v>
      </c>
      <c r="K3977">
        <v>30</v>
      </c>
      <c r="L3977">
        <v>2022</v>
      </c>
      <c r="N3977" t="s">
        <v>47</v>
      </c>
      <c r="O3977" t="s">
        <v>47</v>
      </c>
      <c r="P3977" t="s">
        <v>1955</v>
      </c>
    </row>
    <row r="3978" spans="1:16" x14ac:dyDescent="0.3">
      <c r="A3978" t="s">
        <v>1956</v>
      </c>
      <c r="B3978" t="s">
        <v>224</v>
      </c>
      <c r="C3978">
        <v>45</v>
      </c>
      <c r="D3978" t="s">
        <v>10</v>
      </c>
      <c r="E3978" t="s">
        <v>1727</v>
      </c>
      <c r="F3978" s="43">
        <v>44688.729166666664</v>
      </c>
      <c r="G3978" s="43">
        <v>44688.760416666664</v>
      </c>
      <c r="H3978">
        <v>17</v>
      </c>
      <c r="I3978">
        <v>30</v>
      </c>
      <c r="J3978">
        <v>18</v>
      </c>
      <c r="K3978">
        <v>15</v>
      </c>
      <c r="L3978">
        <v>2022</v>
      </c>
      <c r="N3978" t="s">
        <v>47</v>
      </c>
      <c r="O3978" t="s">
        <v>47</v>
      </c>
      <c r="P3978" t="s">
        <v>1957</v>
      </c>
    </row>
    <row r="3979" spans="1:16" x14ac:dyDescent="0.3">
      <c r="A3979" t="s">
        <v>1760</v>
      </c>
      <c r="B3979" t="s">
        <v>109</v>
      </c>
      <c r="C3979">
        <v>60</v>
      </c>
      <c r="D3979" t="s">
        <v>10</v>
      </c>
      <c r="E3979" t="s">
        <v>1727</v>
      </c>
      <c r="F3979" s="43">
        <v>44688.666666666664</v>
      </c>
      <c r="G3979" s="43">
        <v>44688.708333333336</v>
      </c>
      <c r="H3979">
        <v>16</v>
      </c>
      <c r="I3979">
        <v>0</v>
      </c>
      <c r="J3979">
        <v>17</v>
      </c>
      <c r="K3979">
        <v>0</v>
      </c>
      <c r="L3979">
        <v>2022</v>
      </c>
      <c r="N3979" t="s">
        <v>47</v>
      </c>
      <c r="O3979" t="s">
        <v>47</v>
      </c>
      <c r="P3979" t="s">
        <v>1958</v>
      </c>
    </row>
    <row r="3980" spans="1:16" x14ac:dyDescent="0.3">
      <c r="A3980" t="s">
        <v>1074</v>
      </c>
      <c r="B3980" t="s">
        <v>6</v>
      </c>
      <c r="C3980">
        <v>60</v>
      </c>
      <c r="D3980" t="s">
        <v>10</v>
      </c>
      <c r="E3980" t="s">
        <v>1075</v>
      </c>
      <c r="F3980" s="43">
        <v>44688.5625</v>
      </c>
      <c r="G3980" s="43">
        <v>44688.604166666664</v>
      </c>
      <c r="H3980">
        <v>13</v>
      </c>
      <c r="I3980">
        <v>30</v>
      </c>
      <c r="J3980">
        <v>14</v>
      </c>
      <c r="K3980">
        <v>30</v>
      </c>
      <c r="L3980">
        <v>2022</v>
      </c>
      <c r="N3980" t="s">
        <v>47</v>
      </c>
      <c r="O3980" t="s">
        <v>47</v>
      </c>
      <c r="P3980" t="s">
        <v>1959</v>
      </c>
    </row>
    <row r="3981" spans="1:16" x14ac:dyDescent="0.3">
      <c r="A3981" t="s">
        <v>1074</v>
      </c>
      <c r="B3981" t="s">
        <v>6</v>
      </c>
      <c r="C3981">
        <v>60</v>
      </c>
      <c r="D3981" t="s">
        <v>10</v>
      </c>
      <c r="E3981" t="s">
        <v>1075</v>
      </c>
      <c r="F3981" s="43">
        <v>44688.5</v>
      </c>
      <c r="G3981" s="43">
        <v>44688.541666666664</v>
      </c>
      <c r="H3981">
        <v>12</v>
      </c>
      <c r="I3981">
        <v>0</v>
      </c>
      <c r="J3981">
        <v>13</v>
      </c>
      <c r="K3981">
        <v>0</v>
      </c>
      <c r="L3981">
        <v>2022</v>
      </c>
      <c r="N3981" t="s">
        <v>47</v>
      </c>
      <c r="O3981" t="s">
        <v>47</v>
      </c>
      <c r="P3981" t="s">
        <v>1960</v>
      </c>
    </row>
    <row r="3982" spans="1:16" x14ac:dyDescent="0.3">
      <c r="A3982" t="s">
        <v>1966</v>
      </c>
      <c r="C3982">
        <v>75</v>
      </c>
      <c r="D3982" t="s">
        <v>10</v>
      </c>
      <c r="F3982" s="43">
        <v>44688.25</v>
      </c>
      <c r="G3982" s="43">
        <v>44688.302083333336</v>
      </c>
      <c r="H3982">
        <v>6</v>
      </c>
      <c r="I3982">
        <v>0</v>
      </c>
      <c r="J3982">
        <v>7</v>
      </c>
      <c r="K3982">
        <v>15</v>
      </c>
      <c r="L3982">
        <v>2022</v>
      </c>
      <c r="N3982" t="s">
        <v>47</v>
      </c>
      <c r="O3982" t="s">
        <v>47</v>
      </c>
      <c r="P3982" t="s">
        <v>1967</v>
      </c>
    </row>
    <row r="3983" spans="1:16" x14ac:dyDescent="0.3">
      <c r="A3983" t="s">
        <v>8</v>
      </c>
      <c r="B3983" t="s">
        <v>6</v>
      </c>
      <c r="C3983">
        <v>50</v>
      </c>
      <c r="D3983" t="s">
        <v>10</v>
      </c>
      <c r="F3983" s="43">
        <v>44687.6875</v>
      </c>
      <c r="G3983" s="43">
        <v>44687.722222222219</v>
      </c>
      <c r="H3983">
        <v>16</v>
      </c>
      <c r="I3983">
        <v>30</v>
      </c>
      <c r="J3983">
        <v>17</v>
      </c>
      <c r="K3983">
        <v>20</v>
      </c>
      <c r="L3983">
        <v>2022</v>
      </c>
      <c r="N3983" t="s">
        <v>47</v>
      </c>
      <c r="O3983" t="s">
        <v>47</v>
      </c>
      <c r="P3983" t="s">
        <v>1968</v>
      </c>
    </row>
    <row r="3984" spans="1:16" x14ac:dyDescent="0.3">
      <c r="A3984" t="s">
        <v>1973</v>
      </c>
      <c r="B3984" t="s">
        <v>109</v>
      </c>
      <c r="C3984">
        <v>30</v>
      </c>
      <c r="D3984" t="s">
        <v>10</v>
      </c>
      <c r="E3984" t="s">
        <v>1727</v>
      </c>
      <c r="F3984" s="43">
        <v>44687.666666666664</v>
      </c>
      <c r="G3984" s="43">
        <v>44687.6875</v>
      </c>
      <c r="H3984">
        <v>16</v>
      </c>
      <c r="I3984">
        <v>0</v>
      </c>
      <c r="J3984">
        <v>16</v>
      </c>
      <c r="K3984">
        <v>30</v>
      </c>
      <c r="L3984">
        <v>2022</v>
      </c>
      <c r="N3984" t="s">
        <v>47</v>
      </c>
      <c r="O3984" t="s">
        <v>47</v>
      </c>
      <c r="P3984" t="s">
        <v>1974</v>
      </c>
    </row>
    <row r="3985" spans="1:16" x14ac:dyDescent="0.3">
      <c r="A3985" t="s">
        <v>7</v>
      </c>
      <c r="B3985" t="s">
        <v>6</v>
      </c>
      <c r="C3985">
        <v>30</v>
      </c>
      <c r="D3985" t="s">
        <v>10</v>
      </c>
      <c r="E3985" t="s">
        <v>449</v>
      </c>
      <c r="F3985" s="43">
        <v>44687.645833333336</v>
      </c>
      <c r="G3985" s="43">
        <v>44687.666666666664</v>
      </c>
      <c r="H3985">
        <v>15</v>
      </c>
      <c r="I3985">
        <v>30</v>
      </c>
      <c r="J3985">
        <v>16</v>
      </c>
      <c r="K3985">
        <v>0</v>
      </c>
      <c r="L3985">
        <v>2022</v>
      </c>
      <c r="N3985" t="s">
        <v>47</v>
      </c>
      <c r="O3985" t="s">
        <v>47</v>
      </c>
      <c r="P3985" t="s">
        <v>1975</v>
      </c>
    </row>
    <row r="3986" spans="1:16" x14ac:dyDescent="0.3">
      <c r="A3986" t="s">
        <v>1760</v>
      </c>
      <c r="B3986" t="s">
        <v>109</v>
      </c>
      <c r="C3986">
        <v>90</v>
      </c>
      <c r="D3986" t="s">
        <v>10</v>
      </c>
      <c r="E3986" t="s">
        <v>1727</v>
      </c>
      <c r="F3986" s="43">
        <v>44687.5</v>
      </c>
      <c r="G3986" s="43">
        <v>44687.5625</v>
      </c>
      <c r="H3986">
        <v>12</v>
      </c>
      <c r="I3986">
        <v>0</v>
      </c>
      <c r="J3986">
        <v>13</v>
      </c>
      <c r="K3986">
        <v>30</v>
      </c>
      <c r="L3986">
        <v>2022</v>
      </c>
      <c r="N3986" t="s">
        <v>47</v>
      </c>
      <c r="O3986" t="s">
        <v>47</v>
      </c>
      <c r="P3986" t="s">
        <v>1978</v>
      </c>
    </row>
    <row r="3987" spans="1:16" x14ac:dyDescent="0.3">
      <c r="A3987" t="s">
        <v>1979</v>
      </c>
      <c r="B3987" t="s">
        <v>109</v>
      </c>
      <c r="C3987">
        <v>30</v>
      </c>
      <c r="D3987" t="s">
        <v>10</v>
      </c>
      <c r="E3987" t="s">
        <v>1924</v>
      </c>
      <c r="F3987" s="43">
        <v>44687.4375</v>
      </c>
      <c r="G3987" s="43">
        <v>44687.458333333336</v>
      </c>
      <c r="H3987">
        <v>10</v>
      </c>
      <c r="I3987">
        <v>30</v>
      </c>
      <c r="J3987">
        <v>11</v>
      </c>
      <c r="K3987">
        <v>0</v>
      </c>
      <c r="L3987">
        <v>2022</v>
      </c>
      <c r="N3987" t="s">
        <v>47</v>
      </c>
      <c r="O3987" t="s">
        <v>47</v>
      </c>
      <c r="P3987" t="s">
        <v>1980</v>
      </c>
    </row>
    <row r="3988" spans="1:16" x14ac:dyDescent="0.3">
      <c r="A3988" t="s">
        <v>1981</v>
      </c>
      <c r="B3988" t="s">
        <v>1982</v>
      </c>
      <c r="C3988">
        <v>30</v>
      </c>
      <c r="D3988" t="s">
        <v>10</v>
      </c>
      <c r="E3988" t="s">
        <v>1983</v>
      </c>
      <c r="F3988" s="43">
        <v>44687.416666666664</v>
      </c>
      <c r="G3988" s="43">
        <v>44687.4375</v>
      </c>
      <c r="H3988">
        <v>10</v>
      </c>
      <c r="I3988">
        <v>0</v>
      </c>
      <c r="J3988">
        <v>10</v>
      </c>
      <c r="K3988">
        <v>30</v>
      </c>
      <c r="L3988">
        <v>2022</v>
      </c>
      <c r="N3988" t="s">
        <v>47</v>
      </c>
      <c r="O3988" t="s">
        <v>47</v>
      </c>
      <c r="P3988" t="s">
        <v>1984</v>
      </c>
    </row>
    <row r="3989" spans="1:16" x14ac:dyDescent="0.3">
      <c r="A3989" t="s">
        <v>2184</v>
      </c>
      <c r="B3989" t="s">
        <v>20</v>
      </c>
      <c r="C3989">
        <v>60</v>
      </c>
      <c r="D3989" t="s">
        <v>10</v>
      </c>
      <c r="E3989" t="s">
        <v>914</v>
      </c>
      <c r="F3989" s="43">
        <v>44687.375</v>
      </c>
      <c r="G3989" s="43">
        <v>44687.416666666664</v>
      </c>
      <c r="H3989">
        <v>9</v>
      </c>
      <c r="I3989">
        <v>0</v>
      </c>
      <c r="J3989">
        <v>10</v>
      </c>
      <c r="K3989">
        <v>0</v>
      </c>
      <c r="L3989">
        <v>2022</v>
      </c>
      <c r="N3989" t="s">
        <v>2185</v>
      </c>
      <c r="O3989" t="s">
        <v>2186</v>
      </c>
      <c r="P3989" t="s">
        <v>2187</v>
      </c>
    </row>
    <row r="3990" spans="1:16" x14ac:dyDescent="0.3">
      <c r="A3990" t="s">
        <v>1961</v>
      </c>
      <c r="B3990" t="s">
        <v>109</v>
      </c>
      <c r="C3990">
        <v>30</v>
      </c>
      <c r="D3990" t="s">
        <v>10</v>
      </c>
      <c r="E3990" t="s">
        <v>1962</v>
      </c>
      <c r="F3990" s="43">
        <v>44687.354166666664</v>
      </c>
      <c r="G3990" s="43">
        <v>44687.375</v>
      </c>
      <c r="H3990">
        <v>8</v>
      </c>
      <c r="I3990">
        <v>30</v>
      </c>
      <c r="J3990">
        <v>9</v>
      </c>
      <c r="K3990">
        <v>0</v>
      </c>
      <c r="L3990">
        <v>2022</v>
      </c>
      <c r="N3990" t="s">
        <v>47</v>
      </c>
      <c r="O3990" t="s">
        <v>47</v>
      </c>
      <c r="P3990" t="s">
        <v>1963</v>
      </c>
    </row>
    <row r="3991" spans="1:16" x14ac:dyDescent="0.3">
      <c r="A3991" t="s">
        <v>1969</v>
      </c>
      <c r="B3991" t="s">
        <v>109</v>
      </c>
      <c r="C3991">
        <v>60</v>
      </c>
      <c r="D3991" t="s">
        <v>10</v>
      </c>
      <c r="E3991" t="s">
        <v>1727</v>
      </c>
      <c r="F3991" s="43">
        <v>44687.25</v>
      </c>
      <c r="G3991" s="43">
        <v>44687.291666666664</v>
      </c>
      <c r="H3991">
        <v>6</v>
      </c>
      <c r="I3991">
        <v>0</v>
      </c>
      <c r="J3991">
        <v>7</v>
      </c>
      <c r="K3991">
        <v>0</v>
      </c>
      <c r="L3991">
        <v>2022</v>
      </c>
      <c r="N3991" t="s">
        <v>47</v>
      </c>
      <c r="O3991" t="s">
        <v>47</v>
      </c>
      <c r="P3991" t="s">
        <v>1970</v>
      </c>
    </row>
    <row r="3992" spans="1:16" x14ac:dyDescent="0.3">
      <c r="A3992" t="s">
        <v>1971</v>
      </c>
      <c r="B3992" t="s">
        <v>109</v>
      </c>
      <c r="C3992">
        <v>60</v>
      </c>
      <c r="D3992" t="s">
        <v>10</v>
      </c>
      <c r="E3992" t="s">
        <v>1962</v>
      </c>
      <c r="F3992" s="43">
        <v>44687.208333333336</v>
      </c>
      <c r="G3992" s="43">
        <v>44687.25</v>
      </c>
      <c r="H3992">
        <v>5</v>
      </c>
      <c r="I3992">
        <v>0</v>
      </c>
      <c r="J3992">
        <v>6</v>
      </c>
      <c r="K3992">
        <v>0</v>
      </c>
      <c r="L3992">
        <v>2022</v>
      </c>
      <c r="N3992" t="s">
        <v>47</v>
      </c>
      <c r="O3992" t="s">
        <v>47</v>
      </c>
      <c r="P3992" t="s">
        <v>1972</v>
      </c>
    </row>
    <row r="3993" spans="1:16" x14ac:dyDescent="0.3">
      <c r="A3993" t="s">
        <v>1989</v>
      </c>
      <c r="B3993" t="s">
        <v>109</v>
      </c>
      <c r="C3993">
        <v>60</v>
      </c>
      <c r="D3993" t="s">
        <v>10</v>
      </c>
      <c r="E3993" t="s">
        <v>1727</v>
      </c>
      <c r="F3993" s="43">
        <v>44686.71875</v>
      </c>
      <c r="G3993" s="43">
        <v>44686.760416666664</v>
      </c>
      <c r="H3993">
        <v>17</v>
      </c>
      <c r="I3993">
        <v>15</v>
      </c>
      <c r="J3993">
        <v>18</v>
      </c>
      <c r="K3993">
        <v>15</v>
      </c>
      <c r="L3993">
        <v>2022</v>
      </c>
      <c r="N3993" t="s">
        <v>47</v>
      </c>
      <c r="O3993" t="s">
        <v>47</v>
      </c>
      <c r="P3993" t="s">
        <v>1990</v>
      </c>
    </row>
    <row r="3994" spans="1:16" x14ac:dyDescent="0.3">
      <c r="A3994" t="s">
        <v>1964</v>
      </c>
      <c r="B3994" t="s">
        <v>109</v>
      </c>
      <c r="C3994">
        <v>30</v>
      </c>
      <c r="D3994" t="s">
        <v>10</v>
      </c>
      <c r="E3994">
        <v>2637555882</v>
      </c>
      <c r="F3994" s="43">
        <v>44686.666666666664</v>
      </c>
      <c r="G3994" s="43">
        <v>44686.6875</v>
      </c>
      <c r="H3994">
        <v>16</v>
      </c>
      <c r="I3994">
        <v>0</v>
      </c>
      <c r="J3994">
        <v>16</v>
      </c>
      <c r="K3994">
        <v>30</v>
      </c>
      <c r="L3994">
        <v>2022</v>
      </c>
      <c r="N3994" t="s">
        <v>47</v>
      </c>
      <c r="O3994" t="s">
        <v>47</v>
      </c>
      <c r="P3994" t="s">
        <v>1965</v>
      </c>
    </row>
    <row r="3995" spans="1:16" x14ac:dyDescent="0.3">
      <c r="A3995" t="s">
        <v>1991</v>
      </c>
      <c r="B3995" t="s">
        <v>109</v>
      </c>
      <c r="C3995">
        <v>30</v>
      </c>
      <c r="D3995" t="s">
        <v>10</v>
      </c>
      <c r="E3995" t="s">
        <v>1727</v>
      </c>
      <c r="F3995" s="43">
        <v>44686.645833333336</v>
      </c>
      <c r="G3995" s="43">
        <v>44686.666666666664</v>
      </c>
      <c r="H3995">
        <v>15</v>
      </c>
      <c r="I3995">
        <v>30</v>
      </c>
      <c r="J3995">
        <v>16</v>
      </c>
      <c r="K3995">
        <v>0</v>
      </c>
      <c r="L3995">
        <v>2022</v>
      </c>
      <c r="N3995" t="s">
        <v>47</v>
      </c>
      <c r="O3995" t="s">
        <v>47</v>
      </c>
      <c r="P3995" t="s">
        <v>1992</v>
      </c>
    </row>
    <row r="3996" spans="1:16" x14ac:dyDescent="0.3">
      <c r="A3996" t="s">
        <v>7</v>
      </c>
      <c r="B3996" t="s">
        <v>6</v>
      </c>
      <c r="C3996">
        <v>75</v>
      </c>
      <c r="D3996" t="s">
        <v>10</v>
      </c>
      <c r="E3996" t="s">
        <v>449</v>
      </c>
      <c r="F3996" s="43">
        <v>44686.552083333336</v>
      </c>
      <c r="G3996" s="43">
        <v>44686.604166666664</v>
      </c>
      <c r="H3996">
        <v>13</v>
      </c>
      <c r="I3996">
        <v>15</v>
      </c>
      <c r="J3996">
        <v>14</v>
      </c>
      <c r="K3996">
        <v>30</v>
      </c>
      <c r="L3996">
        <v>2022</v>
      </c>
      <c r="N3996" t="s">
        <v>47</v>
      </c>
      <c r="O3996" t="s">
        <v>47</v>
      </c>
      <c r="P3996" t="s">
        <v>1993</v>
      </c>
    </row>
    <row r="3997" spans="1:16" x14ac:dyDescent="0.3">
      <c r="A3997" t="s">
        <v>1943</v>
      </c>
      <c r="C3997">
        <v>30</v>
      </c>
      <c r="D3997" t="s">
        <v>10</v>
      </c>
      <c r="E3997" t="s">
        <v>21</v>
      </c>
      <c r="F3997" s="43">
        <v>44686.479166666664</v>
      </c>
      <c r="G3997" s="43">
        <v>44686.5</v>
      </c>
      <c r="H3997">
        <v>11</v>
      </c>
      <c r="I3997">
        <v>30</v>
      </c>
      <c r="J3997">
        <v>12</v>
      </c>
      <c r="K3997">
        <v>0</v>
      </c>
      <c r="L3997">
        <v>2022</v>
      </c>
      <c r="N3997" t="s">
        <v>931</v>
      </c>
      <c r="O3997" t="s">
        <v>50</v>
      </c>
      <c r="P3997" t="s">
        <v>1944</v>
      </c>
    </row>
    <row r="3998" spans="1:16" x14ac:dyDescent="0.3">
      <c r="A3998" t="s">
        <v>2061</v>
      </c>
      <c r="B3998" t="s">
        <v>20</v>
      </c>
      <c r="C3998">
        <v>60</v>
      </c>
      <c r="D3998" t="s">
        <v>10</v>
      </c>
      <c r="E3998" t="s">
        <v>5</v>
      </c>
      <c r="F3998" s="43">
        <v>44686.375</v>
      </c>
      <c r="G3998" s="43">
        <v>44686.416666666664</v>
      </c>
      <c r="H3998">
        <v>9</v>
      </c>
      <c r="I3998">
        <v>0</v>
      </c>
      <c r="J3998">
        <v>10</v>
      </c>
      <c r="K3998">
        <v>0</v>
      </c>
      <c r="L3998">
        <v>2022</v>
      </c>
      <c r="N3998" t="s">
        <v>2062</v>
      </c>
      <c r="O3998" t="s">
        <v>956</v>
      </c>
      <c r="P3998" t="s">
        <v>2063</v>
      </c>
    </row>
    <row r="3999" spans="1:16" x14ac:dyDescent="0.3">
      <c r="A3999" t="s">
        <v>1996</v>
      </c>
      <c r="B3999" t="s">
        <v>109</v>
      </c>
      <c r="C3999">
        <v>90</v>
      </c>
      <c r="D3999" t="s">
        <v>10</v>
      </c>
      <c r="E3999" t="s">
        <v>1997</v>
      </c>
      <c r="F3999" s="43">
        <v>44686.270833333336</v>
      </c>
      <c r="G3999" s="43">
        <v>44686.333333333336</v>
      </c>
      <c r="H3999">
        <v>6</v>
      </c>
      <c r="I3999">
        <v>30</v>
      </c>
      <c r="J3999">
        <v>8</v>
      </c>
      <c r="K3999">
        <v>0</v>
      </c>
      <c r="L3999">
        <v>2022</v>
      </c>
      <c r="N3999" t="s">
        <v>47</v>
      </c>
      <c r="O3999" t="s">
        <v>47</v>
      </c>
      <c r="P3999" t="s">
        <v>1999</v>
      </c>
    </row>
    <row r="4000" spans="1:16" x14ac:dyDescent="0.3">
      <c r="A4000" t="s">
        <v>2010</v>
      </c>
      <c r="B4000" t="s">
        <v>109</v>
      </c>
      <c r="C4000">
        <v>30</v>
      </c>
      <c r="D4000" t="s">
        <v>10</v>
      </c>
      <c r="E4000" t="s">
        <v>2011</v>
      </c>
      <c r="F4000" s="43">
        <v>44686.25</v>
      </c>
      <c r="G4000" s="43">
        <v>44686.270833333336</v>
      </c>
      <c r="H4000">
        <v>6</v>
      </c>
      <c r="I4000">
        <v>0</v>
      </c>
      <c r="J4000">
        <v>6</v>
      </c>
      <c r="K4000">
        <v>30</v>
      </c>
      <c r="L4000">
        <v>2022</v>
      </c>
      <c r="N4000" t="s">
        <v>2012</v>
      </c>
      <c r="O4000" t="s">
        <v>47</v>
      </c>
      <c r="P4000" t="s">
        <v>2013</v>
      </c>
    </row>
    <row r="4001" spans="1:16" x14ac:dyDescent="0.3">
      <c r="A4001" t="s">
        <v>1996</v>
      </c>
      <c r="B4001" t="s">
        <v>109</v>
      </c>
      <c r="C4001">
        <v>60</v>
      </c>
      <c r="D4001" t="s">
        <v>10</v>
      </c>
      <c r="E4001" t="s">
        <v>1997</v>
      </c>
      <c r="F4001" s="43">
        <v>44686.208333333336</v>
      </c>
      <c r="G4001" s="43">
        <v>44686.25</v>
      </c>
      <c r="H4001">
        <v>5</v>
      </c>
      <c r="I4001">
        <v>0</v>
      </c>
      <c r="J4001">
        <v>6</v>
      </c>
      <c r="K4001">
        <v>0</v>
      </c>
      <c r="L4001">
        <v>2022</v>
      </c>
      <c r="N4001" t="s">
        <v>47</v>
      </c>
      <c r="O4001" t="s">
        <v>47</v>
      </c>
      <c r="P4001" t="s">
        <v>1998</v>
      </c>
    </row>
    <row r="4002" spans="1:16" x14ac:dyDescent="0.3">
      <c r="A4002" t="s">
        <v>2004</v>
      </c>
      <c r="B4002" t="s">
        <v>109</v>
      </c>
      <c r="C4002">
        <v>90</v>
      </c>
      <c r="D4002" t="s">
        <v>10</v>
      </c>
      <c r="E4002" t="s">
        <v>1997</v>
      </c>
      <c r="F4002" s="43">
        <v>44685.645833333336</v>
      </c>
      <c r="G4002" s="43">
        <v>44685.708333333336</v>
      </c>
      <c r="H4002">
        <v>15</v>
      </c>
      <c r="I4002">
        <v>30</v>
      </c>
      <c r="J4002">
        <v>17</v>
      </c>
      <c r="K4002">
        <v>0</v>
      </c>
      <c r="L4002">
        <v>2022</v>
      </c>
      <c r="N4002" t="s">
        <v>47</v>
      </c>
      <c r="O4002" t="s">
        <v>47</v>
      </c>
      <c r="P4002" t="s">
        <v>2005</v>
      </c>
    </row>
    <row r="4003" spans="1:16" x14ac:dyDescent="0.3">
      <c r="A4003" t="s">
        <v>2008</v>
      </c>
      <c r="B4003" t="s">
        <v>109</v>
      </c>
      <c r="C4003">
        <v>60</v>
      </c>
      <c r="D4003" t="s">
        <v>10</v>
      </c>
      <c r="E4003" t="s">
        <v>1727</v>
      </c>
      <c r="F4003" s="43">
        <v>44685.520833333336</v>
      </c>
      <c r="G4003" s="43">
        <v>44685.5625</v>
      </c>
      <c r="H4003">
        <v>12</v>
      </c>
      <c r="I4003">
        <v>30</v>
      </c>
      <c r="J4003">
        <v>13</v>
      </c>
      <c r="K4003">
        <v>30</v>
      </c>
      <c r="L4003">
        <v>2022</v>
      </c>
      <c r="N4003" t="s">
        <v>47</v>
      </c>
      <c r="O4003" t="s">
        <v>47</v>
      </c>
      <c r="P4003" t="s">
        <v>2009</v>
      </c>
    </row>
    <row r="4004" spans="1:16" x14ac:dyDescent="0.3">
      <c r="A4004" t="s">
        <v>1981</v>
      </c>
      <c r="B4004" t="s">
        <v>20</v>
      </c>
      <c r="C4004">
        <v>30</v>
      </c>
      <c r="D4004" t="s">
        <v>10</v>
      </c>
      <c r="E4004" t="s">
        <v>2006</v>
      </c>
      <c r="F4004" s="43">
        <v>44685.458333333336</v>
      </c>
      <c r="G4004" s="43">
        <v>44685.479166666664</v>
      </c>
      <c r="H4004">
        <v>11</v>
      </c>
      <c r="I4004">
        <v>0</v>
      </c>
      <c r="J4004">
        <v>11</v>
      </c>
      <c r="K4004">
        <v>30</v>
      </c>
      <c r="L4004">
        <v>2022</v>
      </c>
      <c r="N4004" t="s">
        <v>47</v>
      </c>
      <c r="O4004" t="s">
        <v>47</v>
      </c>
      <c r="P4004" t="s">
        <v>2007</v>
      </c>
    </row>
    <row r="4005" spans="1:16" x14ac:dyDescent="0.3">
      <c r="A4005" t="s">
        <v>2181</v>
      </c>
      <c r="B4005" t="s">
        <v>20</v>
      </c>
      <c r="C4005">
        <v>60</v>
      </c>
      <c r="D4005" t="s">
        <v>10</v>
      </c>
      <c r="E4005" t="s">
        <v>1712</v>
      </c>
      <c r="F4005" s="43">
        <v>44685.416666666664</v>
      </c>
      <c r="G4005" s="43">
        <v>44685.458333333336</v>
      </c>
      <c r="H4005">
        <v>10</v>
      </c>
      <c r="I4005">
        <v>0</v>
      </c>
      <c r="J4005">
        <v>11</v>
      </c>
      <c r="K4005">
        <v>0</v>
      </c>
      <c r="L4005">
        <v>2022</v>
      </c>
      <c r="N4005" t="s">
        <v>2182</v>
      </c>
      <c r="O4005" t="s">
        <v>48</v>
      </c>
      <c r="P4005" t="s">
        <v>2183</v>
      </c>
    </row>
    <row r="4006" spans="1:16" x14ac:dyDescent="0.3">
      <c r="A4006" t="s">
        <v>2030</v>
      </c>
      <c r="B4006" t="s">
        <v>109</v>
      </c>
      <c r="C4006">
        <v>30</v>
      </c>
      <c r="D4006" t="s">
        <v>10</v>
      </c>
      <c r="E4006" t="s">
        <v>2011</v>
      </c>
      <c r="F4006" s="43">
        <v>44685.291666666664</v>
      </c>
      <c r="G4006" s="43">
        <v>44685.3125</v>
      </c>
      <c r="H4006">
        <v>7</v>
      </c>
      <c r="I4006">
        <v>0</v>
      </c>
      <c r="J4006">
        <v>7</v>
      </c>
      <c r="K4006">
        <v>30</v>
      </c>
      <c r="L4006">
        <v>2022</v>
      </c>
      <c r="N4006" t="s">
        <v>2012</v>
      </c>
      <c r="O4006" t="s">
        <v>47</v>
      </c>
      <c r="P4006" t="s">
        <v>2031</v>
      </c>
    </row>
    <row r="4007" spans="1:16" x14ac:dyDescent="0.3">
      <c r="A4007" t="s">
        <v>2014</v>
      </c>
      <c r="B4007" t="s">
        <v>223</v>
      </c>
      <c r="C4007">
        <v>60</v>
      </c>
      <c r="D4007" t="s">
        <v>10</v>
      </c>
      <c r="E4007" t="s">
        <v>2015</v>
      </c>
      <c r="F4007" s="43">
        <v>44685.229166666664</v>
      </c>
      <c r="G4007" s="43">
        <v>44685.270833333336</v>
      </c>
      <c r="H4007">
        <v>5</v>
      </c>
      <c r="I4007">
        <v>30</v>
      </c>
      <c r="J4007">
        <v>6</v>
      </c>
      <c r="K4007">
        <v>30</v>
      </c>
      <c r="L4007">
        <v>2022</v>
      </c>
      <c r="N4007" t="s">
        <v>47</v>
      </c>
      <c r="O4007" t="s">
        <v>47</v>
      </c>
      <c r="P4007" t="s">
        <v>2016</v>
      </c>
    </row>
    <row r="4008" spans="1:16" x14ac:dyDescent="0.3">
      <c r="A4008" t="s">
        <v>8</v>
      </c>
      <c r="C4008">
        <v>20</v>
      </c>
      <c r="D4008" t="s">
        <v>10</v>
      </c>
      <c r="F4008" s="43">
        <v>44684.8125</v>
      </c>
      <c r="G4008" s="43">
        <v>44684.826388888891</v>
      </c>
      <c r="H4008">
        <v>19</v>
      </c>
      <c r="I4008">
        <v>30</v>
      </c>
      <c r="J4008">
        <v>19</v>
      </c>
      <c r="K4008">
        <v>50</v>
      </c>
      <c r="L4008">
        <v>2022</v>
      </c>
      <c r="N4008" t="s">
        <v>47</v>
      </c>
      <c r="O4008" t="s">
        <v>47</v>
      </c>
      <c r="P4008" t="s">
        <v>2025</v>
      </c>
    </row>
    <row r="4009" spans="1:16" x14ac:dyDescent="0.3">
      <c r="A4009" t="s">
        <v>2026</v>
      </c>
      <c r="C4009">
        <v>30</v>
      </c>
      <c r="D4009" t="s">
        <v>10</v>
      </c>
      <c r="F4009" s="43">
        <v>44684.770833333336</v>
      </c>
      <c r="G4009" s="43">
        <v>44684.791666666664</v>
      </c>
      <c r="H4009">
        <v>18</v>
      </c>
      <c r="I4009">
        <v>30</v>
      </c>
      <c r="J4009">
        <v>19</v>
      </c>
      <c r="K4009">
        <v>0</v>
      </c>
      <c r="L4009">
        <v>2022</v>
      </c>
      <c r="N4009" t="s">
        <v>47</v>
      </c>
      <c r="O4009" t="s">
        <v>47</v>
      </c>
      <c r="P4009" t="s">
        <v>2027</v>
      </c>
    </row>
    <row r="4010" spans="1:16" x14ac:dyDescent="0.3">
      <c r="A4010" t="s">
        <v>2028</v>
      </c>
      <c r="B4010" t="s">
        <v>109</v>
      </c>
      <c r="C4010">
        <v>60</v>
      </c>
      <c r="D4010" t="s">
        <v>10</v>
      </c>
      <c r="E4010" t="s">
        <v>1997</v>
      </c>
      <c r="F4010" s="43">
        <v>44684.6875</v>
      </c>
      <c r="G4010" s="43">
        <v>44684.729166666664</v>
      </c>
      <c r="H4010">
        <v>16</v>
      </c>
      <c r="I4010">
        <v>30</v>
      </c>
      <c r="J4010">
        <v>17</v>
      </c>
      <c r="K4010">
        <v>30</v>
      </c>
      <c r="L4010">
        <v>2022</v>
      </c>
      <c r="N4010" t="s">
        <v>47</v>
      </c>
      <c r="O4010" t="s">
        <v>47</v>
      </c>
      <c r="P4010" t="s">
        <v>2029</v>
      </c>
    </row>
    <row r="4011" spans="1:16" x14ac:dyDescent="0.3">
      <c r="A4011" t="s">
        <v>7</v>
      </c>
      <c r="B4011" t="s">
        <v>6</v>
      </c>
      <c r="C4011">
        <v>30</v>
      </c>
      <c r="D4011" t="s">
        <v>10</v>
      </c>
      <c r="E4011" t="s">
        <v>449</v>
      </c>
      <c r="F4011" s="43">
        <v>44684.645833333336</v>
      </c>
      <c r="G4011" s="43">
        <v>44684.666666666664</v>
      </c>
      <c r="H4011">
        <v>15</v>
      </c>
      <c r="I4011">
        <v>30</v>
      </c>
      <c r="J4011">
        <v>16</v>
      </c>
      <c r="K4011">
        <v>0</v>
      </c>
      <c r="L4011">
        <v>2022</v>
      </c>
      <c r="N4011" t="s">
        <v>47</v>
      </c>
      <c r="O4011" t="s">
        <v>47</v>
      </c>
      <c r="P4011" t="s">
        <v>2035</v>
      </c>
    </row>
    <row r="4012" spans="1:16" x14ac:dyDescent="0.3">
      <c r="A4012" t="s">
        <v>8</v>
      </c>
      <c r="B4012" t="s">
        <v>6</v>
      </c>
      <c r="C4012">
        <v>60</v>
      </c>
      <c r="D4012" t="s">
        <v>10</v>
      </c>
      <c r="F4012" s="43">
        <v>44684.583333333336</v>
      </c>
      <c r="G4012" s="43">
        <v>44684.625</v>
      </c>
      <c r="H4012">
        <v>14</v>
      </c>
      <c r="I4012">
        <v>0</v>
      </c>
      <c r="J4012">
        <v>15</v>
      </c>
      <c r="K4012">
        <v>0</v>
      </c>
      <c r="L4012">
        <v>2022</v>
      </c>
      <c r="N4012" t="s">
        <v>47</v>
      </c>
      <c r="O4012" t="s">
        <v>47</v>
      </c>
      <c r="P4012" t="s">
        <v>2036</v>
      </c>
    </row>
    <row r="4013" spans="1:16" x14ac:dyDescent="0.3">
      <c r="A4013" t="s">
        <v>446</v>
      </c>
      <c r="B4013" t="s">
        <v>6</v>
      </c>
      <c r="C4013">
        <v>30</v>
      </c>
      <c r="D4013" t="s">
        <v>10</v>
      </c>
      <c r="E4013" t="s">
        <v>447</v>
      </c>
      <c r="F4013" s="43">
        <v>44684.520833333336</v>
      </c>
      <c r="G4013" s="43">
        <v>44684.541666666664</v>
      </c>
      <c r="H4013">
        <v>12</v>
      </c>
      <c r="I4013">
        <v>30</v>
      </c>
      <c r="J4013">
        <v>13</v>
      </c>
      <c r="K4013">
        <v>0</v>
      </c>
      <c r="L4013">
        <v>2022</v>
      </c>
      <c r="N4013" t="s">
        <v>47</v>
      </c>
      <c r="O4013" t="s">
        <v>47</v>
      </c>
      <c r="P4013" t="s">
        <v>2037</v>
      </c>
    </row>
    <row r="4014" spans="1:16" x14ac:dyDescent="0.3">
      <c r="A4014" t="s">
        <v>2052</v>
      </c>
      <c r="B4014" t="s">
        <v>20</v>
      </c>
      <c r="C4014">
        <v>60</v>
      </c>
      <c r="D4014" t="s">
        <v>10</v>
      </c>
      <c r="E4014" t="s">
        <v>1712</v>
      </c>
      <c r="F4014" s="43">
        <v>44684.479166666664</v>
      </c>
      <c r="G4014" s="43">
        <v>44684.520833333336</v>
      </c>
      <c r="H4014">
        <v>11</v>
      </c>
      <c r="I4014">
        <v>30</v>
      </c>
      <c r="J4014">
        <v>12</v>
      </c>
      <c r="K4014">
        <v>30</v>
      </c>
      <c r="L4014">
        <v>2022</v>
      </c>
      <c r="N4014" t="s">
        <v>1824</v>
      </c>
      <c r="O4014" t="s">
        <v>48</v>
      </c>
      <c r="P4014" t="s">
        <v>2053</v>
      </c>
    </row>
    <row r="4015" spans="1:16" x14ac:dyDescent="0.3">
      <c r="A4015" t="s">
        <v>2434</v>
      </c>
      <c r="B4015" t="s">
        <v>223</v>
      </c>
      <c r="C4015">
        <v>60</v>
      </c>
      <c r="D4015" t="s">
        <v>10</v>
      </c>
      <c r="E4015" t="s">
        <v>2435</v>
      </c>
      <c r="F4015" s="43">
        <v>44684.416666666664</v>
      </c>
      <c r="G4015" s="43">
        <v>44684.458333333336</v>
      </c>
      <c r="H4015">
        <v>10</v>
      </c>
      <c r="I4015">
        <v>0</v>
      </c>
      <c r="J4015">
        <v>11</v>
      </c>
      <c r="K4015">
        <v>0</v>
      </c>
      <c r="L4015">
        <v>2022</v>
      </c>
      <c r="N4015" t="s">
        <v>2436</v>
      </c>
      <c r="O4015" t="s">
        <v>2437</v>
      </c>
      <c r="P4015" t="s">
        <v>2438</v>
      </c>
    </row>
    <row r="4016" spans="1:16" x14ac:dyDescent="0.3">
      <c r="A4016" t="s">
        <v>2206</v>
      </c>
      <c r="B4016" t="s">
        <v>2207</v>
      </c>
      <c r="C4016">
        <v>60</v>
      </c>
      <c r="D4016" t="s">
        <v>10</v>
      </c>
      <c r="E4016" t="s">
        <v>2208</v>
      </c>
      <c r="F4016" s="43">
        <v>44684.354166666664</v>
      </c>
      <c r="G4016" s="43">
        <v>44684.395833333336</v>
      </c>
      <c r="H4016">
        <v>8</v>
      </c>
      <c r="I4016">
        <v>30</v>
      </c>
      <c r="J4016">
        <v>9</v>
      </c>
      <c r="K4016">
        <v>30</v>
      </c>
      <c r="L4016">
        <v>2022</v>
      </c>
      <c r="N4016" t="s">
        <v>2129</v>
      </c>
      <c r="O4016" t="s">
        <v>48</v>
      </c>
      <c r="P4016" t="s">
        <v>2209</v>
      </c>
    </row>
    <row r="4017" spans="1:16" x14ac:dyDescent="0.3">
      <c r="A4017" t="s">
        <v>8</v>
      </c>
      <c r="B4017" t="s">
        <v>6</v>
      </c>
      <c r="C4017">
        <v>90</v>
      </c>
      <c r="D4017" t="s">
        <v>10</v>
      </c>
      <c r="F4017" s="43">
        <v>44684.25</v>
      </c>
      <c r="G4017" s="43">
        <v>44684.3125</v>
      </c>
      <c r="H4017">
        <v>6</v>
      </c>
      <c r="I4017">
        <v>0</v>
      </c>
      <c r="J4017">
        <v>7</v>
      </c>
      <c r="K4017">
        <v>30</v>
      </c>
      <c r="L4017">
        <v>2022</v>
      </c>
      <c r="N4017" t="s">
        <v>47</v>
      </c>
      <c r="O4017" t="s">
        <v>47</v>
      </c>
      <c r="P4017" t="s">
        <v>2038</v>
      </c>
    </row>
    <row r="4018" spans="1:16" x14ac:dyDescent="0.3">
      <c r="A4018" t="s">
        <v>2014</v>
      </c>
      <c r="B4018" t="s">
        <v>223</v>
      </c>
      <c r="C4018">
        <v>60</v>
      </c>
      <c r="D4018" t="s">
        <v>10</v>
      </c>
      <c r="E4018" t="s">
        <v>2015</v>
      </c>
      <c r="F4018" s="43">
        <v>44683.770833333336</v>
      </c>
      <c r="G4018" s="43">
        <v>44683.8125</v>
      </c>
      <c r="H4018">
        <v>18</v>
      </c>
      <c r="I4018">
        <v>30</v>
      </c>
      <c r="J4018">
        <v>19</v>
      </c>
      <c r="K4018">
        <v>30</v>
      </c>
      <c r="L4018">
        <v>2022</v>
      </c>
      <c r="N4018" t="s">
        <v>47</v>
      </c>
      <c r="O4018" t="s">
        <v>47</v>
      </c>
      <c r="P4018" t="s">
        <v>2039</v>
      </c>
    </row>
    <row r="4019" spans="1:16" x14ac:dyDescent="0.3">
      <c r="A4019" t="s">
        <v>2014</v>
      </c>
      <c r="B4019" t="s">
        <v>223</v>
      </c>
      <c r="C4019">
        <v>40</v>
      </c>
      <c r="D4019" t="s">
        <v>10</v>
      </c>
      <c r="E4019" t="s">
        <v>2015</v>
      </c>
      <c r="F4019" s="43">
        <v>44683.701388888891</v>
      </c>
      <c r="G4019" s="43">
        <v>44683.729166666664</v>
      </c>
      <c r="H4019">
        <v>16</v>
      </c>
      <c r="I4019">
        <v>50</v>
      </c>
      <c r="J4019">
        <v>17</v>
      </c>
      <c r="K4019">
        <v>30</v>
      </c>
      <c r="L4019">
        <v>2022</v>
      </c>
      <c r="N4019" t="s">
        <v>47</v>
      </c>
      <c r="O4019" t="s">
        <v>47</v>
      </c>
      <c r="P4019" t="s">
        <v>2040</v>
      </c>
    </row>
    <row r="4020" spans="1:16" x14ac:dyDescent="0.3">
      <c r="A4020" t="s">
        <v>2014</v>
      </c>
      <c r="B4020" t="s">
        <v>223</v>
      </c>
      <c r="C4020">
        <v>30</v>
      </c>
      <c r="D4020" t="s">
        <v>10</v>
      </c>
      <c r="E4020" t="s">
        <v>2015</v>
      </c>
      <c r="F4020" s="43">
        <v>44683.645833333336</v>
      </c>
      <c r="G4020" s="43">
        <v>44683.666666666664</v>
      </c>
      <c r="H4020">
        <v>15</v>
      </c>
      <c r="I4020">
        <v>30</v>
      </c>
      <c r="J4020">
        <v>16</v>
      </c>
      <c r="K4020">
        <v>0</v>
      </c>
      <c r="L4020">
        <v>2022</v>
      </c>
      <c r="N4020" t="s">
        <v>47</v>
      </c>
      <c r="O4020" t="s">
        <v>47</v>
      </c>
      <c r="P4020" t="s">
        <v>2041</v>
      </c>
    </row>
    <row r="4021" spans="1:16" x14ac:dyDescent="0.3">
      <c r="A4021" t="s">
        <v>2044</v>
      </c>
      <c r="C4021">
        <v>30</v>
      </c>
      <c r="D4021" t="s">
        <v>10</v>
      </c>
      <c r="F4021" s="43">
        <v>44683.625</v>
      </c>
      <c r="G4021" s="43">
        <v>44683.645833333336</v>
      </c>
      <c r="H4021">
        <v>15</v>
      </c>
      <c r="I4021">
        <v>0</v>
      </c>
      <c r="J4021">
        <v>15</v>
      </c>
      <c r="K4021">
        <v>30</v>
      </c>
      <c r="L4021">
        <v>2022</v>
      </c>
      <c r="N4021" t="s">
        <v>47</v>
      </c>
      <c r="O4021" t="s">
        <v>47</v>
      </c>
      <c r="P4021" t="s">
        <v>2045</v>
      </c>
    </row>
    <row r="4022" spans="1:16" x14ac:dyDescent="0.3">
      <c r="A4022" t="s">
        <v>2014</v>
      </c>
      <c r="B4022" t="s">
        <v>223</v>
      </c>
      <c r="C4022">
        <v>60</v>
      </c>
      <c r="D4022" t="s">
        <v>10</v>
      </c>
      <c r="E4022" t="s">
        <v>2015</v>
      </c>
      <c r="F4022" s="43">
        <v>44683.583333333336</v>
      </c>
      <c r="G4022" s="43">
        <v>44683.625</v>
      </c>
      <c r="H4022">
        <v>14</v>
      </c>
      <c r="I4022">
        <v>0</v>
      </c>
      <c r="J4022">
        <v>15</v>
      </c>
      <c r="K4022">
        <v>0</v>
      </c>
      <c r="L4022">
        <v>2022</v>
      </c>
      <c r="N4022" t="s">
        <v>47</v>
      </c>
      <c r="O4022" t="s">
        <v>47</v>
      </c>
      <c r="P4022" t="s">
        <v>2042</v>
      </c>
    </row>
    <row r="4023" spans="1:16" x14ac:dyDescent="0.3">
      <c r="A4023" t="s">
        <v>7</v>
      </c>
      <c r="B4023" t="s">
        <v>6</v>
      </c>
      <c r="C4023">
        <v>60</v>
      </c>
      <c r="D4023" t="s">
        <v>10</v>
      </c>
      <c r="E4023" t="s">
        <v>449</v>
      </c>
      <c r="F4023" s="43">
        <v>44683.541666666664</v>
      </c>
      <c r="G4023" s="43">
        <v>44683.583333333336</v>
      </c>
      <c r="H4023">
        <v>13</v>
      </c>
      <c r="I4023">
        <v>0</v>
      </c>
      <c r="J4023">
        <v>14</v>
      </c>
      <c r="K4023">
        <v>0</v>
      </c>
      <c r="L4023">
        <v>2022</v>
      </c>
      <c r="N4023" t="s">
        <v>47</v>
      </c>
      <c r="O4023" t="s">
        <v>47</v>
      </c>
      <c r="P4023" t="s">
        <v>2043</v>
      </c>
    </row>
    <row r="4024" spans="1:16" x14ac:dyDescent="0.3">
      <c r="A4024" t="s">
        <v>2046</v>
      </c>
      <c r="B4024" t="s">
        <v>6</v>
      </c>
      <c r="C4024">
        <v>60</v>
      </c>
      <c r="D4024" t="s">
        <v>10</v>
      </c>
      <c r="E4024" t="s">
        <v>565</v>
      </c>
      <c r="F4024" s="43">
        <v>44683.458333333336</v>
      </c>
      <c r="G4024" s="43">
        <v>44683.5</v>
      </c>
      <c r="H4024">
        <v>11</v>
      </c>
      <c r="I4024">
        <v>0</v>
      </c>
      <c r="J4024">
        <v>12</v>
      </c>
      <c r="K4024">
        <v>0</v>
      </c>
      <c r="L4024">
        <v>2022</v>
      </c>
      <c r="N4024" t="s">
        <v>47</v>
      </c>
      <c r="O4024" t="s">
        <v>47</v>
      </c>
      <c r="P4024" t="s">
        <v>2047</v>
      </c>
    </row>
    <row r="4025" spans="1:16" x14ac:dyDescent="0.3">
      <c r="A4025" t="s">
        <v>8</v>
      </c>
      <c r="B4025" t="s">
        <v>6</v>
      </c>
      <c r="C4025">
        <v>30</v>
      </c>
      <c r="D4025" t="s">
        <v>10</v>
      </c>
      <c r="F4025" s="43">
        <v>44683.416666666664</v>
      </c>
      <c r="G4025" s="43">
        <v>44683.4375</v>
      </c>
      <c r="H4025">
        <v>10</v>
      </c>
      <c r="I4025">
        <v>0</v>
      </c>
      <c r="J4025">
        <v>10</v>
      </c>
      <c r="K4025">
        <v>30</v>
      </c>
      <c r="L4025">
        <v>2022</v>
      </c>
      <c r="N4025" t="s">
        <v>47</v>
      </c>
      <c r="O4025" t="s">
        <v>47</v>
      </c>
      <c r="P4025" t="s">
        <v>2050</v>
      </c>
    </row>
    <row r="4026" spans="1:16" x14ac:dyDescent="0.3">
      <c r="A4026" t="s">
        <v>8</v>
      </c>
      <c r="B4026" t="s">
        <v>6</v>
      </c>
      <c r="C4026">
        <v>60</v>
      </c>
      <c r="D4026" t="s">
        <v>10</v>
      </c>
      <c r="F4026" s="43">
        <v>44683.333333333336</v>
      </c>
      <c r="G4026" s="43">
        <v>44683.375</v>
      </c>
      <c r="H4026">
        <v>8</v>
      </c>
      <c r="I4026">
        <v>0</v>
      </c>
      <c r="J4026">
        <v>9</v>
      </c>
      <c r="K4026">
        <v>0</v>
      </c>
      <c r="L4026">
        <v>2022</v>
      </c>
      <c r="N4026" t="s">
        <v>47</v>
      </c>
      <c r="O4026" t="s">
        <v>47</v>
      </c>
      <c r="P4026" t="s">
        <v>2051</v>
      </c>
    </row>
    <row r="4027" spans="1:16" x14ac:dyDescent="0.3">
      <c r="A4027" t="s">
        <v>2054</v>
      </c>
      <c r="B4027" t="s">
        <v>6</v>
      </c>
      <c r="C4027">
        <v>60</v>
      </c>
      <c r="D4027" t="s">
        <v>10</v>
      </c>
      <c r="E4027" t="s">
        <v>565</v>
      </c>
      <c r="F4027" s="43">
        <v>44683.270833333336</v>
      </c>
      <c r="G4027" s="43">
        <v>44683.3125</v>
      </c>
      <c r="H4027">
        <v>6</v>
      </c>
      <c r="I4027">
        <v>30</v>
      </c>
      <c r="J4027">
        <v>7</v>
      </c>
      <c r="K4027">
        <v>30</v>
      </c>
      <c r="L4027">
        <v>2022</v>
      </c>
      <c r="N4027" t="s">
        <v>47</v>
      </c>
      <c r="O4027" t="s">
        <v>47</v>
      </c>
      <c r="P4027" t="s">
        <v>2055</v>
      </c>
    </row>
    <row r="4028" spans="1:16" x14ac:dyDescent="0.3">
      <c r="A4028" t="s">
        <v>2056</v>
      </c>
      <c r="C4028">
        <v>30</v>
      </c>
      <c r="D4028" t="s">
        <v>10</v>
      </c>
      <c r="E4028" t="s">
        <v>5</v>
      </c>
      <c r="F4028" s="43">
        <v>44682.75</v>
      </c>
      <c r="G4028" s="43">
        <v>44682.770833333336</v>
      </c>
      <c r="H4028">
        <v>18</v>
      </c>
      <c r="I4028">
        <v>0</v>
      </c>
      <c r="J4028">
        <v>18</v>
      </c>
      <c r="K4028">
        <v>30</v>
      </c>
      <c r="L4028">
        <v>2022</v>
      </c>
      <c r="N4028" t="s">
        <v>2057</v>
      </c>
      <c r="O4028" t="s">
        <v>2058</v>
      </c>
      <c r="P4028" t="s">
        <v>2059</v>
      </c>
    </row>
    <row r="4029" spans="1:16" x14ac:dyDescent="0.3">
      <c r="A4029" t="s">
        <v>2048</v>
      </c>
      <c r="C4029">
        <v>240</v>
      </c>
      <c r="D4029" t="s">
        <v>10</v>
      </c>
      <c r="F4029" s="43">
        <v>44682.375</v>
      </c>
      <c r="G4029" s="43">
        <v>44682.541666666664</v>
      </c>
      <c r="H4029">
        <v>9</v>
      </c>
      <c r="I4029">
        <v>0</v>
      </c>
      <c r="J4029">
        <v>13</v>
      </c>
      <c r="K4029">
        <v>0</v>
      </c>
      <c r="L4029">
        <v>2022</v>
      </c>
      <c r="N4029" t="s">
        <v>47</v>
      </c>
      <c r="O4029" t="s">
        <v>47</v>
      </c>
      <c r="P4029" t="s">
        <v>2049</v>
      </c>
    </row>
    <row r="4030" spans="1:16" x14ac:dyDescent="0.3">
      <c r="A4030" t="s">
        <v>1139</v>
      </c>
      <c r="C4030">
        <v>30</v>
      </c>
      <c r="D4030" t="s">
        <v>10</v>
      </c>
      <c r="F4030" s="43">
        <v>44680.604166666664</v>
      </c>
      <c r="G4030" s="43">
        <v>44680.625</v>
      </c>
      <c r="H4030">
        <v>14</v>
      </c>
      <c r="I4030">
        <v>30</v>
      </c>
      <c r="J4030">
        <v>15</v>
      </c>
      <c r="K4030">
        <v>0</v>
      </c>
      <c r="L4030">
        <v>2022</v>
      </c>
      <c r="N4030" t="s">
        <v>47</v>
      </c>
      <c r="O4030" t="s">
        <v>47</v>
      </c>
      <c r="P4030" t="s">
        <v>2060</v>
      </c>
    </row>
    <row r="4031" spans="1:16" x14ac:dyDescent="0.3">
      <c r="A4031" t="s">
        <v>2066</v>
      </c>
      <c r="C4031">
        <v>60</v>
      </c>
      <c r="D4031" t="s">
        <v>10</v>
      </c>
      <c r="E4031" t="s">
        <v>1712</v>
      </c>
      <c r="F4031" s="43">
        <v>44680.5</v>
      </c>
      <c r="G4031" s="43">
        <v>44680.541666666664</v>
      </c>
      <c r="H4031">
        <v>12</v>
      </c>
      <c r="I4031">
        <v>0</v>
      </c>
      <c r="J4031">
        <v>13</v>
      </c>
      <c r="K4031">
        <v>0</v>
      </c>
      <c r="L4031">
        <v>2022</v>
      </c>
      <c r="N4031" t="s">
        <v>2067</v>
      </c>
      <c r="O4031" t="s">
        <v>48</v>
      </c>
      <c r="P4031" t="s">
        <v>2068</v>
      </c>
    </row>
    <row r="4032" spans="1:16" x14ac:dyDescent="0.3">
      <c r="A4032" t="s">
        <v>2351</v>
      </c>
      <c r="B4032" t="s">
        <v>20</v>
      </c>
      <c r="C4032">
        <v>60</v>
      </c>
      <c r="D4032" t="s">
        <v>10</v>
      </c>
      <c r="E4032" t="s">
        <v>790</v>
      </c>
      <c r="F4032" s="43">
        <v>44680.4375</v>
      </c>
      <c r="G4032" s="43">
        <v>44680.479166666664</v>
      </c>
      <c r="H4032">
        <v>10</v>
      </c>
      <c r="I4032">
        <v>30</v>
      </c>
      <c r="J4032">
        <v>11</v>
      </c>
      <c r="K4032">
        <v>30</v>
      </c>
      <c r="L4032">
        <v>2022</v>
      </c>
      <c r="N4032" t="s">
        <v>2352</v>
      </c>
      <c r="O4032" t="s">
        <v>2353</v>
      </c>
      <c r="P4032" t="s">
        <v>2354</v>
      </c>
    </row>
    <row r="4033" spans="1:16" x14ac:dyDescent="0.3">
      <c r="A4033" t="s">
        <v>2112</v>
      </c>
      <c r="C4033">
        <v>30</v>
      </c>
      <c r="D4033" t="s">
        <v>10</v>
      </c>
      <c r="E4033" t="s">
        <v>2113</v>
      </c>
      <c r="F4033" s="43">
        <v>44679.375</v>
      </c>
      <c r="G4033" s="43">
        <v>44679.395833333336</v>
      </c>
      <c r="H4033">
        <v>9</v>
      </c>
      <c r="I4033">
        <v>0</v>
      </c>
      <c r="J4033">
        <v>9</v>
      </c>
      <c r="K4033">
        <v>30</v>
      </c>
      <c r="L4033">
        <v>2022</v>
      </c>
      <c r="N4033" t="s">
        <v>578</v>
      </c>
      <c r="O4033" t="s">
        <v>458</v>
      </c>
      <c r="P4033" t="s">
        <v>2114</v>
      </c>
    </row>
    <row r="4034" spans="1:16" x14ac:dyDescent="0.3">
      <c r="A4034" t="s">
        <v>2091</v>
      </c>
      <c r="B4034" t="s">
        <v>109</v>
      </c>
      <c r="C4034">
        <v>60</v>
      </c>
      <c r="D4034" t="s">
        <v>10</v>
      </c>
      <c r="E4034" t="s">
        <v>2074</v>
      </c>
      <c r="F4034" s="43">
        <v>44679.25</v>
      </c>
      <c r="G4034" s="43">
        <v>44679.291666666664</v>
      </c>
      <c r="H4034">
        <v>6</v>
      </c>
      <c r="I4034">
        <v>0</v>
      </c>
      <c r="J4034">
        <v>7</v>
      </c>
      <c r="K4034">
        <v>0</v>
      </c>
      <c r="L4034">
        <v>2022</v>
      </c>
      <c r="N4034" t="s">
        <v>2092</v>
      </c>
      <c r="O4034" t="s">
        <v>1241</v>
      </c>
      <c r="P4034" t="s">
        <v>2093</v>
      </c>
    </row>
    <row r="4035" spans="1:16" x14ac:dyDescent="0.3">
      <c r="A4035" t="s">
        <v>7</v>
      </c>
      <c r="B4035" t="s">
        <v>6</v>
      </c>
      <c r="C4035">
        <v>30</v>
      </c>
      <c r="D4035" t="s">
        <v>10</v>
      </c>
      <c r="E4035" t="s">
        <v>449</v>
      </c>
      <c r="F4035" s="43">
        <v>44678.75</v>
      </c>
      <c r="G4035" s="43">
        <v>44678.770833333336</v>
      </c>
      <c r="H4035">
        <v>18</v>
      </c>
      <c r="I4035">
        <v>0</v>
      </c>
      <c r="J4035">
        <v>18</v>
      </c>
      <c r="K4035">
        <v>30</v>
      </c>
      <c r="L4035">
        <v>2022</v>
      </c>
      <c r="N4035" t="s">
        <v>47</v>
      </c>
      <c r="O4035" t="s">
        <v>47</v>
      </c>
      <c r="P4035" t="s">
        <v>2065</v>
      </c>
    </row>
    <row r="4036" spans="1:16" x14ac:dyDescent="0.3">
      <c r="A4036" t="s">
        <v>1139</v>
      </c>
      <c r="C4036">
        <v>120</v>
      </c>
      <c r="D4036" t="s">
        <v>10</v>
      </c>
      <c r="F4036" s="43">
        <v>44678.625</v>
      </c>
      <c r="G4036" s="43">
        <v>44678.708333333336</v>
      </c>
      <c r="H4036">
        <v>15</v>
      </c>
      <c r="I4036">
        <v>0</v>
      </c>
      <c r="J4036">
        <v>17</v>
      </c>
      <c r="K4036">
        <v>0</v>
      </c>
      <c r="L4036">
        <v>2022</v>
      </c>
      <c r="O4036" t="s">
        <v>47</v>
      </c>
      <c r="P4036" t="s">
        <v>2064</v>
      </c>
    </row>
    <row r="4037" spans="1:16" x14ac:dyDescent="0.3">
      <c r="A4037" t="s">
        <v>2100</v>
      </c>
      <c r="C4037">
        <v>30</v>
      </c>
      <c r="D4037" t="s">
        <v>10</v>
      </c>
      <c r="E4037" t="s">
        <v>2101</v>
      </c>
      <c r="F4037" s="43">
        <v>44678.458333333336</v>
      </c>
      <c r="G4037" s="43">
        <v>44678.479166666664</v>
      </c>
      <c r="H4037">
        <v>11</v>
      </c>
      <c r="I4037">
        <v>0</v>
      </c>
      <c r="J4037">
        <v>11</v>
      </c>
      <c r="K4037">
        <v>30</v>
      </c>
      <c r="L4037">
        <v>2022</v>
      </c>
      <c r="N4037" t="s">
        <v>549</v>
      </c>
      <c r="O4037" t="s">
        <v>458</v>
      </c>
      <c r="P4037" t="s">
        <v>2102</v>
      </c>
    </row>
    <row r="4038" spans="1:16" x14ac:dyDescent="0.3">
      <c r="A4038" t="s">
        <v>2418</v>
      </c>
      <c r="B4038" t="s">
        <v>20</v>
      </c>
      <c r="C4038">
        <v>60</v>
      </c>
      <c r="D4038" t="s">
        <v>10</v>
      </c>
      <c r="E4038" t="s">
        <v>2419</v>
      </c>
      <c r="F4038" s="43">
        <v>44678.416666666664</v>
      </c>
      <c r="G4038" s="43">
        <v>44678.458333333336</v>
      </c>
      <c r="H4038">
        <v>10</v>
      </c>
      <c r="I4038">
        <v>0</v>
      </c>
      <c r="J4038">
        <v>11</v>
      </c>
      <c r="K4038">
        <v>0</v>
      </c>
      <c r="L4038">
        <v>2022</v>
      </c>
      <c r="N4038" t="s">
        <v>2420</v>
      </c>
      <c r="O4038" t="s">
        <v>458</v>
      </c>
      <c r="P4038" t="s">
        <v>2421</v>
      </c>
    </row>
    <row r="4039" spans="1:16" x14ac:dyDescent="0.3">
      <c r="A4039" t="s">
        <v>8</v>
      </c>
      <c r="B4039" t="s">
        <v>6</v>
      </c>
      <c r="C4039">
        <v>60</v>
      </c>
      <c r="D4039" t="s">
        <v>10</v>
      </c>
      <c r="F4039" s="43">
        <v>44678.291666666664</v>
      </c>
      <c r="G4039" s="43">
        <v>44678.333333333336</v>
      </c>
      <c r="H4039">
        <v>7</v>
      </c>
      <c r="I4039">
        <v>0</v>
      </c>
      <c r="J4039">
        <v>8</v>
      </c>
      <c r="K4039">
        <v>0</v>
      </c>
      <c r="L4039">
        <v>2022</v>
      </c>
      <c r="N4039" t="s">
        <v>47</v>
      </c>
      <c r="O4039" t="s">
        <v>47</v>
      </c>
      <c r="P4039" t="s">
        <v>2072</v>
      </c>
    </row>
    <row r="4040" spans="1:16" x14ac:dyDescent="0.3">
      <c r="A4040" t="s">
        <v>2073</v>
      </c>
      <c r="B4040" t="s">
        <v>109</v>
      </c>
      <c r="C4040">
        <v>30</v>
      </c>
      <c r="D4040" t="s">
        <v>10</v>
      </c>
      <c r="E4040" t="s">
        <v>2074</v>
      </c>
      <c r="F4040" s="43">
        <v>44678.270833333336</v>
      </c>
      <c r="G4040" s="43">
        <v>44678.291666666664</v>
      </c>
      <c r="H4040">
        <v>6</v>
      </c>
      <c r="I4040">
        <v>30</v>
      </c>
      <c r="J4040">
        <v>7</v>
      </c>
      <c r="K4040">
        <v>0</v>
      </c>
      <c r="L4040">
        <v>2022</v>
      </c>
      <c r="N4040" t="s">
        <v>2075</v>
      </c>
      <c r="O4040" t="s">
        <v>1241</v>
      </c>
      <c r="P4040" t="s">
        <v>2076</v>
      </c>
    </row>
    <row r="4041" spans="1:16" x14ac:dyDescent="0.3">
      <c r="A4041" t="s">
        <v>8</v>
      </c>
      <c r="B4041" t="s">
        <v>6</v>
      </c>
      <c r="C4041">
        <v>30</v>
      </c>
      <c r="D4041" t="s">
        <v>10</v>
      </c>
      <c r="F4041" s="43">
        <v>44678.25</v>
      </c>
      <c r="G4041" s="43">
        <v>44678.270833333336</v>
      </c>
      <c r="H4041">
        <v>6</v>
      </c>
      <c r="I4041">
        <v>0</v>
      </c>
      <c r="J4041">
        <v>6</v>
      </c>
      <c r="K4041">
        <v>30</v>
      </c>
      <c r="L4041">
        <v>2022</v>
      </c>
      <c r="N4041" t="s">
        <v>47</v>
      </c>
      <c r="O4041" t="s">
        <v>47</v>
      </c>
      <c r="P4041" t="s">
        <v>2071</v>
      </c>
    </row>
    <row r="4042" spans="1:16" x14ac:dyDescent="0.3">
      <c r="A4042" t="s">
        <v>2069</v>
      </c>
      <c r="B4042" t="s">
        <v>6</v>
      </c>
      <c r="C4042">
        <v>30</v>
      </c>
      <c r="D4042" t="s">
        <v>10</v>
      </c>
      <c r="F4042" s="43">
        <v>44678.208333333336</v>
      </c>
      <c r="G4042" s="43">
        <v>44678.229166666664</v>
      </c>
      <c r="H4042">
        <v>5</v>
      </c>
      <c r="I4042">
        <v>0</v>
      </c>
      <c r="J4042">
        <v>5</v>
      </c>
      <c r="K4042">
        <v>30</v>
      </c>
      <c r="L4042">
        <v>2022</v>
      </c>
      <c r="N4042" t="s">
        <v>47</v>
      </c>
      <c r="O4042" t="s">
        <v>47</v>
      </c>
      <c r="P4042" t="s">
        <v>2070</v>
      </c>
    </row>
    <row r="4043" spans="1:16" x14ac:dyDescent="0.3">
      <c r="A4043" t="s">
        <v>446</v>
      </c>
      <c r="C4043">
        <v>30</v>
      </c>
      <c r="D4043" t="s">
        <v>10</v>
      </c>
      <c r="F4043" s="43">
        <v>44677.708333333336</v>
      </c>
      <c r="G4043" s="43">
        <v>44677.729166666664</v>
      </c>
      <c r="H4043">
        <v>17</v>
      </c>
      <c r="I4043">
        <v>0</v>
      </c>
      <c r="J4043">
        <v>17</v>
      </c>
      <c r="K4043">
        <v>30</v>
      </c>
      <c r="L4043">
        <v>2022</v>
      </c>
      <c r="N4043" t="s">
        <v>47</v>
      </c>
      <c r="O4043" t="s">
        <v>47</v>
      </c>
      <c r="P4043" t="s">
        <v>2077</v>
      </c>
    </row>
    <row r="4044" spans="1:16" x14ac:dyDescent="0.3">
      <c r="A4044" t="s">
        <v>2078</v>
      </c>
      <c r="B4044" t="s">
        <v>109</v>
      </c>
      <c r="C4044">
        <v>30</v>
      </c>
      <c r="D4044" t="s">
        <v>10</v>
      </c>
      <c r="E4044" t="s">
        <v>2079</v>
      </c>
      <c r="F4044" s="43">
        <v>44677.6875</v>
      </c>
      <c r="G4044" s="43">
        <v>44677.708333333336</v>
      </c>
      <c r="H4044">
        <v>16</v>
      </c>
      <c r="I4044">
        <v>30</v>
      </c>
      <c r="J4044">
        <v>17</v>
      </c>
      <c r="K4044">
        <v>0</v>
      </c>
      <c r="L4044">
        <v>2022</v>
      </c>
      <c r="N4044" t="s">
        <v>47</v>
      </c>
      <c r="O4044" t="s">
        <v>47</v>
      </c>
      <c r="P4044" t="s">
        <v>2080</v>
      </c>
    </row>
    <row r="4045" spans="1:16" x14ac:dyDescent="0.3">
      <c r="A4045" t="s">
        <v>9</v>
      </c>
      <c r="B4045" t="s">
        <v>6</v>
      </c>
      <c r="C4045">
        <v>30</v>
      </c>
      <c r="D4045" t="s">
        <v>10</v>
      </c>
      <c r="E4045" t="s">
        <v>449</v>
      </c>
      <c r="F4045" s="43">
        <v>44677.666666666664</v>
      </c>
      <c r="G4045" s="43">
        <v>44677.6875</v>
      </c>
      <c r="H4045">
        <v>16</v>
      </c>
      <c r="I4045">
        <v>0</v>
      </c>
      <c r="J4045">
        <v>16</v>
      </c>
      <c r="K4045">
        <v>30</v>
      </c>
      <c r="L4045">
        <v>2022</v>
      </c>
      <c r="N4045" t="s">
        <v>47</v>
      </c>
      <c r="O4045" t="s">
        <v>47</v>
      </c>
      <c r="P4045" t="s">
        <v>2081</v>
      </c>
    </row>
    <row r="4046" spans="1:16" x14ac:dyDescent="0.3">
      <c r="A4046" t="s">
        <v>2669</v>
      </c>
      <c r="C4046">
        <v>30</v>
      </c>
      <c r="D4046" t="s">
        <v>10</v>
      </c>
      <c r="F4046" s="43">
        <v>44677.625</v>
      </c>
      <c r="G4046" s="43">
        <v>44677.645833333336</v>
      </c>
      <c r="H4046">
        <v>15</v>
      </c>
      <c r="I4046">
        <v>0</v>
      </c>
      <c r="J4046">
        <v>15</v>
      </c>
      <c r="K4046">
        <v>30</v>
      </c>
      <c r="L4046">
        <v>2022</v>
      </c>
      <c r="O4046" t="s">
        <v>47</v>
      </c>
      <c r="P4046" t="s">
        <v>2670</v>
      </c>
    </row>
    <row r="4047" spans="1:16" x14ac:dyDescent="0.3">
      <c r="A4047" t="s">
        <v>2106</v>
      </c>
      <c r="B4047" t="s">
        <v>20</v>
      </c>
      <c r="C4047">
        <v>60</v>
      </c>
      <c r="D4047" t="s">
        <v>10</v>
      </c>
      <c r="E4047" t="s">
        <v>1712</v>
      </c>
      <c r="F4047" s="43">
        <v>44677.5625</v>
      </c>
      <c r="G4047" s="43">
        <v>44677.604166666664</v>
      </c>
      <c r="H4047">
        <v>13</v>
      </c>
      <c r="I4047">
        <v>30</v>
      </c>
      <c r="J4047">
        <v>14</v>
      </c>
      <c r="K4047">
        <v>30</v>
      </c>
      <c r="L4047">
        <v>2022</v>
      </c>
      <c r="N4047" t="s">
        <v>2107</v>
      </c>
      <c r="O4047" t="s">
        <v>48</v>
      </c>
      <c r="P4047" t="s">
        <v>2108</v>
      </c>
    </row>
    <row r="4048" spans="1:16" x14ac:dyDescent="0.3">
      <c r="A4048" t="s">
        <v>2083</v>
      </c>
      <c r="B4048" t="s">
        <v>109</v>
      </c>
      <c r="C4048">
        <v>75</v>
      </c>
      <c r="D4048" t="s">
        <v>10</v>
      </c>
      <c r="E4048" t="s">
        <v>2079</v>
      </c>
      <c r="F4048" s="43">
        <v>44677.489583333336</v>
      </c>
      <c r="G4048" s="43">
        <v>44677.541666666664</v>
      </c>
      <c r="H4048">
        <v>11</v>
      </c>
      <c r="I4048">
        <v>45</v>
      </c>
      <c r="J4048">
        <v>13</v>
      </c>
      <c r="K4048">
        <v>0</v>
      </c>
      <c r="L4048">
        <v>2022</v>
      </c>
      <c r="N4048" t="s">
        <v>47</v>
      </c>
      <c r="O4048" t="s">
        <v>47</v>
      </c>
      <c r="P4048" t="s">
        <v>2084</v>
      </c>
    </row>
    <row r="4049" spans="1:16" x14ac:dyDescent="0.3">
      <c r="A4049" t="s">
        <v>2014</v>
      </c>
      <c r="B4049" t="s">
        <v>223</v>
      </c>
      <c r="C4049">
        <v>15</v>
      </c>
      <c r="D4049" t="s">
        <v>10</v>
      </c>
      <c r="E4049" t="s">
        <v>2015</v>
      </c>
      <c r="F4049" s="43">
        <v>44677.447916666664</v>
      </c>
      <c r="G4049" s="43">
        <v>44677.458333333336</v>
      </c>
      <c r="H4049">
        <v>10</v>
      </c>
      <c r="I4049">
        <v>45</v>
      </c>
      <c r="J4049">
        <v>11</v>
      </c>
      <c r="K4049">
        <v>0</v>
      </c>
      <c r="L4049">
        <v>2022</v>
      </c>
      <c r="N4049" t="s">
        <v>47</v>
      </c>
      <c r="O4049" t="s">
        <v>47</v>
      </c>
      <c r="P4049" t="s">
        <v>2087</v>
      </c>
    </row>
    <row r="4050" spans="1:16" x14ac:dyDescent="0.3">
      <c r="A4050" t="s">
        <v>2445</v>
      </c>
      <c r="B4050" t="s">
        <v>223</v>
      </c>
      <c r="C4050">
        <v>45</v>
      </c>
      <c r="D4050" t="s">
        <v>10</v>
      </c>
      <c r="E4050" t="s">
        <v>2446</v>
      </c>
      <c r="F4050" s="43">
        <v>44677.416666666664</v>
      </c>
      <c r="G4050" s="43">
        <v>44677.447916666664</v>
      </c>
      <c r="H4050">
        <v>10</v>
      </c>
      <c r="I4050">
        <v>0</v>
      </c>
      <c r="J4050">
        <v>10</v>
      </c>
      <c r="K4050">
        <v>45</v>
      </c>
      <c r="L4050">
        <v>2022</v>
      </c>
      <c r="N4050" t="s">
        <v>465</v>
      </c>
      <c r="O4050" t="s">
        <v>458</v>
      </c>
      <c r="P4050" t="s">
        <v>2447</v>
      </c>
    </row>
    <row r="4051" spans="1:16" x14ac:dyDescent="0.3">
      <c r="A4051" t="s">
        <v>8</v>
      </c>
      <c r="B4051" t="s">
        <v>6</v>
      </c>
      <c r="C4051">
        <v>30</v>
      </c>
      <c r="D4051" t="s">
        <v>10</v>
      </c>
      <c r="F4051" s="43">
        <v>44677.3125</v>
      </c>
      <c r="G4051" s="43">
        <v>44677.333333333336</v>
      </c>
      <c r="H4051">
        <v>7</v>
      </c>
      <c r="I4051">
        <v>30</v>
      </c>
      <c r="J4051">
        <v>8</v>
      </c>
      <c r="K4051">
        <v>0</v>
      </c>
      <c r="L4051">
        <v>2022</v>
      </c>
      <c r="N4051" t="s">
        <v>47</v>
      </c>
      <c r="O4051" t="s">
        <v>47</v>
      </c>
      <c r="P4051" t="s">
        <v>2088</v>
      </c>
    </row>
    <row r="4052" spans="1:16" x14ac:dyDescent="0.3">
      <c r="A4052" t="s">
        <v>8</v>
      </c>
      <c r="B4052" t="s">
        <v>6</v>
      </c>
      <c r="C4052">
        <v>40</v>
      </c>
      <c r="D4052" t="s">
        <v>10</v>
      </c>
      <c r="F4052" s="43">
        <v>44677.25</v>
      </c>
      <c r="G4052" s="43">
        <v>44677.277777777781</v>
      </c>
      <c r="H4052">
        <v>6</v>
      </c>
      <c r="I4052">
        <v>0</v>
      </c>
      <c r="J4052">
        <v>6</v>
      </c>
      <c r="K4052">
        <v>40</v>
      </c>
      <c r="L4052">
        <v>2022</v>
      </c>
      <c r="N4052" t="s">
        <v>47</v>
      </c>
      <c r="O4052" t="s">
        <v>47</v>
      </c>
      <c r="P4052" t="s">
        <v>2089</v>
      </c>
    </row>
    <row r="4053" spans="1:16" x14ac:dyDescent="0.3">
      <c r="A4053" t="s">
        <v>1832</v>
      </c>
      <c r="C4053">
        <v>60</v>
      </c>
      <c r="D4053" t="s">
        <v>10</v>
      </c>
      <c r="F4053" s="43">
        <v>44677.208333333336</v>
      </c>
      <c r="G4053" s="43">
        <v>44677.25</v>
      </c>
      <c r="H4053">
        <v>5</v>
      </c>
      <c r="I4053">
        <v>0</v>
      </c>
      <c r="J4053">
        <v>6</v>
      </c>
      <c r="K4053">
        <v>0</v>
      </c>
      <c r="L4053">
        <v>2022</v>
      </c>
      <c r="N4053" t="s">
        <v>47</v>
      </c>
      <c r="O4053" t="s">
        <v>47</v>
      </c>
      <c r="P4053" t="s">
        <v>2090</v>
      </c>
    </row>
    <row r="4054" spans="1:16" x14ac:dyDescent="0.3">
      <c r="A4054" t="s">
        <v>2094</v>
      </c>
      <c r="C4054">
        <v>60</v>
      </c>
      <c r="D4054" t="s">
        <v>10</v>
      </c>
      <c r="F4054" s="43">
        <v>44676.8125</v>
      </c>
      <c r="G4054" s="43">
        <v>44676.854166666664</v>
      </c>
      <c r="H4054">
        <v>19</v>
      </c>
      <c r="I4054">
        <v>30</v>
      </c>
      <c r="J4054">
        <v>20</v>
      </c>
      <c r="K4054">
        <v>30</v>
      </c>
      <c r="L4054">
        <v>2022</v>
      </c>
      <c r="N4054" t="s">
        <v>47</v>
      </c>
      <c r="O4054" t="s">
        <v>47</v>
      </c>
      <c r="P4054" t="s">
        <v>2095</v>
      </c>
    </row>
    <row r="4055" spans="1:16" x14ac:dyDescent="0.3">
      <c r="A4055" t="s">
        <v>2097</v>
      </c>
      <c r="C4055">
        <v>90</v>
      </c>
      <c r="D4055" t="s">
        <v>10</v>
      </c>
      <c r="F4055" s="43">
        <v>44676.6875</v>
      </c>
      <c r="G4055" s="43">
        <v>44676.75</v>
      </c>
      <c r="H4055">
        <v>16</v>
      </c>
      <c r="I4055">
        <v>30</v>
      </c>
      <c r="J4055">
        <v>18</v>
      </c>
      <c r="K4055">
        <v>0</v>
      </c>
      <c r="L4055">
        <v>2022</v>
      </c>
      <c r="N4055" t="s">
        <v>47</v>
      </c>
      <c r="O4055" t="s">
        <v>47</v>
      </c>
      <c r="P4055" t="s">
        <v>2098</v>
      </c>
    </row>
    <row r="4056" spans="1:16" x14ac:dyDescent="0.3">
      <c r="A4056" t="s">
        <v>2150</v>
      </c>
      <c r="B4056" t="s">
        <v>20</v>
      </c>
      <c r="C4056">
        <v>45</v>
      </c>
      <c r="D4056" t="s">
        <v>10</v>
      </c>
      <c r="E4056" t="s">
        <v>1712</v>
      </c>
      <c r="F4056" s="43">
        <v>44676.625</v>
      </c>
      <c r="G4056" s="43">
        <v>44676.65625</v>
      </c>
      <c r="H4056">
        <v>15</v>
      </c>
      <c r="I4056">
        <v>0</v>
      </c>
      <c r="J4056">
        <v>15</v>
      </c>
      <c r="K4056">
        <v>45</v>
      </c>
      <c r="L4056">
        <v>2022</v>
      </c>
      <c r="N4056" t="s">
        <v>527</v>
      </c>
      <c r="O4056" t="s">
        <v>48</v>
      </c>
      <c r="P4056" t="s">
        <v>2151</v>
      </c>
    </row>
    <row r="4057" spans="1:16" x14ac:dyDescent="0.3">
      <c r="A4057" t="s">
        <v>8</v>
      </c>
      <c r="C4057">
        <v>30</v>
      </c>
      <c r="D4057" t="s">
        <v>10</v>
      </c>
      <c r="F4057" s="43">
        <v>44676.583333333336</v>
      </c>
      <c r="G4057" s="43">
        <v>44676.604166666664</v>
      </c>
      <c r="H4057">
        <v>14</v>
      </c>
      <c r="I4057">
        <v>0</v>
      </c>
      <c r="J4057">
        <v>14</v>
      </c>
      <c r="K4057">
        <v>30</v>
      </c>
      <c r="L4057">
        <v>2022</v>
      </c>
      <c r="N4057" t="s">
        <v>47</v>
      </c>
      <c r="O4057" t="s">
        <v>47</v>
      </c>
      <c r="P4057" t="s">
        <v>2096</v>
      </c>
    </row>
    <row r="4058" spans="1:16" x14ac:dyDescent="0.3">
      <c r="A4058" t="s">
        <v>7</v>
      </c>
      <c r="B4058" t="s">
        <v>6</v>
      </c>
      <c r="C4058">
        <v>30</v>
      </c>
      <c r="D4058" t="s">
        <v>10</v>
      </c>
      <c r="E4058" t="s">
        <v>449</v>
      </c>
      <c r="F4058" s="43">
        <v>44676.5625</v>
      </c>
      <c r="G4058" s="43">
        <v>44676.583333333336</v>
      </c>
      <c r="H4058">
        <v>13</v>
      </c>
      <c r="I4058">
        <v>30</v>
      </c>
      <c r="J4058">
        <v>14</v>
      </c>
      <c r="K4058">
        <v>0</v>
      </c>
      <c r="L4058">
        <v>2022</v>
      </c>
      <c r="N4058" t="s">
        <v>47</v>
      </c>
      <c r="O4058" t="s">
        <v>47</v>
      </c>
      <c r="P4058" t="s">
        <v>2099</v>
      </c>
    </row>
    <row r="4059" spans="1:16" x14ac:dyDescent="0.3">
      <c r="A4059" t="s">
        <v>2159</v>
      </c>
      <c r="C4059">
        <v>30</v>
      </c>
      <c r="D4059" t="s">
        <v>10</v>
      </c>
      <c r="E4059" t="s">
        <v>2160</v>
      </c>
      <c r="F4059" s="43">
        <v>44676.541666666664</v>
      </c>
      <c r="G4059" s="43">
        <v>44676.5625</v>
      </c>
      <c r="H4059">
        <v>13</v>
      </c>
      <c r="I4059">
        <v>0</v>
      </c>
      <c r="J4059">
        <v>13</v>
      </c>
      <c r="K4059">
        <v>30</v>
      </c>
      <c r="L4059">
        <v>2022</v>
      </c>
      <c r="N4059" t="s">
        <v>2161</v>
      </c>
      <c r="O4059" t="s">
        <v>975</v>
      </c>
      <c r="P4059" t="s">
        <v>2162</v>
      </c>
    </row>
    <row r="4060" spans="1:16" x14ac:dyDescent="0.3">
      <c r="A4060" t="s">
        <v>2118</v>
      </c>
      <c r="C4060">
        <v>30</v>
      </c>
      <c r="D4060" t="s">
        <v>10</v>
      </c>
      <c r="E4060" t="s">
        <v>501</v>
      </c>
      <c r="F4060" s="43">
        <v>44676.5</v>
      </c>
      <c r="G4060" s="43">
        <v>44676.520833333336</v>
      </c>
      <c r="H4060">
        <v>12</v>
      </c>
      <c r="I4060">
        <v>0</v>
      </c>
      <c r="J4060">
        <v>12</v>
      </c>
      <c r="K4060">
        <v>30</v>
      </c>
      <c r="L4060">
        <v>2022</v>
      </c>
      <c r="N4060" t="s">
        <v>519</v>
      </c>
      <c r="O4060" t="s">
        <v>47</v>
      </c>
      <c r="P4060" t="s">
        <v>2119</v>
      </c>
    </row>
    <row r="4061" spans="1:16" x14ac:dyDescent="0.3">
      <c r="A4061" t="s">
        <v>992</v>
      </c>
      <c r="C4061">
        <v>15</v>
      </c>
      <c r="D4061" t="s">
        <v>10</v>
      </c>
      <c r="F4061" s="43">
        <v>44676.479166666664</v>
      </c>
      <c r="G4061" s="43">
        <v>44676.489583333336</v>
      </c>
      <c r="H4061">
        <v>11</v>
      </c>
      <c r="I4061">
        <v>30</v>
      </c>
      <c r="J4061">
        <v>11</v>
      </c>
      <c r="K4061">
        <v>45</v>
      </c>
      <c r="L4061">
        <v>2022</v>
      </c>
      <c r="N4061" t="s">
        <v>47</v>
      </c>
      <c r="O4061" t="s">
        <v>47</v>
      </c>
      <c r="P4061" t="s">
        <v>2103</v>
      </c>
    </row>
    <row r="4062" spans="1:16" x14ac:dyDescent="0.3">
      <c r="A4062" t="s">
        <v>2131</v>
      </c>
      <c r="C4062">
        <v>60</v>
      </c>
      <c r="D4062" t="s">
        <v>10</v>
      </c>
      <c r="E4062" t="s">
        <v>1712</v>
      </c>
      <c r="F4062" s="43">
        <v>44676.458333333336</v>
      </c>
      <c r="G4062" s="43">
        <v>44676.5</v>
      </c>
      <c r="H4062">
        <v>11</v>
      </c>
      <c r="I4062">
        <v>0</v>
      </c>
      <c r="J4062">
        <v>12</v>
      </c>
      <c r="K4062">
        <v>0</v>
      </c>
      <c r="L4062">
        <v>2022</v>
      </c>
      <c r="N4062" t="s">
        <v>1153</v>
      </c>
      <c r="O4062" t="s">
        <v>48</v>
      </c>
      <c r="P4062" t="s">
        <v>2132</v>
      </c>
    </row>
    <row r="4063" spans="1:16" x14ac:dyDescent="0.3">
      <c r="A4063" t="s">
        <v>2269</v>
      </c>
      <c r="C4063">
        <v>30</v>
      </c>
      <c r="D4063" t="s">
        <v>10</v>
      </c>
      <c r="E4063" t="s">
        <v>5</v>
      </c>
      <c r="F4063" s="43">
        <v>44676.4375</v>
      </c>
      <c r="G4063" s="43">
        <v>44676.458333333336</v>
      </c>
      <c r="H4063">
        <v>10</v>
      </c>
      <c r="I4063">
        <v>30</v>
      </c>
      <c r="J4063">
        <v>11</v>
      </c>
      <c r="K4063">
        <v>0</v>
      </c>
      <c r="L4063">
        <v>2022</v>
      </c>
      <c r="N4063" t="s">
        <v>2270</v>
      </c>
      <c r="O4063" t="s">
        <v>2271</v>
      </c>
      <c r="P4063" t="s">
        <v>2272</v>
      </c>
    </row>
    <row r="4064" spans="1:16" x14ac:dyDescent="0.3">
      <c r="A4064" t="s">
        <v>2104</v>
      </c>
      <c r="C4064">
        <v>30</v>
      </c>
      <c r="D4064" t="s">
        <v>10</v>
      </c>
      <c r="F4064" s="43">
        <v>44676.354166666664</v>
      </c>
      <c r="G4064" s="43">
        <v>44676.375</v>
      </c>
      <c r="H4064">
        <v>8</v>
      </c>
      <c r="I4064">
        <v>30</v>
      </c>
      <c r="J4064">
        <v>9</v>
      </c>
      <c r="K4064">
        <v>0</v>
      </c>
      <c r="L4064">
        <v>2022</v>
      </c>
      <c r="N4064" t="s">
        <v>47</v>
      </c>
      <c r="O4064" t="s">
        <v>47</v>
      </c>
      <c r="P4064" t="s">
        <v>2105</v>
      </c>
    </row>
    <row r="4065" spans="1:16" x14ac:dyDescent="0.3">
      <c r="A4065" t="s">
        <v>2178</v>
      </c>
      <c r="B4065" t="s">
        <v>20</v>
      </c>
      <c r="C4065">
        <v>60</v>
      </c>
      <c r="D4065" t="s">
        <v>10</v>
      </c>
      <c r="E4065" t="s">
        <v>1712</v>
      </c>
      <c r="F4065" s="43">
        <v>44676.291666666664</v>
      </c>
      <c r="G4065" s="43">
        <v>44676.333333333336</v>
      </c>
      <c r="H4065">
        <v>7</v>
      </c>
      <c r="I4065">
        <v>0</v>
      </c>
      <c r="J4065">
        <v>8</v>
      </c>
      <c r="K4065">
        <v>0</v>
      </c>
      <c r="L4065">
        <v>2022</v>
      </c>
      <c r="N4065" t="s">
        <v>2179</v>
      </c>
      <c r="O4065" t="s">
        <v>48</v>
      </c>
      <c r="P4065" t="s">
        <v>2180</v>
      </c>
    </row>
    <row r="4066" spans="1:16" x14ac:dyDescent="0.3">
      <c r="A4066" t="s">
        <v>2014</v>
      </c>
      <c r="C4066">
        <v>20</v>
      </c>
      <c r="D4066" t="s">
        <v>10</v>
      </c>
      <c r="F4066" s="43">
        <v>44676.263888888891</v>
      </c>
      <c r="G4066" s="43">
        <v>44676.277777777781</v>
      </c>
      <c r="H4066">
        <v>6</v>
      </c>
      <c r="I4066">
        <v>20</v>
      </c>
      <c r="J4066">
        <v>6</v>
      </c>
      <c r="K4066">
        <v>40</v>
      </c>
      <c r="L4066">
        <v>2022</v>
      </c>
      <c r="N4066" t="s">
        <v>47</v>
      </c>
      <c r="O4066" t="s">
        <v>47</v>
      </c>
      <c r="P4066" t="s">
        <v>2109</v>
      </c>
    </row>
    <row r="4067" spans="1:16" x14ac:dyDescent="0.3">
      <c r="A4067" t="s">
        <v>2110</v>
      </c>
      <c r="C4067">
        <v>60</v>
      </c>
      <c r="D4067" t="s">
        <v>10</v>
      </c>
      <c r="F4067" s="43">
        <v>44676.222222222219</v>
      </c>
      <c r="G4067" s="43">
        <v>44676.263888888891</v>
      </c>
      <c r="H4067">
        <v>5</v>
      </c>
      <c r="I4067">
        <v>20</v>
      </c>
      <c r="J4067">
        <v>6</v>
      </c>
      <c r="K4067">
        <v>20</v>
      </c>
      <c r="L4067">
        <v>2022</v>
      </c>
      <c r="N4067" t="s">
        <v>47</v>
      </c>
      <c r="O4067" t="s">
        <v>47</v>
      </c>
      <c r="P4067" t="s">
        <v>2111</v>
      </c>
    </row>
    <row r="4068" spans="1:16" x14ac:dyDescent="0.3">
      <c r="A4068" t="s">
        <v>8</v>
      </c>
      <c r="C4068">
        <v>60</v>
      </c>
      <c r="D4068" t="s">
        <v>10</v>
      </c>
      <c r="F4068" s="43">
        <v>44675.791666666664</v>
      </c>
      <c r="G4068" s="43">
        <v>44675.833333333336</v>
      </c>
      <c r="H4068">
        <v>19</v>
      </c>
      <c r="I4068">
        <v>0</v>
      </c>
      <c r="J4068">
        <v>20</v>
      </c>
      <c r="K4068">
        <v>0</v>
      </c>
      <c r="L4068">
        <v>2022</v>
      </c>
      <c r="N4068" t="s">
        <v>47</v>
      </c>
      <c r="O4068" t="s">
        <v>47</v>
      </c>
      <c r="P4068" t="s">
        <v>2115</v>
      </c>
    </row>
    <row r="4069" spans="1:16" x14ac:dyDescent="0.3">
      <c r="A4069" t="s">
        <v>2116</v>
      </c>
      <c r="C4069">
        <v>20</v>
      </c>
      <c r="D4069" t="s">
        <v>10</v>
      </c>
      <c r="F4069" s="43">
        <v>44675.760416666664</v>
      </c>
      <c r="G4069" s="43">
        <v>44675.774305555555</v>
      </c>
      <c r="H4069">
        <v>18</v>
      </c>
      <c r="I4069">
        <v>15</v>
      </c>
      <c r="J4069">
        <v>18</v>
      </c>
      <c r="K4069">
        <v>35</v>
      </c>
      <c r="L4069">
        <v>2022</v>
      </c>
      <c r="N4069" t="s">
        <v>47</v>
      </c>
      <c r="O4069" t="s">
        <v>47</v>
      </c>
      <c r="P4069" t="s">
        <v>2117</v>
      </c>
    </row>
    <row r="4070" spans="1:16" x14ac:dyDescent="0.3">
      <c r="A4070" t="s">
        <v>2120</v>
      </c>
      <c r="C4070">
        <v>45</v>
      </c>
      <c r="D4070" t="s">
        <v>10</v>
      </c>
      <c r="F4070" s="43">
        <v>44675.666666666664</v>
      </c>
      <c r="G4070" s="43">
        <v>44675.697916666664</v>
      </c>
      <c r="H4070">
        <v>16</v>
      </c>
      <c r="I4070">
        <v>0</v>
      </c>
      <c r="J4070">
        <v>16</v>
      </c>
      <c r="K4070">
        <v>45</v>
      </c>
      <c r="L4070">
        <v>2022</v>
      </c>
      <c r="N4070" t="s">
        <v>47</v>
      </c>
      <c r="O4070" t="s">
        <v>47</v>
      </c>
      <c r="P4070" t="s">
        <v>2121</v>
      </c>
    </row>
    <row r="4071" spans="1:16" x14ac:dyDescent="0.3">
      <c r="A4071" t="s">
        <v>2014</v>
      </c>
      <c r="C4071">
        <v>80</v>
      </c>
      <c r="D4071" t="s">
        <v>10</v>
      </c>
      <c r="F4071" s="43">
        <v>44675.208333333336</v>
      </c>
      <c r="G4071" s="43">
        <v>44675.263888888891</v>
      </c>
      <c r="H4071">
        <v>5</v>
      </c>
      <c r="I4071">
        <v>0</v>
      </c>
      <c r="J4071">
        <v>6</v>
      </c>
      <c r="K4071">
        <v>20</v>
      </c>
      <c r="L4071">
        <v>2022</v>
      </c>
      <c r="N4071" t="s">
        <v>47</v>
      </c>
      <c r="O4071" t="s">
        <v>47</v>
      </c>
      <c r="P4071" t="s">
        <v>2122</v>
      </c>
    </row>
    <row r="4072" spans="1:16" x14ac:dyDescent="0.3">
      <c r="A4072" t="s">
        <v>2014</v>
      </c>
      <c r="B4072" t="s">
        <v>223</v>
      </c>
      <c r="C4072">
        <v>20</v>
      </c>
      <c r="D4072" t="s">
        <v>10</v>
      </c>
      <c r="E4072" t="s">
        <v>2015</v>
      </c>
      <c r="F4072" s="43">
        <v>44674.822916666664</v>
      </c>
      <c r="G4072" s="43">
        <v>44674.836805555555</v>
      </c>
      <c r="H4072">
        <v>19</v>
      </c>
      <c r="I4072">
        <v>45</v>
      </c>
      <c r="J4072">
        <v>20</v>
      </c>
      <c r="K4072">
        <v>5</v>
      </c>
      <c r="L4072">
        <v>2022</v>
      </c>
      <c r="N4072" t="s">
        <v>47</v>
      </c>
      <c r="O4072" t="s">
        <v>47</v>
      </c>
      <c r="P4072" t="s">
        <v>2123</v>
      </c>
    </row>
    <row r="4073" spans="1:16" x14ac:dyDescent="0.3">
      <c r="A4073" t="s">
        <v>2014</v>
      </c>
      <c r="B4073" t="s">
        <v>6</v>
      </c>
      <c r="C4073">
        <v>45</v>
      </c>
      <c r="D4073" t="s">
        <v>10</v>
      </c>
      <c r="E4073" t="s">
        <v>2015</v>
      </c>
      <c r="F4073" s="43">
        <v>44674.770833333336</v>
      </c>
      <c r="G4073" s="43">
        <v>44674.802083333336</v>
      </c>
      <c r="H4073">
        <v>18</v>
      </c>
      <c r="I4073">
        <v>30</v>
      </c>
      <c r="J4073">
        <v>19</v>
      </c>
      <c r="K4073">
        <v>15</v>
      </c>
      <c r="L4073">
        <v>2022</v>
      </c>
      <c r="N4073" t="s">
        <v>47</v>
      </c>
      <c r="O4073" t="s">
        <v>47</v>
      </c>
      <c r="P4073" t="s">
        <v>2124</v>
      </c>
    </row>
    <row r="4074" spans="1:16" x14ac:dyDescent="0.3">
      <c r="A4074" t="s">
        <v>8</v>
      </c>
      <c r="B4074" t="s">
        <v>223</v>
      </c>
      <c r="C4074">
        <v>30</v>
      </c>
      <c r="D4074" t="s">
        <v>10</v>
      </c>
      <c r="E4074" t="s">
        <v>2015</v>
      </c>
      <c r="F4074" s="43">
        <v>44674.697916666664</v>
      </c>
      <c r="G4074" s="43">
        <v>44674.71875</v>
      </c>
      <c r="H4074">
        <v>16</v>
      </c>
      <c r="I4074">
        <v>45</v>
      </c>
      <c r="J4074">
        <v>17</v>
      </c>
      <c r="K4074">
        <v>15</v>
      </c>
      <c r="L4074">
        <v>2022</v>
      </c>
      <c r="N4074" t="s">
        <v>47</v>
      </c>
      <c r="O4074" t="s">
        <v>47</v>
      </c>
      <c r="P4074" t="s">
        <v>2125</v>
      </c>
    </row>
    <row r="4075" spans="1:16" x14ac:dyDescent="0.3">
      <c r="A4075" t="s">
        <v>2014</v>
      </c>
      <c r="B4075" t="s">
        <v>223</v>
      </c>
      <c r="C4075">
        <v>60</v>
      </c>
      <c r="D4075" t="s">
        <v>10</v>
      </c>
      <c r="E4075" t="s">
        <v>2015</v>
      </c>
      <c r="F4075" s="43">
        <v>44674.625</v>
      </c>
      <c r="G4075" s="43">
        <v>44674.666666666664</v>
      </c>
      <c r="H4075">
        <v>15</v>
      </c>
      <c r="I4075">
        <v>0</v>
      </c>
      <c r="J4075">
        <v>16</v>
      </c>
      <c r="K4075">
        <v>0</v>
      </c>
      <c r="L4075">
        <v>2022</v>
      </c>
      <c r="N4075" t="s">
        <v>47</v>
      </c>
      <c r="O4075" t="s">
        <v>47</v>
      </c>
      <c r="P4075" t="s">
        <v>2127</v>
      </c>
    </row>
    <row r="4076" spans="1:16" x14ac:dyDescent="0.3">
      <c r="A4076" t="s">
        <v>6</v>
      </c>
      <c r="C4076">
        <v>30</v>
      </c>
      <c r="D4076" t="s">
        <v>10</v>
      </c>
      <c r="F4076" s="43">
        <v>44673.395833333336</v>
      </c>
      <c r="G4076" s="43">
        <v>44673.416666666664</v>
      </c>
      <c r="H4076">
        <v>9</v>
      </c>
      <c r="I4076">
        <v>30</v>
      </c>
      <c r="J4076">
        <v>10</v>
      </c>
      <c r="K4076">
        <v>0</v>
      </c>
      <c r="L4076">
        <v>2022</v>
      </c>
      <c r="N4076" t="s">
        <v>47</v>
      </c>
      <c r="O4076" t="s">
        <v>47</v>
      </c>
      <c r="P4076" t="s">
        <v>2126</v>
      </c>
    </row>
    <row r="4077" spans="1:16" x14ac:dyDescent="0.3">
      <c r="A4077" t="s">
        <v>6</v>
      </c>
      <c r="C4077">
        <v>60</v>
      </c>
      <c r="D4077" t="s">
        <v>10</v>
      </c>
      <c r="F4077" s="43">
        <v>44673.25</v>
      </c>
      <c r="G4077" s="43">
        <v>44673.291666666664</v>
      </c>
      <c r="H4077">
        <v>6</v>
      </c>
      <c r="I4077">
        <v>0</v>
      </c>
      <c r="J4077">
        <v>7</v>
      </c>
      <c r="K4077">
        <v>0</v>
      </c>
      <c r="L4077">
        <v>2022</v>
      </c>
      <c r="N4077" t="s">
        <v>47</v>
      </c>
      <c r="O4077" t="s">
        <v>47</v>
      </c>
      <c r="P4077" t="s">
        <v>2138</v>
      </c>
    </row>
    <row r="4078" spans="1:16" x14ac:dyDescent="0.3">
      <c r="A4078" t="s">
        <v>2147</v>
      </c>
      <c r="C4078">
        <v>30</v>
      </c>
      <c r="D4078" t="s">
        <v>10</v>
      </c>
      <c r="E4078" t="s">
        <v>5</v>
      </c>
      <c r="F4078" s="43">
        <v>44673.229166666664</v>
      </c>
      <c r="G4078" s="43">
        <v>44673.25</v>
      </c>
      <c r="H4078">
        <v>5</v>
      </c>
      <c r="I4078">
        <v>30</v>
      </c>
      <c r="J4078">
        <v>6</v>
      </c>
      <c r="K4078">
        <v>0</v>
      </c>
      <c r="L4078">
        <v>2022</v>
      </c>
      <c r="N4078" t="s">
        <v>2148</v>
      </c>
      <c r="O4078" t="s">
        <v>1241</v>
      </c>
      <c r="P4078" t="s">
        <v>2149</v>
      </c>
    </row>
    <row r="4079" spans="1:16" x14ac:dyDescent="0.3">
      <c r="A4079" t="s">
        <v>6</v>
      </c>
      <c r="C4079">
        <v>30</v>
      </c>
      <c r="D4079" t="s">
        <v>10</v>
      </c>
      <c r="F4079" s="43">
        <v>44673.208333333336</v>
      </c>
      <c r="G4079" s="43">
        <v>44673.229166666664</v>
      </c>
      <c r="H4079">
        <v>5</v>
      </c>
      <c r="I4079">
        <v>0</v>
      </c>
      <c r="J4079">
        <v>5</v>
      </c>
      <c r="K4079">
        <v>30</v>
      </c>
      <c r="L4079">
        <v>2022</v>
      </c>
      <c r="N4079" t="s">
        <v>47</v>
      </c>
      <c r="O4079" t="s">
        <v>47</v>
      </c>
      <c r="P4079" t="s">
        <v>2139</v>
      </c>
    </row>
    <row r="4080" spans="1:16" x14ac:dyDescent="0.3">
      <c r="A4080" t="s">
        <v>2218</v>
      </c>
      <c r="C4080">
        <v>1440</v>
      </c>
      <c r="D4080" t="s">
        <v>10</v>
      </c>
      <c r="F4080" s="43">
        <v>44673</v>
      </c>
      <c r="G4080" s="43">
        <v>44674</v>
      </c>
      <c r="H4080">
        <v>0</v>
      </c>
      <c r="I4080">
        <v>0</v>
      </c>
      <c r="J4080">
        <v>0</v>
      </c>
      <c r="K4080">
        <v>0</v>
      </c>
      <c r="L4080">
        <v>2022</v>
      </c>
      <c r="N4080" t="s">
        <v>47</v>
      </c>
      <c r="O4080" t="s">
        <v>47</v>
      </c>
      <c r="P4080" t="s">
        <v>2219</v>
      </c>
    </row>
    <row r="4081" spans="1:16" x14ac:dyDescent="0.3">
      <c r="A4081" t="s">
        <v>6</v>
      </c>
      <c r="C4081">
        <v>20</v>
      </c>
      <c r="D4081" t="s">
        <v>10</v>
      </c>
      <c r="F4081" s="43">
        <v>44672.777777777781</v>
      </c>
      <c r="G4081" s="43">
        <v>44672.791666666664</v>
      </c>
      <c r="H4081">
        <v>18</v>
      </c>
      <c r="I4081">
        <v>40</v>
      </c>
      <c r="J4081">
        <v>19</v>
      </c>
      <c r="K4081">
        <v>0</v>
      </c>
      <c r="L4081">
        <v>2022</v>
      </c>
      <c r="N4081" t="s">
        <v>47</v>
      </c>
      <c r="O4081" t="s">
        <v>47</v>
      </c>
      <c r="P4081" t="s">
        <v>2140</v>
      </c>
    </row>
    <row r="4082" spans="1:16" x14ac:dyDescent="0.3">
      <c r="A4082" t="s">
        <v>8</v>
      </c>
      <c r="C4082">
        <v>60</v>
      </c>
      <c r="D4082" t="s">
        <v>10</v>
      </c>
      <c r="F4082" s="43">
        <v>44672.699305555558</v>
      </c>
      <c r="G4082" s="43">
        <v>44672.740972222222</v>
      </c>
      <c r="H4082">
        <v>16</v>
      </c>
      <c r="I4082">
        <v>47</v>
      </c>
      <c r="J4082">
        <v>17</v>
      </c>
      <c r="K4082">
        <v>47</v>
      </c>
      <c r="L4082">
        <v>2022</v>
      </c>
      <c r="N4082" t="s">
        <v>47</v>
      </c>
      <c r="O4082" t="s">
        <v>47</v>
      </c>
      <c r="P4082" t="s">
        <v>2141</v>
      </c>
    </row>
    <row r="4083" spans="1:16" x14ac:dyDescent="0.3">
      <c r="A4083" t="s">
        <v>7</v>
      </c>
      <c r="C4083">
        <v>30</v>
      </c>
      <c r="D4083" t="s">
        <v>10</v>
      </c>
      <c r="F4083" s="43">
        <v>44672.5</v>
      </c>
      <c r="G4083" s="43">
        <v>44672.520833333336</v>
      </c>
      <c r="H4083">
        <v>12</v>
      </c>
      <c r="I4083">
        <v>0</v>
      </c>
      <c r="J4083">
        <v>12</v>
      </c>
      <c r="K4083">
        <v>30</v>
      </c>
      <c r="L4083">
        <v>2022</v>
      </c>
      <c r="N4083" t="s">
        <v>47</v>
      </c>
      <c r="O4083" t="s">
        <v>47</v>
      </c>
      <c r="P4083" t="s">
        <v>2144</v>
      </c>
    </row>
    <row r="4084" spans="1:16" x14ac:dyDescent="0.3">
      <c r="A4084" t="s">
        <v>2145</v>
      </c>
      <c r="C4084">
        <v>30</v>
      </c>
      <c r="D4084" t="s">
        <v>10</v>
      </c>
      <c r="F4084" s="43">
        <v>44672.479166666664</v>
      </c>
      <c r="G4084" s="43">
        <v>44672.5</v>
      </c>
      <c r="H4084">
        <v>11</v>
      </c>
      <c r="I4084">
        <v>30</v>
      </c>
      <c r="J4084">
        <v>12</v>
      </c>
      <c r="K4084">
        <v>0</v>
      </c>
      <c r="L4084">
        <v>2022</v>
      </c>
      <c r="N4084" t="s">
        <v>47</v>
      </c>
      <c r="O4084" t="s">
        <v>47</v>
      </c>
      <c r="P4084" t="s">
        <v>2146</v>
      </c>
    </row>
    <row r="4085" spans="1:16" x14ac:dyDescent="0.3">
      <c r="A4085" t="s">
        <v>2167</v>
      </c>
      <c r="C4085">
        <v>30</v>
      </c>
      <c r="D4085" t="s">
        <v>10</v>
      </c>
      <c r="E4085" t="s">
        <v>2168</v>
      </c>
      <c r="F4085" s="43">
        <v>44672.395833333336</v>
      </c>
      <c r="G4085" s="43">
        <v>44672.416666666664</v>
      </c>
      <c r="H4085">
        <v>9</v>
      </c>
      <c r="I4085">
        <v>30</v>
      </c>
      <c r="J4085">
        <v>10</v>
      </c>
      <c r="K4085">
        <v>0</v>
      </c>
      <c r="L4085">
        <v>2022</v>
      </c>
      <c r="N4085" t="s">
        <v>2169</v>
      </c>
      <c r="O4085" t="s">
        <v>2170</v>
      </c>
      <c r="P4085" t="s">
        <v>2171</v>
      </c>
    </row>
    <row r="4086" spans="1:16" x14ac:dyDescent="0.3">
      <c r="A4086" t="s">
        <v>2244</v>
      </c>
      <c r="C4086">
        <v>30</v>
      </c>
      <c r="D4086" t="s">
        <v>10</v>
      </c>
      <c r="E4086" t="s">
        <v>21</v>
      </c>
      <c r="F4086" s="43">
        <v>44672.375</v>
      </c>
      <c r="G4086" s="43">
        <v>44672.395833333336</v>
      </c>
      <c r="H4086">
        <v>9</v>
      </c>
      <c r="I4086">
        <v>0</v>
      </c>
      <c r="J4086">
        <v>9</v>
      </c>
      <c r="K4086">
        <v>30</v>
      </c>
      <c r="L4086">
        <v>2022</v>
      </c>
      <c r="N4086" t="s">
        <v>2245</v>
      </c>
      <c r="O4086" t="s">
        <v>50</v>
      </c>
      <c r="P4086" t="s">
        <v>2246</v>
      </c>
    </row>
    <row r="4087" spans="1:16" x14ac:dyDescent="0.3">
      <c r="A4087" t="s">
        <v>2142</v>
      </c>
      <c r="C4087">
        <v>60</v>
      </c>
      <c r="D4087" t="s">
        <v>10</v>
      </c>
      <c r="F4087" s="43">
        <v>44672.25</v>
      </c>
      <c r="G4087" s="43">
        <v>44672.291666666664</v>
      </c>
      <c r="H4087">
        <v>6</v>
      </c>
      <c r="I4087">
        <v>0</v>
      </c>
      <c r="J4087">
        <v>7</v>
      </c>
      <c r="K4087">
        <v>0</v>
      </c>
      <c r="L4087">
        <v>2022</v>
      </c>
      <c r="N4087" t="s">
        <v>47</v>
      </c>
      <c r="O4087" t="s">
        <v>47</v>
      </c>
      <c r="P4087" t="s">
        <v>2143</v>
      </c>
    </row>
    <row r="4088" spans="1:16" x14ac:dyDescent="0.3">
      <c r="A4088" t="s">
        <v>2142</v>
      </c>
      <c r="C4088">
        <v>60</v>
      </c>
      <c r="D4088" t="s">
        <v>10</v>
      </c>
      <c r="F4088" s="43">
        <v>44672.208333333336</v>
      </c>
      <c r="G4088" s="43">
        <v>44672.25</v>
      </c>
      <c r="H4088">
        <v>5</v>
      </c>
      <c r="I4088">
        <v>0</v>
      </c>
      <c r="J4088">
        <v>6</v>
      </c>
      <c r="K4088">
        <v>0</v>
      </c>
      <c r="L4088">
        <v>2022</v>
      </c>
      <c r="N4088" t="s">
        <v>47</v>
      </c>
      <c r="O4088" t="s">
        <v>47</v>
      </c>
      <c r="P4088" t="s">
        <v>2152</v>
      </c>
    </row>
    <row r="4089" spans="1:16" x14ac:dyDescent="0.3">
      <c r="A4089" t="s">
        <v>2218</v>
      </c>
      <c r="C4089">
        <v>1440</v>
      </c>
      <c r="D4089" t="s">
        <v>10</v>
      </c>
      <c r="F4089" s="43">
        <v>44672</v>
      </c>
      <c r="G4089" s="43">
        <v>44673</v>
      </c>
      <c r="H4089">
        <v>0</v>
      </c>
      <c r="I4089">
        <v>0</v>
      </c>
      <c r="J4089">
        <v>0</v>
      </c>
      <c r="K4089">
        <v>0</v>
      </c>
      <c r="L4089">
        <v>2022</v>
      </c>
      <c r="N4089" t="s">
        <v>47</v>
      </c>
      <c r="O4089" t="s">
        <v>47</v>
      </c>
      <c r="P4089" t="s">
        <v>2220</v>
      </c>
    </row>
    <row r="4090" spans="1:16" x14ac:dyDescent="0.3">
      <c r="A4090" t="s">
        <v>2153</v>
      </c>
      <c r="C4090">
        <v>30</v>
      </c>
      <c r="D4090" t="s">
        <v>10</v>
      </c>
      <c r="F4090" s="43">
        <v>44671.802083333336</v>
      </c>
      <c r="G4090" s="43">
        <v>44671.822916666664</v>
      </c>
      <c r="H4090">
        <v>19</v>
      </c>
      <c r="I4090">
        <v>15</v>
      </c>
      <c r="J4090">
        <v>19</v>
      </c>
      <c r="K4090">
        <v>45</v>
      </c>
      <c r="L4090">
        <v>2022</v>
      </c>
      <c r="N4090" t="s">
        <v>47</v>
      </c>
      <c r="O4090" t="s">
        <v>47</v>
      </c>
      <c r="P4090" t="s">
        <v>2154</v>
      </c>
    </row>
    <row r="4091" spans="1:16" x14ac:dyDescent="0.3">
      <c r="A4091" t="s">
        <v>32</v>
      </c>
      <c r="C4091">
        <v>75</v>
      </c>
      <c r="D4091" t="s">
        <v>10</v>
      </c>
      <c r="F4091" s="43">
        <v>44671.729166666664</v>
      </c>
      <c r="G4091" s="43">
        <v>44671.78125</v>
      </c>
      <c r="H4091">
        <v>17</v>
      </c>
      <c r="I4091">
        <v>30</v>
      </c>
      <c r="J4091">
        <v>18</v>
      </c>
      <c r="K4091">
        <v>45</v>
      </c>
      <c r="L4091">
        <v>2022</v>
      </c>
      <c r="N4091" t="s">
        <v>47</v>
      </c>
      <c r="O4091" t="s">
        <v>47</v>
      </c>
      <c r="P4091" t="s">
        <v>2155</v>
      </c>
    </row>
    <row r="4092" spans="1:16" x14ac:dyDescent="0.3">
      <c r="A4092" t="s">
        <v>2156</v>
      </c>
      <c r="C4092">
        <v>70</v>
      </c>
      <c r="D4092" t="s">
        <v>10</v>
      </c>
      <c r="F4092" s="43">
        <v>44671.645833333336</v>
      </c>
      <c r="G4092" s="43">
        <v>44671.694444444445</v>
      </c>
      <c r="H4092">
        <v>15</v>
      </c>
      <c r="I4092">
        <v>30</v>
      </c>
      <c r="J4092">
        <v>16</v>
      </c>
      <c r="K4092">
        <v>40</v>
      </c>
      <c r="L4092">
        <v>2022</v>
      </c>
      <c r="N4092" t="s">
        <v>47</v>
      </c>
      <c r="O4092" t="s">
        <v>47</v>
      </c>
      <c r="P4092" t="s">
        <v>2157</v>
      </c>
    </row>
    <row r="4093" spans="1:16" x14ac:dyDescent="0.3">
      <c r="A4093" t="s">
        <v>7</v>
      </c>
      <c r="C4093">
        <v>30</v>
      </c>
      <c r="D4093" t="s">
        <v>10</v>
      </c>
      <c r="F4093" s="43">
        <v>44671.583333333336</v>
      </c>
      <c r="G4093" s="43">
        <v>44671.604166666664</v>
      </c>
      <c r="H4093">
        <v>14</v>
      </c>
      <c r="I4093">
        <v>0</v>
      </c>
      <c r="J4093">
        <v>14</v>
      </c>
      <c r="K4093">
        <v>30</v>
      </c>
      <c r="L4093">
        <v>2022</v>
      </c>
      <c r="N4093" t="s">
        <v>47</v>
      </c>
      <c r="O4093" t="s">
        <v>47</v>
      </c>
      <c r="P4093" t="s">
        <v>2158</v>
      </c>
    </row>
    <row r="4094" spans="1:16" x14ac:dyDescent="0.3">
      <c r="A4094" t="s">
        <v>2175</v>
      </c>
      <c r="C4094">
        <v>30</v>
      </c>
      <c r="D4094" t="s">
        <v>10</v>
      </c>
      <c r="E4094" t="s">
        <v>1712</v>
      </c>
      <c r="F4094" s="43">
        <v>44671.5625</v>
      </c>
      <c r="G4094" s="43">
        <v>44671.583333333336</v>
      </c>
      <c r="H4094">
        <v>13</v>
      </c>
      <c r="I4094">
        <v>30</v>
      </c>
      <c r="J4094">
        <v>14</v>
      </c>
      <c r="K4094">
        <v>0</v>
      </c>
      <c r="L4094">
        <v>2022</v>
      </c>
      <c r="N4094" t="s">
        <v>2176</v>
      </c>
      <c r="O4094" t="s">
        <v>48</v>
      </c>
      <c r="P4094" t="s">
        <v>2177</v>
      </c>
    </row>
    <row r="4095" spans="1:16" x14ac:dyDescent="0.3">
      <c r="A4095" t="s">
        <v>2203</v>
      </c>
      <c r="C4095">
        <v>60</v>
      </c>
      <c r="D4095" t="s">
        <v>10</v>
      </c>
      <c r="E4095" t="s">
        <v>5</v>
      </c>
      <c r="F4095" s="43">
        <v>44671.5</v>
      </c>
      <c r="G4095" s="43">
        <v>44671.541666666664</v>
      </c>
      <c r="H4095">
        <v>12</v>
      </c>
      <c r="I4095">
        <v>0</v>
      </c>
      <c r="J4095">
        <v>13</v>
      </c>
      <c r="K4095">
        <v>0</v>
      </c>
      <c r="L4095">
        <v>2022</v>
      </c>
      <c r="N4095" t="s">
        <v>2204</v>
      </c>
      <c r="O4095" t="s">
        <v>1241</v>
      </c>
      <c r="P4095" t="s">
        <v>2205</v>
      </c>
    </row>
    <row r="4096" spans="1:16" x14ac:dyDescent="0.3">
      <c r="A4096" t="s">
        <v>2303</v>
      </c>
      <c r="B4096" t="s">
        <v>20</v>
      </c>
      <c r="C4096">
        <v>60</v>
      </c>
      <c r="D4096" t="s">
        <v>10</v>
      </c>
      <c r="E4096" t="s">
        <v>2304</v>
      </c>
      <c r="F4096" s="43">
        <v>44671.458333333336</v>
      </c>
      <c r="G4096" s="43">
        <v>44671.5</v>
      </c>
      <c r="H4096">
        <v>11</v>
      </c>
      <c r="I4096">
        <v>0</v>
      </c>
      <c r="J4096">
        <v>12</v>
      </c>
      <c r="K4096">
        <v>0</v>
      </c>
      <c r="L4096">
        <v>2022</v>
      </c>
      <c r="N4096" t="s">
        <v>2305</v>
      </c>
      <c r="O4096" t="s">
        <v>458</v>
      </c>
      <c r="P4096" t="s">
        <v>2306</v>
      </c>
    </row>
    <row r="4097" spans="1:16" x14ac:dyDescent="0.3">
      <c r="A4097" t="s">
        <v>25</v>
      </c>
      <c r="C4097">
        <v>30</v>
      </c>
      <c r="D4097" t="s">
        <v>10</v>
      </c>
      <c r="F4097" s="43">
        <v>44671.4375</v>
      </c>
      <c r="G4097" s="43">
        <v>44671.458333333336</v>
      </c>
      <c r="H4097">
        <v>10</v>
      </c>
      <c r="I4097">
        <v>30</v>
      </c>
      <c r="J4097">
        <v>11</v>
      </c>
      <c r="K4097">
        <v>0</v>
      </c>
      <c r="L4097">
        <v>2022</v>
      </c>
      <c r="N4097" t="s">
        <v>47</v>
      </c>
      <c r="O4097" t="s">
        <v>47</v>
      </c>
      <c r="P4097" t="s">
        <v>2172</v>
      </c>
    </row>
    <row r="4098" spans="1:16" x14ac:dyDescent="0.3">
      <c r="A4098" t="s">
        <v>8</v>
      </c>
      <c r="C4098">
        <v>30</v>
      </c>
      <c r="D4098" t="s">
        <v>10</v>
      </c>
      <c r="F4098" s="43">
        <v>44671.291666666664</v>
      </c>
      <c r="G4098" s="43">
        <v>44671.3125</v>
      </c>
      <c r="H4098">
        <v>7</v>
      </c>
      <c r="I4098">
        <v>0</v>
      </c>
      <c r="J4098">
        <v>7</v>
      </c>
      <c r="K4098">
        <v>30</v>
      </c>
      <c r="L4098">
        <v>2022</v>
      </c>
      <c r="N4098" t="s">
        <v>47</v>
      </c>
      <c r="O4098" t="s">
        <v>47</v>
      </c>
      <c r="P4098" t="s">
        <v>2173</v>
      </c>
    </row>
    <row r="4099" spans="1:16" x14ac:dyDescent="0.3">
      <c r="A4099" t="s">
        <v>2188</v>
      </c>
      <c r="B4099" t="s">
        <v>20</v>
      </c>
      <c r="C4099">
        <v>55</v>
      </c>
      <c r="D4099" t="s">
        <v>10</v>
      </c>
      <c r="E4099" t="s">
        <v>2189</v>
      </c>
      <c r="F4099" s="43">
        <v>44671.25</v>
      </c>
      <c r="G4099" s="43">
        <v>44671.288194444445</v>
      </c>
      <c r="H4099">
        <v>6</v>
      </c>
      <c r="I4099">
        <v>0</v>
      </c>
      <c r="J4099">
        <v>6</v>
      </c>
      <c r="K4099">
        <v>55</v>
      </c>
      <c r="L4099">
        <v>2022</v>
      </c>
      <c r="N4099" t="s">
        <v>2190</v>
      </c>
      <c r="O4099" t="s">
        <v>2191</v>
      </c>
      <c r="P4099" t="s">
        <v>2192</v>
      </c>
    </row>
    <row r="4100" spans="1:16" x14ac:dyDescent="0.3">
      <c r="A4100" t="s">
        <v>8</v>
      </c>
      <c r="C4100">
        <v>60</v>
      </c>
      <c r="D4100" t="s">
        <v>10</v>
      </c>
      <c r="F4100" s="43">
        <v>44671.1875</v>
      </c>
      <c r="G4100" s="43">
        <v>44671.229166666664</v>
      </c>
      <c r="H4100">
        <v>4</v>
      </c>
      <c r="I4100">
        <v>30</v>
      </c>
      <c r="J4100">
        <v>5</v>
      </c>
      <c r="K4100">
        <v>30</v>
      </c>
      <c r="L4100">
        <v>2022</v>
      </c>
      <c r="N4100" t="s">
        <v>47</v>
      </c>
      <c r="O4100" t="s">
        <v>47</v>
      </c>
      <c r="P4100" t="s">
        <v>2174</v>
      </c>
    </row>
    <row r="4101" spans="1:16" x14ac:dyDescent="0.3">
      <c r="A4101" t="s">
        <v>2193</v>
      </c>
      <c r="C4101">
        <v>45</v>
      </c>
      <c r="D4101" t="s">
        <v>10</v>
      </c>
      <c r="F4101" s="43">
        <v>44670.78125</v>
      </c>
      <c r="G4101" s="43">
        <v>44670.8125</v>
      </c>
      <c r="H4101">
        <v>18</v>
      </c>
      <c r="I4101">
        <v>45</v>
      </c>
      <c r="J4101">
        <v>19</v>
      </c>
      <c r="K4101">
        <v>30</v>
      </c>
      <c r="L4101">
        <v>2022</v>
      </c>
      <c r="N4101" t="s">
        <v>47</v>
      </c>
      <c r="O4101" t="s">
        <v>47</v>
      </c>
      <c r="P4101" t="s">
        <v>2194</v>
      </c>
    </row>
    <row r="4102" spans="1:16" x14ac:dyDescent="0.3">
      <c r="A4102" t="s">
        <v>7</v>
      </c>
      <c r="C4102">
        <v>20</v>
      </c>
      <c r="D4102" t="s">
        <v>10</v>
      </c>
      <c r="F4102" s="43">
        <v>44670.708333333336</v>
      </c>
      <c r="G4102" s="43">
        <v>44670.722222222219</v>
      </c>
      <c r="H4102">
        <v>17</v>
      </c>
      <c r="I4102">
        <v>0</v>
      </c>
      <c r="J4102">
        <v>17</v>
      </c>
      <c r="K4102">
        <v>20</v>
      </c>
      <c r="L4102">
        <v>2022</v>
      </c>
      <c r="N4102" t="s">
        <v>47</v>
      </c>
      <c r="O4102" t="s">
        <v>47</v>
      </c>
      <c r="P4102" t="s">
        <v>2195</v>
      </c>
    </row>
    <row r="4103" spans="1:16" x14ac:dyDescent="0.3">
      <c r="A4103" t="s">
        <v>2198</v>
      </c>
      <c r="C4103">
        <v>30</v>
      </c>
      <c r="D4103" t="s">
        <v>10</v>
      </c>
      <c r="E4103" t="s">
        <v>1712</v>
      </c>
      <c r="F4103" s="43">
        <v>44670.6875</v>
      </c>
      <c r="G4103" s="43">
        <v>44670.708333333336</v>
      </c>
      <c r="H4103">
        <v>16</v>
      </c>
      <c r="I4103">
        <v>30</v>
      </c>
      <c r="J4103">
        <v>17</v>
      </c>
      <c r="K4103">
        <v>0</v>
      </c>
      <c r="L4103">
        <v>2022</v>
      </c>
      <c r="N4103" t="s">
        <v>523</v>
      </c>
      <c r="O4103" t="s">
        <v>48</v>
      </c>
      <c r="P4103" t="s">
        <v>2199</v>
      </c>
    </row>
    <row r="4104" spans="1:16" x14ac:dyDescent="0.3">
      <c r="A4104" t="s">
        <v>2196</v>
      </c>
      <c r="C4104">
        <v>60</v>
      </c>
      <c r="D4104" t="s">
        <v>10</v>
      </c>
      <c r="F4104" s="43">
        <v>44670.645833333336</v>
      </c>
      <c r="G4104" s="43">
        <v>44670.6875</v>
      </c>
      <c r="H4104">
        <v>15</v>
      </c>
      <c r="I4104">
        <v>30</v>
      </c>
      <c r="J4104">
        <v>16</v>
      </c>
      <c r="K4104">
        <v>30</v>
      </c>
      <c r="L4104">
        <v>2022</v>
      </c>
      <c r="N4104" t="s">
        <v>47</v>
      </c>
      <c r="O4104" t="s">
        <v>47</v>
      </c>
      <c r="P4104" t="s">
        <v>2197</v>
      </c>
    </row>
    <row r="4105" spans="1:16" x14ac:dyDescent="0.3">
      <c r="A4105" t="s">
        <v>2284</v>
      </c>
      <c r="C4105">
        <v>45</v>
      </c>
      <c r="D4105" t="s">
        <v>10</v>
      </c>
      <c r="E4105" t="s">
        <v>2285</v>
      </c>
      <c r="F4105" s="1">
        <v>44670.604166666664</v>
      </c>
      <c r="G4105" s="1">
        <v>44670.635416666664</v>
      </c>
      <c r="H4105">
        <v>14</v>
      </c>
      <c r="I4105">
        <v>30</v>
      </c>
      <c r="J4105">
        <v>15</v>
      </c>
      <c r="K4105">
        <v>15</v>
      </c>
      <c r="L4105">
        <v>2022</v>
      </c>
      <c r="N4105" t="s">
        <v>2286</v>
      </c>
      <c r="O4105" t="s">
        <v>458</v>
      </c>
      <c r="P4105" t="s">
        <v>2287</v>
      </c>
    </row>
    <row r="4106" spans="1:16" x14ac:dyDescent="0.3">
      <c r="A4106" t="s">
        <v>2373</v>
      </c>
      <c r="B4106" t="s">
        <v>20</v>
      </c>
      <c r="C4106">
        <v>60</v>
      </c>
      <c r="D4106" t="s">
        <v>10</v>
      </c>
      <c r="E4106" t="s">
        <v>1712</v>
      </c>
      <c r="F4106" s="43">
        <v>44670.5625</v>
      </c>
      <c r="G4106" s="43">
        <v>44670.604166666664</v>
      </c>
      <c r="H4106">
        <v>13</v>
      </c>
      <c r="I4106">
        <v>30</v>
      </c>
      <c r="J4106">
        <v>14</v>
      </c>
      <c r="K4106">
        <v>30</v>
      </c>
      <c r="L4106">
        <v>2022</v>
      </c>
      <c r="N4106" t="s">
        <v>2374</v>
      </c>
      <c r="O4106" t="s">
        <v>48</v>
      </c>
      <c r="P4106" t="s">
        <v>2375</v>
      </c>
    </row>
    <row r="4107" spans="1:16" x14ac:dyDescent="0.3">
      <c r="A4107" t="s">
        <v>1989</v>
      </c>
      <c r="C4107">
        <v>150</v>
      </c>
      <c r="D4107" t="s">
        <v>10</v>
      </c>
      <c r="F4107" s="43">
        <v>44670.4375</v>
      </c>
      <c r="G4107" s="43">
        <v>44670.541666666664</v>
      </c>
      <c r="H4107">
        <v>10</v>
      </c>
      <c r="I4107">
        <v>30</v>
      </c>
      <c r="J4107">
        <v>13</v>
      </c>
      <c r="K4107">
        <v>0</v>
      </c>
      <c r="L4107">
        <v>2022</v>
      </c>
      <c r="N4107" t="s">
        <v>47</v>
      </c>
      <c r="O4107" t="s">
        <v>47</v>
      </c>
      <c r="P4107" t="s">
        <v>2200</v>
      </c>
    </row>
    <row r="4108" spans="1:16" x14ac:dyDescent="0.3">
      <c r="A4108" t="s">
        <v>2261</v>
      </c>
      <c r="C4108">
        <v>30</v>
      </c>
      <c r="D4108" t="s">
        <v>10</v>
      </c>
      <c r="E4108" t="s">
        <v>2262</v>
      </c>
      <c r="F4108" s="43">
        <v>44670.416666666664</v>
      </c>
      <c r="G4108" s="43">
        <v>44670.4375</v>
      </c>
      <c r="H4108">
        <v>10</v>
      </c>
      <c r="I4108">
        <v>0</v>
      </c>
      <c r="J4108">
        <v>10</v>
      </c>
      <c r="K4108">
        <v>30</v>
      </c>
      <c r="L4108">
        <v>2022</v>
      </c>
      <c r="N4108" t="s">
        <v>549</v>
      </c>
      <c r="O4108" t="s">
        <v>458</v>
      </c>
      <c r="P4108" t="s">
        <v>2263</v>
      </c>
    </row>
    <row r="4109" spans="1:16" x14ac:dyDescent="0.3">
      <c r="A4109" t="s">
        <v>2201</v>
      </c>
      <c r="C4109">
        <v>60</v>
      </c>
      <c r="D4109" t="s">
        <v>10</v>
      </c>
      <c r="F4109" s="1">
        <v>44670.354166666664</v>
      </c>
      <c r="G4109" s="43">
        <v>44670.395833333336</v>
      </c>
      <c r="H4109">
        <v>8</v>
      </c>
      <c r="I4109">
        <v>30</v>
      </c>
      <c r="J4109">
        <v>9</v>
      </c>
      <c r="K4109">
        <v>30</v>
      </c>
      <c r="L4109">
        <v>2022</v>
      </c>
      <c r="N4109" t="s">
        <v>47</v>
      </c>
      <c r="O4109" t="s">
        <v>47</v>
      </c>
      <c r="P4109" t="s">
        <v>2202</v>
      </c>
    </row>
    <row r="4110" spans="1:16" x14ac:dyDescent="0.3">
      <c r="A4110" t="s">
        <v>2275</v>
      </c>
      <c r="B4110" t="s">
        <v>223</v>
      </c>
      <c r="C4110">
        <v>30</v>
      </c>
      <c r="D4110" t="s">
        <v>10</v>
      </c>
      <c r="E4110" t="s">
        <v>2276</v>
      </c>
      <c r="F4110" s="43">
        <v>44670.333333333336</v>
      </c>
      <c r="G4110" s="43">
        <v>44670.354166666664</v>
      </c>
      <c r="H4110">
        <v>8</v>
      </c>
      <c r="I4110">
        <v>0</v>
      </c>
      <c r="J4110">
        <v>8</v>
      </c>
      <c r="K4110">
        <v>30</v>
      </c>
      <c r="L4110">
        <v>2022</v>
      </c>
      <c r="N4110" t="s">
        <v>2277</v>
      </c>
      <c r="O4110" t="s">
        <v>2278</v>
      </c>
      <c r="P4110" t="s">
        <v>2279</v>
      </c>
    </row>
    <row r="4111" spans="1:16" x14ac:dyDescent="0.3">
      <c r="A4111" t="s">
        <v>2211</v>
      </c>
      <c r="C4111">
        <v>30</v>
      </c>
      <c r="D4111" t="s">
        <v>10</v>
      </c>
      <c r="E4111" t="s">
        <v>5</v>
      </c>
      <c r="F4111" s="43">
        <v>44670.3125</v>
      </c>
      <c r="G4111" s="43">
        <v>44670.333333333336</v>
      </c>
      <c r="H4111">
        <v>7</v>
      </c>
      <c r="I4111">
        <v>30</v>
      </c>
      <c r="J4111">
        <v>8</v>
      </c>
      <c r="K4111">
        <v>0</v>
      </c>
      <c r="L4111">
        <v>2022</v>
      </c>
      <c r="N4111" t="s">
        <v>1399</v>
      </c>
      <c r="O4111" t="s">
        <v>1241</v>
      </c>
      <c r="P4111" t="s">
        <v>2212</v>
      </c>
    </row>
    <row r="4112" spans="1:16" x14ac:dyDescent="0.3">
      <c r="A4112" t="s">
        <v>1989</v>
      </c>
      <c r="C4112">
        <v>50</v>
      </c>
      <c r="D4112" t="s">
        <v>10</v>
      </c>
      <c r="F4112" s="43">
        <v>44670.25</v>
      </c>
      <c r="G4112" s="43">
        <v>44670.284722222219</v>
      </c>
      <c r="H4112">
        <v>6</v>
      </c>
      <c r="I4112">
        <v>0</v>
      </c>
      <c r="J4112">
        <v>6</v>
      </c>
      <c r="K4112">
        <v>50</v>
      </c>
      <c r="L4112">
        <v>2022</v>
      </c>
      <c r="N4112" t="s">
        <v>47</v>
      </c>
      <c r="O4112" t="s">
        <v>47</v>
      </c>
      <c r="P4112" t="s">
        <v>2210</v>
      </c>
    </row>
    <row r="4113" spans="1:16" x14ac:dyDescent="0.3">
      <c r="A4113" t="s">
        <v>1989</v>
      </c>
      <c r="C4113">
        <v>45</v>
      </c>
      <c r="D4113" t="s">
        <v>10</v>
      </c>
      <c r="F4113" s="43">
        <v>44669.78125</v>
      </c>
      <c r="G4113" s="43">
        <v>44669.8125</v>
      </c>
      <c r="H4113">
        <v>18</v>
      </c>
      <c r="I4113">
        <v>45</v>
      </c>
      <c r="J4113">
        <v>19</v>
      </c>
      <c r="K4113">
        <v>30</v>
      </c>
      <c r="L4113">
        <v>2022</v>
      </c>
      <c r="N4113" t="s">
        <v>47</v>
      </c>
      <c r="O4113" t="s">
        <v>47</v>
      </c>
      <c r="P4113" t="s">
        <v>2213</v>
      </c>
    </row>
    <row r="4114" spans="1:16" x14ac:dyDescent="0.3">
      <c r="A4114" t="s">
        <v>1989</v>
      </c>
      <c r="B4114" t="s">
        <v>109</v>
      </c>
      <c r="C4114">
        <v>50</v>
      </c>
      <c r="D4114" t="s">
        <v>10</v>
      </c>
      <c r="E4114" t="s">
        <v>2214</v>
      </c>
      <c r="F4114" s="43">
        <v>44669.697916666664</v>
      </c>
      <c r="G4114" s="43">
        <v>44669.732638888891</v>
      </c>
      <c r="H4114">
        <v>16</v>
      </c>
      <c r="I4114">
        <v>45</v>
      </c>
      <c r="J4114">
        <v>17</v>
      </c>
      <c r="K4114">
        <v>35</v>
      </c>
      <c r="L4114">
        <v>2022</v>
      </c>
      <c r="N4114" t="s">
        <v>47</v>
      </c>
      <c r="O4114" t="s">
        <v>47</v>
      </c>
      <c r="P4114" t="s">
        <v>2215</v>
      </c>
    </row>
    <row r="4115" spans="1:16" x14ac:dyDescent="0.3">
      <c r="A4115" t="s">
        <v>2097</v>
      </c>
      <c r="B4115" t="s">
        <v>109</v>
      </c>
      <c r="C4115">
        <v>30</v>
      </c>
      <c r="D4115" t="s">
        <v>10</v>
      </c>
      <c r="E4115" t="s">
        <v>2214</v>
      </c>
      <c r="F4115" s="43">
        <v>44669.645833333336</v>
      </c>
      <c r="G4115" s="43">
        <v>44669.666666666664</v>
      </c>
      <c r="H4115">
        <v>15</v>
      </c>
      <c r="I4115">
        <v>30</v>
      </c>
      <c r="J4115">
        <v>16</v>
      </c>
      <c r="K4115">
        <v>0</v>
      </c>
      <c r="L4115">
        <v>2022</v>
      </c>
      <c r="N4115" t="s">
        <v>47</v>
      </c>
      <c r="O4115" t="s">
        <v>47</v>
      </c>
      <c r="P4115" t="s">
        <v>2216</v>
      </c>
    </row>
    <row r="4116" spans="1:16" x14ac:dyDescent="0.3">
      <c r="A4116" t="s">
        <v>8</v>
      </c>
      <c r="C4116">
        <v>30</v>
      </c>
      <c r="D4116" t="s">
        <v>10</v>
      </c>
      <c r="F4116" s="43">
        <v>44669.625</v>
      </c>
      <c r="G4116" s="43">
        <v>44669.645833333336</v>
      </c>
      <c r="H4116">
        <v>15</v>
      </c>
      <c r="I4116">
        <v>0</v>
      </c>
      <c r="J4116">
        <v>15</v>
      </c>
      <c r="K4116">
        <v>30</v>
      </c>
      <c r="L4116">
        <v>2022</v>
      </c>
      <c r="N4116" t="s">
        <v>47</v>
      </c>
      <c r="O4116" t="s">
        <v>47</v>
      </c>
      <c r="P4116" t="s">
        <v>2217</v>
      </c>
    </row>
    <row r="4117" spans="1:16" x14ac:dyDescent="0.3">
      <c r="A4117" t="s">
        <v>7</v>
      </c>
      <c r="B4117" t="s">
        <v>6</v>
      </c>
      <c r="C4117">
        <v>90</v>
      </c>
      <c r="D4117" t="s">
        <v>10</v>
      </c>
      <c r="E4117" t="s">
        <v>449</v>
      </c>
      <c r="F4117" s="43">
        <v>44669.5</v>
      </c>
      <c r="G4117" s="43">
        <v>44669.5625</v>
      </c>
      <c r="H4117">
        <v>12</v>
      </c>
      <c r="I4117">
        <v>0</v>
      </c>
      <c r="J4117">
        <v>13</v>
      </c>
      <c r="K4117">
        <v>30</v>
      </c>
      <c r="L4117">
        <v>2022</v>
      </c>
      <c r="N4117" t="s">
        <v>47</v>
      </c>
      <c r="O4117" t="s">
        <v>47</v>
      </c>
      <c r="P4117" t="s">
        <v>2221</v>
      </c>
    </row>
    <row r="4118" spans="1:16" x14ac:dyDescent="0.3">
      <c r="A4118" t="s">
        <v>2225</v>
      </c>
      <c r="C4118">
        <v>30</v>
      </c>
      <c r="D4118" t="s">
        <v>10</v>
      </c>
      <c r="F4118" s="43">
        <v>44669.479166666664</v>
      </c>
      <c r="G4118" s="43">
        <v>44669.5</v>
      </c>
      <c r="H4118">
        <v>11</v>
      </c>
      <c r="I4118">
        <v>30</v>
      </c>
      <c r="J4118">
        <v>12</v>
      </c>
      <c r="K4118">
        <v>0</v>
      </c>
      <c r="L4118">
        <v>2022</v>
      </c>
      <c r="N4118" t="s">
        <v>47</v>
      </c>
      <c r="O4118" t="s">
        <v>47</v>
      </c>
      <c r="P4118" t="s">
        <v>2226</v>
      </c>
    </row>
    <row r="4119" spans="1:16" x14ac:dyDescent="0.3">
      <c r="A4119" t="s">
        <v>573</v>
      </c>
      <c r="B4119" t="s">
        <v>2222</v>
      </c>
      <c r="C4119">
        <v>60</v>
      </c>
      <c r="D4119" t="s">
        <v>10</v>
      </c>
      <c r="E4119" t="s">
        <v>2223</v>
      </c>
      <c r="F4119" s="43">
        <v>44669.375</v>
      </c>
      <c r="G4119" s="43">
        <v>44669.416666666664</v>
      </c>
      <c r="H4119">
        <v>9</v>
      </c>
      <c r="I4119">
        <v>0</v>
      </c>
      <c r="J4119">
        <v>10</v>
      </c>
      <c r="K4119">
        <v>0</v>
      </c>
      <c r="L4119">
        <v>2022</v>
      </c>
      <c r="N4119" t="s">
        <v>47</v>
      </c>
      <c r="O4119" t="s">
        <v>47</v>
      </c>
      <c r="P4119" t="s">
        <v>2224</v>
      </c>
    </row>
    <row r="4120" spans="1:16" x14ac:dyDescent="0.3">
      <c r="A4120" t="s">
        <v>2142</v>
      </c>
      <c r="B4120" t="s">
        <v>223</v>
      </c>
      <c r="C4120">
        <v>30</v>
      </c>
      <c r="D4120" t="s">
        <v>10</v>
      </c>
      <c r="E4120" t="s">
        <v>2227</v>
      </c>
      <c r="F4120" s="43">
        <v>44669.28125</v>
      </c>
      <c r="G4120" s="43">
        <v>44669.302083333336</v>
      </c>
      <c r="H4120">
        <v>6</v>
      </c>
      <c r="I4120">
        <v>45</v>
      </c>
      <c r="J4120">
        <v>7</v>
      </c>
      <c r="K4120">
        <v>15</v>
      </c>
      <c r="L4120">
        <v>2022</v>
      </c>
      <c r="N4120" t="s">
        <v>47</v>
      </c>
      <c r="O4120" t="s">
        <v>47</v>
      </c>
      <c r="P4120" t="s">
        <v>2228</v>
      </c>
    </row>
    <row r="4121" spans="1:16" x14ac:dyDescent="0.3">
      <c r="A4121" t="s">
        <v>573</v>
      </c>
      <c r="B4121" t="s">
        <v>2222</v>
      </c>
      <c r="C4121">
        <v>30</v>
      </c>
      <c r="D4121" t="s">
        <v>10</v>
      </c>
      <c r="E4121" t="s">
        <v>2223</v>
      </c>
      <c r="F4121" s="43">
        <v>44668.729166666664</v>
      </c>
      <c r="G4121" s="43">
        <v>44668.75</v>
      </c>
      <c r="H4121">
        <v>17</v>
      </c>
      <c r="I4121">
        <v>30</v>
      </c>
      <c r="J4121">
        <v>18</v>
      </c>
      <c r="K4121">
        <v>0</v>
      </c>
      <c r="L4121">
        <v>2022</v>
      </c>
      <c r="N4121" t="s">
        <v>47</v>
      </c>
      <c r="O4121" t="s">
        <v>47</v>
      </c>
      <c r="P4121" t="s">
        <v>2229</v>
      </c>
    </row>
    <row r="4122" spans="1:16" x14ac:dyDescent="0.3">
      <c r="A4122" t="s">
        <v>573</v>
      </c>
      <c r="B4122" t="s">
        <v>2222</v>
      </c>
      <c r="C4122">
        <v>40</v>
      </c>
      <c r="D4122" t="s">
        <v>10</v>
      </c>
      <c r="E4122" t="s">
        <v>2223</v>
      </c>
      <c r="F4122" s="43">
        <v>44668.666666666664</v>
      </c>
      <c r="G4122" s="43">
        <v>44668.694444444445</v>
      </c>
      <c r="H4122">
        <v>16</v>
      </c>
      <c r="I4122">
        <v>0</v>
      </c>
      <c r="J4122">
        <v>16</v>
      </c>
      <c r="K4122">
        <v>40</v>
      </c>
      <c r="L4122">
        <v>2022</v>
      </c>
      <c r="N4122" t="s">
        <v>47</v>
      </c>
      <c r="O4122" t="s">
        <v>47</v>
      </c>
      <c r="P4122" t="s">
        <v>2230</v>
      </c>
    </row>
    <row r="4123" spans="1:16" x14ac:dyDescent="0.3">
      <c r="A4123" t="s">
        <v>32</v>
      </c>
      <c r="B4123" t="s">
        <v>223</v>
      </c>
      <c r="C4123">
        <v>60</v>
      </c>
      <c r="D4123" t="s">
        <v>10</v>
      </c>
      <c r="E4123" t="s">
        <v>2227</v>
      </c>
      <c r="F4123" s="43">
        <v>44668.541666666664</v>
      </c>
      <c r="G4123" s="43">
        <v>44668.583333333336</v>
      </c>
      <c r="H4123">
        <v>13</v>
      </c>
      <c r="I4123">
        <v>0</v>
      </c>
      <c r="J4123">
        <v>14</v>
      </c>
      <c r="K4123">
        <v>0</v>
      </c>
      <c r="L4123">
        <v>2022</v>
      </c>
      <c r="N4123" t="s">
        <v>47</v>
      </c>
      <c r="O4123" t="s">
        <v>47</v>
      </c>
      <c r="P4123" t="s">
        <v>2231</v>
      </c>
    </row>
    <row r="4124" spans="1:16" x14ac:dyDescent="0.3">
      <c r="A4124" t="s">
        <v>2232</v>
      </c>
      <c r="B4124" t="s">
        <v>223</v>
      </c>
      <c r="C4124">
        <v>60</v>
      </c>
      <c r="D4124" t="s">
        <v>10</v>
      </c>
      <c r="E4124" t="s">
        <v>2227</v>
      </c>
      <c r="F4124" s="43">
        <v>44668.416666666664</v>
      </c>
      <c r="G4124" s="43">
        <v>44668.458333333336</v>
      </c>
      <c r="H4124">
        <v>10</v>
      </c>
      <c r="I4124">
        <v>0</v>
      </c>
      <c r="J4124">
        <v>11</v>
      </c>
      <c r="K4124">
        <v>0</v>
      </c>
      <c r="L4124">
        <v>2022</v>
      </c>
      <c r="N4124" t="s">
        <v>47</v>
      </c>
      <c r="O4124" t="s">
        <v>47</v>
      </c>
      <c r="P4124" t="s">
        <v>2233</v>
      </c>
    </row>
    <row r="4125" spans="1:16" x14ac:dyDescent="0.3">
      <c r="A4125" t="s">
        <v>2234</v>
      </c>
      <c r="B4125" t="s">
        <v>109</v>
      </c>
      <c r="C4125">
        <v>30</v>
      </c>
      <c r="D4125" t="s">
        <v>10</v>
      </c>
      <c r="E4125" t="s">
        <v>2235</v>
      </c>
      <c r="F4125" s="43">
        <v>44668.357638888891</v>
      </c>
      <c r="G4125" s="43">
        <v>44668.378472222219</v>
      </c>
      <c r="H4125">
        <v>8</v>
      </c>
      <c r="I4125">
        <v>35</v>
      </c>
      <c r="J4125">
        <v>9</v>
      </c>
      <c r="K4125">
        <v>5</v>
      </c>
      <c r="L4125">
        <v>2022</v>
      </c>
      <c r="N4125" t="s">
        <v>47</v>
      </c>
      <c r="O4125" t="s">
        <v>47</v>
      </c>
      <c r="P4125" t="s">
        <v>2236</v>
      </c>
    </row>
    <row r="4126" spans="1:16" x14ac:dyDescent="0.3">
      <c r="A4126" t="s">
        <v>2234</v>
      </c>
      <c r="B4126" t="s">
        <v>109</v>
      </c>
      <c r="C4126">
        <v>50</v>
      </c>
      <c r="D4126" t="s">
        <v>10</v>
      </c>
      <c r="E4126" t="s">
        <v>2235</v>
      </c>
      <c r="F4126" s="43">
        <v>44668.256944444445</v>
      </c>
      <c r="G4126" s="43">
        <v>44668.291666666664</v>
      </c>
      <c r="H4126">
        <v>6</v>
      </c>
      <c r="I4126">
        <v>10</v>
      </c>
      <c r="J4126">
        <v>7</v>
      </c>
      <c r="K4126">
        <v>0</v>
      </c>
      <c r="L4126">
        <v>2022</v>
      </c>
      <c r="N4126" t="s">
        <v>47</v>
      </c>
      <c r="O4126" t="s">
        <v>47</v>
      </c>
      <c r="P4126" t="s">
        <v>2237</v>
      </c>
    </row>
    <row r="4127" spans="1:16" x14ac:dyDescent="0.3">
      <c r="A4127" t="s">
        <v>2238</v>
      </c>
      <c r="C4127">
        <v>30</v>
      </c>
      <c r="D4127" t="s">
        <v>10</v>
      </c>
      <c r="F4127" s="43">
        <v>44667.784722222219</v>
      </c>
      <c r="G4127" s="43">
        <v>44667.805555555555</v>
      </c>
      <c r="H4127">
        <v>18</v>
      </c>
      <c r="I4127">
        <v>50</v>
      </c>
      <c r="J4127">
        <v>19</v>
      </c>
      <c r="K4127">
        <v>20</v>
      </c>
      <c r="L4127">
        <v>2022</v>
      </c>
      <c r="N4127" t="s">
        <v>47</v>
      </c>
      <c r="O4127" t="s">
        <v>47</v>
      </c>
      <c r="P4127" t="s">
        <v>2239</v>
      </c>
    </row>
    <row r="4128" spans="1:16" x14ac:dyDescent="0.3">
      <c r="A4128" t="s">
        <v>30</v>
      </c>
      <c r="C4128">
        <v>60</v>
      </c>
      <c r="D4128" t="s">
        <v>10</v>
      </c>
      <c r="E4128" t="s">
        <v>2240</v>
      </c>
      <c r="F4128" s="43">
        <v>44667.697916666664</v>
      </c>
      <c r="G4128" s="43">
        <v>44667.739583333336</v>
      </c>
      <c r="H4128">
        <v>16</v>
      </c>
      <c r="I4128">
        <v>45</v>
      </c>
      <c r="J4128">
        <v>17</v>
      </c>
      <c r="K4128">
        <v>45</v>
      </c>
      <c r="L4128">
        <v>2022</v>
      </c>
      <c r="N4128" t="s">
        <v>47</v>
      </c>
      <c r="O4128" t="s">
        <v>47</v>
      </c>
      <c r="P4128" t="s">
        <v>2241</v>
      </c>
    </row>
    <row r="4129" spans="1:16" x14ac:dyDescent="0.3">
      <c r="A4129" t="s">
        <v>17</v>
      </c>
      <c r="B4129" t="s">
        <v>6</v>
      </c>
      <c r="C4129">
        <v>15</v>
      </c>
      <c r="D4129" t="s">
        <v>10</v>
      </c>
      <c r="E4129" t="s">
        <v>515</v>
      </c>
      <c r="F4129" s="43">
        <v>44667.427083333336</v>
      </c>
      <c r="G4129" s="43">
        <v>44667.4375</v>
      </c>
      <c r="H4129">
        <v>10</v>
      </c>
      <c r="I4129">
        <v>15</v>
      </c>
      <c r="J4129">
        <v>10</v>
      </c>
      <c r="K4129">
        <v>30</v>
      </c>
      <c r="L4129">
        <v>2022</v>
      </c>
      <c r="N4129" t="s">
        <v>47</v>
      </c>
      <c r="O4129" t="s">
        <v>47</v>
      </c>
      <c r="P4129" t="s">
        <v>2243</v>
      </c>
    </row>
    <row r="4130" spans="1:16" x14ac:dyDescent="0.3">
      <c r="A4130" t="s">
        <v>2234</v>
      </c>
      <c r="C4130">
        <v>60</v>
      </c>
      <c r="D4130" t="s">
        <v>10</v>
      </c>
      <c r="E4130" t="s">
        <v>2240</v>
      </c>
      <c r="F4130" s="43">
        <v>44667.25</v>
      </c>
      <c r="G4130" s="43">
        <v>44667.291666666664</v>
      </c>
      <c r="H4130">
        <v>6</v>
      </c>
      <c r="I4130">
        <v>0</v>
      </c>
      <c r="J4130">
        <v>7</v>
      </c>
      <c r="K4130">
        <v>0</v>
      </c>
      <c r="L4130">
        <v>2022</v>
      </c>
      <c r="N4130" t="s">
        <v>47</v>
      </c>
      <c r="O4130" t="s">
        <v>47</v>
      </c>
      <c r="P4130" t="s">
        <v>2242</v>
      </c>
    </row>
    <row r="4131" spans="1:16" x14ac:dyDescent="0.3">
      <c r="A4131" t="s">
        <v>2247</v>
      </c>
      <c r="B4131" t="s">
        <v>109</v>
      </c>
      <c r="C4131">
        <v>90</v>
      </c>
      <c r="D4131" t="s">
        <v>10</v>
      </c>
      <c r="E4131" t="s">
        <v>2240</v>
      </c>
      <c r="F4131" s="43">
        <v>44666.6875</v>
      </c>
      <c r="G4131" s="43">
        <v>44666.75</v>
      </c>
      <c r="H4131">
        <v>16</v>
      </c>
      <c r="I4131">
        <v>30</v>
      </c>
      <c r="J4131">
        <v>18</v>
      </c>
      <c r="K4131">
        <v>0</v>
      </c>
      <c r="L4131">
        <v>2022</v>
      </c>
      <c r="N4131" t="s">
        <v>47</v>
      </c>
      <c r="O4131" t="s">
        <v>47</v>
      </c>
      <c r="P4131" t="s">
        <v>2248</v>
      </c>
    </row>
    <row r="4132" spans="1:16" x14ac:dyDescent="0.3">
      <c r="A4132" t="s">
        <v>2247</v>
      </c>
      <c r="B4132" t="s">
        <v>109</v>
      </c>
      <c r="C4132">
        <v>90</v>
      </c>
      <c r="D4132" t="s">
        <v>10</v>
      </c>
      <c r="E4132" t="s">
        <v>2240</v>
      </c>
      <c r="F4132" s="43">
        <v>44666.541666666664</v>
      </c>
      <c r="G4132" s="43">
        <v>44666.604166666664</v>
      </c>
      <c r="H4132">
        <v>13</v>
      </c>
      <c r="I4132">
        <v>0</v>
      </c>
      <c r="J4132">
        <v>14</v>
      </c>
      <c r="K4132">
        <v>30</v>
      </c>
      <c r="L4132">
        <v>2022</v>
      </c>
      <c r="N4132" t="s">
        <v>47</v>
      </c>
      <c r="O4132" t="s">
        <v>47</v>
      </c>
      <c r="P4132" t="s">
        <v>2249</v>
      </c>
    </row>
    <row r="4133" spans="1:16" x14ac:dyDescent="0.3">
      <c r="A4133" t="s">
        <v>2234</v>
      </c>
      <c r="B4133" t="s">
        <v>109</v>
      </c>
      <c r="C4133">
        <v>75</v>
      </c>
      <c r="D4133" t="s">
        <v>10</v>
      </c>
      <c r="E4133" t="s">
        <v>2235</v>
      </c>
      <c r="F4133" s="43">
        <v>44666.46875</v>
      </c>
      <c r="G4133" s="43">
        <v>44666.520833333336</v>
      </c>
      <c r="H4133">
        <v>11</v>
      </c>
      <c r="I4133">
        <v>15</v>
      </c>
      <c r="J4133">
        <v>12</v>
      </c>
      <c r="K4133">
        <v>30</v>
      </c>
      <c r="L4133">
        <v>2022</v>
      </c>
      <c r="N4133" t="s">
        <v>47</v>
      </c>
      <c r="O4133" t="s">
        <v>47</v>
      </c>
      <c r="P4133" t="s">
        <v>2250</v>
      </c>
    </row>
    <row r="4134" spans="1:16" x14ac:dyDescent="0.3">
      <c r="A4134" t="s">
        <v>2247</v>
      </c>
      <c r="B4134" t="s">
        <v>109</v>
      </c>
      <c r="C4134">
        <v>15</v>
      </c>
      <c r="D4134" t="s">
        <v>10</v>
      </c>
      <c r="E4134" t="s">
        <v>2240</v>
      </c>
      <c r="F4134" s="43">
        <v>44666.416666666664</v>
      </c>
      <c r="G4134" s="43">
        <v>44666.427083333336</v>
      </c>
      <c r="H4134">
        <v>10</v>
      </c>
      <c r="I4134">
        <v>0</v>
      </c>
      <c r="J4134">
        <v>10</v>
      </c>
      <c r="K4134">
        <v>15</v>
      </c>
      <c r="L4134">
        <v>2022</v>
      </c>
      <c r="N4134" t="s">
        <v>47</v>
      </c>
      <c r="O4134" t="s">
        <v>47</v>
      </c>
      <c r="P4134" t="s">
        <v>2251</v>
      </c>
    </row>
    <row r="4135" spans="1:16" x14ac:dyDescent="0.3">
      <c r="A4135" t="s">
        <v>2295</v>
      </c>
      <c r="C4135">
        <v>30</v>
      </c>
      <c r="D4135" t="s">
        <v>10</v>
      </c>
      <c r="E4135" t="s">
        <v>21</v>
      </c>
      <c r="F4135" s="43">
        <v>44666.395833333336</v>
      </c>
      <c r="G4135" s="43">
        <v>44666.416666666664</v>
      </c>
      <c r="H4135">
        <v>9</v>
      </c>
      <c r="I4135">
        <v>30</v>
      </c>
      <c r="J4135">
        <v>10</v>
      </c>
      <c r="K4135">
        <v>0</v>
      </c>
      <c r="L4135">
        <v>2022</v>
      </c>
      <c r="N4135" t="s">
        <v>56</v>
      </c>
      <c r="O4135" t="s">
        <v>50</v>
      </c>
      <c r="P4135" t="s">
        <v>2296</v>
      </c>
    </row>
    <row r="4136" spans="1:16" x14ac:dyDescent="0.3">
      <c r="A4136" t="s">
        <v>29</v>
      </c>
      <c r="B4136" t="s">
        <v>109</v>
      </c>
      <c r="C4136">
        <v>60</v>
      </c>
      <c r="D4136" t="s">
        <v>10</v>
      </c>
      <c r="E4136" t="s">
        <v>2240</v>
      </c>
      <c r="F4136" s="43">
        <v>44666.354166666664</v>
      </c>
      <c r="G4136" s="43">
        <v>44666.395833333336</v>
      </c>
      <c r="H4136">
        <v>8</v>
      </c>
      <c r="I4136">
        <v>30</v>
      </c>
      <c r="J4136">
        <v>9</v>
      </c>
      <c r="K4136">
        <v>30</v>
      </c>
      <c r="L4136">
        <v>2022</v>
      </c>
      <c r="N4136" t="s">
        <v>47</v>
      </c>
      <c r="O4136" t="s">
        <v>47</v>
      </c>
      <c r="P4136" t="s">
        <v>2252</v>
      </c>
    </row>
    <row r="4137" spans="1:16" x14ac:dyDescent="0.3">
      <c r="A4137" t="s">
        <v>2253</v>
      </c>
      <c r="B4137" t="s">
        <v>109</v>
      </c>
      <c r="C4137">
        <v>90</v>
      </c>
      <c r="D4137" t="s">
        <v>10</v>
      </c>
      <c r="E4137" t="s">
        <v>2240</v>
      </c>
      <c r="F4137" s="43">
        <v>44666.229166666664</v>
      </c>
      <c r="G4137" s="43">
        <v>44666.291666666664</v>
      </c>
      <c r="H4137">
        <v>5</v>
      </c>
      <c r="I4137">
        <v>30</v>
      </c>
      <c r="J4137">
        <v>7</v>
      </c>
      <c r="K4137">
        <v>0</v>
      </c>
      <c r="L4137">
        <v>2022</v>
      </c>
      <c r="N4137" t="s">
        <v>47</v>
      </c>
      <c r="O4137" t="s">
        <v>47</v>
      </c>
      <c r="P4137" t="s">
        <v>2254</v>
      </c>
    </row>
    <row r="4138" spans="1:16" x14ac:dyDescent="0.3">
      <c r="A4138" t="s">
        <v>29</v>
      </c>
      <c r="B4138" t="s">
        <v>109</v>
      </c>
      <c r="C4138">
        <v>45</v>
      </c>
      <c r="D4138" t="s">
        <v>10</v>
      </c>
      <c r="E4138" t="s">
        <v>2235</v>
      </c>
      <c r="F4138" s="43">
        <v>44665.770833333336</v>
      </c>
      <c r="G4138" s="43">
        <v>44665.802083333336</v>
      </c>
      <c r="H4138">
        <v>18</v>
      </c>
      <c r="I4138">
        <v>30</v>
      </c>
      <c r="J4138">
        <v>19</v>
      </c>
      <c r="K4138">
        <v>15</v>
      </c>
      <c r="L4138">
        <v>2022</v>
      </c>
      <c r="N4138" t="s">
        <v>47</v>
      </c>
      <c r="O4138" t="s">
        <v>47</v>
      </c>
      <c r="P4138" t="s">
        <v>2255</v>
      </c>
    </row>
    <row r="4139" spans="1:16" x14ac:dyDescent="0.3">
      <c r="A4139" t="s">
        <v>7</v>
      </c>
      <c r="C4139">
        <v>30</v>
      </c>
      <c r="D4139" t="s">
        <v>10</v>
      </c>
      <c r="F4139" s="43">
        <v>44665.75</v>
      </c>
      <c r="G4139" s="43">
        <v>44665.770833333336</v>
      </c>
      <c r="H4139">
        <v>18</v>
      </c>
      <c r="I4139">
        <v>0</v>
      </c>
      <c r="J4139">
        <v>18</v>
      </c>
      <c r="K4139">
        <v>30</v>
      </c>
      <c r="L4139">
        <v>2022</v>
      </c>
      <c r="N4139" t="s">
        <v>47</v>
      </c>
      <c r="O4139" t="s">
        <v>47</v>
      </c>
      <c r="P4139" t="s">
        <v>2256</v>
      </c>
    </row>
    <row r="4140" spans="1:16" x14ac:dyDescent="0.3">
      <c r="A4140" t="s">
        <v>2407</v>
      </c>
      <c r="B4140" t="s">
        <v>20</v>
      </c>
      <c r="C4140">
        <v>60</v>
      </c>
      <c r="D4140" t="s">
        <v>10</v>
      </c>
      <c r="E4140" t="s">
        <v>5</v>
      </c>
      <c r="F4140" s="43">
        <v>44665.666666666664</v>
      </c>
      <c r="G4140" s="43">
        <v>44665.708333333336</v>
      </c>
      <c r="H4140">
        <v>16</v>
      </c>
      <c r="I4140">
        <v>0</v>
      </c>
      <c r="J4140">
        <v>17</v>
      </c>
      <c r="K4140">
        <v>0</v>
      </c>
      <c r="L4140">
        <v>2022</v>
      </c>
      <c r="N4140" t="s">
        <v>2408</v>
      </c>
      <c r="O4140" t="s">
        <v>2409</v>
      </c>
      <c r="P4140" t="s">
        <v>2410</v>
      </c>
    </row>
    <row r="4141" spans="1:16" x14ac:dyDescent="0.3">
      <c r="A4141" t="s">
        <v>2257</v>
      </c>
      <c r="C4141">
        <v>60</v>
      </c>
      <c r="D4141" t="s">
        <v>10</v>
      </c>
      <c r="F4141" s="43">
        <v>44665.583333333336</v>
      </c>
      <c r="G4141" s="43">
        <v>44665.625</v>
      </c>
      <c r="H4141">
        <v>14</v>
      </c>
      <c r="I4141">
        <v>0</v>
      </c>
      <c r="J4141">
        <v>15</v>
      </c>
      <c r="K4141">
        <v>0</v>
      </c>
      <c r="L4141">
        <v>2022</v>
      </c>
      <c r="N4141" t="s">
        <v>47</v>
      </c>
      <c r="O4141" t="s">
        <v>47</v>
      </c>
      <c r="P4141" t="s">
        <v>2258</v>
      </c>
    </row>
    <row r="4142" spans="1:16" x14ac:dyDescent="0.3">
      <c r="A4142" t="s">
        <v>2259</v>
      </c>
      <c r="B4142" t="s">
        <v>109</v>
      </c>
      <c r="C4142">
        <v>120</v>
      </c>
      <c r="D4142" t="s">
        <v>10</v>
      </c>
      <c r="E4142" t="s">
        <v>2235</v>
      </c>
      <c r="F4142" s="43">
        <v>44665.5</v>
      </c>
      <c r="G4142" s="43">
        <v>44665.583333333336</v>
      </c>
      <c r="H4142">
        <v>12</v>
      </c>
      <c r="I4142">
        <v>0</v>
      </c>
      <c r="J4142">
        <v>14</v>
      </c>
      <c r="K4142">
        <v>0</v>
      </c>
      <c r="L4142">
        <v>2022</v>
      </c>
      <c r="N4142" t="s">
        <v>47</v>
      </c>
      <c r="O4142" t="s">
        <v>47</v>
      </c>
      <c r="P4142" t="s">
        <v>2260</v>
      </c>
    </row>
    <row r="4143" spans="1:16" x14ac:dyDescent="0.3">
      <c r="A4143" t="s">
        <v>2265</v>
      </c>
      <c r="C4143">
        <v>30</v>
      </c>
      <c r="D4143" t="s">
        <v>10</v>
      </c>
      <c r="F4143" s="43">
        <v>44665.458333333336</v>
      </c>
      <c r="G4143" s="43">
        <v>44665.479166666664</v>
      </c>
      <c r="H4143">
        <v>11</v>
      </c>
      <c r="I4143">
        <v>0</v>
      </c>
      <c r="J4143">
        <v>11</v>
      </c>
      <c r="K4143">
        <v>30</v>
      </c>
      <c r="L4143">
        <v>2022</v>
      </c>
      <c r="N4143" t="s">
        <v>47</v>
      </c>
      <c r="O4143" t="s">
        <v>47</v>
      </c>
      <c r="P4143" t="s">
        <v>2266</v>
      </c>
    </row>
    <row r="4144" spans="1:16" x14ac:dyDescent="0.3">
      <c r="A4144" t="s">
        <v>2281</v>
      </c>
      <c r="B4144" t="s">
        <v>20</v>
      </c>
      <c r="C4144">
        <v>30</v>
      </c>
      <c r="D4144" t="s">
        <v>10</v>
      </c>
      <c r="E4144" t="s">
        <v>1712</v>
      </c>
      <c r="F4144" s="43">
        <v>44665.4375</v>
      </c>
      <c r="G4144" s="43">
        <v>44665.458333333336</v>
      </c>
      <c r="H4144">
        <v>10</v>
      </c>
      <c r="I4144">
        <v>30</v>
      </c>
      <c r="J4144">
        <v>11</v>
      </c>
      <c r="K4144">
        <v>0</v>
      </c>
      <c r="L4144">
        <v>2022</v>
      </c>
      <c r="N4144" t="s">
        <v>2282</v>
      </c>
      <c r="O4144" t="s">
        <v>48</v>
      </c>
      <c r="P4144" t="s">
        <v>2283</v>
      </c>
    </row>
    <row r="4145" spans="1:16" x14ac:dyDescent="0.3">
      <c r="A4145" t="s">
        <v>8</v>
      </c>
      <c r="C4145">
        <v>30</v>
      </c>
      <c r="D4145" t="s">
        <v>10</v>
      </c>
      <c r="F4145" s="43">
        <v>44665.416666666664</v>
      </c>
      <c r="G4145" s="43">
        <v>44665.4375</v>
      </c>
      <c r="H4145">
        <v>10</v>
      </c>
      <c r="I4145">
        <v>0</v>
      </c>
      <c r="J4145">
        <v>10</v>
      </c>
      <c r="K4145">
        <v>30</v>
      </c>
      <c r="L4145">
        <v>2022</v>
      </c>
      <c r="N4145" t="s">
        <v>47</v>
      </c>
      <c r="O4145" t="s">
        <v>47</v>
      </c>
      <c r="P4145" t="s">
        <v>2264</v>
      </c>
    </row>
    <row r="4146" spans="1:16" x14ac:dyDescent="0.3">
      <c r="A4146" t="s">
        <v>2267</v>
      </c>
      <c r="C4146">
        <v>30</v>
      </c>
      <c r="D4146" t="s">
        <v>10</v>
      </c>
      <c r="F4146" s="43">
        <v>44665.333333333336</v>
      </c>
      <c r="G4146" s="43">
        <v>44665.354166666664</v>
      </c>
      <c r="H4146">
        <v>8</v>
      </c>
      <c r="I4146">
        <v>0</v>
      </c>
      <c r="J4146">
        <v>8</v>
      </c>
      <c r="K4146">
        <v>30</v>
      </c>
      <c r="L4146">
        <v>2022</v>
      </c>
      <c r="N4146" t="s">
        <v>47</v>
      </c>
      <c r="O4146" t="s">
        <v>47</v>
      </c>
      <c r="P4146" t="s">
        <v>2268</v>
      </c>
    </row>
    <row r="4147" spans="1:16" x14ac:dyDescent="0.3">
      <c r="A4147" t="s">
        <v>2273</v>
      </c>
      <c r="B4147" t="s">
        <v>223</v>
      </c>
      <c r="C4147">
        <v>60</v>
      </c>
      <c r="D4147" t="s">
        <v>10</v>
      </c>
      <c r="E4147" t="s">
        <v>2227</v>
      </c>
      <c r="F4147" s="43">
        <v>44665.25</v>
      </c>
      <c r="G4147" s="43">
        <v>44665.291666666664</v>
      </c>
      <c r="H4147">
        <v>6</v>
      </c>
      <c r="I4147">
        <v>0</v>
      </c>
      <c r="J4147">
        <v>7</v>
      </c>
      <c r="K4147">
        <v>0</v>
      </c>
      <c r="L4147">
        <v>2022</v>
      </c>
      <c r="N4147" t="s">
        <v>47</v>
      </c>
      <c r="O4147" t="s">
        <v>47</v>
      </c>
      <c r="P4147" t="s">
        <v>2274</v>
      </c>
    </row>
    <row r="4148" spans="1:16" x14ac:dyDescent="0.3">
      <c r="A4148" t="s">
        <v>2142</v>
      </c>
      <c r="B4148" t="s">
        <v>223</v>
      </c>
      <c r="C4148">
        <v>80</v>
      </c>
      <c r="D4148" t="s">
        <v>10</v>
      </c>
      <c r="E4148" t="s">
        <v>2227</v>
      </c>
      <c r="F4148" s="43">
        <v>44664.75</v>
      </c>
      <c r="G4148" s="43">
        <v>44664.805555555555</v>
      </c>
      <c r="H4148">
        <v>18</v>
      </c>
      <c r="I4148">
        <v>0</v>
      </c>
      <c r="J4148">
        <v>19</v>
      </c>
      <c r="K4148">
        <v>20</v>
      </c>
      <c r="L4148">
        <v>2022</v>
      </c>
      <c r="N4148" t="s">
        <v>47</v>
      </c>
      <c r="O4148" t="s">
        <v>47</v>
      </c>
      <c r="P4148" t="s">
        <v>2280</v>
      </c>
    </row>
    <row r="4149" spans="1:16" x14ac:dyDescent="0.3">
      <c r="A4149" t="s">
        <v>2855</v>
      </c>
      <c r="B4149" t="s">
        <v>31</v>
      </c>
      <c r="C4149">
        <v>330</v>
      </c>
      <c r="D4149" t="s">
        <v>10</v>
      </c>
      <c r="F4149" s="43">
        <v>44664.395833333336</v>
      </c>
      <c r="G4149" s="43">
        <v>44664.625</v>
      </c>
      <c r="H4149">
        <v>9</v>
      </c>
      <c r="I4149">
        <v>30</v>
      </c>
      <c r="J4149">
        <v>15</v>
      </c>
      <c r="K4149">
        <v>0</v>
      </c>
      <c r="L4149">
        <v>2022</v>
      </c>
      <c r="O4149" t="s">
        <v>47</v>
      </c>
      <c r="P4149" t="s">
        <v>2856</v>
      </c>
    </row>
    <row r="4150" spans="1:16" x14ac:dyDescent="0.3">
      <c r="A4150" t="s">
        <v>2289</v>
      </c>
      <c r="C4150">
        <v>45</v>
      </c>
      <c r="D4150" t="s">
        <v>10</v>
      </c>
      <c r="E4150" t="s">
        <v>1712</v>
      </c>
      <c r="F4150" s="43">
        <v>44664.333333333336</v>
      </c>
      <c r="G4150" s="43">
        <v>44664.364583333336</v>
      </c>
      <c r="H4150">
        <v>8</v>
      </c>
      <c r="I4150">
        <v>0</v>
      </c>
      <c r="J4150">
        <v>8</v>
      </c>
      <c r="K4150">
        <v>45</v>
      </c>
      <c r="L4150">
        <v>2022</v>
      </c>
      <c r="N4150" t="s">
        <v>2290</v>
      </c>
      <c r="O4150" t="s">
        <v>48</v>
      </c>
      <c r="P4150" t="s">
        <v>2291</v>
      </c>
    </row>
    <row r="4151" spans="1:16" x14ac:dyDescent="0.3">
      <c r="A4151" t="s">
        <v>2300</v>
      </c>
      <c r="C4151">
        <v>30</v>
      </c>
      <c r="D4151" t="s">
        <v>10</v>
      </c>
      <c r="E4151" t="s">
        <v>5</v>
      </c>
      <c r="F4151" s="43">
        <v>44664.291666666664</v>
      </c>
      <c r="G4151" s="43">
        <v>44664.3125</v>
      </c>
      <c r="H4151">
        <v>7</v>
      </c>
      <c r="I4151">
        <v>0</v>
      </c>
      <c r="J4151">
        <v>7</v>
      </c>
      <c r="K4151">
        <v>30</v>
      </c>
      <c r="L4151">
        <v>2022</v>
      </c>
      <c r="N4151" t="s">
        <v>2301</v>
      </c>
      <c r="O4151" t="s">
        <v>1241</v>
      </c>
      <c r="P4151" t="s">
        <v>2302</v>
      </c>
    </row>
    <row r="4152" spans="1:16" x14ac:dyDescent="0.3">
      <c r="A4152" t="s">
        <v>29</v>
      </c>
      <c r="B4152" t="s">
        <v>109</v>
      </c>
      <c r="C4152">
        <v>90</v>
      </c>
      <c r="D4152" t="s">
        <v>10</v>
      </c>
      <c r="E4152" t="s">
        <v>2235</v>
      </c>
      <c r="F4152" s="43">
        <v>44663.666666666664</v>
      </c>
      <c r="G4152" s="43">
        <v>44663.729166666664</v>
      </c>
      <c r="H4152">
        <v>16</v>
      </c>
      <c r="I4152">
        <v>0</v>
      </c>
      <c r="J4152">
        <v>17</v>
      </c>
      <c r="K4152">
        <v>30</v>
      </c>
      <c r="L4152">
        <v>2022</v>
      </c>
      <c r="N4152" t="s">
        <v>47</v>
      </c>
      <c r="O4152" t="s">
        <v>47</v>
      </c>
      <c r="P4152" t="s">
        <v>2288</v>
      </c>
    </row>
    <row r="4153" spans="1:16" x14ac:dyDescent="0.3">
      <c r="A4153" t="s">
        <v>30</v>
      </c>
      <c r="B4153" t="s">
        <v>109</v>
      </c>
      <c r="C4153">
        <v>75</v>
      </c>
      <c r="D4153" t="s">
        <v>10</v>
      </c>
      <c r="E4153" t="s">
        <v>2240</v>
      </c>
      <c r="F4153" s="43">
        <v>44663.604166666664</v>
      </c>
      <c r="G4153" s="43">
        <v>44663.65625</v>
      </c>
      <c r="H4153">
        <v>14</v>
      </c>
      <c r="I4153">
        <v>30</v>
      </c>
      <c r="J4153">
        <v>15</v>
      </c>
      <c r="K4153">
        <v>45</v>
      </c>
      <c r="L4153">
        <v>2022</v>
      </c>
      <c r="N4153" t="s">
        <v>47</v>
      </c>
      <c r="O4153" t="s">
        <v>47</v>
      </c>
      <c r="P4153" t="s">
        <v>2292</v>
      </c>
    </row>
    <row r="4154" spans="1:16" x14ac:dyDescent="0.3">
      <c r="A4154" t="s">
        <v>7</v>
      </c>
      <c r="C4154">
        <v>60</v>
      </c>
      <c r="D4154" t="s">
        <v>10</v>
      </c>
      <c r="F4154" s="43">
        <v>44663.5625</v>
      </c>
      <c r="G4154" s="43">
        <v>44663.604166666664</v>
      </c>
      <c r="H4154">
        <v>13</v>
      </c>
      <c r="I4154">
        <v>30</v>
      </c>
      <c r="J4154">
        <v>14</v>
      </c>
      <c r="K4154">
        <v>30</v>
      </c>
      <c r="L4154">
        <v>2022</v>
      </c>
      <c r="N4154" t="s">
        <v>47</v>
      </c>
      <c r="O4154" t="s">
        <v>47</v>
      </c>
      <c r="P4154" t="s">
        <v>2293</v>
      </c>
    </row>
    <row r="4155" spans="1:16" x14ac:dyDescent="0.3">
      <c r="A4155" t="s">
        <v>30</v>
      </c>
      <c r="B4155" t="s">
        <v>109</v>
      </c>
      <c r="C4155">
        <v>30</v>
      </c>
      <c r="D4155" t="s">
        <v>10</v>
      </c>
      <c r="E4155" t="s">
        <v>2235</v>
      </c>
      <c r="F4155" s="43">
        <v>44663.541666666664</v>
      </c>
      <c r="G4155" s="43">
        <v>44663.5625</v>
      </c>
      <c r="H4155">
        <v>13</v>
      </c>
      <c r="I4155">
        <v>0</v>
      </c>
      <c r="J4155">
        <v>13</v>
      </c>
      <c r="K4155">
        <v>30</v>
      </c>
      <c r="L4155">
        <v>2022</v>
      </c>
      <c r="N4155" t="s">
        <v>47</v>
      </c>
      <c r="O4155" t="s">
        <v>47</v>
      </c>
      <c r="P4155" t="s">
        <v>2294</v>
      </c>
    </row>
    <row r="4156" spans="1:16" x14ac:dyDescent="0.3">
      <c r="A4156" t="s">
        <v>2388</v>
      </c>
      <c r="B4156" t="s">
        <v>20</v>
      </c>
      <c r="C4156">
        <v>30</v>
      </c>
      <c r="D4156" t="s">
        <v>10</v>
      </c>
      <c r="E4156" t="s">
        <v>1712</v>
      </c>
      <c r="F4156" s="43">
        <v>44663.4375</v>
      </c>
      <c r="G4156" s="43">
        <v>44663.458333333336</v>
      </c>
      <c r="H4156">
        <v>10</v>
      </c>
      <c r="I4156">
        <v>30</v>
      </c>
      <c r="J4156">
        <v>11</v>
      </c>
      <c r="K4156">
        <v>0</v>
      </c>
      <c r="L4156">
        <v>2022</v>
      </c>
      <c r="N4156" t="s">
        <v>2389</v>
      </c>
      <c r="O4156" t="s">
        <v>48</v>
      </c>
      <c r="P4156" t="s">
        <v>2390</v>
      </c>
    </row>
    <row r="4157" spans="1:16" x14ac:dyDescent="0.3">
      <c r="A4157" t="s">
        <v>2297</v>
      </c>
      <c r="C4157">
        <v>75</v>
      </c>
      <c r="D4157" t="s">
        <v>10</v>
      </c>
      <c r="F4157" s="43">
        <v>44663.322916666664</v>
      </c>
      <c r="G4157" s="43">
        <v>44663.375</v>
      </c>
      <c r="H4157">
        <v>7</v>
      </c>
      <c r="I4157">
        <v>45</v>
      </c>
      <c r="J4157">
        <v>9</v>
      </c>
      <c r="K4157">
        <v>0</v>
      </c>
      <c r="L4157">
        <v>2022</v>
      </c>
      <c r="N4157" t="s">
        <v>47</v>
      </c>
      <c r="O4157" t="s">
        <v>47</v>
      </c>
      <c r="P4157" t="s">
        <v>2298</v>
      </c>
    </row>
    <row r="4158" spans="1:16" x14ac:dyDescent="0.3">
      <c r="A4158" t="s">
        <v>2400</v>
      </c>
      <c r="B4158" t="s">
        <v>20</v>
      </c>
      <c r="C4158">
        <v>60</v>
      </c>
      <c r="D4158" t="s">
        <v>10</v>
      </c>
      <c r="E4158" t="s">
        <v>2401</v>
      </c>
      <c r="F4158" s="43">
        <v>44663.25</v>
      </c>
      <c r="G4158" s="43">
        <v>44663.291666666664</v>
      </c>
      <c r="H4158">
        <v>6</v>
      </c>
      <c r="I4158">
        <v>0</v>
      </c>
      <c r="J4158">
        <v>7</v>
      </c>
      <c r="K4158">
        <v>0</v>
      </c>
      <c r="L4158">
        <v>2022</v>
      </c>
      <c r="N4158" t="s">
        <v>2402</v>
      </c>
      <c r="O4158" t="s">
        <v>975</v>
      </c>
      <c r="P4158" t="s">
        <v>2403</v>
      </c>
    </row>
    <row r="4159" spans="1:16" x14ac:dyDescent="0.3">
      <c r="A4159" t="s">
        <v>6</v>
      </c>
      <c r="C4159">
        <v>30</v>
      </c>
      <c r="D4159" t="s">
        <v>10</v>
      </c>
      <c r="F4159" s="43">
        <v>44663.229166666664</v>
      </c>
      <c r="G4159" s="43">
        <v>44663.25</v>
      </c>
      <c r="H4159">
        <v>5</v>
      </c>
      <c r="I4159">
        <v>30</v>
      </c>
      <c r="J4159">
        <v>6</v>
      </c>
      <c r="K4159">
        <v>0</v>
      </c>
      <c r="L4159">
        <v>2022</v>
      </c>
      <c r="N4159" t="s">
        <v>47</v>
      </c>
      <c r="O4159" t="s">
        <v>47</v>
      </c>
      <c r="P4159" t="s">
        <v>2299</v>
      </c>
    </row>
    <row r="4160" spans="1:16" x14ac:dyDescent="0.3">
      <c r="A4160" t="s">
        <v>2307</v>
      </c>
      <c r="B4160" t="s">
        <v>109</v>
      </c>
      <c r="C4160">
        <v>50</v>
      </c>
      <c r="D4160" t="s">
        <v>10</v>
      </c>
      <c r="E4160" t="s">
        <v>2235</v>
      </c>
      <c r="F4160" s="43">
        <v>44662.770833333336</v>
      </c>
      <c r="G4160" s="43">
        <v>44662.805555555555</v>
      </c>
      <c r="H4160">
        <v>18</v>
      </c>
      <c r="I4160">
        <v>30</v>
      </c>
      <c r="J4160">
        <v>19</v>
      </c>
      <c r="K4160">
        <v>20</v>
      </c>
      <c r="L4160">
        <v>2022</v>
      </c>
      <c r="N4160" t="s">
        <v>47</v>
      </c>
      <c r="O4160" t="s">
        <v>47</v>
      </c>
      <c r="P4160" t="s">
        <v>2308</v>
      </c>
    </row>
    <row r="4161" spans="1:16" x14ac:dyDescent="0.3">
      <c r="A4161" t="s">
        <v>2309</v>
      </c>
      <c r="B4161" t="s">
        <v>109</v>
      </c>
      <c r="C4161">
        <v>40</v>
      </c>
      <c r="D4161" t="s">
        <v>10</v>
      </c>
      <c r="E4161" t="s">
        <v>2240</v>
      </c>
      <c r="F4161" s="43">
        <v>44662.708333333336</v>
      </c>
      <c r="G4161" s="43">
        <v>44662.736111111109</v>
      </c>
      <c r="H4161">
        <v>17</v>
      </c>
      <c r="I4161">
        <v>0</v>
      </c>
      <c r="J4161">
        <v>17</v>
      </c>
      <c r="K4161">
        <v>40</v>
      </c>
      <c r="L4161">
        <v>2022</v>
      </c>
      <c r="N4161" t="s">
        <v>47</v>
      </c>
      <c r="O4161" t="s">
        <v>47</v>
      </c>
      <c r="P4161" t="s">
        <v>2310</v>
      </c>
    </row>
    <row r="4162" spans="1:16" x14ac:dyDescent="0.3">
      <c r="A4162" t="s">
        <v>1305</v>
      </c>
      <c r="C4162">
        <v>50</v>
      </c>
      <c r="D4162" t="s">
        <v>10</v>
      </c>
      <c r="F4162" s="43">
        <v>44662.666666666664</v>
      </c>
      <c r="G4162" s="43">
        <v>44662.701388888891</v>
      </c>
      <c r="H4162">
        <v>16</v>
      </c>
      <c r="I4162">
        <v>0</v>
      </c>
      <c r="J4162">
        <v>16</v>
      </c>
      <c r="K4162">
        <v>50</v>
      </c>
      <c r="L4162">
        <v>2022</v>
      </c>
      <c r="N4162" t="s">
        <v>47</v>
      </c>
      <c r="O4162" t="s">
        <v>47</v>
      </c>
      <c r="P4162" t="s">
        <v>2311</v>
      </c>
    </row>
    <row r="4163" spans="1:16" x14ac:dyDescent="0.3">
      <c r="A4163" t="s">
        <v>2312</v>
      </c>
      <c r="C4163">
        <v>35</v>
      </c>
      <c r="D4163" t="s">
        <v>10</v>
      </c>
      <c r="F4163" s="43">
        <v>44662.59375</v>
      </c>
      <c r="G4163" s="43">
        <v>44662.618055555555</v>
      </c>
      <c r="H4163">
        <v>14</v>
      </c>
      <c r="I4163">
        <v>15</v>
      </c>
      <c r="J4163">
        <v>14</v>
      </c>
      <c r="K4163">
        <v>50</v>
      </c>
      <c r="L4163">
        <v>2022</v>
      </c>
      <c r="O4163" t="s">
        <v>47</v>
      </c>
      <c r="P4163" t="s">
        <v>2313</v>
      </c>
    </row>
    <row r="4164" spans="1:16" x14ac:dyDescent="0.3">
      <c r="A4164" t="s">
        <v>7</v>
      </c>
      <c r="C4164">
        <v>45</v>
      </c>
      <c r="D4164" t="s">
        <v>10</v>
      </c>
      <c r="F4164" s="1">
        <v>44662.5625</v>
      </c>
      <c r="G4164" s="1">
        <v>44662.59375</v>
      </c>
      <c r="H4164">
        <v>13</v>
      </c>
      <c r="I4164">
        <v>30</v>
      </c>
      <c r="J4164">
        <v>14</v>
      </c>
      <c r="K4164">
        <v>15</v>
      </c>
      <c r="L4164">
        <v>2022</v>
      </c>
      <c r="O4164" t="s">
        <v>47</v>
      </c>
      <c r="P4164" t="s">
        <v>2314</v>
      </c>
    </row>
    <row r="4165" spans="1:16" x14ac:dyDescent="0.3">
      <c r="A4165" t="s">
        <v>6</v>
      </c>
      <c r="C4165">
        <v>20</v>
      </c>
      <c r="D4165" t="s">
        <v>10</v>
      </c>
      <c r="F4165" s="43">
        <v>44662.541666666664</v>
      </c>
      <c r="G4165" s="43">
        <v>44662.555555555555</v>
      </c>
      <c r="H4165">
        <v>13</v>
      </c>
      <c r="I4165">
        <v>0</v>
      </c>
      <c r="J4165">
        <v>13</v>
      </c>
      <c r="K4165">
        <v>20</v>
      </c>
      <c r="L4165">
        <v>2022</v>
      </c>
      <c r="N4165" t="s">
        <v>47</v>
      </c>
      <c r="O4165" t="s">
        <v>47</v>
      </c>
      <c r="P4165" t="s">
        <v>2315</v>
      </c>
    </row>
    <row r="4166" spans="1:16" x14ac:dyDescent="0.3">
      <c r="A4166" t="s">
        <v>827</v>
      </c>
      <c r="B4166" t="s">
        <v>6</v>
      </c>
      <c r="C4166">
        <v>30</v>
      </c>
      <c r="D4166" t="s">
        <v>10</v>
      </c>
      <c r="E4166" t="s">
        <v>515</v>
      </c>
      <c r="F4166" s="43">
        <v>44662.520833333336</v>
      </c>
      <c r="G4166" s="43">
        <v>44662.541666666664</v>
      </c>
      <c r="H4166">
        <v>12</v>
      </c>
      <c r="I4166">
        <v>30</v>
      </c>
      <c r="J4166">
        <v>13</v>
      </c>
      <c r="K4166">
        <v>0</v>
      </c>
      <c r="L4166">
        <v>2022</v>
      </c>
      <c r="N4166" t="s">
        <v>47</v>
      </c>
      <c r="O4166" t="s">
        <v>47</v>
      </c>
      <c r="P4166" t="s">
        <v>2316</v>
      </c>
    </row>
    <row r="4167" spans="1:16" x14ac:dyDescent="0.3">
      <c r="A4167" t="s">
        <v>2442</v>
      </c>
      <c r="C4167">
        <v>30</v>
      </c>
      <c r="D4167" t="s">
        <v>10</v>
      </c>
      <c r="E4167" t="s">
        <v>2443</v>
      </c>
      <c r="F4167" s="43">
        <v>44662.458333333336</v>
      </c>
      <c r="G4167" s="43">
        <v>44662.479166666664</v>
      </c>
      <c r="H4167">
        <v>11</v>
      </c>
      <c r="I4167">
        <v>0</v>
      </c>
      <c r="J4167">
        <v>11</v>
      </c>
      <c r="K4167">
        <v>30</v>
      </c>
      <c r="L4167">
        <v>2022</v>
      </c>
      <c r="N4167" t="s">
        <v>578</v>
      </c>
      <c r="O4167" t="s">
        <v>458</v>
      </c>
      <c r="P4167" t="s">
        <v>2444</v>
      </c>
    </row>
    <row r="4168" spans="1:16" x14ac:dyDescent="0.3">
      <c r="A4168" t="s">
        <v>2342</v>
      </c>
      <c r="C4168">
        <v>30</v>
      </c>
      <c r="D4168" t="s">
        <v>10</v>
      </c>
      <c r="E4168" t="s">
        <v>1712</v>
      </c>
      <c r="F4168" s="43">
        <v>44662.4375</v>
      </c>
      <c r="G4168" s="43">
        <v>44662.458333333336</v>
      </c>
      <c r="H4168">
        <v>10</v>
      </c>
      <c r="I4168">
        <v>30</v>
      </c>
      <c r="J4168">
        <v>11</v>
      </c>
      <c r="K4168">
        <v>0</v>
      </c>
      <c r="L4168">
        <v>2022</v>
      </c>
      <c r="N4168" t="s">
        <v>2290</v>
      </c>
      <c r="O4168" t="s">
        <v>48</v>
      </c>
      <c r="P4168" t="s">
        <v>2343</v>
      </c>
    </row>
    <row r="4169" spans="1:16" x14ac:dyDescent="0.3">
      <c r="A4169" t="s">
        <v>2321</v>
      </c>
      <c r="B4169" t="s">
        <v>223</v>
      </c>
      <c r="C4169">
        <v>45</v>
      </c>
      <c r="D4169" t="s">
        <v>10</v>
      </c>
      <c r="E4169" t="s">
        <v>2227</v>
      </c>
      <c r="F4169" s="43">
        <v>44662.395833333336</v>
      </c>
      <c r="G4169" s="43">
        <v>44662.427083333336</v>
      </c>
      <c r="H4169">
        <v>9</v>
      </c>
      <c r="I4169">
        <v>30</v>
      </c>
      <c r="J4169">
        <v>10</v>
      </c>
      <c r="K4169">
        <v>15</v>
      </c>
      <c r="L4169">
        <v>2022</v>
      </c>
      <c r="N4169" t="s">
        <v>2322</v>
      </c>
      <c r="O4169" t="s">
        <v>2323</v>
      </c>
      <c r="P4169" t="s">
        <v>2324</v>
      </c>
    </row>
    <row r="4170" spans="1:16" x14ac:dyDescent="0.3">
      <c r="A4170" t="s">
        <v>8</v>
      </c>
      <c r="C4170">
        <v>30</v>
      </c>
      <c r="D4170" t="s">
        <v>10</v>
      </c>
      <c r="F4170" s="43">
        <v>44662.354166666664</v>
      </c>
      <c r="G4170" s="43">
        <v>44662.375</v>
      </c>
      <c r="H4170">
        <v>8</v>
      </c>
      <c r="I4170">
        <v>30</v>
      </c>
      <c r="J4170">
        <v>9</v>
      </c>
      <c r="K4170">
        <v>0</v>
      </c>
      <c r="L4170">
        <v>2022</v>
      </c>
      <c r="N4170" t="s">
        <v>47</v>
      </c>
      <c r="O4170" t="s">
        <v>47</v>
      </c>
      <c r="P4170" t="s">
        <v>2317</v>
      </c>
    </row>
    <row r="4171" spans="1:16" x14ac:dyDescent="0.3">
      <c r="A4171" t="s">
        <v>2318</v>
      </c>
      <c r="C4171">
        <v>30</v>
      </c>
      <c r="D4171" t="s">
        <v>10</v>
      </c>
      <c r="F4171" s="43">
        <v>44662.3125</v>
      </c>
      <c r="G4171" s="43">
        <v>44662.333333333336</v>
      </c>
      <c r="H4171">
        <v>7</v>
      </c>
      <c r="I4171">
        <v>30</v>
      </c>
      <c r="J4171">
        <v>8</v>
      </c>
      <c r="K4171">
        <v>0</v>
      </c>
      <c r="L4171">
        <v>2022</v>
      </c>
      <c r="N4171" t="s">
        <v>47</v>
      </c>
      <c r="O4171" t="s">
        <v>47</v>
      </c>
      <c r="P4171" t="s">
        <v>2319</v>
      </c>
    </row>
    <row r="4172" spans="1:16" x14ac:dyDescent="0.3">
      <c r="A4172" t="s">
        <v>573</v>
      </c>
      <c r="B4172" t="s">
        <v>2222</v>
      </c>
      <c r="C4172">
        <v>90</v>
      </c>
      <c r="D4172" t="s">
        <v>10</v>
      </c>
      <c r="E4172" t="s">
        <v>2223</v>
      </c>
      <c r="F4172" s="43">
        <v>44662.229166666664</v>
      </c>
      <c r="G4172" s="43">
        <v>44662.291666666664</v>
      </c>
      <c r="H4172">
        <v>5</v>
      </c>
      <c r="I4172">
        <v>30</v>
      </c>
      <c r="J4172">
        <v>7</v>
      </c>
      <c r="K4172">
        <v>0</v>
      </c>
      <c r="L4172">
        <v>2022</v>
      </c>
      <c r="N4172" t="s">
        <v>47</v>
      </c>
      <c r="O4172" t="s">
        <v>47</v>
      </c>
      <c r="P4172" t="s">
        <v>2320</v>
      </c>
    </row>
    <row r="4173" spans="1:16" x14ac:dyDescent="0.3">
      <c r="A4173" t="s">
        <v>2325</v>
      </c>
      <c r="B4173" t="s">
        <v>223</v>
      </c>
      <c r="C4173">
        <v>45</v>
      </c>
      <c r="D4173" t="s">
        <v>10</v>
      </c>
      <c r="E4173" t="s">
        <v>2326</v>
      </c>
      <c r="F4173" s="43">
        <v>44661.729166666664</v>
      </c>
      <c r="G4173" s="43">
        <v>44661.760416666664</v>
      </c>
      <c r="H4173">
        <v>17</v>
      </c>
      <c r="I4173">
        <v>30</v>
      </c>
      <c r="J4173">
        <v>18</v>
      </c>
      <c r="K4173">
        <v>15</v>
      </c>
      <c r="L4173">
        <v>2022</v>
      </c>
      <c r="N4173" t="s">
        <v>47</v>
      </c>
      <c r="O4173" t="s">
        <v>47</v>
      </c>
      <c r="P4173" t="s">
        <v>2327</v>
      </c>
    </row>
    <row r="4174" spans="1:16" x14ac:dyDescent="0.3">
      <c r="A4174" t="s">
        <v>1585</v>
      </c>
      <c r="B4174" t="s">
        <v>223</v>
      </c>
      <c r="C4174">
        <v>50</v>
      </c>
      <c r="D4174" t="s">
        <v>10</v>
      </c>
      <c r="E4174" t="s">
        <v>2326</v>
      </c>
      <c r="F4174" s="43">
        <v>44661.666666666664</v>
      </c>
      <c r="G4174" s="43">
        <v>44661.701388888891</v>
      </c>
      <c r="H4174">
        <v>16</v>
      </c>
      <c r="I4174">
        <v>0</v>
      </c>
      <c r="J4174">
        <v>16</v>
      </c>
      <c r="K4174">
        <v>50</v>
      </c>
      <c r="L4174">
        <v>2022</v>
      </c>
      <c r="N4174" t="s">
        <v>47</v>
      </c>
      <c r="O4174" t="s">
        <v>47</v>
      </c>
      <c r="P4174" t="s">
        <v>2328</v>
      </c>
    </row>
    <row r="4175" spans="1:16" x14ac:dyDescent="0.3">
      <c r="A4175" t="s">
        <v>2329</v>
      </c>
      <c r="B4175" t="s">
        <v>223</v>
      </c>
      <c r="C4175">
        <v>60</v>
      </c>
      <c r="D4175" t="s">
        <v>10</v>
      </c>
      <c r="E4175" t="s">
        <v>2326</v>
      </c>
      <c r="F4175" s="43">
        <v>44661.416666666664</v>
      </c>
      <c r="G4175" s="43">
        <v>44661.458333333336</v>
      </c>
      <c r="H4175">
        <v>10</v>
      </c>
      <c r="I4175">
        <v>0</v>
      </c>
      <c r="J4175">
        <v>11</v>
      </c>
      <c r="K4175">
        <v>0</v>
      </c>
      <c r="L4175">
        <v>2022</v>
      </c>
      <c r="N4175" t="s">
        <v>47</v>
      </c>
      <c r="O4175" t="s">
        <v>47</v>
      </c>
      <c r="P4175" t="s">
        <v>2330</v>
      </c>
    </row>
    <row r="4176" spans="1:16" x14ac:dyDescent="0.3">
      <c r="A4176" t="s">
        <v>2329</v>
      </c>
      <c r="B4176" t="s">
        <v>223</v>
      </c>
      <c r="C4176">
        <v>45</v>
      </c>
      <c r="D4176" t="s">
        <v>10</v>
      </c>
      <c r="E4176" t="s">
        <v>2326</v>
      </c>
      <c r="F4176" s="43">
        <v>44661.375</v>
      </c>
      <c r="G4176" s="43">
        <v>44661.40625</v>
      </c>
      <c r="H4176">
        <v>9</v>
      </c>
      <c r="I4176">
        <v>0</v>
      </c>
      <c r="J4176">
        <v>9</v>
      </c>
      <c r="K4176">
        <v>45</v>
      </c>
      <c r="L4176">
        <v>2022</v>
      </c>
      <c r="N4176" t="s">
        <v>47</v>
      </c>
      <c r="O4176" t="s">
        <v>47</v>
      </c>
      <c r="P4176" t="s">
        <v>2332</v>
      </c>
    </row>
    <row r="4177" spans="1:18" x14ac:dyDescent="0.3">
      <c r="A4177" t="s">
        <v>573</v>
      </c>
      <c r="B4177" t="s">
        <v>2222</v>
      </c>
      <c r="C4177">
        <v>15</v>
      </c>
      <c r="D4177" t="s">
        <v>10</v>
      </c>
      <c r="E4177" t="s">
        <v>2223</v>
      </c>
      <c r="F4177" s="43">
        <v>44661.291666666664</v>
      </c>
      <c r="G4177" s="43">
        <v>44661.302083333336</v>
      </c>
      <c r="H4177">
        <v>7</v>
      </c>
      <c r="I4177">
        <v>0</v>
      </c>
      <c r="J4177">
        <v>7</v>
      </c>
      <c r="K4177">
        <v>15</v>
      </c>
      <c r="L4177">
        <v>2022</v>
      </c>
      <c r="N4177" t="s">
        <v>47</v>
      </c>
      <c r="O4177" t="s">
        <v>47</v>
      </c>
      <c r="P4177" t="s">
        <v>2331</v>
      </c>
    </row>
    <row r="4178" spans="1:18" x14ac:dyDescent="0.3">
      <c r="A4178" t="s">
        <v>2329</v>
      </c>
      <c r="B4178" t="s">
        <v>223</v>
      </c>
      <c r="C4178">
        <v>30</v>
      </c>
      <c r="D4178" t="s">
        <v>10</v>
      </c>
      <c r="E4178" t="s">
        <v>2326</v>
      </c>
      <c r="F4178" s="43">
        <v>44660.8125</v>
      </c>
      <c r="G4178" s="43">
        <v>44660.833333333336</v>
      </c>
      <c r="H4178">
        <v>19</v>
      </c>
      <c r="I4178">
        <v>30</v>
      </c>
      <c r="J4178">
        <v>20</v>
      </c>
      <c r="K4178">
        <v>0</v>
      </c>
      <c r="L4178">
        <v>2022</v>
      </c>
      <c r="N4178" t="s">
        <v>47</v>
      </c>
      <c r="O4178" t="s">
        <v>47</v>
      </c>
      <c r="P4178" t="s">
        <v>2333</v>
      </c>
    </row>
    <row r="4179" spans="1:18" x14ac:dyDescent="0.3">
      <c r="A4179" t="s">
        <v>2334</v>
      </c>
      <c r="B4179" t="s">
        <v>223</v>
      </c>
      <c r="C4179">
        <v>45</v>
      </c>
      <c r="D4179" t="s">
        <v>10</v>
      </c>
      <c r="E4179" t="s">
        <v>2326</v>
      </c>
      <c r="F4179" s="43">
        <v>44660.75</v>
      </c>
      <c r="G4179" s="43">
        <v>44660.78125</v>
      </c>
      <c r="H4179">
        <v>18</v>
      </c>
      <c r="I4179">
        <v>0</v>
      </c>
      <c r="J4179">
        <v>18</v>
      </c>
      <c r="K4179">
        <v>45</v>
      </c>
      <c r="L4179">
        <v>2022</v>
      </c>
      <c r="N4179" t="s">
        <v>47</v>
      </c>
      <c r="O4179" t="s">
        <v>47</v>
      </c>
      <c r="P4179" t="s">
        <v>2335</v>
      </c>
    </row>
    <row r="4180" spans="1:18" x14ac:dyDescent="0.3">
      <c r="A4180" t="s">
        <v>2336</v>
      </c>
      <c r="C4180">
        <v>30</v>
      </c>
      <c r="D4180" t="s">
        <v>10</v>
      </c>
      <c r="F4180" s="43">
        <v>44660.715277777781</v>
      </c>
      <c r="G4180" s="43">
        <v>44660.736111111109</v>
      </c>
      <c r="H4180">
        <v>17</v>
      </c>
      <c r="I4180">
        <v>10</v>
      </c>
      <c r="J4180">
        <v>17</v>
      </c>
      <c r="K4180">
        <v>40</v>
      </c>
      <c r="L4180">
        <v>2022</v>
      </c>
      <c r="N4180" t="s">
        <v>47</v>
      </c>
      <c r="O4180" t="s">
        <v>47</v>
      </c>
      <c r="P4180" t="s">
        <v>2337</v>
      </c>
    </row>
    <row r="4181" spans="1:18" x14ac:dyDescent="0.3">
      <c r="A4181" t="s">
        <v>1081</v>
      </c>
      <c r="C4181">
        <v>25</v>
      </c>
      <c r="D4181" t="s">
        <v>10</v>
      </c>
      <c r="F4181" s="43">
        <v>44660.697916666664</v>
      </c>
      <c r="G4181" s="43">
        <v>44660.715277777781</v>
      </c>
      <c r="H4181">
        <v>16</v>
      </c>
      <c r="I4181">
        <v>45</v>
      </c>
      <c r="J4181">
        <v>17</v>
      </c>
      <c r="K4181">
        <v>10</v>
      </c>
      <c r="L4181">
        <v>2022</v>
      </c>
      <c r="N4181" t="s">
        <v>47</v>
      </c>
      <c r="O4181" t="s">
        <v>47</v>
      </c>
      <c r="P4181" t="s">
        <v>2338</v>
      </c>
      <c r="Q4181" t="s">
        <v>6</v>
      </c>
      <c r="R4181" s="41" t="s">
        <v>9112</v>
      </c>
    </row>
    <row r="4182" spans="1:18" x14ac:dyDescent="0.3">
      <c r="A4182" t="s">
        <v>2339</v>
      </c>
      <c r="C4182">
        <v>60</v>
      </c>
      <c r="D4182" t="s">
        <v>10</v>
      </c>
      <c r="F4182" s="43">
        <v>44660.25</v>
      </c>
      <c r="G4182" s="43">
        <v>44660.291666666664</v>
      </c>
      <c r="H4182">
        <v>6</v>
      </c>
      <c r="I4182">
        <v>0</v>
      </c>
      <c r="J4182">
        <v>7</v>
      </c>
      <c r="K4182">
        <v>0</v>
      </c>
      <c r="L4182">
        <v>2022</v>
      </c>
      <c r="N4182" t="s">
        <v>47</v>
      </c>
      <c r="O4182" t="s">
        <v>47</v>
      </c>
      <c r="P4182" t="s">
        <v>2340</v>
      </c>
    </row>
    <row r="4183" spans="1:18" x14ac:dyDescent="0.3">
      <c r="A4183" t="s">
        <v>2347</v>
      </c>
      <c r="C4183">
        <v>30</v>
      </c>
      <c r="D4183" t="s">
        <v>10</v>
      </c>
      <c r="F4183" s="43">
        <v>44659.75</v>
      </c>
      <c r="G4183" s="43">
        <v>44659.770833333336</v>
      </c>
      <c r="H4183">
        <v>18</v>
      </c>
      <c r="I4183">
        <v>0</v>
      </c>
      <c r="J4183">
        <v>18</v>
      </c>
      <c r="K4183">
        <v>30</v>
      </c>
      <c r="L4183">
        <v>2022</v>
      </c>
      <c r="N4183" t="s">
        <v>2348</v>
      </c>
      <c r="O4183" t="s">
        <v>47</v>
      </c>
      <c r="P4183" t="s">
        <v>2349</v>
      </c>
    </row>
    <row r="4184" spans="1:18" x14ac:dyDescent="0.3">
      <c r="A4184" t="s">
        <v>6</v>
      </c>
      <c r="B4184" t="s">
        <v>6</v>
      </c>
      <c r="C4184">
        <v>90</v>
      </c>
      <c r="D4184" t="s">
        <v>10</v>
      </c>
      <c r="F4184" s="43">
        <v>44659.6875</v>
      </c>
      <c r="G4184" s="43">
        <v>44659.75</v>
      </c>
      <c r="H4184">
        <v>16</v>
      </c>
      <c r="I4184">
        <v>30</v>
      </c>
      <c r="J4184">
        <v>18</v>
      </c>
      <c r="K4184">
        <v>0</v>
      </c>
      <c r="L4184">
        <v>2022</v>
      </c>
      <c r="N4184" t="s">
        <v>47</v>
      </c>
      <c r="O4184" t="s">
        <v>47</v>
      </c>
      <c r="P4184" t="s">
        <v>2341</v>
      </c>
    </row>
    <row r="4185" spans="1:18" x14ac:dyDescent="0.3">
      <c r="A4185" t="s">
        <v>2362</v>
      </c>
      <c r="B4185" t="s">
        <v>20</v>
      </c>
      <c r="C4185">
        <v>60</v>
      </c>
      <c r="D4185" t="s">
        <v>10</v>
      </c>
      <c r="E4185" t="s">
        <v>501</v>
      </c>
      <c r="F4185" s="43">
        <v>44659.625</v>
      </c>
      <c r="G4185" s="43">
        <v>44659.666666666664</v>
      </c>
      <c r="H4185">
        <v>15</v>
      </c>
      <c r="I4185">
        <v>0</v>
      </c>
      <c r="J4185">
        <v>16</v>
      </c>
      <c r="K4185">
        <v>0</v>
      </c>
      <c r="L4185">
        <v>2022</v>
      </c>
      <c r="N4185" t="s">
        <v>2363</v>
      </c>
      <c r="O4185" t="s">
        <v>47</v>
      </c>
      <c r="P4185" t="s">
        <v>2364</v>
      </c>
    </row>
    <row r="4186" spans="1:18" x14ac:dyDescent="0.3">
      <c r="A4186" t="s">
        <v>30</v>
      </c>
      <c r="B4186" t="s">
        <v>109</v>
      </c>
      <c r="C4186">
        <v>150</v>
      </c>
      <c r="D4186" t="s">
        <v>10</v>
      </c>
      <c r="E4186" t="s">
        <v>2344</v>
      </c>
      <c r="F4186" s="43">
        <v>44659.520833333336</v>
      </c>
      <c r="G4186" s="43">
        <v>44659.625</v>
      </c>
      <c r="H4186">
        <v>12</v>
      </c>
      <c r="I4186">
        <v>30</v>
      </c>
      <c r="J4186">
        <v>15</v>
      </c>
      <c r="K4186">
        <v>0</v>
      </c>
      <c r="L4186">
        <v>2022</v>
      </c>
      <c r="N4186" t="s">
        <v>47</v>
      </c>
      <c r="O4186" t="s">
        <v>47</v>
      </c>
      <c r="P4186" t="s">
        <v>2345</v>
      </c>
    </row>
    <row r="4187" spans="1:18" x14ac:dyDescent="0.3">
      <c r="A4187" t="s">
        <v>8</v>
      </c>
      <c r="B4187" t="s">
        <v>6</v>
      </c>
      <c r="C4187">
        <v>25</v>
      </c>
      <c r="D4187" t="s">
        <v>10</v>
      </c>
      <c r="F4187" s="43">
        <v>44659.458333333336</v>
      </c>
      <c r="G4187" s="43">
        <v>44659.475694444445</v>
      </c>
      <c r="H4187">
        <v>11</v>
      </c>
      <c r="I4187">
        <v>0</v>
      </c>
      <c r="J4187">
        <v>11</v>
      </c>
      <c r="K4187">
        <v>25</v>
      </c>
      <c r="L4187">
        <v>2022</v>
      </c>
      <c r="N4187" t="s">
        <v>47</v>
      </c>
      <c r="O4187" t="s">
        <v>47</v>
      </c>
      <c r="P4187" t="s">
        <v>2346</v>
      </c>
    </row>
    <row r="4188" spans="1:18" x14ac:dyDescent="0.3">
      <c r="A4188" t="s">
        <v>2838</v>
      </c>
      <c r="B4188" t="s">
        <v>20</v>
      </c>
      <c r="C4188">
        <v>60</v>
      </c>
      <c r="D4188" t="s">
        <v>10</v>
      </c>
      <c r="E4188" t="s">
        <v>5</v>
      </c>
      <c r="F4188" s="43">
        <v>44659.416666666664</v>
      </c>
      <c r="G4188" s="43">
        <v>44659.458333333336</v>
      </c>
      <c r="H4188">
        <v>10</v>
      </c>
      <c r="I4188">
        <v>0</v>
      </c>
      <c r="J4188">
        <v>11</v>
      </c>
      <c r="K4188">
        <v>0</v>
      </c>
      <c r="L4188">
        <v>2022</v>
      </c>
      <c r="N4188" t="s">
        <v>2839</v>
      </c>
      <c r="O4188" t="s">
        <v>2840</v>
      </c>
      <c r="P4188" t="s">
        <v>2841</v>
      </c>
    </row>
    <row r="4189" spans="1:18" x14ac:dyDescent="0.3">
      <c r="A4189" t="s">
        <v>8</v>
      </c>
      <c r="B4189" t="s">
        <v>6</v>
      </c>
      <c r="C4189">
        <v>15</v>
      </c>
      <c r="D4189" t="s">
        <v>10</v>
      </c>
      <c r="F4189" s="43">
        <v>44659.385416666664</v>
      </c>
      <c r="G4189" s="43">
        <v>44659.395833333336</v>
      </c>
      <c r="H4189">
        <v>9</v>
      </c>
      <c r="I4189">
        <v>15</v>
      </c>
      <c r="J4189">
        <v>9</v>
      </c>
      <c r="K4189">
        <v>30</v>
      </c>
      <c r="L4189">
        <v>2022</v>
      </c>
      <c r="N4189" t="s">
        <v>47</v>
      </c>
      <c r="O4189" t="s">
        <v>47</v>
      </c>
      <c r="P4189" t="s">
        <v>2350</v>
      </c>
    </row>
    <row r="4190" spans="1:18" x14ac:dyDescent="0.3">
      <c r="A4190" t="s">
        <v>2479</v>
      </c>
      <c r="C4190">
        <v>45</v>
      </c>
      <c r="D4190" t="s">
        <v>10</v>
      </c>
      <c r="F4190" s="43">
        <v>44659.354166666664</v>
      </c>
      <c r="G4190" s="43">
        <v>44659.385416666664</v>
      </c>
      <c r="H4190">
        <v>8</v>
      </c>
      <c r="I4190">
        <v>30</v>
      </c>
      <c r="J4190">
        <v>9</v>
      </c>
      <c r="K4190">
        <v>15</v>
      </c>
      <c r="L4190">
        <v>2022</v>
      </c>
      <c r="N4190" t="s">
        <v>2480</v>
      </c>
      <c r="O4190" t="s">
        <v>2353</v>
      </c>
      <c r="P4190" t="s">
        <v>2481</v>
      </c>
    </row>
    <row r="4191" spans="1:18" x14ac:dyDescent="0.3">
      <c r="A4191" t="s">
        <v>8</v>
      </c>
      <c r="B4191" t="s">
        <v>6</v>
      </c>
      <c r="C4191">
        <v>35</v>
      </c>
      <c r="D4191" t="s">
        <v>10</v>
      </c>
      <c r="F4191" s="43">
        <v>44659.28125</v>
      </c>
      <c r="G4191" s="43">
        <v>44659.305555555555</v>
      </c>
      <c r="H4191">
        <v>6</v>
      </c>
      <c r="I4191">
        <v>45</v>
      </c>
      <c r="J4191">
        <v>7</v>
      </c>
      <c r="K4191">
        <v>20</v>
      </c>
      <c r="L4191">
        <v>2022</v>
      </c>
      <c r="N4191" t="s">
        <v>47</v>
      </c>
      <c r="O4191" t="s">
        <v>47</v>
      </c>
      <c r="P4191" t="s">
        <v>2355</v>
      </c>
    </row>
    <row r="4192" spans="1:18" x14ac:dyDescent="0.3">
      <c r="A4192" t="s">
        <v>2356</v>
      </c>
      <c r="B4192" t="s">
        <v>109</v>
      </c>
      <c r="C4192">
        <v>40</v>
      </c>
      <c r="D4192" t="s">
        <v>10</v>
      </c>
      <c r="E4192" t="s">
        <v>2357</v>
      </c>
      <c r="F4192" s="43">
        <v>44658.722222222219</v>
      </c>
      <c r="G4192" s="43">
        <v>44658.75</v>
      </c>
      <c r="H4192">
        <v>17</v>
      </c>
      <c r="I4192">
        <v>20</v>
      </c>
      <c r="J4192">
        <v>18</v>
      </c>
      <c r="K4192">
        <v>0</v>
      </c>
      <c r="L4192">
        <v>2022</v>
      </c>
      <c r="N4192" t="s">
        <v>47</v>
      </c>
      <c r="O4192" t="s">
        <v>47</v>
      </c>
      <c r="P4192" t="s">
        <v>2358</v>
      </c>
    </row>
    <row r="4193" spans="1:16" x14ac:dyDescent="0.3">
      <c r="A4193" t="s">
        <v>2359</v>
      </c>
      <c r="B4193" t="s">
        <v>109</v>
      </c>
      <c r="C4193">
        <v>60</v>
      </c>
      <c r="D4193" t="s">
        <v>10</v>
      </c>
      <c r="E4193" t="s">
        <v>2360</v>
      </c>
      <c r="F4193" s="43">
        <v>44658.666666666664</v>
      </c>
      <c r="G4193" s="43">
        <v>44658.708333333336</v>
      </c>
      <c r="H4193">
        <v>16</v>
      </c>
      <c r="I4193">
        <v>0</v>
      </c>
      <c r="J4193">
        <v>17</v>
      </c>
      <c r="K4193">
        <v>0</v>
      </c>
      <c r="L4193">
        <v>2022</v>
      </c>
      <c r="N4193" t="s">
        <v>47</v>
      </c>
      <c r="O4193" t="s">
        <v>47</v>
      </c>
      <c r="P4193" t="s">
        <v>2361</v>
      </c>
    </row>
    <row r="4194" spans="1:16" x14ac:dyDescent="0.3">
      <c r="A4194" t="s">
        <v>2365</v>
      </c>
      <c r="B4194" t="s">
        <v>109</v>
      </c>
      <c r="C4194">
        <v>40</v>
      </c>
      <c r="D4194" t="s">
        <v>10</v>
      </c>
      <c r="E4194" t="s">
        <v>2360</v>
      </c>
      <c r="F4194" s="43">
        <v>44658.625</v>
      </c>
      <c r="G4194" s="43">
        <v>44658.652777777781</v>
      </c>
      <c r="H4194">
        <v>15</v>
      </c>
      <c r="I4194">
        <v>0</v>
      </c>
      <c r="J4194">
        <v>15</v>
      </c>
      <c r="K4194">
        <v>40</v>
      </c>
      <c r="L4194">
        <v>2022</v>
      </c>
      <c r="N4194" t="s">
        <v>47</v>
      </c>
      <c r="O4194" t="s">
        <v>47</v>
      </c>
      <c r="P4194" t="s">
        <v>2366</v>
      </c>
    </row>
    <row r="4195" spans="1:16" x14ac:dyDescent="0.3">
      <c r="A4195" t="s">
        <v>2365</v>
      </c>
      <c r="B4195" t="s">
        <v>109</v>
      </c>
      <c r="C4195">
        <v>80</v>
      </c>
      <c r="D4195" t="s">
        <v>10</v>
      </c>
      <c r="E4195" t="s">
        <v>2360</v>
      </c>
      <c r="F4195" s="43">
        <v>44658.541666666664</v>
      </c>
      <c r="G4195" s="43">
        <v>44658.597222222219</v>
      </c>
      <c r="H4195">
        <v>13</v>
      </c>
      <c r="I4195">
        <v>0</v>
      </c>
      <c r="J4195">
        <v>14</v>
      </c>
      <c r="K4195">
        <v>20</v>
      </c>
      <c r="L4195">
        <v>2022</v>
      </c>
      <c r="N4195" t="s">
        <v>47</v>
      </c>
      <c r="O4195" t="s">
        <v>47</v>
      </c>
      <c r="P4195" t="s">
        <v>2367</v>
      </c>
    </row>
    <row r="4196" spans="1:16" x14ac:dyDescent="0.3">
      <c r="A4196" t="s">
        <v>7</v>
      </c>
      <c r="B4196" t="s">
        <v>6</v>
      </c>
      <c r="C4196">
        <v>30</v>
      </c>
      <c r="D4196" t="s">
        <v>10</v>
      </c>
      <c r="E4196" t="s">
        <v>449</v>
      </c>
      <c r="F4196" s="43">
        <v>44658.479166666664</v>
      </c>
      <c r="G4196" s="43">
        <v>44658.5</v>
      </c>
      <c r="H4196">
        <v>11</v>
      </c>
      <c r="I4196">
        <v>30</v>
      </c>
      <c r="J4196">
        <v>12</v>
      </c>
      <c r="K4196">
        <v>0</v>
      </c>
      <c r="L4196">
        <v>2022</v>
      </c>
      <c r="N4196" t="s">
        <v>47</v>
      </c>
      <c r="O4196" t="s">
        <v>47</v>
      </c>
      <c r="P4196" t="s">
        <v>2372</v>
      </c>
    </row>
    <row r="4197" spans="1:16" x14ac:dyDescent="0.3">
      <c r="A4197" t="s">
        <v>2369</v>
      </c>
      <c r="B4197" t="s">
        <v>109</v>
      </c>
      <c r="C4197">
        <v>30</v>
      </c>
      <c r="D4197" t="s">
        <v>10</v>
      </c>
      <c r="E4197" t="s">
        <v>2370</v>
      </c>
      <c r="F4197" s="43">
        <v>44658.375</v>
      </c>
      <c r="G4197" s="43">
        <v>44658.395833333336</v>
      </c>
      <c r="H4197">
        <v>9</v>
      </c>
      <c r="I4197">
        <v>0</v>
      </c>
      <c r="J4197">
        <v>9</v>
      </c>
      <c r="K4197">
        <v>30</v>
      </c>
      <c r="L4197">
        <v>2022</v>
      </c>
      <c r="N4197" t="s">
        <v>47</v>
      </c>
      <c r="O4197" t="s">
        <v>47</v>
      </c>
      <c r="P4197" t="s">
        <v>2371</v>
      </c>
    </row>
    <row r="4198" spans="1:16" x14ac:dyDescent="0.3">
      <c r="A4198" t="s">
        <v>6</v>
      </c>
      <c r="B4198" t="s">
        <v>6</v>
      </c>
      <c r="C4198">
        <v>45</v>
      </c>
      <c r="D4198" t="s">
        <v>10</v>
      </c>
      <c r="F4198" s="43">
        <v>44658.3125</v>
      </c>
      <c r="G4198" s="43">
        <v>44658.34375</v>
      </c>
      <c r="H4198">
        <v>7</v>
      </c>
      <c r="I4198">
        <v>30</v>
      </c>
      <c r="J4198">
        <v>8</v>
      </c>
      <c r="K4198">
        <v>15</v>
      </c>
      <c r="L4198">
        <v>2022</v>
      </c>
      <c r="N4198" t="s">
        <v>47</v>
      </c>
      <c r="O4198" t="s">
        <v>47</v>
      </c>
      <c r="P4198" t="s">
        <v>2368</v>
      </c>
    </row>
    <row r="4199" spans="1:16" x14ac:dyDescent="0.3">
      <c r="A4199" t="s">
        <v>2377</v>
      </c>
      <c r="B4199" t="s">
        <v>2222</v>
      </c>
      <c r="C4199">
        <v>60</v>
      </c>
      <c r="D4199" t="s">
        <v>10</v>
      </c>
      <c r="E4199" t="s">
        <v>2378</v>
      </c>
      <c r="F4199" s="43">
        <v>44658.25</v>
      </c>
      <c r="G4199" s="43">
        <v>44658.291666666664</v>
      </c>
      <c r="H4199">
        <v>6</v>
      </c>
      <c r="I4199">
        <v>0</v>
      </c>
      <c r="J4199">
        <v>7</v>
      </c>
      <c r="K4199">
        <v>0</v>
      </c>
      <c r="L4199">
        <v>2022</v>
      </c>
      <c r="N4199" t="s">
        <v>47</v>
      </c>
      <c r="O4199" t="s">
        <v>47</v>
      </c>
      <c r="P4199" t="s">
        <v>2379</v>
      </c>
    </row>
    <row r="4200" spans="1:16" x14ac:dyDescent="0.3">
      <c r="A4200" t="s">
        <v>2380</v>
      </c>
      <c r="B4200" t="s">
        <v>223</v>
      </c>
      <c r="C4200">
        <v>60</v>
      </c>
      <c r="D4200" t="s">
        <v>10</v>
      </c>
      <c r="E4200" t="s">
        <v>2381</v>
      </c>
      <c r="F4200" s="43">
        <v>44658.208333333336</v>
      </c>
      <c r="G4200" s="43">
        <v>44658.25</v>
      </c>
      <c r="H4200">
        <v>5</v>
      </c>
      <c r="I4200">
        <v>0</v>
      </c>
      <c r="J4200">
        <v>6</v>
      </c>
      <c r="K4200">
        <v>0</v>
      </c>
      <c r="L4200">
        <v>2022</v>
      </c>
      <c r="N4200" t="s">
        <v>47</v>
      </c>
      <c r="O4200" t="s">
        <v>47</v>
      </c>
      <c r="P4200" t="s">
        <v>2382</v>
      </c>
    </row>
    <row r="4201" spans="1:16" x14ac:dyDescent="0.3">
      <c r="A4201" t="s">
        <v>6</v>
      </c>
      <c r="B4201" t="s">
        <v>6</v>
      </c>
      <c r="C4201">
        <v>30</v>
      </c>
      <c r="D4201" t="s">
        <v>10</v>
      </c>
      <c r="F4201" s="43">
        <v>44657.729166666664</v>
      </c>
      <c r="G4201" s="43">
        <v>44657.75</v>
      </c>
      <c r="H4201">
        <v>17</v>
      </c>
      <c r="I4201">
        <v>30</v>
      </c>
      <c r="J4201">
        <v>18</v>
      </c>
      <c r="K4201">
        <v>0</v>
      </c>
      <c r="L4201">
        <v>2022</v>
      </c>
      <c r="O4201" t="s">
        <v>47</v>
      </c>
      <c r="P4201" t="s">
        <v>2376</v>
      </c>
    </row>
    <row r="4202" spans="1:16" x14ac:dyDescent="0.3">
      <c r="A4202" t="s">
        <v>23</v>
      </c>
      <c r="B4202" t="s">
        <v>6</v>
      </c>
      <c r="C4202">
        <v>30</v>
      </c>
      <c r="D4202" t="s">
        <v>10</v>
      </c>
      <c r="E4202" t="s">
        <v>447</v>
      </c>
      <c r="F4202" s="43">
        <v>44657.708333333336</v>
      </c>
      <c r="G4202" s="43">
        <v>44657.729166666664</v>
      </c>
      <c r="H4202">
        <v>17</v>
      </c>
      <c r="I4202">
        <v>0</v>
      </c>
      <c r="J4202">
        <v>17</v>
      </c>
      <c r="K4202">
        <v>30</v>
      </c>
      <c r="L4202">
        <v>2022</v>
      </c>
      <c r="N4202" t="s">
        <v>47</v>
      </c>
      <c r="O4202" t="s">
        <v>47</v>
      </c>
      <c r="P4202" t="s">
        <v>2383</v>
      </c>
    </row>
    <row r="4203" spans="1:16" x14ac:dyDescent="0.3">
      <c r="A4203" t="s">
        <v>2384</v>
      </c>
      <c r="B4203" t="s">
        <v>223</v>
      </c>
      <c r="C4203">
        <v>90</v>
      </c>
      <c r="D4203" t="s">
        <v>10</v>
      </c>
      <c r="E4203" t="s">
        <v>2381</v>
      </c>
      <c r="F4203" s="43">
        <v>44657.645833333336</v>
      </c>
      <c r="G4203" s="43">
        <v>44657.708333333336</v>
      </c>
      <c r="H4203">
        <v>15</v>
      </c>
      <c r="I4203">
        <v>30</v>
      </c>
      <c r="J4203">
        <v>17</v>
      </c>
      <c r="K4203">
        <v>0</v>
      </c>
      <c r="L4203">
        <v>2022</v>
      </c>
      <c r="N4203" t="s">
        <v>47</v>
      </c>
      <c r="O4203" t="s">
        <v>47</v>
      </c>
      <c r="P4203" t="s">
        <v>2385</v>
      </c>
    </row>
    <row r="4204" spans="1:16" x14ac:dyDescent="0.3">
      <c r="A4204" t="s">
        <v>1760</v>
      </c>
      <c r="B4204" t="s">
        <v>109</v>
      </c>
      <c r="C4204">
        <v>80</v>
      </c>
      <c r="D4204" t="s">
        <v>10</v>
      </c>
      <c r="E4204" t="s">
        <v>2214</v>
      </c>
      <c r="F4204" s="43">
        <v>44657.583333333336</v>
      </c>
      <c r="G4204" s="43">
        <v>44657.638888888891</v>
      </c>
      <c r="H4204">
        <v>14</v>
      </c>
      <c r="I4204">
        <v>0</v>
      </c>
      <c r="J4204">
        <v>15</v>
      </c>
      <c r="K4204">
        <v>20</v>
      </c>
      <c r="L4204">
        <v>2022</v>
      </c>
      <c r="N4204" t="s">
        <v>47</v>
      </c>
      <c r="O4204" t="s">
        <v>47</v>
      </c>
      <c r="P4204" t="s">
        <v>2386</v>
      </c>
    </row>
    <row r="4205" spans="1:16" x14ac:dyDescent="0.3">
      <c r="A4205" t="s">
        <v>6</v>
      </c>
      <c r="B4205" t="s">
        <v>6</v>
      </c>
      <c r="C4205">
        <v>30</v>
      </c>
      <c r="D4205" t="s">
        <v>10</v>
      </c>
      <c r="F4205" s="43">
        <v>44657.520833333336</v>
      </c>
      <c r="G4205" s="43">
        <v>44657.541666666664</v>
      </c>
      <c r="H4205">
        <v>12</v>
      </c>
      <c r="I4205">
        <v>30</v>
      </c>
      <c r="J4205">
        <v>13</v>
      </c>
      <c r="K4205">
        <v>0</v>
      </c>
      <c r="L4205">
        <v>2022</v>
      </c>
      <c r="O4205" t="s">
        <v>47</v>
      </c>
      <c r="P4205" t="s">
        <v>2387</v>
      </c>
    </row>
    <row r="4206" spans="1:16" x14ac:dyDescent="0.3">
      <c r="A4206" t="s">
        <v>2392</v>
      </c>
      <c r="C4206">
        <v>30</v>
      </c>
      <c r="D4206" t="s">
        <v>10</v>
      </c>
      <c r="F4206" s="43">
        <v>44657.5</v>
      </c>
      <c r="G4206" s="43">
        <v>44657.520833333336</v>
      </c>
      <c r="H4206">
        <v>12</v>
      </c>
      <c r="I4206">
        <v>0</v>
      </c>
      <c r="J4206">
        <v>12</v>
      </c>
      <c r="K4206">
        <v>30</v>
      </c>
      <c r="L4206">
        <v>2022</v>
      </c>
      <c r="O4206" t="s">
        <v>47</v>
      </c>
      <c r="P4206" t="s">
        <v>2393</v>
      </c>
    </row>
    <row r="4207" spans="1:16" x14ac:dyDescent="0.3">
      <c r="A4207" t="s">
        <v>1969</v>
      </c>
      <c r="B4207" t="s">
        <v>109</v>
      </c>
      <c r="C4207">
        <v>60</v>
      </c>
      <c r="D4207" t="s">
        <v>10</v>
      </c>
      <c r="E4207" t="s">
        <v>2214</v>
      </c>
      <c r="F4207" s="43">
        <v>44657.458333333336</v>
      </c>
      <c r="G4207" s="43">
        <v>44657.5</v>
      </c>
      <c r="H4207">
        <v>11</v>
      </c>
      <c r="I4207">
        <v>0</v>
      </c>
      <c r="J4207">
        <v>12</v>
      </c>
      <c r="K4207">
        <v>0</v>
      </c>
      <c r="L4207">
        <v>2022</v>
      </c>
      <c r="N4207" t="s">
        <v>47</v>
      </c>
      <c r="O4207" t="s">
        <v>47</v>
      </c>
      <c r="P4207" t="s">
        <v>2391</v>
      </c>
    </row>
    <row r="4208" spans="1:16" x14ac:dyDescent="0.3">
      <c r="A4208" t="s">
        <v>6</v>
      </c>
      <c r="B4208" t="s">
        <v>6</v>
      </c>
      <c r="C4208">
        <v>30</v>
      </c>
      <c r="D4208" t="s">
        <v>10</v>
      </c>
      <c r="F4208" s="43">
        <v>44657.375</v>
      </c>
      <c r="G4208" s="43">
        <v>44657.395833333336</v>
      </c>
      <c r="H4208">
        <v>9</v>
      </c>
      <c r="I4208">
        <v>0</v>
      </c>
      <c r="J4208">
        <v>9</v>
      </c>
      <c r="K4208">
        <v>30</v>
      </c>
      <c r="L4208">
        <v>2022</v>
      </c>
      <c r="O4208" t="s">
        <v>47</v>
      </c>
      <c r="P4208" t="s">
        <v>2395</v>
      </c>
    </row>
    <row r="4209" spans="1:16" x14ac:dyDescent="0.3">
      <c r="A4209" t="s">
        <v>8</v>
      </c>
      <c r="B4209" t="s">
        <v>6</v>
      </c>
      <c r="C4209">
        <v>15</v>
      </c>
      <c r="D4209" t="s">
        <v>10</v>
      </c>
      <c r="F4209" s="43">
        <v>44657.322916666664</v>
      </c>
      <c r="G4209" s="43">
        <v>44657.333333333336</v>
      </c>
      <c r="H4209">
        <v>7</v>
      </c>
      <c r="I4209">
        <v>45</v>
      </c>
      <c r="J4209">
        <v>8</v>
      </c>
      <c r="K4209">
        <v>0</v>
      </c>
      <c r="L4209">
        <v>2022</v>
      </c>
      <c r="O4209" t="s">
        <v>47</v>
      </c>
      <c r="P4209" t="s">
        <v>2394</v>
      </c>
    </row>
    <row r="4210" spans="1:16" x14ac:dyDescent="0.3">
      <c r="A4210" t="s">
        <v>1969</v>
      </c>
      <c r="B4210" t="s">
        <v>109</v>
      </c>
      <c r="C4210">
        <v>30</v>
      </c>
      <c r="D4210" t="s">
        <v>10</v>
      </c>
      <c r="E4210" t="s">
        <v>2214</v>
      </c>
      <c r="F4210" s="43">
        <v>44657.270833333336</v>
      </c>
      <c r="G4210" s="43">
        <v>44657.291666666664</v>
      </c>
      <c r="H4210">
        <v>6</v>
      </c>
      <c r="I4210">
        <v>30</v>
      </c>
      <c r="J4210">
        <v>7</v>
      </c>
      <c r="K4210">
        <v>0</v>
      </c>
      <c r="L4210">
        <v>2022</v>
      </c>
      <c r="N4210" t="s">
        <v>47</v>
      </c>
      <c r="O4210" t="s">
        <v>47</v>
      </c>
      <c r="P4210" t="s">
        <v>2396</v>
      </c>
    </row>
    <row r="4211" spans="1:16" x14ac:dyDescent="0.3">
      <c r="A4211" t="s">
        <v>1893</v>
      </c>
      <c r="B4211" t="s">
        <v>20</v>
      </c>
      <c r="C4211">
        <v>30</v>
      </c>
      <c r="D4211" t="s">
        <v>256</v>
      </c>
      <c r="F4211" s="43">
        <v>44657</v>
      </c>
      <c r="G4211" s="43">
        <v>44699</v>
      </c>
      <c r="H4211">
        <v>5</v>
      </c>
      <c r="I4211">
        <v>30</v>
      </c>
      <c r="J4211">
        <v>6</v>
      </c>
      <c r="K4211">
        <v>0</v>
      </c>
      <c r="L4211">
        <v>2022</v>
      </c>
      <c r="N4211" t="s">
        <v>1894</v>
      </c>
      <c r="O4211" t="s">
        <v>1895</v>
      </c>
      <c r="P4211" t="s">
        <v>1896</v>
      </c>
    </row>
    <row r="4212" spans="1:16" x14ac:dyDescent="0.3">
      <c r="A4212" t="s">
        <v>446</v>
      </c>
      <c r="B4212" t="s">
        <v>6</v>
      </c>
      <c r="C4212">
        <v>40</v>
      </c>
      <c r="D4212" t="s">
        <v>10</v>
      </c>
      <c r="E4212" t="s">
        <v>447</v>
      </c>
      <c r="F4212" s="43">
        <v>44656.708333333336</v>
      </c>
      <c r="G4212" s="43">
        <v>44656.736111111109</v>
      </c>
      <c r="H4212">
        <v>17</v>
      </c>
      <c r="I4212">
        <v>0</v>
      </c>
      <c r="J4212">
        <v>17</v>
      </c>
      <c r="K4212">
        <v>40</v>
      </c>
      <c r="L4212">
        <v>2022</v>
      </c>
      <c r="N4212" t="s">
        <v>47</v>
      </c>
      <c r="O4212" t="s">
        <v>47</v>
      </c>
      <c r="P4212" t="s">
        <v>2397</v>
      </c>
    </row>
    <row r="4213" spans="1:16" x14ac:dyDescent="0.3">
      <c r="A4213" t="s">
        <v>1793</v>
      </c>
      <c r="B4213" t="s">
        <v>109</v>
      </c>
      <c r="C4213">
        <v>80</v>
      </c>
      <c r="D4213" t="s">
        <v>10</v>
      </c>
      <c r="E4213" t="s">
        <v>2214</v>
      </c>
      <c r="F4213" s="43">
        <v>44656.645833333336</v>
      </c>
      <c r="G4213" s="43">
        <v>44656.701388888891</v>
      </c>
      <c r="H4213">
        <v>15</v>
      </c>
      <c r="I4213">
        <v>30</v>
      </c>
      <c r="J4213">
        <v>16</v>
      </c>
      <c r="K4213">
        <v>50</v>
      </c>
      <c r="L4213">
        <v>2022</v>
      </c>
      <c r="N4213" t="s">
        <v>47</v>
      </c>
      <c r="O4213" t="s">
        <v>47</v>
      </c>
      <c r="P4213" t="s">
        <v>2398</v>
      </c>
    </row>
    <row r="4214" spans="1:16" x14ac:dyDescent="0.3">
      <c r="A4214" t="s">
        <v>1969</v>
      </c>
      <c r="B4214" t="s">
        <v>109</v>
      </c>
      <c r="C4214">
        <v>80</v>
      </c>
      <c r="D4214" t="s">
        <v>10</v>
      </c>
      <c r="E4214" t="s">
        <v>2214</v>
      </c>
      <c r="F4214" s="43">
        <v>44656.548611111109</v>
      </c>
      <c r="G4214" s="43">
        <v>44656.604166666664</v>
      </c>
      <c r="H4214">
        <v>13</v>
      </c>
      <c r="I4214">
        <v>10</v>
      </c>
      <c r="J4214">
        <v>14</v>
      </c>
      <c r="K4214">
        <v>30</v>
      </c>
      <c r="L4214">
        <v>2022</v>
      </c>
      <c r="N4214" t="s">
        <v>47</v>
      </c>
      <c r="O4214" t="s">
        <v>47</v>
      </c>
      <c r="P4214" t="s">
        <v>2399</v>
      </c>
    </row>
    <row r="4215" spans="1:16" x14ac:dyDescent="0.3">
      <c r="A4215" t="s">
        <v>1105</v>
      </c>
      <c r="B4215" t="s">
        <v>6</v>
      </c>
      <c r="C4215">
        <v>11</v>
      </c>
      <c r="D4215" t="s">
        <v>10</v>
      </c>
      <c r="E4215" t="s">
        <v>2404</v>
      </c>
      <c r="F4215" s="43">
        <v>44656.520833333336</v>
      </c>
      <c r="G4215" s="43">
        <v>44656.52847222222</v>
      </c>
      <c r="H4215">
        <v>12</v>
      </c>
      <c r="I4215">
        <v>30</v>
      </c>
      <c r="J4215">
        <v>12</v>
      </c>
      <c r="K4215">
        <v>41</v>
      </c>
      <c r="L4215">
        <v>2022</v>
      </c>
      <c r="N4215" t="s">
        <v>47</v>
      </c>
      <c r="O4215" t="s">
        <v>47</v>
      </c>
      <c r="P4215" t="s">
        <v>2405</v>
      </c>
    </row>
    <row r="4216" spans="1:16" x14ac:dyDescent="0.3">
      <c r="A4216" t="s">
        <v>2476</v>
      </c>
      <c r="B4216" t="s">
        <v>20</v>
      </c>
      <c r="C4216">
        <v>60</v>
      </c>
      <c r="D4216" t="s">
        <v>10</v>
      </c>
      <c r="E4216" t="s">
        <v>2477</v>
      </c>
      <c r="F4216" s="43">
        <v>44656.479166666664</v>
      </c>
      <c r="G4216" s="43">
        <v>44656.520833333336</v>
      </c>
      <c r="H4216">
        <v>11</v>
      </c>
      <c r="I4216">
        <v>30</v>
      </c>
      <c r="J4216">
        <v>12</v>
      </c>
      <c r="K4216">
        <v>30</v>
      </c>
      <c r="L4216">
        <v>2022</v>
      </c>
      <c r="N4216" t="s">
        <v>549</v>
      </c>
      <c r="O4216" t="s">
        <v>458</v>
      </c>
      <c r="P4216" t="s">
        <v>2478</v>
      </c>
    </row>
    <row r="4217" spans="1:16" x14ac:dyDescent="0.3">
      <c r="A4217" t="s">
        <v>1760</v>
      </c>
      <c r="B4217" t="s">
        <v>109</v>
      </c>
      <c r="C4217">
        <v>30</v>
      </c>
      <c r="D4217" t="s">
        <v>10</v>
      </c>
      <c r="E4217" t="s">
        <v>2214</v>
      </c>
      <c r="F4217" s="43">
        <v>44656.458333333336</v>
      </c>
      <c r="G4217" s="43">
        <v>44656.479166666664</v>
      </c>
      <c r="H4217">
        <v>11</v>
      </c>
      <c r="I4217">
        <v>0</v>
      </c>
      <c r="J4217">
        <v>11</v>
      </c>
      <c r="K4217">
        <v>30</v>
      </c>
      <c r="L4217">
        <v>2022</v>
      </c>
      <c r="N4217" t="s">
        <v>47</v>
      </c>
      <c r="O4217" t="s">
        <v>47</v>
      </c>
      <c r="P4217" t="s">
        <v>2406</v>
      </c>
    </row>
    <row r="4218" spans="1:16" x14ac:dyDescent="0.3">
      <c r="A4218" t="s">
        <v>1760</v>
      </c>
      <c r="B4218" t="s">
        <v>109</v>
      </c>
      <c r="C4218">
        <v>30</v>
      </c>
      <c r="D4218" t="s">
        <v>10</v>
      </c>
      <c r="E4218" t="s">
        <v>2214</v>
      </c>
      <c r="F4218" s="43">
        <v>44656.395833333336</v>
      </c>
      <c r="G4218" s="43">
        <v>44656.416666666664</v>
      </c>
      <c r="H4218">
        <v>9</v>
      </c>
      <c r="I4218">
        <v>30</v>
      </c>
      <c r="J4218">
        <v>10</v>
      </c>
      <c r="K4218">
        <v>0</v>
      </c>
      <c r="L4218">
        <v>2022</v>
      </c>
      <c r="N4218" t="s">
        <v>47</v>
      </c>
      <c r="O4218" t="s">
        <v>47</v>
      </c>
      <c r="P4218" t="s">
        <v>2411</v>
      </c>
    </row>
    <row r="4219" spans="1:16" x14ac:dyDescent="0.3">
      <c r="A4219" t="s">
        <v>2413</v>
      </c>
      <c r="B4219" t="s">
        <v>2222</v>
      </c>
      <c r="C4219">
        <v>30</v>
      </c>
      <c r="D4219" t="s">
        <v>10</v>
      </c>
      <c r="E4219" t="s">
        <v>2378</v>
      </c>
      <c r="F4219" s="43">
        <v>44656.375</v>
      </c>
      <c r="G4219" s="43">
        <v>44656.395833333336</v>
      </c>
      <c r="H4219">
        <v>9</v>
      </c>
      <c r="I4219">
        <v>0</v>
      </c>
      <c r="J4219">
        <v>9</v>
      </c>
      <c r="K4219">
        <v>30</v>
      </c>
      <c r="L4219">
        <v>2022</v>
      </c>
      <c r="N4219" t="s">
        <v>47</v>
      </c>
      <c r="O4219" t="s">
        <v>47</v>
      </c>
      <c r="P4219" t="s">
        <v>2414</v>
      </c>
    </row>
    <row r="4220" spans="1:16" x14ac:dyDescent="0.3">
      <c r="A4220" t="s">
        <v>1760</v>
      </c>
      <c r="B4220" t="s">
        <v>109</v>
      </c>
      <c r="C4220">
        <v>30</v>
      </c>
      <c r="D4220" t="s">
        <v>10</v>
      </c>
      <c r="E4220" t="s">
        <v>2214</v>
      </c>
      <c r="F4220" s="43">
        <v>44656.354166666664</v>
      </c>
      <c r="G4220" s="43">
        <v>44656.375</v>
      </c>
      <c r="H4220">
        <v>8</v>
      </c>
      <c r="I4220">
        <v>30</v>
      </c>
      <c r="J4220">
        <v>9</v>
      </c>
      <c r="K4220">
        <v>0</v>
      </c>
      <c r="L4220">
        <v>2022</v>
      </c>
      <c r="N4220" t="s">
        <v>47</v>
      </c>
      <c r="O4220" t="s">
        <v>47</v>
      </c>
      <c r="P4220" t="s">
        <v>2412</v>
      </c>
    </row>
    <row r="4221" spans="1:16" x14ac:dyDescent="0.3">
      <c r="A4221" t="s">
        <v>2472</v>
      </c>
      <c r="B4221" t="s">
        <v>20</v>
      </c>
      <c r="C4221">
        <v>60</v>
      </c>
      <c r="D4221" t="s">
        <v>10</v>
      </c>
      <c r="E4221" t="s">
        <v>2473</v>
      </c>
      <c r="F4221" s="43">
        <v>44656.291666666664</v>
      </c>
      <c r="G4221" s="43">
        <v>44656.333333333336</v>
      </c>
      <c r="H4221">
        <v>7</v>
      </c>
      <c r="I4221">
        <v>0</v>
      </c>
      <c r="J4221">
        <v>8</v>
      </c>
      <c r="K4221">
        <v>0</v>
      </c>
      <c r="L4221">
        <v>2022</v>
      </c>
      <c r="N4221" t="s">
        <v>2474</v>
      </c>
      <c r="O4221" t="s">
        <v>956</v>
      </c>
      <c r="P4221" t="s">
        <v>2475</v>
      </c>
    </row>
    <row r="4222" spans="1:16" x14ac:dyDescent="0.3">
      <c r="A4222" t="s">
        <v>2415</v>
      </c>
      <c r="B4222" t="s">
        <v>109</v>
      </c>
      <c r="C4222">
        <v>60</v>
      </c>
      <c r="D4222" t="s">
        <v>10</v>
      </c>
      <c r="E4222" t="s">
        <v>2416</v>
      </c>
      <c r="F4222" s="43">
        <v>44656.208333333336</v>
      </c>
      <c r="G4222" s="43">
        <v>44656.25</v>
      </c>
      <c r="H4222">
        <v>5</v>
      </c>
      <c r="I4222">
        <v>0</v>
      </c>
      <c r="J4222">
        <v>6</v>
      </c>
      <c r="K4222">
        <v>0</v>
      </c>
      <c r="L4222">
        <v>2022</v>
      </c>
      <c r="N4222" t="s">
        <v>47</v>
      </c>
      <c r="O4222" t="s">
        <v>47</v>
      </c>
      <c r="P4222" t="s">
        <v>2417</v>
      </c>
    </row>
    <row r="4223" spans="1:16" x14ac:dyDescent="0.3">
      <c r="A4223" t="s">
        <v>2426</v>
      </c>
      <c r="B4223" t="s">
        <v>20</v>
      </c>
      <c r="C4223">
        <v>30</v>
      </c>
      <c r="D4223" t="s">
        <v>256</v>
      </c>
      <c r="E4223" t="s">
        <v>2427</v>
      </c>
      <c r="F4223" s="43">
        <v>44656</v>
      </c>
      <c r="G4223" s="43">
        <v>44824</v>
      </c>
      <c r="H4223">
        <v>18</v>
      </c>
      <c r="I4223">
        <v>0</v>
      </c>
      <c r="J4223">
        <v>18</v>
      </c>
      <c r="K4223">
        <v>30</v>
      </c>
      <c r="L4223">
        <v>2022</v>
      </c>
      <c r="N4223" t="s">
        <v>2428</v>
      </c>
      <c r="O4223" t="s">
        <v>47</v>
      </c>
      <c r="P4223" t="s">
        <v>2429</v>
      </c>
    </row>
    <row r="4224" spans="1:16" x14ac:dyDescent="0.3">
      <c r="A4224" t="s">
        <v>1760</v>
      </c>
      <c r="B4224" t="s">
        <v>109</v>
      </c>
      <c r="C4224">
        <v>45</v>
      </c>
      <c r="D4224" t="s">
        <v>10</v>
      </c>
      <c r="E4224" t="s">
        <v>2214</v>
      </c>
      <c r="F4224" s="43">
        <v>44655.791666666664</v>
      </c>
      <c r="G4224" s="43">
        <v>44655.822916666664</v>
      </c>
      <c r="H4224">
        <v>19</v>
      </c>
      <c r="I4224">
        <v>0</v>
      </c>
      <c r="J4224">
        <v>19</v>
      </c>
      <c r="K4224">
        <v>45</v>
      </c>
      <c r="L4224">
        <v>2022</v>
      </c>
      <c r="N4224" t="s">
        <v>47</v>
      </c>
      <c r="O4224" t="s">
        <v>47</v>
      </c>
      <c r="P4224" t="s">
        <v>2422</v>
      </c>
    </row>
    <row r="4225" spans="1:16" x14ac:dyDescent="0.3">
      <c r="A4225" t="s">
        <v>1969</v>
      </c>
      <c r="B4225" t="s">
        <v>109</v>
      </c>
      <c r="C4225">
        <v>30</v>
      </c>
      <c r="D4225" t="s">
        <v>10</v>
      </c>
      <c r="E4225" t="s">
        <v>2214</v>
      </c>
      <c r="F4225" s="43">
        <v>44655.75</v>
      </c>
      <c r="G4225" s="43">
        <v>44655.770833333336</v>
      </c>
      <c r="H4225">
        <v>18</v>
      </c>
      <c r="I4225">
        <v>0</v>
      </c>
      <c r="J4225">
        <v>18</v>
      </c>
      <c r="K4225">
        <v>30</v>
      </c>
      <c r="L4225">
        <v>2022</v>
      </c>
      <c r="N4225" t="s">
        <v>47</v>
      </c>
      <c r="O4225" t="s">
        <v>47</v>
      </c>
      <c r="P4225" t="s">
        <v>2423</v>
      </c>
    </row>
    <row r="4226" spans="1:16" x14ac:dyDescent="0.3">
      <c r="A4226" t="s">
        <v>2424</v>
      </c>
      <c r="C4226">
        <v>30</v>
      </c>
      <c r="D4226" t="s">
        <v>10</v>
      </c>
      <c r="F4226" s="43">
        <v>44655.729166666664</v>
      </c>
      <c r="G4226" s="43">
        <v>44655.75</v>
      </c>
      <c r="H4226">
        <v>17</v>
      </c>
      <c r="I4226">
        <v>30</v>
      </c>
      <c r="J4226">
        <v>18</v>
      </c>
      <c r="K4226">
        <v>0</v>
      </c>
      <c r="L4226">
        <v>2022</v>
      </c>
      <c r="N4226" t="s">
        <v>47</v>
      </c>
      <c r="O4226" t="s">
        <v>47</v>
      </c>
      <c r="P4226" t="s">
        <v>2425</v>
      </c>
    </row>
    <row r="4227" spans="1:16" x14ac:dyDescent="0.3">
      <c r="A4227" t="s">
        <v>1760</v>
      </c>
      <c r="B4227" t="s">
        <v>109</v>
      </c>
      <c r="C4227">
        <v>90</v>
      </c>
      <c r="D4227" t="s">
        <v>10</v>
      </c>
      <c r="E4227" t="s">
        <v>2214</v>
      </c>
      <c r="F4227" s="43">
        <v>44655.645833333336</v>
      </c>
      <c r="G4227" s="43">
        <v>44655.708333333336</v>
      </c>
      <c r="H4227">
        <v>15</v>
      </c>
      <c r="I4227">
        <v>30</v>
      </c>
      <c r="J4227">
        <v>17</v>
      </c>
      <c r="K4227">
        <v>0</v>
      </c>
      <c r="L4227">
        <v>2022</v>
      </c>
      <c r="N4227" t="s">
        <v>47</v>
      </c>
      <c r="O4227" t="s">
        <v>47</v>
      </c>
      <c r="P4227" t="s">
        <v>2430</v>
      </c>
    </row>
    <row r="4228" spans="1:16" x14ac:dyDescent="0.3">
      <c r="A4228" t="s">
        <v>7</v>
      </c>
      <c r="B4228" t="s">
        <v>6</v>
      </c>
      <c r="C4228">
        <v>45</v>
      </c>
      <c r="D4228" t="s">
        <v>10</v>
      </c>
      <c r="E4228" t="s">
        <v>449</v>
      </c>
      <c r="F4228" s="43">
        <v>44655.614583333336</v>
      </c>
      <c r="G4228" s="43">
        <v>44655.645833333336</v>
      </c>
      <c r="H4228">
        <v>14</v>
      </c>
      <c r="I4228">
        <v>45</v>
      </c>
      <c r="J4228">
        <v>15</v>
      </c>
      <c r="K4228">
        <v>30</v>
      </c>
      <c r="L4228">
        <v>2022</v>
      </c>
      <c r="N4228" t="s">
        <v>47</v>
      </c>
      <c r="O4228" t="s">
        <v>47</v>
      </c>
      <c r="P4228" t="s">
        <v>2431</v>
      </c>
    </row>
    <row r="4229" spans="1:16" x14ac:dyDescent="0.3">
      <c r="A4229" t="s">
        <v>2607</v>
      </c>
      <c r="C4229">
        <v>90</v>
      </c>
      <c r="D4229" t="s">
        <v>10</v>
      </c>
      <c r="F4229" s="43">
        <v>44655.552083333336</v>
      </c>
      <c r="G4229" s="43">
        <v>44655.614583333336</v>
      </c>
      <c r="H4229">
        <v>13</v>
      </c>
      <c r="I4229">
        <v>15</v>
      </c>
      <c r="J4229">
        <v>14</v>
      </c>
      <c r="K4229">
        <v>45</v>
      </c>
      <c r="L4229">
        <v>2022</v>
      </c>
      <c r="N4229" t="s">
        <v>47</v>
      </c>
      <c r="O4229" t="s">
        <v>47</v>
      </c>
      <c r="P4229" t="s">
        <v>2608</v>
      </c>
    </row>
    <row r="4230" spans="1:16" x14ac:dyDescent="0.3">
      <c r="A4230" t="s">
        <v>2493</v>
      </c>
      <c r="B4230" t="s">
        <v>223</v>
      </c>
      <c r="C4230">
        <v>30</v>
      </c>
      <c r="D4230" t="s">
        <v>10</v>
      </c>
      <c r="E4230" t="s">
        <v>2494</v>
      </c>
      <c r="F4230" s="1">
        <v>44655.520833333336</v>
      </c>
      <c r="G4230" s="1">
        <v>44655.541666666664</v>
      </c>
      <c r="H4230">
        <v>12</v>
      </c>
      <c r="I4230">
        <v>30</v>
      </c>
      <c r="J4230">
        <v>13</v>
      </c>
      <c r="K4230">
        <v>0</v>
      </c>
      <c r="L4230">
        <v>2022</v>
      </c>
      <c r="N4230" t="s">
        <v>2495</v>
      </c>
      <c r="O4230" t="s">
        <v>2437</v>
      </c>
      <c r="P4230" t="s">
        <v>2496</v>
      </c>
    </row>
    <row r="4231" spans="1:16" x14ac:dyDescent="0.3">
      <c r="A4231" t="s">
        <v>6</v>
      </c>
      <c r="B4231" t="s">
        <v>6</v>
      </c>
      <c r="C4231">
        <v>30</v>
      </c>
      <c r="D4231" t="s">
        <v>10</v>
      </c>
      <c r="F4231" s="43">
        <v>44655.5</v>
      </c>
      <c r="G4231" s="43">
        <v>44655.520833333336</v>
      </c>
      <c r="H4231">
        <v>12</v>
      </c>
      <c r="I4231">
        <v>0</v>
      </c>
      <c r="J4231">
        <v>12</v>
      </c>
      <c r="K4231">
        <v>30</v>
      </c>
      <c r="L4231">
        <v>2022</v>
      </c>
      <c r="N4231" t="s">
        <v>47</v>
      </c>
      <c r="O4231" t="s">
        <v>47</v>
      </c>
      <c r="P4231" t="s">
        <v>2433</v>
      </c>
    </row>
    <row r="4232" spans="1:16" x14ac:dyDescent="0.3">
      <c r="A4232" t="s">
        <v>2540</v>
      </c>
      <c r="B4232" t="s">
        <v>20</v>
      </c>
      <c r="C4232">
        <v>45</v>
      </c>
      <c r="D4232" t="s">
        <v>10</v>
      </c>
      <c r="E4232" t="s">
        <v>2541</v>
      </c>
      <c r="F4232" s="43">
        <v>44655.46875</v>
      </c>
      <c r="G4232" s="43">
        <v>44655.5</v>
      </c>
      <c r="H4232">
        <v>11</v>
      </c>
      <c r="I4232">
        <v>15</v>
      </c>
      <c r="J4232">
        <v>12</v>
      </c>
      <c r="K4232">
        <v>0</v>
      </c>
      <c r="L4232">
        <v>2022</v>
      </c>
      <c r="N4232" t="s">
        <v>2542</v>
      </c>
      <c r="O4232" t="s">
        <v>458</v>
      </c>
      <c r="P4232" t="s">
        <v>2543</v>
      </c>
    </row>
    <row r="4233" spans="1:16" x14ac:dyDescent="0.3">
      <c r="A4233" t="s">
        <v>2439</v>
      </c>
      <c r="B4233" t="s">
        <v>109</v>
      </c>
      <c r="C4233">
        <v>30</v>
      </c>
      <c r="D4233" t="s">
        <v>10</v>
      </c>
      <c r="E4233" t="s">
        <v>2440</v>
      </c>
      <c r="F4233" s="43">
        <v>44655.416666666664</v>
      </c>
      <c r="G4233" s="43">
        <v>44655.4375</v>
      </c>
      <c r="H4233">
        <v>10</v>
      </c>
      <c r="I4233">
        <v>0</v>
      </c>
      <c r="J4233">
        <v>10</v>
      </c>
      <c r="K4233">
        <v>30</v>
      </c>
      <c r="L4233">
        <v>2022</v>
      </c>
      <c r="N4233" t="s">
        <v>47</v>
      </c>
      <c r="O4233" t="s">
        <v>47</v>
      </c>
      <c r="P4233" t="s">
        <v>2441</v>
      </c>
    </row>
    <row r="4234" spans="1:16" x14ac:dyDescent="0.3">
      <c r="A4234" t="s">
        <v>2448</v>
      </c>
      <c r="B4234" t="s">
        <v>109</v>
      </c>
      <c r="C4234">
        <v>90</v>
      </c>
      <c r="D4234" t="s">
        <v>10</v>
      </c>
      <c r="E4234" t="s">
        <v>2449</v>
      </c>
      <c r="F4234" s="43">
        <v>44655.270833333336</v>
      </c>
      <c r="G4234" s="43">
        <v>44655.333333333336</v>
      </c>
      <c r="H4234">
        <v>6</v>
      </c>
      <c r="I4234">
        <v>30</v>
      </c>
      <c r="J4234">
        <v>8</v>
      </c>
      <c r="K4234">
        <v>0</v>
      </c>
      <c r="L4234">
        <v>2022</v>
      </c>
      <c r="N4234" t="s">
        <v>47</v>
      </c>
      <c r="O4234" t="s">
        <v>47</v>
      </c>
      <c r="P4234" t="s">
        <v>2450</v>
      </c>
    </row>
    <row r="4235" spans="1:16" x14ac:dyDescent="0.3">
      <c r="A4235" t="s">
        <v>1139</v>
      </c>
      <c r="C4235">
        <v>20</v>
      </c>
      <c r="D4235" t="s">
        <v>10</v>
      </c>
      <c r="F4235" s="43">
        <v>44654.833333333336</v>
      </c>
      <c r="G4235" s="43">
        <v>44654.847222222219</v>
      </c>
      <c r="H4235">
        <v>20</v>
      </c>
      <c r="I4235">
        <v>0</v>
      </c>
      <c r="J4235">
        <v>20</v>
      </c>
      <c r="K4235">
        <v>20</v>
      </c>
      <c r="L4235">
        <v>2022</v>
      </c>
      <c r="N4235" t="s">
        <v>47</v>
      </c>
      <c r="O4235" t="s">
        <v>47</v>
      </c>
      <c r="P4235" t="s">
        <v>2451</v>
      </c>
    </row>
    <row r="4236" spans="1:16" x14ac:dyDescent="0.3">
      <c r="A4236" t="s">
        <v>1139</v>
      </c>
      <c r="C4236">
        <v>50</v>
      </c>
      <c r="D4236" t="s">
        <v>10</v>
      </c>
      <c r="F4236" s="43">
        <v>44654.729166666664</v>
      </c>
      <c r="G4236" s="43">
        <v>44654.763888888891</v>
      </c>
      <c r="H4236">
        <v>17</v>
      </c>
      <c r="I4236">
        <v>30</v>
      </c>
      <c r="J4236">
        <v>18</v>
      </c>
      <c r="K4236">
        <v>20</v>
      </c>
      <c r="L4236">
        <v>2022</v>
      </c>
      <c r="N4236" t="s">
        <v>47</v>
      </c>
      <c r="O4236" t="s">
        <v>47</v>
      </c>
      <c r="P4236" t="s">
        <v>2452</v>
      </c>
    </row>
    <row r="4237" spans="1:16" x14ac:dyDescent="0.3">
      <c r="A4237" t="s">
        <v>1139</v>
      </c>
      <c r="C4237">
        <v>30</v>
      </c>
      <c r="D4237" t="s">
        <v>10</v>
      </c>
      <c r="F4237" s="43">
        <v>44654.694444444445</v>
      </c>
      <c r="G4237" s="43">
        <v>44654.715277777781</v>
      </c>
      <c r="H4237">
        <v>16</v>
      </c>
      <c r="I4237">
        <v>40</v>
      </c>
      <c r="J4237">
        <v>17</v>
      </c>
      <c r="K4237">
        <v>10</v>
      </c>
      <c r="L4237">
        <v>2022</v>
      </c>
      <c r="N4237" t="s">
        <v>47</v>
      </c>
      <c r="O4237" t="s">
        <v>47</v>
      </c>
      <c r="P4237" t="s">
        <v>2453</v>
      </c>
    </row>
    <row r="4238" spans="1:16" x14ac:dyDescent="0.3">
      <c r="A4238" t="s">
        <v>2454</v>
      </c>
      <c r="C4238">
        <v>90</v>
      </c>
      <c r="D4238" t="s">
        <v>10</v>
      </c>
      <c r="F4238" s="43">
        <v>44654.604166666664</v>
      </c>
      <c r="G4238" s="43">
        <v>44654.666666666664</v>
      </c>
      <c r="H4238">
        <v>14</v>
      </c>
      <c r="I4238">
        <v>30</v>
      </c>
      <c r="J4238">
        <v>16</v>
      </c>
      <c r="K4238">
        <v>0</v>
      </c>
      <c r="L4238">
        <v>2022</v>
      </c>
      <c r="N4238" t="s">
        <v>47</v>
      </c>
      <c r="O4238" t="s">
        <v>47</v>
      </c>
      <c r="P4238" t="s">
        <v>2455</v>
      </c>
    </row>
    <row r="4239" spans="1:16" x14ac:dyDescent="0.3">
      <c r="A4239" t="s">
        <v>2456</v>
      </c>
      <c r="C4239">
        <v>60</v>
      </c>
      <c r="D4239" t="s">
        <v>10</v>
      </c>
      <c r="F4239" s="43">
        <v>44653.743055555555</v>
      </c>
      <c r="G4239" s="43">
        <v>44653.784722222219</v>
      </c>
      <c r="H4239">
        <v>17</v>
      </c>
      <c r="I4239">
        <v>50</v>
      </c>
      <c r="J4239">
        <v>18</v>
      </c>
      <c r="K4239">
        <v>50</v>
      </c>
      <c r="L4239">
        <v>2022</v>
      </c>
      <c r="N4239" t="s">
        <v>47</v>
      </c>
      <c r="O4239" t="s">
        <v>47</v>
      </c>
      <c r="P4239" t="s">
        <v>2457</v>
      </c>
    </row>
    <row r="4240" spans="1:16" x14ac:dyDescent="0.3">
      <c r="A4240" t="s">
        <v>8</v>
      </c>
      <c r="C4240">
        <v>29</v>
      </c>
      <c r="D4240" t="s">
        <v>10</v>
      </c>
      <c r="F4240" s="43">
        <v>44653.697916666664</v>
      </c>
      <c r="G4240" s="43">
        <v>44653.718055555553</v>
      </c>
      <c r="H4240">
        <v>16</v>
      </c>
      <c r="I4240">
        <v>45</v>
      </c>
      <c r="J4240">
        <v>17</v>
      </c>
      <c r="K4240">
        <v>14</v>
      </c>
      <c r="L4240">
        <v>2022</v>
      </c>
      <c r="N4240" t="s">
        <v>47</v>
      </c>
      <c r="O4240" t="s">
        <v>47</v>
      </c>
      <c r="P4240" t="s">
        <v>2458</v>
      </c>
    </row>
    <row r="4241" spans="1:16" x14ac:dyDescent="0.3">
      <c r="A4241" t="s">
        <v>2459</v>
      </c>
      <c r="C4241">
        <v>30</v>
      </c>
      <c r="D4241" t="s">
        <v>10</v>
      </c>
      <c r="F4241" s="43">
        <v>44653.677083333336</v>
      </c>
      <c r="G4241" s="43">
        <v>44653.697916666664</v>
      </c>
      <c r="H4241">
        <v>16</v>
      </c>
      <c r="I4241">
        <v>15</v>
      </c>
      <c r="J4241">
        <v>16</v>
      </c>
      <c r="K4241">
        <v>45</v>
      </c>
      <c r="L4241">
        <v>2022</v>
      </c>
      <c r="O4241" t="s">
        <v>47</v>
      </c>
      <c r="P4241" t="s">
        <v>2460</v>
      </c>
    </row>
    <row r="4242" spans="1:16" x14ac:dyDescent="0.3">
      <c r="A4242" t="s">
        <v>7</v>
      </c>
      <c r="C4242">
        <v>30</v>
      </c>
      <c r="D4242" t="s">
        <v>10</v>
      </c>
      <c r="F4242" s="43">
        <v>44653.614583333336</v>
      </c>
      <c r="G4242" s="43">
        <v>44653.635416666664</v>
      </c>
      <c r="H4242">
        <v>14</v>
      </c>
      <c r="I4242">
        <v>45</v>
      </c>
      <c r="J4242">
        <v>15</v>
      </c>
      <c r="K4242">
        <v>15</v>
      </c>
      <c r="L4242">
        <v>2022</v>
      </c>
      <c r="N4242" t="s">
        <v>47</v>
      </c>
      <c r="O4242" t="s">
        <v>47</v>
      </c>
      <c r="P4242" t="s">
        <v>2432</v>
      </c>
    </row>
    <row r="4243" spans="1:16" x14ac:dyDescent="0.3">
      <c r="A4243" t="s">
        <v>1449</v>
      </c>
      <c r="C4243">
        <v>60</v>
      </c>
      <c r="D4243" t="s">
        <v>10</v>
      </c>
      <c r="E4243" t="s">
        <v>2461</v>
      </c>
      <c r="F4243" s="43">
        <v>44653.604166666664</v>
      </c>
      <c r="G4243" s="43">
        <v>44653.645833333336</v>
      </c>
      <c r="H4243">
        <v>14</v>
      </c>
      <c r="I4243">
        <v>30</v>
      </c>
      <c r="J4243">
        <v>15</v>
      </c>
      <c r="K4243">
        <v>30</v>
      </c>
      <c r="L4243">
        <v>2022</v>
      </c>
      <c r="O4243" t="s">
        <v>47</v>
      </c>
      <c r="P4243" t="s">
        <v>2462</v>
      </c>
    </row>
    <row r="4244" spans="1:16" x14ac:dyDescent="0.3">
      <c r="A4244" t="s">
        <v>827</v>
      </c>
      <c r="C4244">
        <v>60</v>
      </c>
      <c r="D4244" t="s">
        <v>10</v>
      </c>
      <c r="F4244" s="43">
        <v>44653.4375</v>
      </c>
      <c r="G4244" s="43">
        <v>44653.479166666664</v>
      </c>
      <c r="H4244">
        <v>10</v>
      </c>
      <c r="I4244">
        <v>30</v>
      </c>
      <c r="J4244">
        <v>11</v>
      </c>
      <c r="K4244">
        <v>30</v>
      </c>
      <c r="L4244">
        <v>2022</v>
      </c>
      <c r="N4244" t="s">
        <v>47</v>
      </c>
      <c r="O4244" t="s">
        <v>47</v>
      </c>
      <c r="P4244" t="s">
        <v>2463</v>
      </c>
    </row>
    <row r="4245" spans="1:16" x14ac:dyDescent="0.3">
      <c r="A4245" t="s">
        <v>2464</v>
      </c>
      <c r="C4245">
        <v>45</v>
      </c>
      <c r="D4245" t="s">
        <v>10</v>
      </c>
      <c r="F4245" s="43">
        <v>44652.760416666664</v>
      </c>
      <c r="G4245" s="43">
        <v>44652.791666666664</v>
      </c>
      <c r="H4245">
        <v>18</v>
      </c>
      <c r="I4245">
        <v>15</v>
      </c>
      <c r="J4245">
        <v>19</v>
      </c>
      <c r="K4245">
        <v>0</v>
      </c>
      <c r="L4245">
        <v>2022</v>
      </c>
      <c r="N4245" t="s">
        <v>47</v>
      </c>
      <c r="O4245" t="s">
        <v>47</v>
      </c>
      <c r="P4245" t="s">
        <v>2465</v>
      </c>
    </row>
    <row r="4246" spans="1:16" x14ac:dyDescent="0.3">
      <c r="A4246" t="s">
        <v>2466</v>
      </c>
      <c r="C4246">
        <v>60</v>
      </c>
      <c r="D4246" t="s">
        <v>10</v>
      </c>
      <c r="F4246" s="43">
        <v>44652.708333333336</v>
      </c>
      <c r="G4246" s="43">
        <v>44652.75</v>
      </c>
      <c r="H4246">
        <v>17</v>
      </c>
      <c r="I4246">
        <v>0</v>
      </c>
      <c r="J4246">
        <v>18</v>
      </c>
      <c r="K4246">
        <v>0</v>
      </c>
      <c r="L4246">
        <v>2022</v>
      </c>
      <c r="N4246" t="s">
        <v>47</v>
      </c>
      <c r="O4246" t="s">
        <v>47</v>
      </c>
      <c r="P4246" t="s">
        <v>2467</v>
      </c>
    </row>
    <row r="4247" spans="1:16" x14ac:dyDescent="0.3">
      <c r="A4247" t="s">
        <v>1139</v>
      </c>
      <c r="C4247">
        <v>75</v>
      </c>
      <c r="D4247" t="s">
        <v>10</v>
      </c>
      <c r="F4247" s="43">
        <v>44652.65625</v>
      </c>
      <c r="G4247" s="43">
        <v>44652.708333333336</v>
      </c>
      <c r="H4247">
        <v>15</v>
      </c>
      <c r="I4247">
        <v>45</v>
      </c>
      <c r="J4247">
        <v>17</v>
      </c>
      <c r="K4247">
        <v>0</v>
      </c>
      <c r="L4247">
        <v>2022</v>
      </c>
      <c r="N4247" t="s">
        <v>47</v>
      </c>
      <c r="O4247" t="s">
        <v>47</v>
      </c>
      <c r="P4247" t="s">
        <v>2468</v>
      </c>
    </row>
    <row r="4248" spans="1:16" x14ac:dyDescent="0.3">
      <c r="A4248" t="s">
        <v>7</v>
      </c>
      <c r="C4248">
        <v>30</v>
      </c>
      <c r="D4248" t="s">
        <v>10</v>
      </c>
      <c r="F4248" s="43">
        <v>44652.604166666664</v>
      </c>
      <c r="G4248" s="43">
        <v>44652.625</v>
      </c>
      <c r="H4248">
        <v>14</v>
      </c>
      <c r="I4248">
        <v>30</v>
      </c>
      <c r="J4248">
        <v>15</v>
      </c>
      <c r="K4248">
        <v>0</v>
      </c>
      <c r="L4248">
        <v>2022</v>
      </c>
      <c r="N4248" t="s">
        <v>47</v>
      </c>
      <c r="O4248" t="s">
        <v>47</v>
      </c>
      <c r="P4248" t="s">
        <v>2469</v>
      </c>
    </row>
    <row r="4249" spans="1:16" x14ac:dyDescent="0.3">
      <c r="A4249" t="s">
        <v>1139</v>
      </c>
      <c r="C4249">
        <v>30</v>
      </c>
      <c r="D4249" t="s">
        <v>10</v>
      </c>
      <c r="F4249" s="43">
        <v>44652.583333333336</v>
      </c>
      <c r="G4249" s="43">
        <v>44652.604166666664</v>
      </c>
      <c r="H4249">
        <v>14</v>
      </c>
      <c r="I4249">
        <v>0</v>
      </c>
      <c r="J4249">
        <v>14</v>
      </c>
      <c r="K4249">
        <v>30</v>
      </c>
      <c r="L4249">
        <v>2022</v>
      </c>
      <c r="N4249" t="s">
        <v>47</v>
      </c>
      <c r="O4249" t="s">
        <v>47</v>
      </c>
      <c r="P4249" t="s">
        <v>2470</v>
      </c>
    </row>
    <row r="4250" spans="1:16" x14ac:dyDescent="0.3">
      <c r="A4250" t="s">
        <v>2184</v>
      </c>
      <c r="B4250" t="s">
        <v>20</v>
      </c>
      <c r="C4250">
        <v>45</v>
      </c>
      <c r="D4250" t="s">
        <v>10</v>
      </c>
      <c r="E4250" t="s">
        <v>5</v>
      </c>
      <c r="F4250" s="43">
        <v>44652.416666666664</v>
      </c>
      <c r="G4250" s="43">
        <v>44652.447916666664</v>
      </c>
      <c r="H4250">
        <v>10</v>
      </c>
      <c r="I4250">
        <v>0</v>
      </c>
      <c r="J4250">
        <v>10</v>
      </c>
      <c r="K4250">
        <v>45</v>
      </c>
      <c r="L4250">
        <v>2022</v>
      </c>
      <c r="N4250" t="s">
        <v>2622</v>
      </c>
      <c r="O4250" t="s">
        <v>2623</v>
      </c>
      <c r="P4250" t="s">
        <v>2624</v>
      </c>
    </row>
    <row r="4251" spans="1:16" x14ac:dyDescent="0.3">
      <c r="A4251" t="s">
        <v>2482</v>
      </c>
      <c r="C4251">
        <v>60</v>
      </c>
      <c r="D4251" t="s">
        <v>10</v>
      </c>
      <c r="E4251" t="s">
        <v>2134</v>
      </c>
      <c r="F4251" s="43">
        <v>44652.333333333336</v>
      </c>
      <c r="G4251" s="43">
        <v>44652.375</v>
      </c>
      <c r="H4251">
        <v>8</v>
      </c>
      <c r="I4251">
        <v>0</v>
      </c>
      <c r="J4251">
        <v>9</v>
      </c>
      <c r="K4251">
        <v>0</v>
      </c>
      <c r="L4251">
        <v>2022</v>
      </c>
      <c r="N4251" t="s">
        <v>2483</v>
      </c>
      <c r="O4251" t="s">
        <v>2136</v>
      </c>
      <c r="P4251" t="s">
        <v>2484</v>
      </c>
    </row>
    <row r="4252" spans="1:16" x14ac:dyDescent="0.3">
      <c r="A4252" t="s">
        <v>2482</v>
      </c>
      <c r="B4252" t="s">
        <v>20</v>
      </c>
      <c r="C4252">
        <v>60</v>
      </c>
      <c r="D4252" t="s">
        <v>10</v>
      </c>
      <c r="E4252" t="s">
        <v>501</v>
      </c>
      <c r="F4252" s="43">
        <v>44652.333333333336</v>
      </c>
      <c r="G4252" s="43">
        <v>44652.375</v>
      </c>
      <c r="H4252">
        <v>8</v>
      </c>
      <c r="I4252">
        <v>0</v>
      </c>
      <c r="J4252">
        <v>9</v>
      </c>
      <c r="K4252">
        <v>0</v>
      </c>
      <c r="L4252">
        <v>2022</v>
      </c>
      <c r="N4252" t="s">
        <v>2548</v>
      </c>
      <c r="O4252" t="s">
        <v>47</v>
      </c>
      <c r="P4252" t="s">
        <v>2549</v>
      </c>
    </row>
    <row r="4253" spans="1:16" x14ac:dyDescent="0.3">
      <c r="A4253" t="s">
        <v>8</v>
      </c>
      <c r="C4253">
        <v>120</v>
      </c>
      <c r="D4253" t="s">
        <v>10</v>
      </c>
      <c r="F4253" s="1">
        <v>44652.229166666664</v>
      </c>
      <c r="G4253" s="1">
        <v>44652.3125</v>
      </c>
      <c r="H4253">
        <v>5</v>
      </c>
      <c r="I4253">
        <v>30</v>
      </c>
      <c r="J4253">
        <v>7</v>
      </c>
      <c r="K4253">
        <v>30</v>
      </c>
      <c r="L4253">
        <v>2022</v>
      </c>
      <c r="N4253" t="s">
        <v>47</v>
      </c>
      <c r="O4253" t="s">
        <v>47</v>
      </c>
      <c r="P4253" t="s">
        <v>2471</v>
      </c>
    </row>
    <row r="4254" spans="1:16" x14ac:dyDescent="0.3">
      <c r="A4254" t="s">
        <v>8</v>
      </c>
      <c r="C4254">
        <v>15</v>
      </c>
      <c r="D4254" t="s">
        <v>10</v>
      </c>
      <c r="F4254" s="43">
        <v>44651.791666666664</v>
      </c>
      <c r="G4254" s="43">
        <v>44651.802083333336</v>
      </c>
      <c r="H4254">
        <v>19</v>
      </c>
      <c r="I4254">
        <v>0</v>
      </c>
      <c r="J4254">
        <v>19</v>
      </c>
      <c r="K4254">
        <v>15</v>
      </c>
      <c r="L4254">
        <v>2022</v>
      </c>
      <c r="N4254" t="s">
        <v>47</v>
      </c>
      <c r="O4254" t="s">
        <v>47</v>
      </c>
      <c r="P4254" t="s">
        <v>2485</v>
      </c>
    </row>
    <row r="4255" spans="1:16" x14ac:dyDescent="0.3">
      <c r="A4255" t="s">
        <v>7</v>
      </c>
      <c r="C4255">
        <v>30</v>
      </c>
      <c r="D4255" t="s">
        <v>10</v>
      </c>
      <c r="F4255" s="43">
        <v>44651.770833333336</v>
      </c>
      <c r="G4255" s="43">
        <v>44651.791666666664</v>
      </c>
      <c r="H4255">
        <v>18</v>
      </c>
      <c r="I4255">
        <v>30</v>
      </c>
      <c r="J4255">
        <v>19</v>
      </c>
      <c r="K4255">
        <v>0</v>
      </c>
      <c r="L4255">
        <v>2022</v>
      </c>
      <c r="N4255" t="s">
        <v>47</v>
      </c>
      <c r="O4255" t="s">
        <v>47</v>
      </c>
      <c r="P4255" t="s">
        <v>2486</v>
      </c>
    </row>
    <row r="4256" spans="1:16" x14ac:dyDescent="0.3">
      <c r="A4256" t="s">
        <v>2487</v>
      </c>
      <c r="C4256">
        <v>60</v>
      </c>
      <c r="D4256" t="s">
        <v>10</v>
      </c>
      <c r="F4256" s="43">
        <v>44651.6875</v>
      </c>
      <c r="G4256" s="43">
        <v>44651.729166666664</v>
      </c>
      <c r="H4256">
        <v>16</v>
      </c>
      <c r="I4256">
        <v>30</v>
      </c>
      <c r="J4256">
        <v>17</v>
      </c>
      <c r="K4256">
        <v>30</v>
      </c>
      <c r="L4256">
        <v>2022</v>
      </c>
      <c r="N4256" t="s">
        <v>47</v>
      </c>
      <c r="O4256" t="s">
        <v>47</v>
      </c>
      <c r="P4256" t="s">
        <v>2488</v>
      </c>
    </row>
    <row r="4257" spans="1:16" x14ac:dyDescent="0.3">
      <c r="A4257" t="s">
        <v>2489</v>
      </c>
      <c r="C4257">
        <v>60</v>
      </c>
      <c r="D4257" t="s">
        <v>10</v>
      </c>
      <c r="F4257" s="43">
        <v>44651.631944444445</v>
      </c>
      <c r="G4257" s="43">
        <v>44651.673611111109</v>
      </c>
      <c r="H4257">
        <v>15</v>
      </c>
      <c r="I4257">
        <v>10</v>
      </c>
      <c r="J4257">
        <v>16</v>
      </c>
      <c r="K4257">
        <v>10</v>
      </c>
      <c r="L4257">
        <v>2022</v>
      </c>
      <c r="N4257" t="s">
        <v>47</v>
      </c>
      <c r="O4257" t="s">
        <v>47</v>
      </c>
      <c r="P4257" t="s">
        <v>2490</v>
      </c>
    </row>
    <row r="4258" spans="1:16" x14ac:dyDescent="0.3">
      <c r="A4258" t="s">
        <v>2491</v>
      </c>
      <c r="C4258">
        <v>75</v>
      </c>
      <c r="D4258" t="s">
        <v>10</v>
      </c>
      <c r="F4258" s="43">
        <v>44651.5625</v>
      </c>
      <c r="G4258" s="43">
        <v>44651.614583333336</v>
      </c>
      <c r="H4258">
        <v>13</v>
      </c>
      <c r="I4258">
        <v>30</v>
      </c>
      <c r="J4258">
        <v>14</v>
      </c>
      <c r="K4258">
        <v>45</v>
      </c>
      <c r="L4258">
        <v>2022</v>
      </c>
      <c r="N4258" t="s">
        <v>47</v>
      </c>
      <c r="O4258" t="s">
        <v>47</v>
      </c>
      <c r="P4258" t="s">
        <v>2492</v>
      </c>
    </row>
    <row r="4259" spans="1:16" x14ac:dyDescent="0.3">
      <c r="A4259" t="s">
        <v>2515</v>
      </c>
      <c r="C4259">
        <v>15</v>
      </c>
      <c r="D4259" t="s">
        <v>10</v>
      </c>
      <c r="E4259" t="s">
        <v>2516</v>
      </c>
      <c r="F4259" s="43">
        <v>44651.5</v>
      </c>
      <c r="G4259" s="43">
        <v>44651.510416666664</v>
      </c>
      <c r="H4259">
        <v>12</v>
      </c>
      <c r="I4259">
        <v>0</v>
      </c>
      <c r="J4259">
        <v>12</v>
      </c>
      <c r="K4259">
        <v>15</v>
      </c>
      <c r="L4259">
        <v>2022</v>
      </c>
      <c r="N4259" t="s">
        <v>2517</v>
      </c>
      <c r="O4259" t="s">
        <v>1669</v>
      </c>
      <c r="P4259" t="s">
        <v>2518</v>
      </c>
    </row>
    <row r="4260" spans="1:16" x14ac:dyDescent="0.3">
      <c r="A4260" t="s">
        <v>2497</v>
      </c>
      <c r="C4260">
        <v>60</v>
      </c>
      <c r="D4260" t="s">
        <v>10</v>
      </c>
      <c r="E4260" t="s">
        <v>2498</v>
      </c>
      <c r="F4260" s="43">
        <v>44651.416666666664</v>
      </c>
      <c r="G4260" s="43">
        <v>44651.458333333336</v>
      </c>
      <c r="H4260">
        <v>10</v>
      </c>
      <c r="I4260">
        <v>0</v>
      </c>
      <c r="J4260">
        <v>11</v>
      </c>
      <c r="K4260">
        <v>0</v>
      </c>
      <c r="L4260">
        <v>2022</v>
      </c>
      <c r="N4260" t="s">
        <v>549</v>
      </c>
      <c r="O4260" t="s">
        <v>458</v>
      </c>
      <c r="P4260" t="s">
        <v>2499</v>
      </c>
    </row>
    <row r="4261" spans="1:16" x14ac:dyDescent="0.3">
      <c r="A4261" t="s">
        <v>2503</v>
      </c>
      <c r="C4261">
        <v>30</v>
      </c>
      <c r="D4261" t="s">
        <v>10</v>
      </c>
      <c r="E4261" t="s">
        <v>1712</v>
      </c>
      <c r="F4261" s="43">
        <v>44651.416666666664</v>
      </c>
      <c r="G4261" s="43">
        <v>44651.4375</v>
      </c>
      <c r="H4261">
        <v>10</v>
      </c>
      <c r="I4261">
        <v>0</v>
      </c>
      <c r="J4261">
        <v>10</v>
      </c>
      <c r="K4261">
        <v>30</v>
      </c>
      <c r="L4261">
        <v>2022</v>
      </c>
      <c r="N4261" t="s">
        <v>1153</v>
      </c>
      <c r="O4261" t="s">
        <v>48</v>
      </c>
      <c r="P4261" t="s">
        <v>2504</v>
      </c>
    </row>
    <row r="4262" spans="1:16" x14ac:dyDescent="0.3">
      <c r="A4262" t="s">
        <v>2612</v>
      </c>
      <c r="C4262">
        <v>75</v>
      </c>
      <c r="D4262" t="s">
        <v>10</v>
      </c>
      <c r="E4262" t="s">
        <v>2613</v>
      </c>
      <c r="F4262" s="43">
        <v>44651.3125</v>
      </c>
      <c r="G4262" s="43">
        <v>44651.364583333336</v>
      </c>
      <c r="H4262">
        <v>7</v>
      </c>
      <c r="I4262">
        <v>30</v>
      </c>
      <c r="J4262">
        <v>8</v>
      </c>
      <c r="K4262">
        <v>45</v>
      </c>
      <c r="L4262">
        <v>2022</v>
      </c>
      <c r="N4262" t="s">
        <v>2614</v>
      </c>
      <c r="O4262" t="s">
        <v>2615</v>
      </c>
      <c r="P4262" t="s">
        <v>2616</v>
      </c>
    </row>
    <row r="4263" spans="1:16" x14ac:dyDescent="0.3">
      <c r="A4263" t="s">
        <v>2501</v>
      </c>
      <c r="C4263">
        <v>30</v>
      </c>
      <c r="D4263" t="s">
        <v>10</v>
      </c>
      <c r="E4263" t="s">
        <v>5</v>
      </c>
      <c r="F4263" s="43">
        <v>44651.291666666664</v>
      </c>
      <c r="G4263" s="43">
        <v>44651.3125</v>
      </c>
      <c r="H4263">
        <v>7</v>
      </c>
      <c r="I4263">
        <v>0</v>
      </c>
      <c r="J4263">
        <v>7</v>
      </c>
      <c r="K4263">
        <v>30</v>
      </c>
      <c r="L4263">
        <v>2022</v>
      </c>
      <c r="N4263" t="s">
        <v>1399</v>
      </c>
      <c r="O4263" t="s">
        <v>1241</v>
      </c>
      <c r="P4263" t="s">
        <v>2502</v>
      </c>
    </row>
    <row r="4264" spans="1:16" x14ac:dyDescent="0.3">
      <c r="A4264" t="s">
        <v>8</v>
      </c>
      <c r="C4264">
        <v>60</v>
      </c>
      <c r="D4264" t="s">
        <v>10</v>
      </c>
      <c r="F4264" s="43">
        <v>44651.25</v>
      </c>
      <c r="G4264" s="43">
        <v>44651.291666666664</v>
      </c>
      <c r="H4264">
        <v>6</v>
      </c>
      <c r="I4264">
        <v>0</v>
      </c>
      <c r="J4264">
        <v>7</v>
      </c>
      <c r="K4264">
        <v>0</v>
      </c>
      <c r="L4264">
        <v>2022</v>
      </c>
      <c r="O4264" t="s">
        <v>47</v>
      </c>
      <c r="P4264" t="s">
        <v>2500</v>
      </c>
    </row>
    <row r="4265" spans="1:16" x14ac:dyDescent="0.3">
      <c r="A4265" t="s">
        <v>8</v>
      </c>
      <c r="C4265">
        <v>60</v>
      </c>
      <c r="D4265" t="s">
        <v>10</v>
      </c>
      <c r="F4265" s="43">
        <v>44650.770833333336</v>
      </c>
      <c r="G4265" s="43">
        <v>44650.8125</v>
      </c>
      <c r="H4265">
        <v>18</v>
      </c>
      <c r="I4265">
        <v>30</v>
      </c>
      <c r="J4265">
        <v>19</v>
      </c>
      <c r="K4265">
        <v>30</v>
      </c>
      <c r="L4265">
        <v>2022</v>
      </c>
      <c r="N4265" t="s">
        <v>47</v>
      </c>
      <c r="O4265" t="s">
        <v>47</v>
      </c>
      <c r="P4265" t="s">
        <v>2505</v>
      </c>
    </row>
    <row r="4266" spans="1:16" x14ac:dyDescent="0.3">
      <c r="A4266" t="s">
        <v>8</v>
      </c>
      <c r="C4266">
        <v>65</v>
      </c>
      <c r="D4266" t="s">
        <v>10</v>
      </c>
      <c r="F4266" s="43">
        <v>44650.708333333336</v>
      </c>
      <c r="G4266" s="43">
        <v>44650.753472222219</v>
      </c>
      <c r="H4266">
        <v>17</v>
      </c>
      <c r="I4266">
        <v>0</v>
      </c>
      <c r="J4266">
        <v>18</v>
      </c>
      <c r="K4266">
        <v>5</v>
      </c>
      <c r="L4266">
        <v>2022</v>
      </c>
      <c r="O4266" t="s">
        <v>47</v>
      </c>
      <c r="P4266" t="s">
        <v>2506</v>
      </c>
    </row>
    <row r="4267" spans="1:16" x14ac:dyDescent="0.3">
      <c r="A4267" t="s">
        <v>1979</v>
      </c>
      <c r="C4267">
        <v>30</v>
      </c>
      <c r="D4267" t="s">
        <v>10</v>
      </c>
      <c r="F4267" s="1">
        <v>44650.666666666664</v>
      </c>
      <c r="G4267" s="1">
        <v>44650.6875</v>
      </c>
      <c r="H4267">
        <v>16</v>
      </c>
      <c r="I4267">
        <v>0</v>
      </c>
      <c r="J4267">
        <v>16</v>
      </c>
      <c r="K4267">
        <v>30</v>
      </c>
      <c r="L4267">
        <v>2022</v>
      </c>
      <c r="N4267" t="s">
        <v>47</v>
      </c>
      <c r="O4267" t="s">
        <v>47</v>
      </c>
      <c r="P4267" t="s">
        <v>2507</v>
      </c>
    </row>
    <row r="4268" spans="1:16" x14ac:dyDescent="0.3">
      <c r="A4268" t="s">
        <v>8</v>
      </c>
      <c r="C4268">
        <v>30</v>
      </c>
      <c r="D4268" t="s">
        <v>10</v>
      </c>
      <c r="F4268" s="43">
        <v>44650.645833333336</v>
      </c>
      <c r="G4268" s="43">
        <v>44650.666666666664</v>
      </c>
      <c r="H4268">
        <v>15</v>
      </c>
      <c r="I4268">
        <v>30</v>
      </c>
      <c r="J4268">
        <v>16</v>
      </c>
      <c r="K4268">
        <v>0</v>
      </c>
      <c r="L4268">
        <v>2022</v>
      </c>
      <c r="N4268" t="s">
        <v>47</v>
      </c>
      <c r="O4268" t="s">
        <v>47</v>
      </c>
      <c r="P4268" t="s">
        <v>2508</v>
      </c>
    </row>
    <row r="4269" spans="1:16" x14ac:dyDescent="0.3">
      <c r="A4269" t="s">
        <v>9</v>
      </c>
      <c r="C4269">
        <v>30</v>
      </c>
      <c r="D4269" t="s">
        <v>10</v>
      </c>
      <c r="F4269" s="43">
        <v>44650.625</v>
      </c>
      <c r="G4269" s="43">
        <v>44650.645833333336</v>
      </c>
      <c r="H4269">
        <v>15</v>
      </c>
      <c r="I4269">
        <v>0</v>
      </c>
      <c r="J4269">
        <v>15</v>
      </c>
      <c r="K4269">
        <v>30</v>
      </c>
      <c r="L4269">
        <v>2022</v>
      </c>
      <c r="N4269" t="s">
        <v>47</v>
      </c>
      <c r="O4269" t="s">
        <v>47</v>
      </c>
      <c r="P4269" t="s">
        <v>2509</v>
      </c>
    </row>
    <row r="4270" spans="1:16" x14ac:dyDescent="0.3">
      <c r="A4270" t="s">
        <v>8</v>
      </c>
      <c r="C4270">
        <v>15</v>
      </c>
      <c r="D4270" t="s">
        <v>10</v>
      </c>
      <c r="F4270" s="43">
        <v>44650.604166666664</v>
      </c>
      <c r="G4270" s="43">
        <v>44650.614583333336</v>
      </c>
      <c r="H4270">
        <v>14</v>
      </c>
      <c r="I4270">
        <v>30</v>
      </c>
      <c r="J4270">
        <v>14</v>
      </c>
      <c r="K4270">
        <v>45</v>
      </c>
      <c r="L4270">
        <v>2022</v>
      </c>
      <c r="N4270" t="s">
        <v>47</v>
      </c>
      <c r="O4270" t="s">
        <v>47</v>
      </c>
      <c r="P4270" t="s">
        <v>2510</v>
      </c>
    </row>
    <row r="4271" spans="1:16" x14ac:dyDescent="0.3">
      <c r="A4271" t="s">
        <v>17</v>
      </c>
      <c r="C4271">
        <v>30</v>
      </c>
      <c r="D4271" t="s">
        <v>10</v>
      </c>
      <c r="F4271" s="43">
        <v>44650.541666666664</v>
      </c>
      <c r="G4271" s="43">
        <v>44650.5625</v>
      </c>
      <c r="H4271">
        <v>13</v>
      </c>
      <c r="I4271">
        <v>0</v>
      </c>
      <c r="J4271">
        <v>13</v>
      </c>
      <c r="K4271">
        <v>30</v>
      </c>
      <c r="L4271">
        <v>2022</v>
      </c>
      <c r="O4271" t="s">
        <v>47</v>
      </c>
      <c r="P4271" t="s">
        <v>2511</v>
      </c>
    </row>
    <row r="4272" spans="1:16" x14ac:dyDescent="0.3">
      <c r="A4272" t="s">
        <v>2534</v>
      </c>
      <c r="C4272">
        <v>60</v>
      </c>
      <c r="D4272" t="s">
        <v>10</v>
      </c>
      <c r="E4272" t="s">
        <v>21</v>
      </c>
      <c r="F4272" s="43">
        <v>44650.5</v>
      </c>
      <c r="G4272" s="43">
        <v>44650.541666666664</v>
      </c>
      <c r="H4272">
        <v>12</v>
      </c>
      <c r="I4272">
        <v>0</v>
      </c>
      <c r="J4272">
        <v>13</v>
      </c>
      <c r="K4272">
        <v>0</v>
      </c>
      <c r="L4272">
        <v>2022</v>
      </c>
      <c r="N4272" t="s">
        <v>2535</v>
      </c>
      <c r="O4272" t="s">
        <v>50</v>
      </c>
      <c r="P4272" t="s">
        <v>2536</v>
      </c>
    </row>
    <row r="4273" spans="1:16" x14ac:dyDescent="0.3">
      <c r="A4273" t="s">
        <v>2556</v>
      </c>
      <c r="C4273">
        <v>60</v>
      </c>
      <c r="D4273" t="s">
        <v>10</v>
      </c>
      <c r="E4273" t="s">
        <v>2557</v>
      </c>
      <c r="F4273" s="43">
        <v>44650.479166666664</v>
      </c>
      <c r="G4273" s="43">
        <v>44650.520833333336</v>
      </c>
      <c r="H4273">
        <v>11</v>
      </c>
      <c r="I4273">
        <v>30</v>
      </c>
      <c r="J4273">
        <v>12</v>
      </c>
      <c r="K4273">
        <v>30</v>
      </c>
      <c r="L4273">
        <v>2022</v>
      </c>
      <c r="N4273" t="s">
        <v>549</v>
      </c>
      <c r="O4273" t="s">
        <v>458</v>
      </c>
      <c r="P4273" t="s">
        <v>2558</v>
      </c>
    </row>
    <row r="4274" spans="1:16" x14ac:dyDescent="0.3">
      <c r="A4274" t="s">
        <v>2544</v>
      </c>
      <c r="C4274">
        <v>30</v>
      </c>
      <c r="D4274" t="s">
        <v>10</v>
      </c>
      <c r="E4274" t="s">
        <v>1712</v>
      </c>
      <c r="F4274" s="43">
        <v>44650.458333333336</v>
      </c>
      <c r="G4274" s="43">
        <v>44650.479166666664</v>
      </c>
      <c r="H4274">
        <v>11</v>
      </c>
      <c r="I4274">
        <v>0</v>
      </c>
      <c r="J4274">
        <v>11</v>
      </c>
      <c r="K4274">
        <v>30</v>
      </c>
      <c r="L4274">
        <v>2022</v>
      </c>
      <c r="N4274" t="s">
        <v>2545</v>
      </c>
      <c r="O4274" t="s">
        <v>48</v>
      </c>
      <c r="P4274" t="s">
        <v>2546</v>
      </c>
    </row>
    <row r="4275" spans="1:16" x14ac:dyDescent="0.3">
      <c r="A4275" t="s">
        <v>2519</v>
      </c>
      <c r="C4275">
        <v>30</v>
      </c>
      <c r="D4275" t="s">
        <v>10</v>
      </c>
      <c r="F4275" s="43">
        <v>44650.416666666664</v>
      </c>
      <c r="G4275" s="43">
        <v>44650.4375</v>
      </c>
      <c r="H4275">
        <v>10</v>
      </c>
      <c r="I4275">
        <v>0</v>
      </c>
      <c r="J4275">
        <v>10</v>
      </c>
      <c r="K4275">
        <v>30</v>
      </c>
      <c r="L4275">
        <v>2022</v>
      </c>
      <c r="N4275" t="s">
        <v>48</v>
      </c>
      <c r="O4275" t="s">
        <v>47</v>
      </c>
      <c r="P4275" t="s">
        <v>2520</v>
      </c>
    </row>
    <row r="4276" spans="1:16" x14ac:dyDescent="0.3">
      <c r="A4276" t="s">
        <v>8</v>
      </c>
      <c r="C4276">
        <v>30</v>
      </c>
      <c r="D4276" t="s">
        <v>10</v>
      </c>
      <c r="F4276" s="43">
        <v>44650.395833333336</v>
      </c>
      <c r="G4276" s="43">
        <v>44650.416666666664</v>
      </c>
      <c r="H4276">
        <v>9</v>
      </c>
      <c r="I4276">
        <v>30</v>
      </c>
      <c r="J4276">
        <v>10</v>
      </c>
      <c r="K4276">
        <v>0</v>
      </c>
      <c r="L4276">
        <v>2022</v>
      </c>
      <c r="O4276" t="s">
        <v>47</v>
      </c>
      <c r="P4276" t="s">
        <v>2512</v>
      </c>
    </row>
    <row r="4277" spans="1:16" x14ac:dyDescent="0.3">
      <c r="A4277" t="s">
        <v>8</v>
      </c>
      <c r="C4277">
        <v>60</v>
      </c>
      <c r="D4277" t="s">
        <v>10</v>
      </c>
      <c r="F4277" s="43">
        <v>44650.3125</v>
      </c>
      <c r="G4277" s="43">
        <v>44650.354166666664</v>
      </c>
      <c r="H4277">
        <v>7</v>
      </c>
      <c r="I4277">
        <v>30</v>
      </c>
      <c r="J4277">
        <v>8</v>
      </c>
      <c r="K4277">
        <v>30</v>
      </c>
      <c r="L4277">
        <v>2022</v>
      </c>
      <c r="O4277" t="s">
        <v>47</v>
      </c>
      <c r="P4277" t="s">
        <v>2513</v>
      </c>
    </row>
    <row r="4278" spans="1:16" x14ac:dyDescent="0.3">
      <c r="A4278" t="s">
        <v>2550</v>
      </c>
      <c r="C4278">
        <v>30</v>
      </c>
      <c r="D4278" t="s">
        <v>10</v>
      </c>
      <c r="E4278" t="s">
        <v>501</v>
      </c>
      <c r="F4278" s="43">
        <v>44650.291666666664</v>
      </c>
      <c r="G4278" s="43">
        <v>44650.3125</v>
      </c>
      <c r="H4278">
        <v>7</v>
      </c>
      <c r="I4278">
        <v>0</v>
      </c>
      <c r="J4278">
        <v>7</v>
      </c>
      <c r="K4278">
        <v>30</v>
      </c>
      <c r="L4278">
        <v>2022</v>
      </c>
      <c r="N4278" t="s">
        <v>2551</v>
      </c>
      <c r="O4278" t="s">
        <v>47</v>
      </c>
      <c r="P4278" t="s">
        <v>2552</v>
      </c>
    </row>
    <row r="4279" spans="1:16" x14ac:dyDescent="0.3">
      <c r="A4279" t="s">
        <v>6</v>
      </c>
      <c r="C4279">
        <v>60</v>
      </c>
      <c r="D4279" t="s">
        <v>10</v>
      </c>
      <c r="F4279" s="43">
        <v>44650.229166666664</v>
      </c>
      <c r="G4279" s="43">
        <v>44650.270833333336</v>
      </c>
      <c r="H4279">
        <v>5</v>
      </c>
      <c r="I4279">
        <v>30</v>
      </c>
      <c r="J4279">
        <v>6</v>
      </c>
      <c r="K4279">
        <v>30</v>
      </c>
      <c r="L4279">
        <v>2022</v>
      </c>
      <c r="O4279" t="s">
        <v>47</v>
      </c>
      <c r="P4279" t="s">
        <v>2514</v>
      </c>
    </row>
    <row r="4280" spans="1:16" x14ac:dyDescent="0.3">
      <c r="A4280" t="s">
        <v>8</v>
      </c>
      <c r="C4280">
        <v>40</v>
      </c>
      <c r="D4280" t="s">
        <v>10</v>
      </c>
      <c r="F4280" s="43">
        <v>44649.788194444445</v>
      </c>
      <c r="G4280" s="43">
        <v>44649.815972222219</v>
      </c>
      <c r="H4280">
        <v>18</v>
      </c>
      <c r="I4280">
        <v>55</v>
      </c>
      <c r="J4280">
        <v>19</v>
      </c>
      <c r="K4280">
        <v>35</v>
      </c>
      <c r="L4280">
        <v>2022</v>
      </c>
      <c r="O4280" t="s">
        <v>47</v>
      </c>
      <c r="P4280" t="s">
        <v>2521</v>
      </c>
    </row>
    <row r="4281" spans="1:16" x14ac:dyDescent="0.3">
      <c r="A4281" t="s">
        <v>2522</v>
      </c>
      <c r="C4281">
        <v>30</v>
      </c>
      <c r="D4281" t="s">
        <v>10</v>
      </c>
      <c r="F4281" s="43">
        <v>44649.75</v>
      </c>
      <c r="G4281" s="43">
        <v>44649.770833333336</v>
      </c>
      <c r="H4281">
        <v>18</v>
      </c>
      <c r="I4281">
        <v>0</v>
      </c>
      <c r="J4281">
        <v>18</v>
      </c>
      <c r="K4281">
        <v>30</v>
      </c>
      <c r="L4281">
        <v>2022</v>
      </c>
      <c r="O4281" t="s">
        <v>47</v>
      </c>
      <c r="P4281" t="s">
        <v>2523</v>
      </c>
    </row>
    <row r="4282" spans="1:16" x14ac:dyDescent="0.3">
      <c r="A4282" t="s">
        <v>25</v>
      </c>
      <c r="C4282">
        <v>45</v>
      </c>
      <c r="D4282" t="s">
        <v>10</v>
      </c>
      <c r="F4282" s="43">
        <v>44649.6875</v>
      </c>
      <c r="G4282" s="43">
        <v>44649.71875</v>
      </c>
      <c r="H4282">
        <v>16</v>
      </c>
      <c r="I4282">
        <v>30</v>
      </c>
      <c r="J4282">
        <v>17</v>
      </c>
      <c r="K4282">
        <v>15</v>
      </c>
      <c r="L4282">
        <v>2022</v>
      </c>
      <c r="O4282" t="s">
        <v>47</v>
      </c>
      <c r="P4282" t="s">
        <v>2524</v>
      </c>
    </row>
    <row r="4283" spans="1:16" x14ac:dyDescent="0.3">
      <c r="A4283" t="s">
        <v>7</v>
      </c>
      <c r="C4283">
        <v>30</v>
      </c>
      <c r="D4283" t="s">
        <v>10</v>
      </c>
      <c r="F4283" s="43">
        <v>44649.666666666664</v>
      </c>
      <c r="G4283" s="43">
        <v>44649.6875</v>
      </c>
      <c r="H4283">
        <v>16</v>
      </c>
      <c r="I4283">
        <v>0</v>
      </c>
      <c r="J4283">
        <v>16</v>
      </c>
      <c r="K4283">
        <v>30</v>
      </c>
      <c r="L4283">
        <v>2022</v>
      </c>
      <c r="O4283" t="s">
        <v>47</v>
      </c>
      <c r="P4283" t="s">
        <v>2525</v>
      </c>
    </row>
    <row r="4284" spans="1:16" x14ac:dyDescent="0.3">
      <c r="A4284" t="s">
        <v>2537</v>
      </c>
      <c r="C4284">
        <v>30</v>
      </c>
      <c r="D4284" t="s">
        <v>10</v>
      </c>
      <c r="E4284" t="s">
        <v>5</v>
      </c>
      <c r="F4284" s="43">
        <v>44649.645833333336</v>
      </c>
      <c r="G4284" s="43">
        <v>44649.666666666664</v>
      </c>
      <c r="H4284">
        <v>15</v>
      </c>
      <c r="I4284">
        <v>30</v>
      </c>
      <c r="J4284">
        <v>16</v>
      </c>
      <c r="K4284">
        <v>0</v>
      </c>
      <c r="L4284">
        <v>2022</v>
      </c>
      <c r="N4284" t="s">
        <v>2538</v>
      </c>
      <c r="O4284" t="s">
        <v>51</v>
      </c>
      <c r="P4284" t="s">
        <v>2539</v>
      </c>
    </row>
    <row r="4285" spans="1:16" x14ac:dyDescent="0.3">
      <c r="A4285" t="s">
        <v>2526</v>
      </c>
      <c r="C4285">
        <v>30</v>
      </c>
      <c r="D4285" t="s">
        <v>10</v>
      </c>
      <c r="F4285" s="43">
        <v>44649.59375</v>
      </c>
      <c r="G4285" s="43">
        <v>44649.614583333336</v>
      </c>
      <c r="H4285">
        <v>14</v>
      </c>
      <c r="I4285">
        <v>15</v>
      </c>
      <c r="J4285">
        <v>14</v>
      </c>
      <c r="K4285">
        <v>45</v>
      </c>
      <c r="L4285">
        <v>2022</v>
      </c>
      <c r="O4285" t="s">
        <v>47</v>
      </c>
      <c r="P4285" t="s">
        <v>2527</v>
      </c>
    </row>
    <row r="4286" spans="1:16" x14ac:dyDescent="0.3">
      <c r="A4286" t="s">
        <v>2528</v>
      </c>
      <c r="C4286">
        <v>30</v>
      </c>
      <c r="D4286" t="s">
        <v>10</v>
      </c>
      <c r="F4286" s="43">
        <v>44649.572916666664</v>
      </c>
      <c r="G4286" s="43">
        <v>44649.59375</v>
      </c>
      <c r="H4286">
        <v>13</v>
      </c>
      <c r="I4286">
        <v>45</v>
      </c>
      <c r="J4286">
        <v>14</v>
      </c>
      <c r="K4286">
        <v>15</v>
      </c>
      <c r="L4286">
        <v>2022</v>
      </c>
      <c r="O4286" t="s">
        <v>47</v>
      </c>
      <c r="P4286" t="s">
        <v>2529</v>
      </c>
    </row>
    <row r="4287" spans="1:16" x14ac:dyDescent="0.3">
      <c r="A4287" t="s">
        <v>2530</v>
      </c>
      <c r="C4287">
        <v>75</v>
      </c>
      <c r="D4287" t="s">
        <v>10</v>
      </c>
      <c r="F4287" s="43">
        <v>44649.489583333336</v>
      </c>
      <c r="G4287" s="43">
        <v>44649.541666666664</v>
      </c>
      <c r="H4287">
        <v>11</v>
      </c>
      <c r="I4287">
        <v>45</v>
      </c>
      <c r="J4287">
        <v>13</v>
      </c>
      <c r="K4287">
        <v>0</v>
      </c>
      <c r="L4287">
        <v>2022</v>
      </c>
      <c r="O4287" t="s">
        <v>47</v>
      </c>
      <c r="P4287" t="s">
        <v>2531</v>
      </c>
    </row>
    <row r="4288" spans="1:16" x14ac:dyDescent="0.3">
      <c r="A4288" t="s">
        <v>2532</v>
      </c>
      <c r="C4288">
        <v>75</v>
      </c>
      <c r="D4288" t="s">
        <v>10</v>
      </c>
      <c r="F4288" s="43">
        <v>44649.416666666664</v>
      </c>
      <c r="G4288" s="43">
        <v>44649.46875</v>
      </c>
      <c r="H4288">
        <v>10</v>
      </c>
      <c r="I4288">
        <v>0</v>
      </c>
      <c r="J4288">
        <v>11</v>
      </c>
      <c r="K4288">
        <v>15</v>
      </c>
      <c r="L4288">
        <v>2022</v>
      </c>
      <c r="O4288" t="s">
        <v>47</v>
      </c>
      <c r="P4288" t="s">
        <v>2533</v>
      </c>
    </row>
    <row r="4289" spans="1:16" x14ac:dyDescent="0.3">
      <c r="A4289" t="s">
        <v>2574</v>
      </c>
      <c r="C4289">
        <v>30</v>
      </c>
      <c r="D4289" t="s">
        <v>10</v>
      </c>
      <c r="E4289" t="s">
        <v>1712</v>
      </c>
      <c r="F4289" s="43">
        <v>44649.354166666664</v>
      </c>
      <c r="G4289" s="43">
        <v>44649.375</v>
      </c>
      <c r="H4289">
        <v>8</v>
      </c>
      <c r="I4289">
        <v>30</v>
      </c>
      <c r="J4289">
        <v>9</v>
      </c>
      <c r="K4289">
        <v>0</v>
      </c>
      <c r="L4289">
        <v>2022</v>
      </c>
      <c r="N4289" t="s">
        <v>1713</v>
      </c>
      <c r="O4289" t="s">
        <v>48</v>
      </c>
      <c r="P4289" t="s">
        <v>2575</v>
      </c>
    </row>
    <row r="4290" spans="1:16" x14ac:dyDescent="0.3">
      <c r="A4290" t="s">
        <v>1769</v>
      </c>
      <c r="C4290">
        <v>45</v>
      </c>
      <c r="D4290" t="s">
        <v>10</v>
      </c>
      <c r="F4290" s="43">
        <v>44649.322916666664</v>
      </c>
      <c r="G4290" s="43">
        <v>44649.354166666664</v>
      </c>
      <c r="H4290">
        <v>7</v>
      </c>
      <c r="I4290">
        <v>45</v>
      </c>
      <c r="J4290">
        <v>8</v>
      </c>
      <c r="K4290">
        <v>30</v>
      </c>
      <c r="L4290">
        <v>2022</v>
      </c>
      <c r="O4290" t="s">
        <v>47</v>
      </c>
      <c r="P4290" t="s">
        <v>2547</v>
      </c>
    </row>
    <row r="4291" spans="1:16" x14ac:dyDescent="0.3">
      <c r="A4291" t="s">
        <v>789</v>
      </c>
      <c r="C4291">
        <v>60</v>
      </c>
      <c r="D4291" t="s">
        <v>10</v>
      </c>
      <c r="F4291" s="43">
        <v>44649.25</v>
      </c>
      <c r="G4291" s="43">
        <v>44649.291666666664</v>
      </c>
      <c r="H4291">
        <v>6</v>
      </c>
      <c r="I4291">
        <v>0</v>
      </c>
      <c r="J4291">
        <v>7</v>
      </c>
      <c r="K4291">
        <v>0</v>
      </c>
      <c r="L4291">
        <v>2022</v>
      </c>
      <c r="O4291" t="s">
        <v>47</v>
      </c>
      <c r="P4291" t="s">
        <v>2555</v>
      </c>
    </row>
    <row r="4292" spans="1:16" x14ac:dyDescent="0.3">
      <c r="A4292" t="s">
        <v>2553</v>
      </c>
      <c r="C4292">
        <v>60</v>
      </c>
      <c r="D4292" t="s">
        <v>10</v>
      </c>
      <c r="F4292" s="43">
        <v>44649.208333333336</v>
      </c>
      <c r="G4292" s="43">
        <v>44649.25</v>
      </c>
      <c r="H4292">
        <v>5</v>
      </c>
      <c r="I4292">
        <v>0</v>
      </c>
      <c r="J4292">
        <v>6</v>
      </c>
      <c r="K4292">
        <v>0</v>
      </c>
      <c r="L4292">
        <v>2022</v>
      </c>
      <c r="O4292" t="s">
        <v>47</v>
      </c>
      <c r="P4292" t="s">
        <v>2554</v>
      </c>
    </row>
    <row r="4293" spans="1:16" x14ac:dyDescent="0.3">
      <c r="A4293" t="s">
        <v>2559</v>
      </c>
      <c r="C4293">
        <v>30</v>
      </c>
      <c r="D4293" t="s">
        <v>10</v>
      </c>
      <c r="F4293" s="43">
        <v>44648.802083333336</v>
      </c>
      <c r="G4293" s="43">
        <v>44648.822916666664</v>
      </c>
      <c r="H4293">
        <v>19</v>
      </c>
      <c r="I4293">
        <v>15</v>
      </c>
      <c r="J4293">
        <v>19</v>
      </c>
      <c r="K4293">
        <v>45</v>
      </c>
      <c r="L4293">
        <v>2022</v>
      </c>
      <c r="O4293" t="s">
        <v>47</v>
      </c>
      <c r="P4293" t="s">
        <v>2560</v>
      </c>
    </row>
    <row r="4294" spans="1:16" x14ac:dyDescent="0.3">
      <c r="A4294" t="s">
        <v>2561</v>
      </c>
      <c r="C4294">
        <v>60</v>
      </c>
      <c r="D4294" t="s">
        <v>10</v>
      </c>
      <c r="F4294" s="43">
        <v>44648.75</v>
      </c>
      <c r="G4294" s="43">
        <v>44648.791666666664</v>
      </c>
      <c r="H4294">
        <v>18</v>
      </c>
      <c r="I4294">
        <v>0</v>
      </c>
      <c r="J4294">
        <v>19</v>
      </c>
      <c r="K4294">
        <v>0</v>
      </c>
      <c r="L4294">
        <v>2022</v>
      </c>
      <c r="O4294" t="s">
        <v>47</v>
      </c>
      <c r="P4294" t="s">
        <v>2562</v>
      </c>
    </row>
    <row r="4295" spans="1:16" x14ac:dyDescent="0.3">
      <c r="A4295" t="s">
        <v>8</v>
      </c>
      <c r="C4295">
        <v>45</v>
      </c>
      <c r="D4295" t="s">
        <v>10</v>
      </c>
      <c r="F4295" s="43">
        <v>44648.666666666664</v>
      </c>
      <c r="G4295" s="43">
        <v>44648.697916666664</v>
      </c>
      <c r="H4295">
        <v>16</v>
      </c>
      <c r="I4295">
        <v>0</v>
      </c>
      <c r="J4295">
        <v>16</v>
      </c>
      <c r="K4295">
        <v>45</v>
      </c>
      <c r="L4295">
        <v>2022</v>
      </c>
      <c r="O4295" t="s">
        <v>47</v>
      </c>
      <c r="P4295" t="s">
        <v>2563</v>
      </c>
    </row>
    <row r="4296" spans="1:16" x14ac:dyDescent="0.3">
      <c r="A4296" t="s">
        <v>2566</v>
      </c>
      <c r="C4296">
        <v>60</v>
      </c>
      <c r="D4296" t="s">
        <v>10</v>
      </c>
      <c r="F4296" s="43">
        <v>44648.604166666664</v>
      </c>
      <c r="G4296" s="43">
        <v>44648.645833333336</v>
      </c>
      <c r="H4296">
        <v>14</v>
      </c>
      <c r="I4296">
        <v>30</v>
      </c>
      <c r="J4296">
        <v>15</v>
      </c>
      <c r="K4296">
        <v>30</v>
      </c>
      <c r="L4296">
        <v>2022</v>
      </c>
      <c r="O4296" t="s">
        <v>47</v>
      </c>
      <c r="P4296" t="s">
        <v>2567</v>
      </c>
    </row>
    <row r="4297" spans="1:16" x14ac:dyDescent="0.3">
      <c r="A4297" t="s">
        <v>1151</v>
      </c>
      <c r="C4297">
        <v>30</v>
      </c>
      <c r="D4297" t="s">
        <v>10</v>
      </c>
      <c r="E4297" t="s">
        <v>2572</v>
      </c>
      <c r="F4297" s="43">
        <v>44648.541666666664</v>
      </c>
      <c r="G4297" s="43">
        <v>44648.5625</v>
      </c>
      <c r="H4297">
        <v>13</v>
      </c>
      <c r="I4297">
        <v>0</v>
      </c>
      <c r="J4297">
        <v>13</v>
      </c>
      <c r="K4297">
        <v>30</v>
      </c>
      <c r="L4297">
        <v>2022</v>
      </c>
      <c r="N4297" t="s">
        <v>931</v>
      </c>
      <c r="O4297" t="s">
        <v>50</v>
      </c>
      <c r="P4297" t="s">
        <v>2573</v>
      </c>
    </row>
    <row r="4298" spans="1:16" x14ac:dyDescent="0.3">
      <c r="A4298" t="s">
        <v>2570</v>
      </c>
      <c r="C4298">
        <v>20</v>
      </c>
      <c r="D4298" t="s">
        <v>10</v>
      </c>
      <c r="F4298" s="43">
        <v>44648.520833333336</v>
      </c>
      <c r="G4298" s="43">
        <v>44648.534722222219</v>
      </c>
      <c r="H4298">
        <v>12</v>
      </c>
      <c r="I4298">
        <v>30</v>
      </c>
      <c r="J4298">
        <v>12</v>
      </c>
      <c r="K4298">
        <v>50</v>
      </c>
      <c r="L4298">
        <v>2022</v>
      </c>
      <c r="O4298" t="s">
        <v>47</v>
      </c>
      <c r="P4298" t="s">
        <v>2571</v>
      </c>
    </row>
    <row r="4299" spans="1:16" x14ac:dyDescent="0.3">
      <c r="A4299" t="s">
        <v>2576</v>
      </c>
      <c r="C4299">
        <v>30</v>
      </c>
      <c r="D4299" t="s">
        <v>10</v>
      </c>
      <c r="E4299" t="s">
        <v>501</v>
      </c>
      <c r="F4299" s="43">
        <v>44648.5</v>
      </c>
      <c r="G4299" s="43">
        <v>44648.520833333336</v>
      </c>
      <c r="H4299">
        <v>12</v>
      </c>
      <c r="I4299">
        <v>0</v>
      </c>
      <c r="J4299">
        <v>12</v>
      </c>
      <c r="K4299">
        <v>30</v>
      </c>
      <c r="L4299">
        <v>2022</v>
      </c>
      <c r="N4299" t="s">
        <v>519</v>
      </c>
      <c r="O4299" t="s">
        <v>47</v>
      </c>
      <c r="P4299" t="s">
        <v>2577</v>
      </c>
    </row>
    <row r="4300" spans="1:16" x14ac:dyDescent="0.3">
      <c r="A4300" t="s">
        <v>2609</v>
      </c>
      <c r="C4300">
        <v>60</v>
      </c>
      <c r="D4300" t="s">
        <v>10</v>
      </c>
      <c r="E4300" t="s">
        <v>2610</v>
      </c>
      <c r="F4300" s="43">
        <v>44648.458333333336</v>
      </c>
      <c r="G4300" s="43">
        <v>44648.5</v>
      </c>
      <c r="H4300">
        <v>11</v>
      </c>
      <c r="I4300">
        <v>0</v>
      </c>
      <c r="J4300">
        <v>12</v>
      </c>
      <c r="K4300">
        <v>0</v>
      </c>
      <c r="L4300">
        <v>2022</v>
      </c>
      <c r="N4300" t="s">
        <v>549</v>
      </c>
      <c r="O4300" t="s">
        <v>458</v>
      </c>
      <c r="P4300" t="s">
        <v>2611</v>
      </c>
    </row>
    <row r="4301" spans="1:16" x14ac:dyDescent="0.3">
      <c r="A4301" t="s">
        <v>2702</v>
      </c>
      <c r="B4301" t="s">
        <v>20</v>
      </c>
      <c r="C4301">
        <v>30</v>
      </c>
      <c r="D4301" t="s">
        <v>10</v>
      </c>
      <c r="E4301" t="s">
        <v>2703</v>
      </c>
      <c r="F4301" s="43">
        <v>44648.416666666664</v>
      </c>
      <c r="G4301" s="43">
        <v>44648.4375</v>
      </c>
      <c r="H4301">
        <v>10</v>
      </c>
      <c r="I4301">
        <v>0</v>
      </c>
      <c r="J4301">
        <v>10</v>
      </c>
      <c r="K4301">
        <v>30</v>
      </c>
      <c r="L4301">
        <v>2022</v>
      </c>
      <c r="N4301" t="s">
        <v>2704</v>
      </c>
      <c r="O4301" t="s">
        <v>47</v>
      </c>
      <c r="P4301" t="s">
        <v>2705</v>
      </c>
    </row>
    <row r="4302" spans="1:16" x14ac:dyDescent="0.3">
      <c r="A4302" t="s">
        <v>984</v>
      </c>
      <c r="B4302" t="s">
        <v>20</v>
      </c>
      <c r="C4302">
        <v>60</v>
      </c>
      <c r="D4302" t="s">
        <v>10</v>
      </c>
      <c r="E4302" t="s">
        <v>5</v>
      </c>
      <c r="F4302" s="43">
        <v>44648.375</v>
      </c>
      <c r="G4302" s="43">
        <v>44648.416666666664</v>
      </c>
      <c r="H4302">
        <v>9</v>
      </c>
      <c r="I4302">
        <v>0</v>
      </c>
      <c r="J4302">
        <v>10</v>
      </c>
      <c r="K4302">
        <v>0</v>
      </c>
      <c r="L4302">
        <v>2022</v>
      </c>
      <c r="N4302" t="s">
        <v>2723</v>
      </c>
      <c r="O4302" t="s">
        <v>956</v>
      </c>
      <c r="P4302" t="s">
        <v>2724</v>
      </c>
    </row>
    <row r="4303" spans="1:16" x14ac:dyDescent="0.3">
      <c r="A4303" t="s">
        <v>1286</v>
      </c>
      <c r="C4303">
        <v>90</v>
      </c>
      <c r="D4303" t="s">
        <v>10</v>
      </c>
      <c r="E4303" t="s">
        <v>27</v>
      </c>
      <c r="F4303" s="43">
        <v>44648.291666666664</v>
      </c>
      <c r="G4303" s="43">
        <v>44648.354166666664</v>
      </c>
      <c r="H4303">
        <v>7</v>
      </c>
      <c r="I4303">
        <v>0</v>
      </c>
      <c r="J4303">
        <v>8</v>
      </c>
      <c r="K4303">
        <v>30</v>
      </c>
      <c r="L4303">
        <v>2022</v>
      </c>
      <c r="N4303" t="s">
        <v>2777</v>
      </c>
      <c r="O4303" t="s">
        <v>6</v>
      </c>
      <c r="P4303" t="s">
        <v>2778</v>
      </c>
    </row>
    <row r="4304" spans="1:16" x14ac:dyDescent="0.3">
      <c r="A4304" t="s">
        <v>2568</v>
      </c>
      <c r="C4304">
        <v>90</v>
      </c>
      <c r="D4304" t="s">
        <v>10</v>
      </c>
      <c r="F4304" s="43">
        <v>44648.208333333336</v>
      </c>
      <c r="G4304" s="43">
        <v>44648.270833333336</v>
      </c>
      <c r="H4304">
        <v>5</v>
      </c>
      <c r="I4304">
        <v>0</v>
      </c>
      <c r="J4304">
        <v>6</v>
      </c>
      <c r="K4304">
        <v>30</v>
      </c>
      <c r="L4304">
        <v>2022</v>
      </c>
      <c r="O4304" t="s">
        <v>47</v>
      </c>
      <c r="P4304" t="s">
        <v>2569</v>
      </c>
    </row>
    <row r="4305" spans="1:16" x14ac:dyDescent="0.3">
      <c r="A4305" t="s">
        <v>2578</v>
      </c>
      <c r="C4305">
        <v>50</v>
      </c>
      <c r="D4305" t="s">
        <v>10</v>
      </c>
      <c r="F4305" s="43">
        <v>44647.770833333336</v>
      </c>
      <c r="G4305" s="43">
        <v>44647.805555555555</v>
      </c>
      <c r="H4305">
        <v>18</v>
      </c>
      <c r="I4305">
        <v>30</v>
      </c>
      <c r="J4305">
        <v>19</v>
      </c>
      <c r="K4305">
        <v>20</v>
      </c>
      <c r="L4305">
        <v>2022</v>
      </c>
      <c r="O4305" t="s">
        <v>47</v>
      </c>
      <c r="P4305" t="s">
        <v>2579</v>
      </c>
    </row>
    <row r="4306" spans="1:16" x14ac:dyDescent="0.3">
      <c r="A4306" t="s">
        <v>2578</v>
      </c>
      <c r="C4306">
        <v>60</v>
      </c>
      <c r="D4306" t="s">
        <v>10</v>
      </c>
      <c r="F4306" s="43">
        <v>44647.708333333336</v>
      </c>
      <c r="G4306" s="43">
        <v>44647.75</v>
      </c>
      <c r="H4306">
        <v>17</v>
      </c>
      <c r="I4306">
        <v>0</v>
      </c>
      <c r="J4306">
        <v>18</v>
      </c>
      <c r="K4306">
        <v>0</v>
      </c>
      <c r="L4306">
        <v>2022</v>
      </c>
      <c r="O4306" t="s">
        <v>47</v>
      </c>
      <c r="P4306" t="s">
        <v>2580</v>
      </c>
    </row>
    <row r="4307" spans="1:16" x14ac:dyDescent="0.3">
      <c r="A4307" t="s">
        <v>2578</v>
      </c>
      <c r="C4307">
        <v>90</v>
      </c>
      <c r="D4307" t="s">
        <v>10</v>
      </c>
      <c r="F4307" s="43">
        <v>44647.625</v>
      </c>
      <c r="G4307" s="43">
        <v>44647.6875</v>
      </c>
      <c r="H4307">
        <v>15</v>
      </c>
      <c r="I4307">
        <v>0</v>
      </c>
      <c r="J4307">
        <v>16</v>
      </c>
      <c r="K4307">
        <v>30</v>
      </c>
      <c r="L4307">
        <v>2022</v>
      </c>
      <c r="O4307" t="s">
        <v>47</v>
      </c>
      <c r="P4307" t="s">
        <v>2581</v>
      </c>
    </row>
    <row r="4308" spans="1:16" x14ac:dyDescent="0.3">
      <c r="A4308" t="s">
        <v>1139</v>
      </c>
      <c r="C4308">
        <v>20</v>
      </c>
      <c r="D4308" t="s">
        <v>10</v>
      </c>
      <c r="F4308" s="43">
        <v>44647.458333333336</v>
      </c>
      <c r="G4308" s="43">
        <v>44647.472222222219</v>
      </c>
      <c r="H4308">
        <v>11</v>
      </c>
      <c r="I4308">
        <v>0</v>
      </c>
      <c r="J4308">
        <v>11</v>
      </c>
      <c r="K4308">
        <v>20</v>
      </c>
      <c r="L4308">
        <v>2022</v>
      </c>
      <c r="O4308" t="s">
        <v>47</v>
      </c>
      <c r="P4308" t="s">
        <v>2582</v>
      </c>
    </row>
    <row r="4309" spans="1:16" x14ac:dyDescent="0.3">
      <c r="A4309" t="s">
        <v>2583</v>
      </c>
      <c r="C4309">
        <v>90</v>
      </c>
      <c r="D4309" t="s">
        <v>10</v>
      </c>
      <c r="F4309" s="43">
        <v>44647.375</v>
      </c>
      <c r="G4309" s="43">
        <v>44647.4375</v>
      </c>
      <c r="H4309">
        <v>9</v>
      </c>
      <c r="I4309">
        <v>0</v>
      </c>
      <c r="J4309">
        <v>10</v>
      </c>
      <c r="K4309">
        <v>30</v>
      </c>
      <c r="L4309">
        <v>2022</v>
      </c>
      <c r="O4309" t="s">
        <v>47</v>
      </c>
      <c r="P4309" t="s">
        <v>2584</v>
      </c>
    </row>
    <row r="4310" spans="1:16" x14ac:dyDescent="0.3">
      <c r="A4310" t="s">
        <v>2583</v>
      </c>
      <c r="C4310">
        <v>75</v>
      </c>
      <c r="D4310" t="s">
        <v>10</v>
      </c>
      <c r="F4310" s="43">
        <v>44647.229166666664</v>
      </c>
      <c r="G4310" s="43">
        <v>44647.28125</v>
      </c>
      <c r="H4310">
        <v>5</v>
      </c>
      <c r="I4310">
        <v>30</v>
      </c>
      <c r="J4310">
        <v>6</v>
      </c>
      <c r="K4310">
        <v>45</v>
      </c>
      <c r="L4310">
        <v>2022</v>
      </c>
      <c r="O4310" t="s">
        <v>47</v>
      </c>
      <c r="P4310" t="s">
        <v>2585</v>
      </c>
    </row>
    <row r="4311" spans="1:16" x14ac:dyDescent="0.3">
      <c r="A4311" t="s">
        <v>2586</v>
      </c>
      <c r="C4311">
        <v>80</v>
      </c>
      <c r="D4311" t="s">
        <v>10</v>
      </c>
      <c r="F4311" s="43">
        <v>44646.791666666664</v>
      </c>
      <c r="G4311" s="43">
        <v>44646.847222222219</v>
      </c>
      <c r="H4311">
        <v>19</v>
      </c>
      <c r="I4311">
        <v>0</v>
      </c>
      <c r="J4311">
        <v>20</v>
      </c>
      <c r="K4311">
        <v>20</v>
      </c>
      <c r="L4311">
        <v>2022</v>
      </c>
      <c r="O4311" t="s">
        <v>47</v>
      </c>
      <c r="P4311" t="s">
        <v>2587</v>
      </c>
    </row>
    <row r="4312" spans="1:16" x14ac:dyDescent="0.3">
      <c r="A4312" t="s">
        <v>2586</v>
      </c>
      <c r="C4312">
        <v>120</v>
      </c>
      <c r="D4312" t="s">
        <v>10</v>
      </c>
      <c r="F4312" s="43">
        <v>44646.666666666664</v>
      </c>
      <c r="G4312" s="43">
        <v>44646.75</v>
      </c>
      <c r="H4312">
        <v>16</v>
      </c>
      <c r="I4312">
        <v>0</v>
      </c>
      <c r="J4312">
        <v>18</v>
      </c>
      <c r="K4312">
        <v>0</v>
      </c>
      <c r="L4312">
        <v>2022</v>
      </c>
      <c r="O4312" t="s">
        <v>47</v>
      </c>
      <c r="P4312" t="s">
        <v>2588</v>
      </c>
    </row>
    <row r="4313" spans="1:16" x14ac:dyDescent="0.3">
      <c r="A4313" t="s">
        <v>2589</v>
      </c>
      <c r="C4313">
        <v>90</v>
      </c>
      <c r="D4313" t="s">
        <v>10</v>
      </c>
      <c r="F4313" s="43">
        <v>44646.395833333336</v>
      </c>
      <c r="G4313" s="43">
        <v>44646.458333333336</v>
      </c>
      <c r="H4313">
        <v>9</v>
      </c>
      <c r="I4313">
        <v>30</v>
      </c>
      <c r="J4313">
        <v>11</v>
      </c>
      <c r="K4313">
        <v>0</v>
      </c>
      <c r="L4313">
        <v>2022</v>
      </c>
      <c r="O4313" t="s">
        <v>47</v>
      </c>
      <c r="P4313" t="s">
        <v>2590</v>
      </c>
    </row>
    <row r="4314" spans="1:16" x14ac:dyDescent="0.3">
      <c r="A4314" t="s">
        <v>2591</v>
      </c>
      <c r="C4314">
        <v>80</v>
      </c>
      <c r="D4314" t="s">
        <v>10</v>
      </c>
      <c r="F4314" s="43">
        <v>44646.229166666664</v>
      </c>
      <c r="G4314" s="43">
        <v>44646.284722222219</v>
      </c>
      <c r="H4314">
        <v>5</v>
      </c>
      <c r="I4314">
        <v>30</v>
      </c>
      <c r="J4314">
        <v>6</v>
      </c>
      <c r="K4314">
        <v>50</v>
      </c>
      <c r="L4314">
        <v>2022</v>
      </c>
      <c r="O4314" t="s">
        <v>47</v>
      </c>
      <c r="P4314" t="s">
        <v>2592</v>
      </c>
    </row>
    <row r="4315" spans="1:16" x14ac:dyDescent="0.3">
      <c r="A4315" t="s">
        <v>2593</v>
      </c>
      <c r="C4315">
        <v>45</v>
      </c>
      <c r="D4315" t="s">
        <v>10</v>
      </c>
      <c r="F4315" s="43">
        <v>44645.791666666664</v>
      </c>
      <c r="G4315" s="43">
        <v>44645.822916666664</v>
      </c>
      <c r="H4315">
        <v>19</v>
      </c>
      <c r="I4315">
        <v>0</v>
      </c>
      <c r="J4315">
        <v>19</v>
      </c>
      <c r="K4315">
        <v>45</v>
      </c>
      <c r="L4315">
        <v>2022</v>
      </c>
      <c r="O4315" t="s">
        <v>47</v>
      </c>
      <c r="P4315" t="s">
        <v>2594</v>
      </c>
    </row>
    <row r="4316" spans="1:16" x14ac:dyDescent="0.3">
      <c r="A4316" t="s">
        <v>573</v>
      </c>
      <c r="C4316">
        <v>60</v>
      </c>
      <c r="D4316" t="s">
        <v>10</v>
      </c>
      <c r="F4316" s="43">
        <v>44645.722222222219</v>
      </c>
      <c r="G4316" s="43">
        <v>44645.763888888891</v>
      </c>
      <c r="H4316">
        <v>17</v>
      </c>
      <c r="I4316">
        <v>20</v>
      </c>
      <c r="J4316">
        <v>18</v>
      </c>
      <c r="K4316">
        <v>20</v>
      </c>
      <c r="L4316">
        <v>2022</v>
      </c>
      <c r="O4316" t="s">
        <v>47</v>
      </c>
      <c r="P4316" t="s">
        <v>2595</v>
      </c>
    </row>
    <row r="4317" spans="1:16" x14ac:dyDescent="0.3">
      <c r="A4317" t="s">
        <v>573</v>
      </c>
      <c r="C4317">
        <v>30</v>
      </c>
      <c r="D4317" t="s">
        <v>10</v>
      </c>
      <c r="F4317" s="43">
        <v>44645.666666666664</v>
      </c>
      <c r="G4317" s="43">
        <v>44645.6875</v>
      </c>
      <c r="H4317">
        <v>16</v>
      </c>
      <c r="I4317">
        <v>0</v>
      </c>
      <c r="J4317">
        <v>16</v>
      </c>
      <c r="K4317">
        <v>30</v>
      </c>
      <c r="L4317">
        <v>2022</v>
      </c>
      <c r="O4317" t="s">
        <v>47</v>
      </c>
      <c r="P4317" t="s">
        <v>2596</v>
      </c>
    </row>
    <row r="4318" spans="1:16" x14ac:dyDescent="0.3">
      <c r="A4318" t="s">
        <v>2597</v>
      </c>
      <c r="C4318">
        <v>30</v>
      </c>
      <c r="D4318" t="s">
        <v>10</v>
      </c>
      <c r="F4318" s="43">
        <v>44645.645833333336</v>
      </c>
      <c r="G4318" s="43">
        <v>44645.666666666664</v>
      </c>
      <c r="H4318">
        <v>15</v>
      </c>
      <c r="I4318">
        <v>30</v>
      </c>
      <c r="J4318">
        <v>16</v>
      </c>
      <c r="K4318">
        <v>0</v>
      </c>
      <c r="L4318">
        <v>2022</v>
      </c>
      <c r="O4318" t="s">
        <v>47</v>
      </c>
      <c r="P4318" t="s">
        <v>2598</v>
      </c>
    </row>
    <row r="4319" spans="1:16" x14ac:dyDescent="0.3">
      <c r="A4319" t="s">
        <v>8</v>
      </c>
      <c r="C4319">
        <v>45</v>
      </c>
      <c r="D4319" t="s">
        <v>10</v>
      </c>
      <c r="F4319" s="43">
        <v>44645.583333333336</v>
      </c>
      <c r="G4319" s="43">
        <v>44645.614583333336</v>
      </c>
      <c r="H4319">
        <v>14</v>
      </c>
      <c r="I4319">
        <v>0</v>
      </c>
      <c r="J4319">
        <v>14</v>
      </c>
      <c r="K4319">
        <v>45</v>
      </c>
      <c r="L4319">
        <v>2022</v>
      </c>
      <c r="O4319" t="s">
        <v>47</v>
      </c>
      <c r="P4319" t="s">
        <v>2599</v>
      </c>
    </row>
    <row r="4320" spans="1:16" x14ac:dyDescent="0.3">
      <c r="A4320" t="s">
        <v>827</v>
      </c>
      <c r="C4320">
        <v>30</v>
      </c>
      <c r="D4320" t="s">
        <v>10</v>
      </c>
      <c r="F4320" s="43">
        <v>44645.520833333336</v>
      </c>
      <c r="G4320" s="43">
        <v>44645.541666666664</v>
      </c>
      <c r="H4320">
        <v>12</v>
      </c>
      <c r="I4320">
        <v>30</v>
      </c>
      <c r="J4320">
        <v>13</v>
      </c>
      <c r="K4320">
        <v>0</v>
      </c>
      <c r="L4320">
        <v>2022</v>
      </c>
      <c r="O4320" t="s">
        <v>47</v>
      </c>
      <c r="P4320" t="s">
        <v>2606</v>
      </c>
    </row>
    <row r="4321" spans="1:16" x14ac:dyDescent="0.3">
      <c r="A4321" t="s">
        <v>2681</v>
      </c>
      <c r="B4321" t="s">
        <v>20</v>
      </c>
      <c r="C4321">
        <v>90</v>
      </c>
      <c r="D4321" t="s">
        <v>10</v>
      </c>
      <c r="E4321" t="s">
        <v>1712</v>
      </c>
      <c r="F4321" s="43">
        <v>44645.458333333336</v>
      </c>
      <c r="G4321" s="43">
        <v>44645.520833333336</v>
      </c>
      <c r="H4321">
        <v>11</v>
      </c>
      <c r="I4321">
        <v>0</v>
      </c>
      <c r="J4321">
        <v>12</v>
      </c>
      <c r="K4321">
        <v>30</v>
      </c>
      <c r="L4321">
        <v>2022</v>
      </c>
      <c r="N4321" t="s">
        <v>2682</v>
      </c>
      <c r="O4321" t="s">
        <v>48</v>
      </c>
      <c r="P4321" t="s">
        <v>2683</v>
      </c>
    </row>
    <row r="4322" spans="1:16" x14ac:dyDescent="0.3">
      <c r="A4322" t="s">
        <v>2602</v>
      </c>
      <c r="C4322">
        <v>30</v>
      </c>
      <c r="D4322" t="s">
        <v>10</v>
      </c>
      <c r="F4322" s="43">
        <v>44645.395833333336</v>
      </c>
      <c r="G4322" s="43">
        <v>44645.416666666664</v>
      </c>
      <c r="H4322">
        <v>9</v>
      </c>
      <c r="I4322">
        <v>30</v>
      </c>
      <c r="J4322">
        <v>10</v>
      </c>
      <c r="K4322">
        <v>0</v>
      </c>
      <c r="L4322">
        <v>2022</v>
      </c>
      <c r="O4322" t="s">
        <v>47</v>
      </c>
      <c r="P4322" t="s">
        <v>2603</v>
      </c>
    </row>
    <row r="4323" spans="1:16" x14ac:dyDescent="0.3">
      <c r="A4323" t="s">
        <v>2678</v>
      </c>
      <c r="B4323" t="s">
        <v>20</v>
      </c>
      <c r="C4323">
        <v>30</v>
      </c>
      <c r="D4323" t="s">
        <v>10</v>
      </c>
      <c r="E4323" t="s">
        <v>1712</v>
      </c>
      <c r="F4323" s="43">
        <v>44645.375</v>
      </c>
      <c r="G4323" s="43">
        <v>44645.395833333336</v>
      </c>
      <c r="H4323">
        <v>9</v>
      </c>
      <c r="I4323">
        <v>0</v>
      </c>
      <c r="J4323">
        <v>9</v>
      </c>
      <c r="K4323">
        <v>30</v>
      </c>
      <c r="L4323">
        <v>2022</v>
      </c>
      <c r="N4323" t="s">
        <v>2679</v>
      </c>
      <c r="O4323" t="s">
        <v>48</v>
      </c>
      <c r="P4323" t="s">
        <v>2680</v>
      </c>
    </row>
    <row r="4324" spans="1:16" x14ac:dyDescent="0.3">
      <c r="A4324" t="s">
        <v>2564</v>
      </c>
      <c r="C4324">
        <v>45</v>
      </c>
      <c r="D4324" t="s">
        <v>10</v>
      </c>
      <c r="E4324" t="s">
        <v>1712</v>
      </c>
      <c r="F4324" s="43">
        <v>44645.333333333336</v>
      </c>
      <c r="G4324" s="43">
        <v>44645.364583333336</v>
      </c>
      <c r="H4324">
        <v>8</v>
      </c>
      <c r="I4324">
        <v>0</v>
      </c>
      <c r="J4324">
        <v>8</v>
      </c>
      <c r="K4324">
        <v>45</v>
      </c>
      <c r="L4324">
        <v>2022</v>
      </c>
      <c r="N4324" t="s">
        <v>2290</v>
      </c>
      <c r="O4324" t="s">
        <v>48</v>
      </c>
      <c r="P4324" t="s">
        <v>2565</v>
      </c>
    </row>
    <row r="4325" spans="1:16" x14ac:dyDescent="0.3">
      <c r="A4325" t="s">
        <v>2600</v>
      </c>
      <c r="C4325">
        <v>60</v>
      </c>
      <c r="D4325" t="s">
        <v>10</v>
      </c>
      <c r="F4325" s="43">
        <v>44645.291666666664</v>
      </c>
      <c r="G4325" s="43">
        <v>44645.333333333336</v>
      </c>
      <c r="H4325">
        <v>7</v>
      </c>
      <c r="I4325">
        <v>0</v>
      </c>
      <c r="J4325">
        <v>8</v>
      </c>
      <c r="K4325">
        <v>0</v>
      </c>
      <c r="L4325">
        <v>2022</v>
      </c>
      <c r="O4325" t="s">
        <v>47</v>
      </c>
      <c r="P4325" t="s">
        <v>2601</v>
      </c>
    </row>
    <row r="4326" spans="1:16" x14ac:dyDescent="0.3">
      <c r="A4326" t="s">
        <v>2604</v>
      </c>
      <c r="C4326">
        <v>60</v>
      </c>
      <c r="D4326" t="s">
        <v>10</v>
      </c>
      <c r="F4326" s="43">
        <v>44645.229166666664</v>
      </c>
      <c r="G4326" s="43">
        <v>44645.270833333336</v>
      </c>
      <c r="H4326">
        <v>5</v>
      </c>
      <c r="I4326">
        <v>30</v>
      </c>
      <c r="J4326">
        <v>6</v>
      </c>
      <c r="K4326">
        <v>30</v>
      </c>
      <c r="L4326">
        <v>2022</v>
      </c>
      <c r="O4326" t="s">
        <v>47</v>
      </c>
      <c r="P4326" t="s">
        <v>2605</v>
      </c>
    </row>
    <row r="4327" spans="1:16" x14ac:dyDescent="0.3">
      <c r="A4327" t="s">
        <v>446</v>
      </c>
      <c r="C4327">
        <v>40</v>
      </c>
      <c r="D4327" t="s">
        <v>10</v>
      </c>
      <c r="F4327" s="43">
        <v>44644.708333333336</v>
      </c>
      <c r="G4327" s="43">
        <v>44644.736111111109</v>
      </c>
      <c r="H4327">
        <v>17</v>
      </c>
      <c r="I4327">
        <v>0</v>
      </c>
      <c r="J4327">
        <v>17</v>
      </c>
      <c r="K4327">
        <v>40</v>
      </c>
      <c r="L4327">
        <v>2022</v>
      </c>
      <c r="O4327" t="s">
        <v>47</v>
      </c>
      <c r="P4327" t="s">
        <v>2619</v>
      </c>
    </row>
    <row r="4328" spans="1:16" x14ac:dyDescent="0.3">
      <c r="A4328" t="s">
        <v>2617</v>
      </c>
      <c r="C4328">
        <v>60</v>
      </c>
      <c r="D4328" t="s">
        <v>10</v>
      </c>
      <c r="F4328" s="43">
        <v>44644.666666666664</v>
      </c>
      <c r="G4328" s="43">
        <v>44644.708333333336</v>
      </c>
      <c r="H4328">
        <v>16</v>
      </c>
      <c r="I4328">
        <v>0</v>
      </c>
      <c r="J4328">
        <v>17</v>
      </c>
      <c r="K4328">
        <v>0</v>
      </c>
      <c r="L4328">
        <v>2022</v>
      </c>
      <c r="O4328" t="s">
        <v>47</v>
      </c>
      <c r="P4328" t="s">
        <v>2618</v>
      </c>
    </row>
    <row r="4329" spans="1:16" x14ac:dyDescent="0.3">
      <c r="A4329" t="s">
        <v>1760</v>
      </c>
      <c r="C4329">
        <v>30</v>
      </c>
      <c r="D4329" t="s">
        <v>10</v>
      </c>
      <c r="F4329" s="43">
        <v>44644.645833333336</v>
      </c>
      <c r="G4329" s="43">
        <v>44644.666666666664</v>
      </c>
      <c r="H4329">
        <v>15</v>
      </c>
      <c r="I4329">
        <v>30</v>
      </c>
      <c r="J4329">
        <v>16</v>
      </c>
      <c r="K4329">
        <v>0</v>
      </c>
      <c r="L4329">
        <v>2022</v>
      </c>
      <c r="O4329" t="s">
        <v>47</v>
      </c>
      <c r="P4329" t="s">
        <v>2620</v>
      </c>
    </row>
    <row r="4330" spans="1:16" x14ac:dyDescent="0.3">
      <c r="A4330" t="s">
        <v>2631</v>
      </c>
      <c r="B4330" t="s">
        <v>20</v>
      </c>
      <c r="C4330">
        <v>30</v>
      </c>
      <c r="D4330" t="s">
        <v>10</v>
      </c>
      <c r="E4330" t="s">
        <v>2632</v>
      </c>
      <c r="F4330" s="43">
        <v>44644.625</v>
      </c>
      <c r="G4330" s="43">
        <v>44644.645833333336</v>
      </c>
      <c r="H4330">
        <v>15</v>
      </c>
      <c r="I4330">
        <v>0</v>
      </c>
      <c r="J4330">
        <v>15</v>
      </c>
      <c r="K4330">
        <v>30</v>
      </c>
      <c r="L4330">
        <v>2022</v>
      </c>
      <c r="N4330" t="s">
        <v>2633</v>
      </c>
      <c r="O4330" t="s">
        <v>48</v>
      </c>
      <c r="P4330" t="s">
        <v>2634</v>
      </c>
    </row>
    <row r="4331" spans="1:16" x14ac:dyDescent="0.3">
      <c r="A4331" t="s">
        <v>7</v>
      </c>
      <c r="C4331">
        <v>45</v>
      </c>
      <c r="D4331" t="s">
        <v>10</v>
      </c>
      <c r="F4331" s="43">
        <v>44644.572916666664</v>
      </c>
      <c r="G4331" s="43">
        <v>44644.604166666664</v>
      </c>
      <c r="H4331">
        <v>13</v>
      </c>
      <c r="I4331">
        <v>45</v>
      </c>
      <c r="J4331">
        <v>14</v>
      </c>
      <c r="K4331">
        <v>30</v>
      </c>
      <c r="L4331">
        <v>2022</v>
      </c>
      <c r="O4331" t="s">
        <v>47</v>
      </c>
      <c r="P4331" t="s">
        <v>2621</v>
      </c>
    </row>
    <row r="4332" spans="1:16" x14ac:dyDescent="0.3">
      <c r="A4332" t="s">
        <v>2625</v>
      </c>
      <c r="C4332">
        <v>45</v>
      </c>
      <c r="D4332" t="s">
        <v>10</v>
      </c>
      <c r="F4332" s="43">
        <v>44644.510416666664</v>
      </c>
      <c r="G4332" s="43">
        <v>44644.541666666664</v>
      </c>
      <c r="H4332">
        <v>12</v>
      </c>
      <c r="I4332">
        <v>15</v>
      </c>
      <c r="J4332">
        <v>13</v>
      </c>
      <c r="K4332">
        <v>0</v>
      </c>
      <c r="L4332">
        <v>2022</v>
      </c>
      <c r="O4332" t="s">
        <v>47</v>
      </c>
      <c r="P4332" t="s">
        <v>2626</v>
      </c>
    </row>
    <row r="4333" spans="1:16" x14ac:dyDescent="0.3">
      <c r="A4333" t="s">
        <v>2627</v>
      </c>
      <c r="C4333">
        <v>45</v>
      </c>
      <c r="D4333" t="s">
        <v>10</v>
      </c>
      <c r="F4333" s="43">
        <v>44644.479166666664</v>
      </c>
      <c r="G4333" s="43">
        <v>44644.510416666664</v>
      </c>
      <c r="H4333">
        <v>11</v>
      </c>
      <c r="I4333">
        <v>30</v>
      </c>
      <c r="J4333">
        <v>12</v>
      </c>
      <c r="K4333">
        <v>15</v>
      </c>
      <c r="L4333">
        <v>2022</v>
      </c>
      <c r="O4333" t="s">
        <v>47</v>
      </c>
      <c r="P4333" t="s">
        <v>2628</v>
      </c>
    </row>
    <row r="4334" spans="1:16" x14ac:dyDescent="0.3">
      <c r="A4334" t="s">
        <v>2648</v>
      </c>
      <c r="B4334" t="s">
        <v>20</v>
      </c>
      <c r="C4334">
        <v>30</v>
      </c>
      <c r="D4334" t="s">
        <v>10</v>
      </c>
      <c r="E4334" t="s">
        <v>5</v>
      </c>
      <c r="F4334" s="43">
        <v>44644.416666666664</v>
      </c>
      <c r="G4334" s="43">
        <v>44644.4375</v>
      </c>
      <c r="H4334">
        <v>10</v>
      </c>
      <c r="I4334">
        <v>0</v>
      </c>
      <c r="J4334">
        <v>10</v>
      </c>
      <c r="K4334">
        <v>30</v>
      </c>
      <c r="L4334">
        <v>2022</v>
      </c>
      <c r="N4334" t="s">
        <v>2649</v>
      </c>
      <c r="O4334" t="s">
        <v>2650</v>
      </c>
      <c r="P4334" t="s">
        <v>2651</v>
      </c>
    </row>
    <row r="4335" spans="1:16" x14ac:dyDescent="0.3">
      <c r="A4335" t="s">
        <v>2629</v>
      </c>
      <c r="C4335">
        <v>45</v>
      </c>
      <c r="D4335" t="s">
        <v>10</v>
      </c>
      <c r="F4335" s="43">
        <v>44644.385416666664</v>
      </c>
      <c r="G4335" s="43">
        <v>44644.416666666664</v>
      </c>
      <c r="H4335">
        <v>9</v>
      </c>
      <c r="I4335">
        <v>15</v>
      </c>
      <c r="J4335">
        <v>10</v>
      </c>
      <c r="K4335">
        <v>0</v>
      </c>
      <c r="L4335">
        <v>2022</v>
      </c>
      <c r="O4335" t="s">
        <v>47</v>
      </c>
      <c r="P4335" t="s">
        <v>2630</v>
      </c>
    </row>
    <row r="4336" spans="1:16" x14ac:dyDescent="0.3">
      <c r="A4336" t="s">
        <v>2636</v>
      </c>
      <c r="C4336">
        <v>45</v>
      </c>
      <c r="D4336" t="s">
        <v>10</v>
      </c>
      <c r="F4336" s="43">
        <v>44644.354166666664</v>
      </c>
      <c r="G4336" s="43">
        <v>44644.385416666664</v>
      </c>
      <c r="H4336">
        <v>8</v>
      </c>
      <c r="I4336">
        <v>30</v>
      </c>
      <c r="J4336">
        <v>9</v>
      </c>
      <c r="K4336">
        <v>15</v>
      </c>
      <c r="L4336">
        <v>2022</v>
      </c>
      <c r="O4336" t="s">
        <v>47</v>
      </c>
      <c r="P4336" t="s">
        <v>2637</v>
      </c>
    </row>
    <row r="4337" spans="1:16" x14ac:dyDescent="0.3">
      <c r="A4337" t="s">
        <v>2652</v>
      </c>
      <c r="B4337" t="s">
        <v>20</v>
      </c>
      <c r="C4337">
        <v>30</v>
      </c>
      <c r="D4337" t="s">
        <v>10</v>
      </c>
      <c r="E4337" t="s">
        <v>501</v>
      </c>
      <c r="F4337" s="43">
        <v>44644.333333333336</v>
      </c>
      <c r="G4337" s="43">
        <v>44644.354166666664</v>
      </c>
      <c r="H4337">
        <v>8</v>
      </c>
      <c r="I4337">
        <v>0</v>
      </c>
      <c r="J4337">
        <v>8</v>
      </c>
      <c r="K4337">
        <v>30</v>
      </c>
      <c r="L4337">
        <v>2022</v>
      </c>
      <c r="N4337" t="s">
        <v>2653</v>
      </c>
      <c r="O4337" t="s">
        <v>47</v>
      </c>
      <c r="P4337" t="s">
        <v>2654</v>
      </c>
    </row>
    <row r="4338" spans="1:16" x14ac:dyDescent="0.3">
      <c r="A4338" t="s">
        <v>8</v>
      </c>
      <c r="C4338">
        <v>60</v>
      </c>
      <c r="D4338" t="s">
        <v>10</v>
      </c>
      <c r="F4338" s="43">
        <v>44644.25</v>
      </c>
      <c r="G4338" s="43">
        <v>44644.291666666664</v>
      </c>
      <c r="H4338">
        <v>6</v>
      </c>
      <c r="I4338">
        <v>0</v>
      </c>
      <c r="J4338">
        <v>7</v>
      </c>
      <c r="K4338">
        <v>0</v>
      </c>
      <c r="L4338">
        <v>2022</v>
      </c>
      <c r="O4338" t="s">
        <v>47</v>
      </c>
      <c r="P4338" t="s">
        <v>2635</v>
      </c>
    </row>
    <row r="4339" spans="1:16" x14ac:dyDescent="0.3">
      <c r="A4339" t="s">
        <v>2638</v>
      </c>
      <c r="C4339">
        <v>30</v>
      </c>
      <c r="D4339" t="s">
        <v>10</v>
      </c>
      <c r="F4339" s="43">
        <v>44644.229166666664</v>
      </c>
      <c r="G4339" s="43">
        <v>44644.25</v>
      </c>
      <c r="H4339">
        <v>5</v>
      </c>
      <c r="I4339">
        <v>30</v>
      </c>
      <c r="J4339">
        <v>6</v>
      </c>
      <c r="K4339">
        <v>0</v>
      </c>
      <c r="L4339">
        <v>2022</v>
      </c>
      <c r="O4339" t="s">
        <v>47</v>
      </c>
      <c r="P4339" t="s">
        <v>2639</v>
      </c>
    </row>
    <row r="4340" spans="1:16" x14ac:dyDescent="0.3">
      <c r="A4340" t="s">
        <v>2014</v>
      </c>
      <c r="C4340">
        <v>30</v>
      </c>
      <c r="D4340" t="s">
        <v>10</v>
      </c>
      <c r="F4340" s="43">
        <v>44643.854166666664</v>
      </c>
      <c r="G4340" s="43">
        <v>44643.875</v>
      </c>
      <c r="H4340">
        <v>20</v>
      </c>
      <c r="I4340">
        <v>30</v>
      </c>
      <c r="J4340">
        <v>21</v>
      </c>
      <c r="K4340">
        <v>0</v>
      </c>
      <c r="L4340">
        <v>2022</v>
      </c>
      <c r="O4340" t="s">
        <v>47</v>
      </c>
      <c r="P4340" t="s">
        <v>2640</v>
      </c>
    </row>
    <row r="4341" spans="1:16" x14ac:dyDescent="0.3">
      <c r="A4341" t="s">
        <v>2014</v>
      </c>
      <c r="C4341">
        <v>20</v>
      </c>
      <c r="D4341" t="s">
        <v>10</v>
      </c>
      <c r="F4341" s="43">
        <v>44643.805555555555</v>
      </c>
      <c r="G4341" s="43">
        <v>44643.819444444445</v>
      </c>
      <c r="H4341">
        <v>19</v>
      </c>
      <c r="I4341">
        <v>20</v>
      </c>
      <c r="J4341">
        <v>19</v>
      </c>
      <c r="K4341">
        <v>40</v>
      </c>
      <c r="L4341">
        <v>2022</v>
      </c>
      <c r="O4341" t="s">
        <v>47</v>
      </c>
      <c r="P4341" t="s">
        <v>2641</v>
      </c>
    </row>
    <row r="4342" spans="1:16" x14ac:dyDescent="0.3">
      <c r="A4342" t="s">
        <v>1180</v>
      </c>
      <c r="C4342">
        <v>40</v>
      </c>
      <c r="D4342" t="s">
        <v>10</v>
      </c>
      <c r="F4342" s="43">
        <v>44643.763888888891</v>
      </c>
      <c r="G4342" s="43">
        <v>44643.791666666664</v>
      </c>
      <c r="H4342">
        <v>18</v>
      </c>
      <c r="I4342">
        <v>20</v>
      </c>
      <c r="J4342">
        <v>19</v>
      </c>
      <c r="K4342">
        <v>0</v>
      </c>
      <c r="L4342">
        <v>2022</v>
      </c>
      <c r="O4342" t="s">
        <v>47</v>
      </c>
      <c r="P4342" t="s">
        <v>2642</v>
      </c>
    </row>
    <row r="4343" spans="1:16" x14ac:dyDescent="0.3">
      <c r="A4343" t="s">
        <v>1180</v>
      </c>
      <c r="C4343">
        <v>45</v>
      </c>
      <c r="D4343" t="s">
        <v>10</v>
      </c>
      <c r="F4343" s="43">
        <v>44643.708333333336</v>
      </c>
      <c r="G4343" s="43">
        <v>44643.739583333336</v>
      </c>
      <c r="H4343">
        <v>17</v>
      </c>
      <c r="I4343">
        <v>0</v>
      </c>
      <c r="J4343">
        <v>17</v>
      </c>
      <c r="K4343">
        <v>45</v>
      </c>
      <c r="L4343">
        <v>2022</v>
      </c>
      <c r="O4343" t="s">
        <v>47</v>
      </c>
      <c r="P4343" t="s">
        <v>2643</v>
      </c>
    </row>
    <row r="4344" spans="1:16" x14ac:dyDescent="0.3">
      <c r="A4344" t="s">
        <v>2645</v>
      </c>
      <c r="C4344">
        <v>30</v>
      </c>
      <c r="D4344" t="s">
        <v>10</v>
      </c>
      <c r="E4344" t="s">
        <v>501</v>
      </c>
      <c r="F4344" s="43">
        <v>44643.6875</v>
      </c>
      <c r="G4344" s="43">
        <v>44643.708333333336</v>
      </c>
      <c r="H4344">
        <v>16</v>
      </c>
      <c r="I4344">
        <v>30</v>
      </c>
      <c r="J4344">
        <v>17</v>
      </c>
      <c r="K4344">
        <v>0</v>
      </c>
      <c r="L4344">
        <v>2022</v>
      </c>
      <c r="N4344" t="s">
        <v>1272</v>
      </c>
      <c r="O4344" t="s">
        <v>47</v>
      </c>
      <c r="P4344" t="s">
        <v>2646</v>
      </c>
    </row>
    <row r="4345" spans="1:16" x14ac:dyDescent="0.3">
      <c r="A4345" t="s">
        <v>1180</v>
      </c>
      <c r="C4345">
        <v>30</v>
      </c>
      <c r="D4345" t="s">
        <v>10</v>
      </c>
      <c r="F4345" s="43">
        <v>44643.645833333336</v>
      </c>
      <c r="G4345" s="43">
        <v>44643.666666666664</v>
      </c>
      <c r="H4345">
        <v>15</v>
      </c>
      <c r="I4345">
        <v>30</v>
      </c>
      <c r="J4345">
        <v>16</v>
      </c>
      <c r="K4345">
        <v>0</v>
      </c>
      <c r="L4345">
        <v>2022</v>
      </c>
      <c r="O4345" t="s">
        <v>47</v>
      </c>
      <c r="P4345" t="s">
        <v>2644</v>
      </c>
    </row>
    <row r="4346" spans="1:16" x14ac:dyDescent="0.3">
      <c r="A4346" t="s">
        <v>8</v>
      </c>
      <c r="C4346">
        <v>45</v>
      </c>
      <c r="D4346" t="s">
        <v>10</v>
      </c>
      <c r="F4346" s="43">
        <v>44643.614583333336</v>
      </c>
      <c r="G4346" s="43">
        <v>44643.645833333336</v>
      </c>
      <c r="H4346">
        <v>14</v>
      </c>
      <c r="I4346">
        <v>45</v>
      </c>
      <c r="J4346">
        <v>15</v>
      </c>
      <c r="K4346">
        <v>30</v>
      </c>
      <c r="L4346">
        <v>2022</v>
      </c>
      <c r="O4346" t="s">
        <v>47</v>
      </c>
      <c r="P4346" t="s">
        <v>2647</v>
      </c>
    </row>
    <row r="4347" spans="1:16" x14ac:dyDescent="0.3">
      <c r="A4347" t="s">
        <v>2655</v>
      </c>
      <c r="C4347">
        <v>30</v>
      </c>
      <c r="D4347" t="s">
        <v>10</v>
      </c>
      <c r="F4347" s="43">
        <v>44643.5625</v>
      </c>
      <c r="G4347" s="43">
        <v>44643.583333333336</v>
      </c>
      <c r="H4347">
        <v>13</v>
      </c>
      <c r="I4347">
        <v>30</v>
      </c>
      <c r="J4347">
        <v>14</v>
      </c>
      <c r="K4347">
        <v>0</v>
      </c>
      <c r="L4347">
        <v>2022</v>
      </c>
      <c r="O4347" t="s">
        <v>47</v>
      </c>
      <c r="P4347" t="s">
        <v>2656</v>
      </c>
    </row>
    <row r="4348" spans="1:16" x14ac:dyDescent="0.3">
      <c r="A4348" t="s">
        <v>2664</v>
      </c>
      <c r="C4348">
        <v>30</v>
      </c>
      <c r="D4348" t="s">
        <v>10</v>
      </c>
      <c r="E4348" t="s">
        <v>21</v>
      </c>
      <c r="F4348" s="43">
        <v>44643.541666666664</v>
      </c>
      <c r="G4348" s="43">
        <v>44643.5625</v>
      </c>
      <c r="H4348">
        <v>13</v>
      </c>
      <c r="I4348">
        <v>0</v>
      </c>
      <c r="J4348">
        <v>13</v>
      </c>
      <c r="K4348">
        <v>30</v>
      </c>
      <c r="L4348">
        <v>2022</v>
      </c>
      <c r="N4348" t="s">
        <v>2535</v>
      </c>
      <c r="O4348" t="s">
        <v>50</v>
      </c>
      <c r="P4348" t="s">
        <v>2665</v>
      </c>
    </row>
    <row r="4349" spans="1:16" x14ac:dyDescent="0.3">
      <c r="A4349" t="s">
        <v>6</v>
      </c>
      <c r="C4349">
        <v>15</v>
      </c>
      <c r="D4349" t="s">
        <v>10</v>
      </c>
      <c r="F4349" s="43">
        <v>44643.513888888891</v>
      </c>
      <c r="G4349" s="43">
        <v>44643.524305555555</v>
      </c>
      <c r="H4349">
        <v>12</v>
      </c>
      <c r="I4349">
        <v>20</v>
      </c>
      <c r="J4349">
        <v>12</v>
      </c>
      <c r="K4349">
        <v>35</v>
      </c>
      <c r="L4349">
        <v>2022</v>
      </c>
      <c r="O4349" t="s">
        <v>47</v>
      </c>
      <c r="P4349" t="s">
        <v>2657</v>
      </c>
    </row>
    <row r="4350" spans="1:16" x14ac:dyDescent="0.3">
      <c r="A4350" t="s">
        <v>827</v>
      </c>
      <c r="C4350">
        <v>50</v>
      </c>
      <c r="D4350" t="s">
        <v>10</v>
      </c>
      <c r="F4350" s="43">
        <v>44643.479166666664</v>
      </c>
      <c r="G4350" s="43">
        <v>44643.513888888891</v>
      </c>
      <c r="H4350">
        <v>11</v>
      </c>
      <c r="I4350">
        <v>30</v>
      </c>
      <c r="J4350">
        <v>12</v>
      </c>
      <c r="K4350">
        <v>20</v>
      </c>
      <c r="L4350">
        <v>2022</v>
      </c>
      <c r="O4350" t="s">
        <v>47</v>
      </c>
      <c r="P4350" t="s">
        <v>2658</v>
      </c>
    </row>
    <row r="4351" spans="1:16" x14ac:dyDescent="0.3">
      <c r="A4351" t="s">
        <v>2659</v>
      </c>
      <c r="C4351">
        <v>60</v>
      </c>
      <c r="D4351" t="s">
        <v>10</v>
      </c>
      <c r="F4351" s="43">
        <v>44643.409722222219</v>
      </c>
      <c r="G4351" s="43">
        <v>44643.451388888891</v>
      </c>
      <c r="H4351">
        <v>9</v>
      </c>
      <c r="I4351">
        <v>50</v>
      </c>
      <c r="J4351">
        <v>10</v>
      </c>
      <c r="K4351">
        <v>50</v>
      </c>
      <c r="L4351">
        <v>2022</v>
      </c>
      <c r="O4351" t="s">
        <v>47</v>
      </c>
      <c r="P4351" t="s">
        <v>2660</v>
      </c>
    </row>
    <row r="4352" spans="1:16" x14ac:dyDescent="0.3">
      <c r="A4352" t="s">
        <v>6</v>
      </c>
      <c r="C4352">
        <v>45</v>
      </c>
      <c r="D4352" t="s">
        <v>10</v>
      </c>
      <c r="F4352" s="43">
        <v>44643.3125</v>
      </c>
      <c r="G4352" s="43">
        <v>44643.34375</v>
      </c>
      <c r="H4352">
        <v>7</v>
      </c>
      <c r="I4352">
        <v>30</v>
      </c>
      <c r="J4352">
        <v>8</v>
      </c>
      <c r="K4352">
        <v>15</v>
      </c>
      <c r="L4352">
        <v>2022</v>
      </c>
      <c r="O4352" t="s">
        <v>47</v>
      </c>
      <c r="P4352" t="s">
        <v>2661</v>
      </c>
    </row>
    <row r="4353" spans="1:16" x14ac:dyDescent="0.3">
      <c r="A4353" t="s">
        <v>2662</v>
      </c>
      <c r="C4353">
        <v>60</v>
      </c>
      <c r="D4353" t="s">
        <v>10</v>
      </c>
      <c r="F4353" s="43">
        <v>44643.229166666664</v>
      </c>
      <c r="G4353" s="43">
        <v>44643.270833333336</v>
      </c>
      <c r="H4353">
        <v>5</v>
      </c>
      <c r="I4353">
        <v>30</v>
      </c>
      <c r="J4353">
        <v>6</v>
      </c>
      <c r="K4353">
        <v>30</v>
      </c>
      <c r="L4353">
        <v>2022</v>
      </c>
      <c r="O4353" t="s">
        <v>47</v>
      </c>
      <c r="P4353" t="s">
        <v>2663</v>
      </c>
    </row>
    <row r="4354" spans="1:16" x14ac:dyDescent="0.3">
      <c r="A4354" t="s">
        <v>1139</v>
      </c>
      <c r="C4354">
        <v>60</v>
      </c>
      <c r="D4354" t="s">
        <v>10</v>
      </c>
      <c r="F4354" s="43">
        <v>44642.791666666664</v>
      </c>
      <c r="G4354" s="43">
        <v>44642.833333333336</v>
      </c>
      <c r="H4354">
        <v>19</v>
      </c>
      <c r="I4354">
        <v>0</v>
      </c>
      <c r="J4354">
        <v>20</v>
      </c>
      <c r="K4354">
        <v>0</v>
      </c>
      <c r="L4354">
        <v>2022</v>
      </c>
      <c r="O4354" t="s">
        <v>47</v>
      </c>
      <c r="P4354" t="s">
        <v>2667</v>
      </c>
    </row>
    <row r="4355" spans="1:16" x14ac:dyDescent="0.3">
      <c r="A4355" t="s">
        <v>6</v>
      </c>
      <c r="C4355">
        <v>45</v>
      </c>
      <c r="D4355" t="s">
        <v>10</v>
      </c>
      <c r="F4355" s="43">
        <v>44642.75</v>
      </c>
      <c r="G4355" s="43">
        <v>44642.78125</v>
      </c>
      <c r="H4355">
        <v>18</v>
      </c>
      <c r="I4355">
        <v>0</v>
      </c>
      <c r="J4355">
        <v>18</v>
      </c>
      <c r="K4355">
        <v>45</v>
      </c>
      <c r="L4355">
        <v>2022</v>
      </c>
      <c r="O4355" t="s">
        <v>47</v>
      </c>
      <c r="P4355" t="s">
        <v>2666</v>
      </c>
    </row>
    <row r="4356" spans="1:16" x14ac:dyDescent="0.3">
      <c r="A4356" t="s">
        <v>446</v>
      </c>
      <c r="C4356">
        <v>30</v>
      </c>
      <c r="D4356" t="s">
        <v>10</v>
      </c>
      <c r="F4356" s="43">
        <v>44642.708333333336</v>
      </c>
      <c r="G4356" s="43">
        <v>44642.729166666664</v>
      </c>
      <c r="H4356">
        <v>17</v>
      </c>
      <c r="I4356">
        <v>0</v>
      </c>
      <c r="J4356">
        <v>17</v>
      </c>
      <c r="K4356">
        <v>30</v>
      </c>
      <c r="L4356">
        <v>2022</v>
      </c>
      <c r="O4356" t="s">
        <v>47</v>
      </c>
      <c r="P4356" t="s">
        <v>2668</v>
      </c>
    </row>
    <row r="4357" spans="1:16" x14ac:dyDescent="0.3">
      <c r="A4357" t="s">
        <v>2671</v>
      </c>
      <c r="C4357">
        <v>45</v>
      </c>
      <c r="D4357" t="s">
        <v>10</v>
      </c>
      <c r="F4357" s="43">
        <v>44642.677083333336</v>
      </c>
      <c r="G4357" s="43">
        <v>44642.708333333336</v>
      </c>
      <c r="H4357">
        <v>16</v>
      </c>
      <c r="I4357">
        <v>15</v>
      </c>
      <c r="J4357">
        <v>17</v>
      </c>
      <c r="K4357">
        <v>0</v>
      </c>
      <c r="L4357">
        <v>2022</v>
      </c>
      <c r="N4357" t="s">
        <v>2672</v>
      </c>
      <c r="O4357" t="s">
        <v>2672</v>
      </c>
      <c r="P4357" t="s">
        <v>2673</v>
      </c>
    </row>
    <row r="4358" spans="1:16" x14ac:dyDescent="0.3">
      <c r="A4358" t="s">
        <v>24</v>
      </c>
      <c r="C4358">
        <v>30</v>
      </c>
      <c r="D4358" t="s">
        <v>10</v>
      </c>
      <c r="F4358" s="43">
        <v>44642.677083333336</v>
      </c>
      <c r="G4358" s="43">
        <v>44642.697916666664</v>
      </c>
      <c r="H4358">
        <v>16</v>
      </c>
      <c r="I4358">
        <v>15</v>
      </c>
      <c r="J4358">
        <v>16</v>
      </c>
      <c r="K4358">
        <v>45</v>
      </c>
      <c r="L4358">
        <v>2022</v>
      </c>
      <c r="O4358" t="s">
        <v>47</v>
      </c>
      <c r="P4358" t="s">
        <v>3061</v>
      </c>
    </row>
    <row r="4359" spans="1:16" x14ac:dyDescent="0.3">
      <c r="A4359" t="s">
        <v>7</v>
      </c>
      <c r="C4359">
        <v>30</v>
      </c>
      <c r="D4359" t="s">
        <v>10</v>
      </c>
      <c r="F4359" s="43">
        <v>44642.645833333336</v>
      </c>
      <c r="G4359" s="43">
        <v>44642.666666666664</v>
      </c>
      <c r="H4359">
        <v>15</v>
      </c>
      <c r="I4359">
        <v>30</v>
      </c>
      <c r="J4359">
        <v>16</v>
      </c>
      <c r="K4359">
        <v>0</v>
      </c>
      <c r="L4359">
        <v>2022</v>
      </c>
      <c r="O4359" t="s">
        <v>47</v>
      </c>
      <c r="P4359" t="s">
        <v>2674</v>
      </c>
    </row>
    <row r="4360" spans="1:16" x14ac:dyDescent="0.3">
      <c r="A4360" t="s">
        <v>8</v>
      </c>
      <c r="C4360">
        <v>90</v>
      </c>
      <c r="D4360" t="s">
        <v>10</v>
      </c>
      <c r="F4360" s="43">
        <v>44642.583333333336</v>
      </c>
      <c r="G4360" s="43">
        <v>44642.645833333336</v>
      </c>
      <c r="H4360">
        <v>14</v>
      </c>
      <c r="I4360">
        <v>0</v>
      </c>
      <c r="J4360">
        <v>15</v>
      </c>
      <c r="K4360">
        <v>30</v>
      </c>
      <c r="L4360">
        <v>2022</v>
      </c>
      <c r="O4360" t="s">
        <v>47</v>
      </c>
      <c r="P4360" t="s">
        <v>2675</v>
      </c>
    </row>
    <row r="4361" spans="1:16" x14ac:dyDescent="0.3">
      <c r="A4361" t="s">
        <v>1105</v>
      </c>
      <c r="C4361">
        <v>60</v>
      </c>
      <c r="D4361" t="s">
        <v>10</v>
      </c>
      <c r="F4361" s="43">
        <v>44642.520833333336</v>
      </c>
      <c r="G4361" s="43">
        <v>44642.5625</v>
      </c>
      <c r="H4361">
        <v>12</v>
      </c>
      <c r="I4361">
        <v>30</v>
      </c>
      <c r="J4361">
        <v>13</v>
      </c>
      <c r="K4361">
        <v>30</v>
      </c>
      <c r="L4361">
        <v>2022</v>
      </c>
      <c r="O4361" t="s">
        <v>47</v>
      </c>
      <c r="P4361" t="s">
        <v>2677</v>
      </c>
    </row>
    <row r="4362" spans="1:16" x14ac:dyDescent="0.3">
      <c r="A4362" t="s">
        <v>2696</v>
      </c>
      <c r="C4362">
        <v>60</v>
      </c>
      <c r="D4362" t="s">
        <v>10</v>
      </c>
      <c r="E4362" t="s">
        <v>501</v>
      </c>
      <c r="F4362" s="43">
        <v>44642.489583333336</v>
      </c>
      <c r="G4362" s="43">
        <v>44642.53125</v>
      </c>
      <c r="H4362">
        <v>11</v>
      </c>
      <c r="I4362">
        <v>45</v>
      </c>
      <c r="J4362">
        <v>12</v>
      </c>
      <c r="K4362">
        <v>45</v>
      </c>
      <c r="L4362">
        <v>2022</v>
      </c>
      <c r="N4362" t="s">
        <v>625</v>
      </c>
      <c r="O4362" t="s">
        <v>47</v>
      </c>
      <c r="P4362" t="s">
        <v>2697</v>
      </c>
    </row>
    <row r="4363" spans="1:16" x14ac:dyDescent="0.3">
      <c r="A4363" t="s">
        <v>2781</v>
      </c>
      <c r="B4363" t="s">
        <v>20</v>
      </c>
      <c r="C4363">
        <v>110</v>
      </c>
      <c r="D4363" t="s">
        <v>10</v>
      </c>
      <c r="E4363" t="s">
        <v>2782</v>
      </c>
      <c r="F4363" s="43">
        <v>44642.395833333336</v>
      </c>
      <c r="G4363" s="43">
        <v>44642.472222222219</v>
      </c>
      <c r="H4363">
        <v>9</v>
      </c>
      <c r="I4363">
        <v>30</v>
      </c>
      <c r="J4363">
        <v>11</v>
      </c>
      <c r="K4363">
        <v>20</v>
      </c>
      <c r="L4363">
        <v>2022</v>
      </c>
      <c r="N4363" t="s">
        <v>2783</v>
      </c>
      <c r="O4363" t="s">
        <v>2784</v>
      </c>
      <c r="P4363" t="s">
        <v>2785</v>
      </c>
    </row>
    <row r="4364" spans="1:16" x14ac:dyDescent="0.3">
      <c r="A4364" t="s">
        <v>8</v>
      </c>
      <c r="C4364">
        <v>60</v>
      </c>
      <c r="D4364" t="s">
        <v>10</v>
      </c>
      <c r="F4364" s="43">
        <v>44642.354166666664</v>
      </c>
      <c r="G4364" s="43">
        <v>44642.395833333336</v>
      </c>
      <c r="H4364">
        <v>8</v>
      </c>
      <c r="I4364">
        <v>30</v>
      </c>
      <c r="J4364">
        <v>9</v>
      </c>
      <c r="K4364">
        <v>30</v>
      </c>
      <c r="L4364">
        <v>2022</v>
      </c>
      <c r="O4364" t="s">
        <v>47</v>
      </c>
      <c r="P4364" t="s">
        <v>2676</v>
      </c>
    </row>
    <row r="4365" spans="1:16" x14ac:dyDescent="0.3">
      <c r="A4365" t="s">
        <v>2491</v>
      </c>
      <c r="C4365">
        <v>60</v>
      </c>
      <c r="D4365" t="s">
        <v>10</v>
      </c>
      <c r="F4365" s="43">
        <v>44642.229166666664</v>
      </c>
      <c r="G4365" s="43">
        <v>44642.270833333336</v>
      </c>
      <c r="H4365">
        <v>5</v>
      </c>
      <c r="I4365">
        <v>30</v>
      </c>
      <c r="J4365">
        <v>6</v>
      </c>
      <c r="K4365">
        <v>30</v>
      </c>
      <c r="L4365">
        <v>2022</v>
      </c>
      <c r="O4365" t="s">
        <v>47</v>
      </c>
      <c r="P4365" t="s">
        <v>2684</v>
      </c>
    </row>
    <row r="4366" spans="1:16" x14ac:dyDescent="0.3">
      <c r="A4366" t="s">
        <v>2491</v>
      </c>
      <c r="C4366">
        <v>60</v>
      </c>
      <c r="D4366" t="s">
        <v>10</v>
      </c>
      <c r="F4366" s="43">
        <v>44641.770833333336</v>
      </c>
      <c r="G4366" s="43">
        <v>44641.8125</v>
      </c>
      <c r="H4366">
        <v>18</v>
      </c>
      <c r="I4366">
        <v>30</v>
      </c>
      <c r="J4366">
        <v>19</v>
      </c>
      <c r="K4366">
        <v>30</v>
      </c>
      <c r="L4366">
        <v>2022</v>
      </c>
      <c r="O4366" t="s">
        <v>47</v>
      </c>
      <c r="P4366" t="s">
        <v>2685</v>
      </c>
    </row>
    <row r="4367" spans="1:16" x14ac:dyDescent="0.3">
      <c r="A4367" t="s">
        <v>2686</v>
      </c>
      <c r="C4367">
        <v>60</v>
      </c>
      <c r="D4367" t="s">
        <v>10</v>
      </c>
      <c r="F4367" s="43">
        <v>44641.6875</v>
      </c>
      <c r="G4367" s="43">
        <v>44641.729166666664</v>
      </c>
      <c r="H4367">
        <v>16</v>
      </c>
      <c r="I4367">
        <v>30</v>
      </c>
      <c r="J4367">
        <v>17</v>
      </c>
      <c r="K4367">
        <v>30</v>
      </c>
      <c r="L4367">
        <v>2022</v>
      </c>
      <c r="O4367" t="s">
        <v>47</v>
      </c>
      <c r="P4367" t="s">
        <v>2687</v>
      </c>
    </row>
    <row r="4368" spans="1:16" x14ac:dyDescent="0.3">
      <c r="A4368" t="s">
        <v>2690</v>
      </c>
      <c r="C4368">
        <v>60</v>
      </c>
      <c r="D4368" t="s">
        <v>10</v>
      </c>
      <c r="F4368" s="43">
        <v>44641.645833333336</v>
      </c>
      <c r="G4368" s="43">
        <v>44641.6875</v>
      </c>
      <c r="H4368">
        <v>15</v>
      </c>
      <c r="I4368">
        <v>30</v>
      </c>
      <c r="J4368">
        <v>16</v>
      </c>
      <c r="K4368">
        <v>30</v>
      </c>
      <c r="L4368">
        <v>2022</v>
      </c>
      <c r="O4368" t="s">
        <v>47</v>
      </c>
      <c r="P4368" t="s">
        <v>2691</v>
      </c>
    </row>
    <row r="4369" spans="1:16" x14ac:dyDescent="0.3">
      <c r="A4369" t="s">
        <v>2688</v>
      </c>
      <c r="C4369">
        <v>45</v>
      </c>
      <c r="D4369" t="s">
        <v>10</v>
      </c>
      <c r="F4369" s="43">
        <v>44641.583333333336</v>
      </c>
      <c r="G4369" s="43">
        <v>44641.614583333336</v>
      </c>
      <c r="H4369">
        <v>14</v>
      </c>
      <c r="I4369">
        <v>0</v>
      </c>
      <c r="J4369">
        <v>14</v>
      </c>
      <c r="K4369">
        <v>45</v>
      </c>
      <c r="L4369">
        <v>2022</v>
      </c>
      <c r="O4369" t="s">
        <v>47</v>
      </c>
      <c r="P4369" t="s">
        <v>2689</v>
      </c>
    </row>
    <row r="4370" spans="1:16" x14ac:dyDescent="0.3">
      <c r="A4370" t="s">
        <v>2732</v>
      </c>
      <c r="C4370">
        <v>25</v>
      </c>
      <c r="D4370" t="s">
        <v>10</v>
      </c>
      <c r="E4370" t="s">
        <v>5</v>
      </c>
      <c r="F4370" s="43">
        <v>44641.5</v>
      </c>
      <c r="G4370" s="43">
        <v>44641.517361111109</v>
      </c>
      <c r="H4370">
        <v>12</v>
      </c>
      <c r="I4370">
        <v>0</v>
      </c>
      <c r="J4370">
        <v>12</v>
      </c>
      <c r="K4370">
        <v>25</v>
      </c>
      <c r="L4370">
        <v>2022</v>
      </c>
      <c r="N4370" t="s">
        <v>2733</v>
      </c>
      <c r="O4370" t="s">
        <v>1272</v>
      </c>
      <c r="P4370" t="s">
        <v>2734</v>
      </c>
    </row>
    <row r="4371" spans="1:16" x14ac:dyDescent="0.3">
      <c r="A4371" t="s">
        <v>2698</v>
      </c>
      <c r="C4371">
        <v>30</v>
      </c>
      <c r="D4371" t="s">
        <v>10</v>
      </c>
      <c r="E4371" t="s">
        <v>501</v>
      </c>
      <c r="F4371" s="43">
        <v>44641.458333333336</v>
      </c>
      <c r="G4371" s="43">
        <v>44641.479166666664</v>
      </c>
      <c r="H4371">
        <v>11</v>
      </c>
      <c r="I4371">
        <v>0</v>
      </c>
      <c r="J4371">
        <v>11</v>
      </c>
      <c r="K4371">
        <v>30</v>
      </c>
      <c r="L4371">
        <v>2022</v>
      </c>
      <c r="N4371" t="s">
        <v>2348</v>
      </c>
      <c r="O4371" t="s">
        <v>47</v>
      </c>
      <c r="P4371" t="s">
        <v>2699</v>
      </c>
    </row>
    <row r="4372" spans="1:16" x14ac:dyDescent="0.3">
      <c r="A4372" t="s">
        <v>2717</v>
      </c>
      <c r="C4372">
        <v>60</v>
      </c>
      <c r="D4372" t="s">
        <v>10</v>
      </c>
      <c r="E4372" t="s">
        <v>2718</v>
      </c>
      <c r="F4372" s="43">
        <v>44641.416666666664</v>
      </c>
      <c r="G4372" s="43">
        <v>44641.458333333336</v>
      </c>
      <c r="H4372">
        <v>10</v>
      </c>
      <c r="I4372">
        <v>0</v>
      </c>
      <c r="J4372">
        <v>11</v>
      </c>
      <c r="K4372">
        <v>0</v>
      </c>
      <c r="L4372">
        <v>2022</v>
      </c>
      <c r="N4372" t="s">
        <v>2719</v>
      </c>
      <c r="O4372" t="s">
        <v>458</v>
      </c>
      <c r="P4372" t="s">
        <v>2720</v>
      </c>
    </row>
    <row r="4373" spans="1:16" x14ac:dyDescent="0.3">
      <c r="A4373" t="s">
        <v>6</v>
      </c>
      <c r="C4373">
        <v>30</v>
      </c>
      <c r="D4373" t="s">
        <v>10</v>
      </c>
      <c r="F4373" s="43">
        <v>44641.354166666664</v>
      </c>
      <c r="G4373" s="43">
        <v>44641.375</v>
      </c>
      <c r="H4373">
        <v>8</v>
      </c>
      <c r="I4373">
        <v>30</v>
      </c>
      <c r="J4373">
        <v>9</v>
      </c>
      <c r="K4373">
        <v>0</v>
      </c>
      <c r="L4373">
        <v>2022</v>
      </c>
      <c r="O4373" t="s">
        <v>47</v>
      </c>
      <c r="P4373" t="s">
        <v>2695</v>
      </c>
    </row>
    <row r="4374" spans="1:16" x14ac:dyDescent="0.3">
      <c r="A4374" t="s">
        <v>2700</v>
      </c>
      <c r="C4374">
        <v>60</v>
      </c>
      <c r="D4374" t="s">
        <v>10</v>
      </c>
      <c r="F4374" s="43">
        <v>44641.25</v>
      </c>
      <c r="G4374" s="43">
        <v>44641.291666666664</v>
      </c>
      <c r="H4374">
        <v>6</v>
      </c>
      <c r="I4374">
        <v>0</v>
      </c>
      <c r="J4374">
        <v>7</v>
      </c>
      <c r="K4374">
        <v>0</v>
      </c>
      <c r="L4374">
        <v>2022</v>
      </c>
      <c r="O4374" t="s">
        <v>47</v>
      </c>
      <c r="P4374" t="s">
        <v>2701</v>
      </c>
    </row>
    <row r="4375" spans="1:16" x14ac:dyDescent="0.3">
      <c r="A4375" t="s">
        <v>2692</v>
      </c>
      <c r="C4375">
        <v>300</v>
      </c>
      <c r="D4375" t="s">
        <v>10</v>
      </c>
      <c r="F4375" s="43">
        <v>44640.333333333336</v>
      </c>
      <c r="G4375" s="43">
        <v>44640.541666666664</v>
      </c>
      <c r="H4375">
        <v>8</v>
      </c>
      <c r="I4375">
        <v>0</v>
      </c>
      <c r="J4375">
        <v>13</v>
      </c>
      <c r="K4375">
        <v>0</v>
      </c>
      <c r="L4375">
        <v>2022</v>
      </c>
      <c r="O4375" t="s">
        <v>47</v>
      </c>
      <c r="P4375" t="s">
        <v>2694</v>
      </c>
    </row>
    <row r="4376" spans="1:16" x14ac:dyDescent="0.3">
      <c r="A4376" t="s">
        <v>2692</v>
      </c>
      <c r="C4376">
        <v>240</v>
      </c>
      <c r="D4376" t="s">
        <v>10</v>
      </c>
      <c r="F4376" s="43">
        <v>44639.375</v>
      </c>
      <c r="G4376" s="43">
        <v>44639.541666666664</v>
      </c>
      <c r="H4376">
        <v>9</v>
      </c>
      <c r="I4376">
        <v>0</v>
      </c>
      <c r="J4376">
        <v>13</v>
      </c>
      <c r="K4376">
        <v>0</v>
      </c>
      <c r="L4376">
        <v>2022</v>
      </c>
      <c r="O4376" t="s">
        <v>47</v>
      </c>
      <c r="P4376" t="s">
        <v>2693</v>
      </c>
    </row>
    <row r="4377" spans="1:16" x14ac:dyDescent="0.3">
      <c r="A4377" t="s">
        <v>2692</v>
      </c>
      <c r="C4377">
        <v>90</v>
      </c>
      <c r="D4377" t="s">
        <v>10</v>
      </c>
      <c r="F4377" s="43">
        <v>44639.25</v>
      </c>
      <c r="G4377" s="43">
        <v>44639.3125</v>
      </c>
      <c r="H4377">
        <v>6</v>
      </c>
      <c r="I4377">
        <v>0</v>
      </c>
      <c r="J4377">
        <v>7</v>
      </c>
      <c r="K4377">
        <v>30</v>
      </c>
      <c r="L4377">
        <v>2022</v>
      </c>
      <c r="O4377" t="s">
        <v>47</v>
      </c>
      <c r="P4377" t="s">
        <v>2706</v>
      </c>
    </row>
    <row r="4378" spans="1:16" x14ac:dyDescent="0.3">
      <c r="A4378" t="s">
        <v>2707</v>
      </c>
      <c r="C4378">
        <v>30</v>
      </c>
      <c r="D4378" t="s">
        <v>10</v>
      </c>
      <c r="F4378" s="43">
        <v>44638.770833333336</v>
      </c>
      <c r="G4378" s="43">
        <v>44638.791666666664</v>
      </c>
      <c r="H4378">
        <v>18</v>
      </c>
      <c r="I4378">
        <v>30</v>
      </c>
      <c r="J4378">
        <v>19</v>
      </c>
      <c r="K4378">
        <v>0</v>
      </c>
      <c r="L4378">
        <v>2022</v>
      </c>
      <c r="O4378" t="s">
        <v>47</v>
      </c>
      <c r="P4378" t="s">
        <v>2708</v>
      </c>
    </row>
    <row r="4379" spans="1:16" x14ac:dyDescent="0.3">
      <c r="A4379" t="s">
        <v>2692</v>
      </c>
      <c r="C4379">
        <v>60</v>
      </c>
      <c r="D4379" t="s">
        <v>10</v>
      </c>
      <c r="F4379" s="43">
        <v>44638.708333333336</v>
      </c>
      <c r="G4379" s="43">
        <v>44638.75</v>
      </c>
      <c r="H4379">
        <v>17</v>
      </c>
      <c r="I4379">
        <v>0</v>
      </c>
      <c r="J4379">
        <v>18</v>
      </c>
      <c r="K4379">
        <v>0</v>
      </c>
      <c r="L4379">
        <v>2022</v>
      </c>
      <c r="O4379" t="s">
        <v>47</v>
      </c>
      <c r="P4379" t="s">
        <v>2709</v>
      </c>
    </row>
    <row r="4380" spans="1:16" x14ac:dyDescent="0.3">
      <c r="A4380" t="s">
        <v>2789</v>
      </c>
      <c r="C4380">
        <v>30</v>
      </c>
      <c r="D4380" t="s">
        <v>10</v>
      </c>
      <c r="F4380" s="43">
        <v>44638.666666666664</v>
      </c>
      <c r="G4380" s="43">
        <v>44638.6875</v>
      </c>
      <c r="H4380">
        <v>16</v>
      </c>
      <c r="I4380">
        <v>0</v>
      </c>
      <c r="J4380">
        <v>16</v>
      </c>
      <c r="K4380">
        <v>30</v>
      </c>
      <c r="L4380">
        <v>2022</v>
      </c>
      <c r="N4380" t="s">
        <v>2790</v>
      </c>
      <c r="O4380" t="s">
        <v>2791</v>
      </c>
      <c r="P4380" t="s">
        <v>2792</v>
      </c>
    </row>
    <row r="4381" spans="1:16" x14ac:dyDescent="0.3">
      <c r="A4381" t="s">
        <v>2714</v>
      </c>
      <c r="B4381" t="s">
        <v>20</v>
      </c>
      <c r="C4381">
        <v>30</v>
      </c>
      <c r="D4381" t="s">
        <v>10</v>
      </c>
      <c r="E4381" t="s">
        <v>1712</v>
      </c>
      <c r="F4381" s="43">
        <v>44638.604166666664</v>
      </c>
      <c r="G4381" s="43">
        <v>44638.625</v>
      </c>
      <c r="H4381">
        <v>14</v>
      </c>
      <c r="I4381">
        <v>30</v>
      </c>
      <c r="J4381">
        <v>15</v>
      </c>
      <c r="K4381">
        <v>0</v>
      </c>
      <c r="L4381">
        <v>2022</v>
      </c>
      <c r="N4381" t="s">
        <v>2715</v>
      </c>
      <c r="O4381" t="s">
        <v>48</v>
      </c>
      <c r="P4381" t="s">
        <v>2716</v>
      </c>
    </row>
    <row r="4382" spans="1:16" x14ac:dyDescent="0.3">
      <c r="A4382" t="s">
        <v>7</v>
      </c>
      <c r="C4382">
        <v>30</v>
      </c>
      <c r="D4382" t="s">
        <v>10</v>
      </c>
      <c r="F4382" s="43">
        <v>44638.583333333336</v>
      </c>
      <c r="G4382" s="43">
        <v>44638.604166666664</v>
      </c>
      <c r="H4382">
        <v>14</v>
      </c>
      <c r="I4382">
        <v>0</v>
      </c>
      <c r="J4382">
        <v>14</v>
      </c>
      <c r="K4382">
        <v>30</v>
      </c>
      <c r="L4382">
        <v>2022</v>
      </c>
      <c r="O4382" t="s">
        <v>47</v>
      </c>
      <c r="P4382" t="s">
        <v>2710</v>
      </c>
    </row>
    <row r="4383" spans="1:16" x14ac:dyDescent="0.3">
      <c r="A4383" t="s">
        <v>992</v>
      </c>
      <c r="C4383">
        <v>30</v>
      </c>
      <c r="D4383" t="s">
        <v>10</v>
      </c>
      <c r="F4383" s="1">
        <v>44638.5625</v>
      </c>
      <c r="G4383" s="1">
        <v>44638.583333333336</v>
      </c>
      <c r="H4383">
        <v>13</v>
      </c>
      <c r="I4383">
        <v>30</v>
      </c>
      <c r="J4383">
        <v>14</v>
      </c>
      <c r="K4383">
        <v>0</v>
      </c>
      <c r="L4383">
        <v>2022</v>
      </c>
      <c r="O4383" t="s">
        <v>47</v>
      </c>
      <c r="P4383" t="s">
        <v>2712</v>
      </c>
    </row>
    <row r="4384" spans="1:16" x14ac:dyDescent="0.3">
      <c r="A4384" t="s">
        <v>8</v>
      </c>
      <c r="C4384">
        <v>30</v>
      </c>
      <c r="D4384" t="s">
        <v>10</v>
      </c>
      <c r="F4384" s="43">
        <v>44638.5</v>
      </c>
      <c r="G4384" s="43">
        <v>44638.520833333336</v>
      </c>
      <c r="H4384">
        <v>12</v>
      </c>
      <c r="I4384">
        <v>0</v>
      </c>
      <c r="J4384">
        <v>12</v>
      </c>
      <c r="K4384">
        <v>30</v>
      </c>
      <c r="L4384">
        <v>2022</v>
      </c>
      <c r="O4384" t="s">
        <v>47</v>
      </c>
      <c r="P4384" t="s">
        <v>2711</v>
      </c>
    </row>
    <row r="4385" spans="1:16" x14ac:dyDescent="0.3">
      <c r="A4385" t="s">
        <v>8</v>
      </c>
      <c r="C4385">
        <v>30</v>
      </c>
      <c r="D4385" t="s">
        <v>10</v>
      </c>
      <c r="F4385" s="43">
        <v>44638.4375</v>
      </c>
      <c r="G4385" s="43">
        <v>44638.458333333336</v>
      </c>
      <c r="H4385">
        <v>10</v>
      </c>
      <c r="I4385">
        <v>30</v>
      </c>
      <c r="J4385">
        <v>11</v>
      </c>
      <c r="K4385">
        <v>0</v>
      </c>
      <c r="L4385">
        <v>2022</v>
      </c>
      <c r="O4385" t="s">
        <v>47</v>
      </c>
      <c r="P4385" t="s">
        <v>2713</v>
      </c>
    </row>
    <row r="4386" spans="1:16" x14ac:dyDescent="0.3">
      <c r="A4386" t="s">
        <v>2844</v>
      </c>
      <c r="B4386" t="s">
        <v>109</v>
      </c>
      <c r="C4386">
        <v>30</v>
      </c>
      <c r="D4386" t="s">
        <v>10</v>
      </c>
      <c r="E4386" t="s">
        <v>21</v>
      </c>
      <c r="F4386" s="43">
        <v>44638.416666666664</v>
      </c>
      <c r="G4386" s="43">
        <v>44638.4375</v>
      </c>
      <c r="H4386">
        <v>10</v>
      </c>
      <c r="I4386">
        <v>0</v>
      </c>
      <c r="J4386">
        <v>10</v>
      </c>
      <c r="K4386">
        <v>30</v>
      </c>
      <c r="L4386">
        <v>2022</v>
      </c>
      <c r="N4386" t="s">
        <v>2845</v>
      </c>
      <c r="O4386" t="s">
        <v>50</v>
      </c>
      <c r="P4386" t="s">
        <v>2846</v>
      </c>
    </row>
    <row r="4387" spans="1:16" x14ac:dyDescent="0.3">
      <c r="A4387" t="s">
        <v>2737</v>
      </c>
      <c r="B4387" t="s">
        <v>109</v>
      </c>
      <c r="C4387">
        <v>60</v>
      </c>
      <c r="D4387" t="s">
        <v>10</v>
      </c>
      <c r="E4387" t="s">
        <v>1712</v>
      </c>
      <c r="F4387" s="43">
        <v>44638.375</v>
      </c>
      <c r="G4387" s="43">
        <v>44638.416666666664</v>
      </c>
      <c r="H4387">
        <v>9</v>
      </c>
      <c r="I4387">
        <v>0</v>
      </c>
      <c r="J4387">
        <v>10</v>
      </c>
      <c r="K4387">
        <v>0</v>
      </c>
      <c r="L4387">
        <v>2022</v>
      </c>
      <c r="N4387" t="s">
        <v>2738</v>
      </c>
      <c r="O4387" t="s">
        <v>48</v>
      </c>
      <c r="P4387" t="s">
        <v>2739</v>
      </c>
    </row>
    <row r="4388" spans="1:16" x14ac:dyDescent="0.3">
      <c r="A4388" t="s">
        <v>2707</v>
      </c>
      <c r="C4388">
        <v>45</v>
      </c>
      <c r="D4388" t="s">
        <v>10</v>
      </c>
      <c r="F4388" s="43">
        <v>44638.333333333336</v>
      </c>
      <c r="G4388" s="43">
        <v>44638.364583333336</v>
      </c>
      <c r="H4388">
        <v>8</v>
      </c>
      <c r="I4388">
        <v>0</v>
      </c>
      <c r="J4388">
        <v>8</v>
      </c>
      <c r="K4388">
        <v>45</v>
      </c>
      <c r="L4388">
        <v>2022</v>
      </c>
      <c r="O4388" t="s">
        <v>47</v>
      </c>
      <c r="P4388" t="s">
        <v>2721</v>
      </c>
    </row>
    <row r="4389" spans="1:16" x14ac:dyDescent="0.3">
      <c r="A4389" t="s">
        <v>8</v>
      </c>
      <c r="C4389">
        <v>30</v>
      </c>
      <c r="D4389" t="s">
        <v>10</v>
      </c>
      <c r="F4389" s="43">
        <v>44638.3125</v>
      </c>
      <c r="G4389" s="43">
        <v>44638.333333333336</v>
      </c>
      <c r="H4389">
        <v>7</v>
      </c>
      <c r="I4389">
        <v>30</v>
      </c>
      <c r="J4389">
        <v>8</v>
      </c>
      <c r="K4389">
        <v>0</v>
      </c>
      <c r="L4389">
        <v>2022</v>
      </c>
      <c r="O4389" t="s">
        <v>47</v>
      </c>
      <c r="P4389" t="s">
        <v>2722</v>
      </c>
    </row>
    <row r="4390" spans="1:16" x14ac:dyDescent="0.3">
      <c r="A4390" t="s">
        <v>2725</v>
      </c>
      <c r="C4390">
        <v>85</v>
      </c>
      <c r="D4390" t="s">
        <v>10</v>
      </c>
      <c r="F4390" s="43">
        <v>44638.21875</v>
      </c>
      <c r="G4390" s="43">
        <v>44638.277777777781</v>
      </c>
      <c r="H4390">
        <v>5</v>
      </c>
      <c r="I4390">
        <v>15</v>
      </c>
      <c r="J4390">
        <v>6</v>
      </c>
      <c r="K4390">
        <v>40</v>
      </c>
      <c r="L4390">
        <v>2022</v>
      </c>
      <c r="O4390" t="s">
        <v>47</v>
      </c>
      <c r="P4390" t="s">
        <v>2726</v>
      </c>
    </row>
    <row r="4391" spans="1:16" x14ac:dyDescent="0.3">
      <c r="A4391" t="s">
        <v>2692</v>
      </c>
      <c r="C4391">
        <v>50</v>
      </c>
      <c r="D4391" t="s">
        <v>10</v>
      </c>
      <c r="F4391" s="43">
        <v>44637.729166666664</v>
      </c>
      <c r="G4391" s="43">
        <v>44637.763888888891</v>
      </c>
      <c r="H4391">
        <v>17</v>
      </c>
      <c r="I4391">
        <v>30</v>
      </c>
      <c r="J4391">
        <v>18</v>
      </c>
      <c r="K4391">
        <v>20</v>
      </c>
      <c r="L4391">
        <v>2022</v>
      </c>
      <c r="O4391" t="s">
        <v>47</v>
      </c>
      <c r="P4391" t="s">
        <v>2727</v>
      </c>
    </row>
    <row r="4392" spans="1:16" x14ac:dyDescent="0.3">
      <c r="A4392" t="s">
        <v>2728</v>
      </c>
      <c r="C4392">
        <v>30</v>
      </c>
      <c r="D4392" t="s">
        <v>10</v>
      </c>
      <c r="F4392" s="43">
        <v>44637.6875</v>
      </c>
      <c r="G4392" s="43">
        <v>44637.708333333336</v>
      </c>
      <c r="H4392">
        <v>16</v>
      </c>
      <c r="I4392">
        <v>30</v>
      </c>
      <c r="J4392">
        <v>17</v>
      </c>
      <c r="K4392">
        <v>0</v>
      </c>
      <c r="L4392">
        <v>2022</v>
      </c>
      <c r="O4392" t="s">
        <v>47</v>
      </c>
      <c r="P4392" t="s">
        <v>2729</v>
      </c>
    </row>
    <row r="4393" spans="1:16" x14ac:dyDescent="0.3">
      <c r="A4393" t="s">
        <v>7</v>
      </c>
      <c r="C4393">
        <v>30</v>
      </c>
      <c r="D4393" t="s">
        <v>10</v>
      </c>
      <c r="F4393" s="43">
        <v>44637.666666666664</v>
      </c>
      <c r="G4393" s="43">
        <v>44637.6875</v>
      </c>
      <c r="H4393">
        <v>16</v>
      </c>
      <c r="I4393">
        <v>0</v>
      </c>
      <c r="J4393">
        <v>16</v>
      </c>
      <c r="K4393">
        <v>30</v>
      </c>
      <c r="L4393">
        <v>2022</v>
      </c>
      <c r="O4393" t="s">
        <v>47</v>
      </c>
      <c r="P4393" t="s">
        <v>2730</v>
      </c>
    </row>
    <row r="4394" spans="1:16" x14ac:dyDescent="0.3">
      <c r="A4394" t="s">
        <v>2692</v>
      </c>
      <c r="C4394">
        <v>90</v>
      </c>
      <c r="D4394" t="s">
        <v>10</v>
      </c>
      <c r="F4394" s="43">
        <v>44637.604166666664</v>
      </c>
      <c r="G4394" s="43">
        <v>44637.666666666664</v>
      </c>
      <c r="H4394">
        <v>14</v>
      </c>
      <c r="I4394">
        <v>30</v>
      </c>
      <c r="J4394">
        <v>16</v>
      </c>
      <c r="K4394">
        <v>0</v>
      </c>
      <c r="L4394">
        <v>2022</v>
      </c>
      <c r="O4394" t="s">
        <v>47</v>
      </c>
      <c r="P4394" t="s">
        <v>2731</v>
      </c>
    </row>
    <row r="4395" spans="1:16" x14ac:dyDescent="0.3">
      <c r="A4395" t="s">
        <v>2735</v>
      </c>
      <c r="C4395">
        <v>30</v>
      </c>
      <c r="D4395" t="s">
        <v>10</v>
      </c>
      <c r="F4395" s="43">
        <v>44637.583333333336</v>
      </c>
      <c r="G4395" s="43">
        <v>44637.604166666664</v>
      </c>
      <c r="H4395">
        <v>14</v>
      </c>
      <c r="I4395">
        <v>0</v>
      </c>
      <c r="J4395">
        <v>14</v>
      </c>
      <c r="K4395">
        <v>30</v>
      </c>
      <c r="L4395">
        <v>2022</v>
      </c>
      <c r="O4395" t="s">
        <v>47</v>
      </c>
      <c r="P4395" t="s">
        <v>2736</v>
      </c>
    </row>
    <row r="4396" spans="1:16" x14ac:dyDescent="0.3">
      <c r="A4396" t="s">
        <v>8</v>
      </c>
      <c r="C4396">
        <v>20</v>
      </c>
      <c r="D4396" t="s">
        <v>10</v>
      </c>
      <c r="F4396" s="43">
        <v>44637.53125</v>
      </c>
      <c r="G4396" s="43">
        <v>44637.545138888891</v>
      </c>
      <c r="H4396">
        <v>12</v>
      </c>
      <c r="I4396">
        <v>45</v>
      </c>
      <c r="J4396">
        <v>13</v>
      </c>
      <c r="K4396">
        <v>5</v>
      </c>
      <c r="L4396">
        <v>2022</v>
      </c>
      <c r="O4396" t="s">
        <v>47</v>
      </c>
      <c r="P4396" t="s">
        <v>2740</v>
      </c>
    </row>
    <row r="4397" spans="1:16" x14ac:dyDescent="0.3">
      <c r="A4397" t="s">
        <v>2745</v>
      </c>
      <c r="C4397">
        <v>60</v>
      </c>
      <c r="D4397" t="s">
        <v>10</v>
      </c>
      <c r="F4397" s="43">
        <v>44637.489583333336</v>
      </c>
      <c r="G4397" s="43">
        <v>44637.53125</v>
      </c>
      <c r="H4397">
        <v>11</v>
      </c>
      <c r="I4397">
        <v>45</v>
      </c>
      <c r="J4397">
        <v>12</v>
      </c>
      <c r="K4397">
        <v>45</v>
      </c>
      <c r="L4397">
        <v>2022</v>
      </c>
      <c r="N4397" t="s">
        <v>458</v>
      </c>
      <c r="O4397" t="s">
        <v>47</v>
      </c>
      <c r="P4397" t="s">
        <v>2746</v>
      </c>
    </row>
    <row r="4398" spans="1:16" x14ac:dyDescent="0.3">
      <c r="A4398" t="s">
        <v>2741</v>
      </c>
      <c r="C4398">
        <v>60</v>
      </c>
      <c r="D4398" t="s">
        <v>10</v>
      </c>
      <c r="F4398" s="43">
        <v>44637.416666666664</v>
      </c>
      <c r="G4398" s="43">
        <v>44637.458333333336</v>
      </c>
      <c r="H4398">
        <v>10</v>
      </c>
      <c r="I4398">
        <v>0</v>
      </c>
      <c r="J4398">
        <v>11</v>
      </c>
      <c r="K4398">
        <v>0</v>
      </c>
      <c r="L4398">
        <v>2022</v>
      </c>
      <c r="O4398" t="s">
        <v>47</v>
      </c>
      <c r="P4398" t="s">
        <v>2742</v>
      </c>
    </row>
    <row r="4399" spans="1:16" x14ac:dyDescent="0.3">
      <c r="A4399" t="s">
        <v>2747</v>
      </c>
      <c r="C4399">
        <v>60</v>
      </c>
      <c r="D4399" t="s">
        <v>10</v>
      </c>
      <c r="F4399" s="43">
        <v>44637.354166666664</v>
      </c>
      <c r="G4399" s="43">
        <v>44637.395833333336</v>
      </c>
      <c r="H4399">
        <v>8</v>
      </c>
      <c r="I4399">
        <v>30</v>
      </c>
      <c r="J4399">
        <v>9</v>
      </c>
      <c r="K4399">
        <v>30</v>
      </c>
      <c r="L4399">
        <v>2022</v>
      </c>
      <c r="N4399" t="s">
        <v>2748</v>
      </c>
      <c r="O4399" t="s">
        <v>47</v>
      </c>
      <c r="P4399" t="s">
        <v>2749</v>
      </c>
    </row>
    <row r="4400" spans="1:16" x14ac:dyDescent="0.3">
      <c r="A4400" t="s">
        <v>26</v>
      </c>
      <c r="C4400">
        <v>30</v>
      </c>
      <c r="D4400" t="s">
        <v>10</v>
      </c>
      <c r="F4400" s="43">
        <v>44637.322916666664</v>
      </c>
      <c r="G4400" s="43">
        <v>44637.34375</v>
      </c>
      <c r="H4400">
        <v>7</v>
      </c>
      <c r="I4400">
        <v>45</v>
      </c>
      <c r="J4400">
        <v>8</v>
      </c>
      <c r="K4400">
        <v>15</v>
      </c>
      <c r="L4400">
        <v>2022</v>
      </c>
      <c r="N4400" t="s">
        <v>50</v>
      </c>
      <c r="O4400" t="s">
        <v>47</v>
      </c>
      <c r="P4400" t="s">
        <v>2743</v>
      </c>
    </row>
    <row r="4401" spans="1:16" x14ac:dyDescent="0.3">
      <c r="A4401" t="s">
        <v>8</v>
      </c>
      <c r="C4401">
        <v>30</v>
      </c>
      <c r="D4401" t="s">
        <v>10</v>
      </c>
      <c r="F4401" s="43">
        <v>44637.277777777781</v>
      </c>
      <c r="G4401" s="43">
        <v>44637.298611111109</v>
      </c>
      <c r="H4401">
        <v>6</v>
      </c>
      <c r="I4401">
        <v>40</v>
      </c>
      <c r="J4401">
        <v>7</v>
      </c>
      <c r="K4401">
        <v>10</v>
      </c>
      <c r="L4401">
        <v>2022</v>
      </c>
      <c r="O4401" t="s">
        <v>47</v>
      </c>
      <c r="P4401" t="s">
        <v>2744</v>
      </c>
    </row>
    <row r="4402" spans="1:16" x14ac:dyDescent="0.3">
      <c r="A4402" t="s">
        <v>2750</v>
      </c>
      <c r="C4402">
        <v>15</v>
      </c>
      <c r="D4402" t="s">
        <v>10</v>
      </c>
      <c r="F4402" s="43">
        <v>44636.8125</v>
      </c>
      <c r="G4402" s="43">
        <v>44636.822916666664</v>
      </c>
      <c r="H4402">
        <v>19</v>
      </c>
      <c r="I4402">
        <v>30</v>
      </c>
      <c r="J4402">
        <v>19</v>
      </c>
      <c r="K4402">
        <v>45</v>
      </c>
      <c r="L4402">
        <v>2022</v>
      </c>
      <c r="N4402" t="s">
        <v>47</v>
      </c>
      <c r="O4402" t="s">
        <v>47</v>
      </c>
      <c r="P4402" t="s">
        <v>2751</v>
      </c>
    </row>
    <row r="4403" spans="1:16" x14ac:dyDescent="0.3">
      <c r="A4403" t="s">
        <v>2754</v>
      </c>
      <c r="C4403">
        <v>60</v>
      </c>
      <c r="D4403" t="s">
        <v>10</v>
      </c>
      <c r="F4403" s="43">
        <v>44636.75</v>
      </c>
      <c r="G4403" s="43">
        <v>44636.791666666664</v>
      </c>
      <c r="H4403">
        <v>18</v>
      </c>
      <c r="I4403">
        <v>0</v>
      </c>
      <c r="J4403">
        <v>19</v>
      </c>
      <c r="K4403">
        <v>0</v>
      </c>
      <c r="L4403">
        <v>2022</v>
      </c>
      <c r="O4403" t="s">
        <v>47</v>
      </c>
      <c r="P4403" t="s">
        <v>2755</v>
      </c>
    </row>
    <row r="4404" spans="1:16" x14ac:dyDescent="0.3">
      <c r="A4404" t="s">
        <v>2752</v>
      </c>
      <c r="C4404">
        <v>30</v>
      </c>
      <c r="D4404" t="s">
        <v>10</v>
      </c>
      <c r="F4404" s="43">
        <v>44636.708333333336</v>
      </c>
      <c r="G4404" s="43">
        <v>44636.729166666664</v>
      </c>
      <c r="H4404">
        <v>17</v>
      </c>
      <c r="I4404">
        <v>0</v>
      </c>
      <c r="J4404">
        <v>17</v>
      </c>
      <c r="K4404">
        <v>30</v>
      </c>
      <c r="L4404">
        <v>2022</v>
      </c>
      <c r="O4404" t="s">
        <v>47</v>
      </c>
      <c r="P4404" t="s">
        <v>2753</v>
      </c>
    </row>
    <row r="4405" spans="1:16" x14ac:dyDescent="0.3">
      <c r="A4405" t="s">
        <v>2756</v>
      </c>
      <c r="C4405">
        <v>70</v>
      </c>
      <c r="D4405" t="s">
        <v>10</v>
      </c>
      <c r="F4405" s="43">
        <v>44636.645833333336</v>
      </c>
      <c r="G4405" s="43">
        <v>44636.694444444445</v>
      </c>
      <c r="H4405">
        <v>15</v>
      </c>
      <c r="I4405">
        <v>30</v>
      </c>
      <c r="J4405">
        <v>16</v>
      </c>
      <c r="K4405">
        <v>40</v>
      </c>
      <c r="L4405">
        <v>2022</v>
      </c>
      <c r="O4405" t="s">
        <v>47</v>
      </c>
      <c r="P4405" t="s">
        <v>2758</v>
      </c>
    </row>
    <row r="4406" spans="1:16" x14ac:dyDescent="0.3">
      <c r="A4406" t="s">
        <v>2756</v>
      </c>
      <c r="C4406">
        <v>45</v>
      </c>
      <c r="D4406" t="s">
        <v>10</v>
      </c>
      <c r="F4406" s="43">
        <v>44636.583333333336</v>
      </c>
      <c r="G4406" s="43">
        <v>44636.614583333336</v>
      </c>
      <c r="H4406">
        <v>14</v>
      </c>
      <c r="I4406">
        <v>0</v>
      </c>
      <c r="J4406">
        <v>14</v>
      </c>
      <c r="K4406">
        <v>45</v>
      </c>
      <c r="L4406">
        <v>2022</v>
      </c>
      <c r="O4406" t="s">
        <v>47</v>
      </c>
      <c r="P4406" t="s">
        <v>2757</v>
      </c>
    </row>
    <row r="4407" spans="1:16" x14ac:dyDescent="0.3">
      <c r="A4407" t="s">
        <v>2759</v>
      </c>
      <c r="C4407">
        <v>60</v>
      </c>
      <c r="D4407" t="s">
        <v>10</v>
      </c>
      <c r="F4407" s="43">
        <v>44636.5</v>
      </c>
      <c r="G4407" s="43">
        <v>44636.541666666664</v>
      </c>
      <c r="H4407">
        <v>12</v>
      </c>
      <c r="I4407">
        <v>0</v>
      </c>
      <c r="J4407">
        <v>13</v>
      </c>
      <c r="K4407">
        <v>0</v>
      </c>
      <c r="L4407">
        <v>2022</v>
      </c>
      <c r="O4407" t="s">
        <v>47</v>
      </c>
      <c r="P4407" t="s">
        <v>2760</v>
      </c>
    </row>
    <row r="4408" spans="1:16" x14ac:dyDescent="0.3">
      <c r="A4408" t="s">
        <v>827</v>
      </c>
      <c r="C4408">
        <v>30</v>
      </c>
      <c r="D4408" t="s">
        <v>10</v>
      </c>
      <c r="F4408" s="43">
        <v>44636.479166666664</v>
      </c>
      <c r="G4408" s="43">
        <v>44636.5</v>
      </c>
      <c r="H4408">
        <v>11</v>
      </c>
      <c r="I4408">
        <v>30</v>
      </c>
      <c r="J4408">
        <v>12</v>
      </c>
      <c r="K4408">
        <v>0</v>
      </c>
      <c r="L4408">
        <v>2022</v>
      </c>
      <c r="O4408" t="s">
        <v>47</v>
      </c>
      <c r="P4408" t="s">
        <v>2761</v>
      </c>
    </row>
    <row r="4409" spans="1:16" x14ac:dyDescent="0.3">
      <c r="A4409" t="s">
        <v>8</v>
      </c>
      <c r="C4409">
        <v>10</v>
      </c>
      <c r="D4409" t="s">
        <v>10</v>
      </c>
      <c r="F4409" s="43">
        <v>44636.4375</v>
      </c>
      <c r="G4409" s="43">
        <v>44636.444444444445</v>
      </c>
      <c r="H4409">
        <v>10</v>
      </c>
      <c r="I4409">
        <v>30</v>
      </c>
      <c r="J4409">
        <v>10</v>
      </c>
      <c r="K4409">
        <v>40</v>
      </c>
      <c r="L4409">
        <v>2022</v>
      </c>
      <c r="O4409" t="s">
        <v>47</v>
      </c>
      <c r="P4409" t="s">
        <v>2762</v>
      </c>
    </row>
    <row r="4410" spans="1:16" x14ac:dyDescent="0.3">
      <c r="A4410" t="s">
        <v>2865</v>
      </c>
      <c r="B4410" t="s">
        <v>20</v>
      </c>
      <c r="C4410">
        <v>30</v>
      </c>
      <c r="D4410" t="s">
        <v>10</v>
      </c>
      <c r="E4410" t="s">
        <v>5</v>
      </c>
      <c r="F4410" s="43">
        <v>44636.416666666664</v>
      </c>
      <c r="G4410" s="43">
        <v>44636.4375</v>
      </c>
      <c r="H4410">
        <v>10</v>
      </c>
      <c r="I4410">
        <v>0</v>
      </c>
      <c r="J4410">
        <v>10</v>
      </c>
      <c r="K4410">
        <v>30</v>
      </c>
      <c r="L4410">
        <v>2022</v>
      </c>
      <c r="N4410" t="s">
        <v>2866</v>
      </c>
      <c r="O4410" t="s">
        <v>2623</v>
      </c>
      <c r="P4410" t="s">
        <v>2867</v>
      </c>
    </row>
    <row r="4411" spans="1:16" x14ac:dyDescent="0.3">
      <c r="A4411" t="s">
        <v>1105</v>
      </c>
      <c r="C4411">
        <v>45</v>
      </c>
      <c r="D4411" t="s">
        <v>10</v>
      </c>
      <c r="F4411" s="43">
        <v>44636.302083333336</v>
      </c>
      <c r="G4411" s="43">
        <v>44636.333333333336</v>
      </c>
      <c r="H4411">
        <v>7</v>
      </c>
      <c r="I4411">
        <v>15</v>
      </c>
      <c r="J4411">
        <v>8</v>
      </c>
      <c r="K4411">
        <v>0</v>
      </c>
      <c r="L4411">
        <v>2022</v>
      </c>
      <c r="O4411" t="s">
        <v>47</v>
      </c>
      <c r="P4411" t="s">
        <v>2763</v>
      </c>
    </row>
    <row r="4412" spans="1:16" x14ac:dyDescent="0.3">
      <c r="A4412" t="s">
        <v>2764</v>
      </c>
      <c r="C4412">
        <v>45</v>
      </c>
      <c r="D4412" t="s">
        <v>10</v>
      </c>
      <c r="E4412" t="s">
        <v>2765</v>
      </c>
      <c r="F4412" s="43">
        <v>44636.229166666664</v>
      </c>
      <c r="G4412" s="43">
        <v>44636.260416666664</v>
      </c>
      <c r="H4412">
        <v>5</v>
      </c>
      <c r="I4412">
        <v>30</v>
      </c>
      <c r="J4412">
        <v>6</v>
      </c>
      <c r="K4412">
        <v>15</v>
      </c>
      <c r="L4412">
        <v>2022</v>
      </c>
      <c r="O4412" t="s">
        <v>47</v>
      </c>
      <c r="P4412" t="s">
        <v>2766</v>
      </c>
    </row>
    <row r="4413" spans="1:16" x14ac:dyDescent="0.3">
      <c r="A4413" t="s">
        <v>2767</v>
      </c>
      <c r="C4413">
        <v>90</v>
      </c>
      <c r="D4413" t="s">
        <v>10</v>
      </c>
      <c r="F4413" s="43">
        <v>44635.75</v>
      </c>
      <c r="G4413" s="43">
        <v>44635.8125</v>
      </c>
      <c r="H4413">
        <v>18</v>
      </c>
      <c r="I4413">
        <v>0</v>
      </c>
      <c r="J4413">
        <v>19</v>
      </c>
      <c r="K4413">
        <v>30</v>
      </c>
      <c r="L4413">
        <v>2022</v>
      </c>
      <c r="O4413" t="s">
        <v>47</v>
      </c>
      <c r="P4413" t="s">
        <v>2768</v>
      </c>
    </row>
    <row r="4414" spans="1:16" x14ac:dyDescent="0.3">
      <c r="A4414" t="s">
        <v>2769</v>
      </c>
      <c r="C4414">
        <v>60</v>
      </c>
      <c r="D4414" t="s">
        <v>10</v>
      </c>
      <c r="E4414" t="s">
        <v>2765</v>
      </c>
      <c r="F4414" s="43">
        <v>44635.666666666664</v>
      </c>
      <c r="G4414" s="43">
        <v>44635.708333333336</v>
      </c>
      <c r="H4414">
        <v>16</v>
      </c>
      <c r="I4414">
        <v>0</v>
      </c>
      <c r="J4414">
        <v>17</v>
      </c>
      <c r="K4414">
        <v>0</v>
      </c>
      <c r="L4414">
        <v>2022</v>
      </c>
      <c r="O4414" t="s">
        <v>47</v>
      </c>
      <c r="P4414" t="s">
        <v>2770</v>
      </c>
    </row>
    <row r="4415" spans="1:16" x14ac:dyDescent="0.3">
      <c r="A4415" t="s">
        <v>7</v>
      </c>
      <c r="C4415">
        <v>45</v>
      </c>
      <c r="D4415" t="s">
        <v>10</v>
      </c>
      <c r="F4415" s="43">
        <v>44635.625</v>
      </c>
      <c r="G4415" s="43">
        <v>44635.65625</v>
      </c>
      <c r="H4415">
        <v>15</v>
      </c>
      <c r="I4415">
        <v>0</v>
      </c>
      <c r="J4415">
        <v>15</v>
      </c>
      <c r="K4415">
        <v>45</v>
      </c>
      <c r="L4415">
        <v>2022</v>
      </c>
      <c r="O4415" t="s">
        <v>47</v>
      </c>
      <c r="P4415" t="s">
        <v>2771</v>
      </c>
    </row>
    <row r="4416" spans="1:16" x14ac:dyDescent="0.3">
      <c r="A4416" t="s">
        <v>8</v>
      </c>
      <c r="C4416">
        <v>30</v>
      </c>
      <c r="D4416" t="s">
        <v>10</v>
      </c>
      <c r="F4416" s="43">
        <v>44635.604166666664</v>
      </c>
      <c r="G4416" s="43">
        <v>44635.625</v>
      </c>
      <c r="H4416">
        <v>14</v>
      </c>
      <c r="I4416">
        <v>30</v>
      </c>
      <c r="J4416">
        <v>15</v>
      </c>
      <c r="K4416">
        <v>0</v>
      </c>
      <c r="L4416">
        <v>2022</v>
      </c>
      <c r="O4416" t="s">
        <v>47</v>
      </c>
      <c r="P4416" t="s">
        <v>2772</v>
      </c>
    </row>
    <row r="4417" spans="1:16" x14ac:dyDescent="0.3">
      <c r="A4417" t="s">
        <v>2834</v>
      </c>
      <c r="B4417" t="s">
        <v>20</v>
      </c>
      <c r="C4417">
        <v>60</v>
      </c>
      <c r="D4417" t="s">
        <v>10</v>
      </c>
      <c r="E4417" t="s">
        <v>2835</v>
      </c>
      <c r="F4417" s="43">
        <v>44635.520833333336</v>
      </c>
      <c r="G4417" s="43">
        <v>44635.5625</v>
      </c>
      <c r="H4417">
        <v>12</v>
      </c>
      <c r="I4417">
        <v>30</v>
      </c>
      <c r="J4417">
        <v>13</v>
      </c>
      <c r="K4417">
        <v>30</v>
      </c>
      <c r="L4417">
        <v>2022</v>
      </c>
      <c r="N4417" t="s">
        <v>2836</v>
      </c>
      <c r="O4417" t="s">
        <v>48</v>
      </c>
      <c r="P4417" t="s">
        <v>2837</v>
      </c>
    </row>
    <row r="4418" spans="1:16" x14ac:dyDescent="0.3">
      <c r="A4418" t="s">
        <v>2773</v>
      </c>
      <c r="C4418">
        <v>30</v>
      </c>
      <c r="D4418" t="s">
        <v>10</v>
      </c>
      <c r="F4418" s="43">
        <v>44635.5</v>
      </c>
      <c r="G4418" s="43">
        <v>44635.520833333336</v>
      </c>
      <c r="H4418">
        <v>12</v>
      </c>
      <c r="I4418">
        <v>0</v>
      </c>
      <c r="J4418">
        <v>12</v>
      </c>
      <c r="K4418">
        <v>30</v>
      </c>
      <c r="L4418">
        <v>2022</v>
      </c>
      <c r="O4418" t="s">
        <v>47</v>
      </c>
      <c r="P4418" t="s">
        <v>2774</v>
      </c>
    </row>
    <row r="4419" spans="1:16" x14ac:dyDescent="0.3">
      <c r="A4419" t="s">
        <v>2795</v>
      </c>
      <c r="C4419">
        <v>30</v>
      </c>
      <c r="D4419" t="s">
        <v>10</v>
      </c>
      <c r="E4419" t="s">
        <v>2796</v>
      </c>
      <c r="F4419" s="43">
        <v>44635.458333333336</v>
      </c>
      <c r="G4419" s="43">
        <v>44635.479166666664</v>
      </c>
      <c r="H4419">
        <v>11</v>
      </c>
      <c r="I4419">
        <v>0</v>
      </c>
      <c r="J4419">
        <v>11</v>
      </c>
      <c r="K4419">
        <v>30</v>
      </c>
      <c r="L4419">
        <v>2022</v>
      </c>
      <c r="N4419" t="s">
        <v>48</v>
      </c>
      <c r="O4419" t="s">
        <v>47</v>
      </c>
      <c r="P4419" t="s">
        <v>2797</v>
      </c>
    </row>
    <row r="4420" spans="1:16" x14ac:dyDescent="0.3">
      <c r="A4420" t="s">
        <v>2775</v>
      </c>
      <c r="C4420">
        <v>30</v>
      </c>
      <c r="D4420" t="s">
        <v>10</v>
      </c>
      <c r="F4420" s="43">
        <v>44635.4375</v>
      </c>
      <c r="G4420" s="43">
        <v>44635.458333333336</v>
      </c>
      <c r="H4420">
        <v>10</v>
      </c>
      <c r="I4420">
        <v>30</v>
      </c>
      <c r="J4420">
        <v>11</v>
      </c>
      <c r="K4420">
        <v>0</v>
      </c>
      <c r="L4420">
        <v>2022</v>
      </c>
      <c r="O4420" t="s">
        <v>47</v>
      </c>
      <c r="P4420" t="s">
        <v>2776</v>
      </c>
    </row>
    <row r="4421" spans="1:16" x14ac:dyDescent="0.3">
      <c r="A4421" t="s">
        <v>2779</v>
      </c>
      <c r="C4421">
        <v>50</v>
      </c>
      <c r="D4421" t="s">
        <v>10</v>
      </c>
      <c r="F4421" s="43">
        <v>44635.361111111109</v>
      </c>
      <c r="G4421" s="43">
        <v>44635.395833333336</v>
      </c>
      <c r="H4421">
        <v>8</v>
      </c>
      <c r="I4421">
        <v>40</v>
      </c>
      <c r="J4421">
        <v>9</v>
      </c>
      <c r="K4421">
        <v>30</v>
      </c>
      <c r="L4421">
        <v>2022</v>
      </c>
      <c r="O4421" t="s">
        <v>47</v>
      </c>
      <c r="P4421" t="s">
        <v>2780</v>
      </c>
    </row>
    <row r="4422" spans="1:16" x14ac:dyDescent="0.3">
      <c r="A4422" t="s">
        <v>2769</v>
      </c>
      <c r="C4422">
        <v>51</v>
      </c>
      <c r="D4422" t="s">
        <v>10</v>
      </c>
      <c r="F4422" s="43">
        <v>44635.3125</v>
      </c>
      <c r="G4422" s="43">
        <v>44635.347916666666</v>
      </c>
      <c r="H4422">
        <v>7</v>
      </c>
      <c r="I4422">
        <v>30</v>
      </c>
      <c r="J4422">
        <v>8</v>
      </c>
      <c r="K4422">
        <v>21</v>
      </c>
      <c r="L4422">
        <v>2022</v>
      </c>
      <c r="O4422" t="s">
        <v>47</v>
      </c>
      <c r="P4422" t="s">
        <v>2786</v>
      </c>
    </row>
    <row r="4423" spans="1:16" x14ac:dyDescent="0.3">
      <c r="A4423" t="s">
        <v>2787</v>
      </c>
      <c r="C4423">
        <v>60</v>
      </c>
      <c r="D4423" t="s">
        <v>10</v>
      </c>
      <c r="F4423" s="43">
        <v>44635.229166666664</v>
      </c>
      <c r="G4423" s="43">
        <v>44635.270833333336</v>
      </c>
      <c r="H4423">
        <v>5</v>
      </c>
      <c r="I4423">
        <v>30</v>
      </c>
      <c r="J4423">
        <v>6</v>
      </c>
      <c r="K4423">
        <v>30</v>
      </c>
      <c r="L4423">
        <v>2022</v>
      </c>
      <c r="O4423" t="s">
        <v>47</v>
      </c>
      <c r="P4423" t="s">
        <v>2788</v>
      </c>
    </row>
    <row r="4424" spans="1:16" x14ac:dyDescent="0.3">
      <c r="A4424" t="s">
        <v>8</v>
      </c>
      <c r="C4424">
        <v>60</v>
      </c>
      <c r="D4424" t="s">
        <v>10</v>
      </c>
      <c r="F4424" s="43">
        <v>44634.770833333336</v>
      </c>
      <c r="G4424" s="43">
        <v>44634.8125</v>
      </c>
      <c r="H4424">
        <v>18</v>
      </c>
      <c r="I4424">
        <v>30</v>
      </c>
      <c r="J4424">
        <v>19</v>
      </c>
      <c r="K4424">
        <v>30</v>
      </c>
      <c r="L4424">
        <v>2022</v>
      </c>
      <c r="O4424" t="s">
        <v>47</v>
      </c>
      <c r="P4424" t="s">
        <v>2793</v>
      </c>
    </row>
    <row r="4425" spans="1:16" x14ac:dyDescent="0.3">
      <c r="A4425" t="s">
        <v>8</v>
      </c>
      <c r="C4425">
        <v>45</v>
      </c>
      <c r="D4425" t="s">
        <v>10</v>
      </c>
      <c r="F4425" s="43">
        <v>44634.708333333336</v>
      </c>
      <c r="G4425" s="43">
        <v>44634.739583333336</v>
      </c>
      <c r="H4425">
        <v>17</v>
      </c>
      <c r="I4425">
        <v>0</v>
      </c>
      <c r="J4425">
        <v>17</v>
      </c>
      <c r="K4425">
        <v>45</v>
      </c>
      <c r="L4425">
        <v>2022</v>
      </c>
      <c r="O4425" t="s">
        <v>47</v>
      </c>
      <c r="P4425" t="s">
        <v>2794</v>
      </c>
    </row>
    <row r="4426" spans="1:16" x14ac:dyDescent="0.3">
      <c r="A4426" t="s">
        <v>2810</v>
      </c>
      <c r="C4426">
        <v>30</v>
      </c>
      <c r="D4426" t="s">
        <v>10</v>
      </c>
      <c r="E4426" t="s">
        <v>2807</v>
      </c>
      <c r="F4426" s="43">
        <v>44634.666666666664</v>
      </c>
      <c r="G4426" s="43">
        <v>44634.6875</v>
      </c>
      <c r="H4426">
        <v>16</v>
      </c>
      <c r="I4426">
        <v>0</v>
      </c>
      <c r="J4426">
        <v>16</v>
      </c>
      <c r="K4426">
        <v>30</v>
      </c>
      <c r="L4426">
        <v>2022</v>
      </c>
      <c r="N4426" t="s">
        <v>2811</v>
      </c>
      <c r="O4426" t="s">
        <v>47</v>
      </c>
      <c r="P4426" t="s">
        <v>2812</v>
      </c>
    </row>
    <row r="4427" spans="1:16" x14ac:dyDescent="0.3">
      <c r="A4427" t="s">
        <v>8</v>
      </c>
      <c r="C4427">
        <v>60</v>
      </c>
      <c r="D4427" t="s">
        <v>10</v>
      </c>
      <c r="F4427" s="43">
        <v>44634.604166666664</v>
      </c>
      <c r="G4427" s="43">
        <v>44634.645833333336</v>
      </c>
      <c r="H4427">
        <v>14</v>
      </c>
      <c r="I4427">
        <v>30</v>
      </c>
      <c r="J4427">
        <v>15</v>
      </c>
      <c r="K4427">
        <v>30</v>
      </c>
      <c r="L4427">
        <v>2022</v>
      </c>
      <c r="O4427" t="s">
        <v>47</v>
      </c>
      <c r="P4427" t="s">
        <v>2798</v>
      </c>
    </row>
    <row r="4428" spans="1:16" x14ac:dyDescent="0.3">
      <c r="A4428" t="s">
        <v>2799</v>
      </c>
      <c r="C4428">
        <v>15</v>
      </c>
      <c r="D4428" t="s">
        <v>10</v>
      </c>
      <c r="F4428" s="43">
        <v>44634.583333333336</v>
      </c>
      <c r="G4428" s="43">
        <v>44634.59375</v>
      </c>
      <c r="H4428">
        <v>14</v>
      </c>
      <c r="I4428">
        <v>0</v>
      </c>
      <c r="J4428">
        <v>14</v>
      </c>
      <c r="K4428">
        <v>15</v>
      </c>
      <c r="L4428">
        <v>2022</v>
      </c>
      <c r="O4428" t="s">
        <v>47</v>
      </c>
      <c r="P4428" t="s">
        <v>2800</v>
      </c>
    </row>
    <row r="4429" spans="1:16" x14ac:dyDescent="0.3">
      <c r="A4429" t="s">
        <v>2384</v>
      </c>
      <c r="C4429">
        <v>60</v>
      </c>
      <c r="D4429" t="s">
        <v>10</v>
      </c>
      <c r="F4429" s="43">
        <v>44634.520833333336</v>
      </c>
      <c r="G4429" s="43">
        <v>44634.5625</v>
      </c>
      <c r="H4429">
        <v>12</v>
      </c>
      <c r="I4429">
        <v>30</v>
      </c>
      <c r="J4429">
        <v>13</v>
      </c>
      <c r="K4429">
        <v>30</v>
      </c>
      <c r="L4429">
        <v>2022</v>
      </c>
      <c r="O4429" t="s">
        <v>47</v>
      </c>
      <c r="P4429" t="s">
        <v>2801</v>
      </c>
    </row>
    <row r="4430" spans="1:16" x14ac:dyDescent="0.3">
      <c r="A4430" t="s">
        <v>2802</v>
      </c>
      <c r="C4430">
        <v>30</v>
      </c>
      <c r="D4430" t="s">
        <v>10</v>
      </c>
      <c r="F4430" s="43">
        <v>44634.479166666664</v>
      </c>
      <c r="G4430" s="43">
        <v>44634.5</v>
      </c>
      <c r="H4430">
        <v>11</v>
      </c>
      <c r="I4430">
        <v>30</v>
      </c>
      <c r="J4430">
        <v>12</v>
      </c>
      <c r="K4430">
        <v>0</v>
      </c>
      <c r="L4430">
        <v>2022</v>
      </c>
      <c r="O4430" t="s">
        <v>47</v>
      </c>
      <c r="P4430" t="s">
        <v>2803</v>
      </c>
    </row>
    <row r="4431" spans="1:16" x14ac:dyDescent="0.3">
      <c r="A4431" t="s">
        <v>2806</v>
      </c>
      <c r="C4431">
        <v>30</v>
      </c>
      <c r="D4431" t="s">
        <v>10</v>
      </c>
      <c r="E4431" t="s">
        <v>2807</v>
      </c>
      <c r="F4431" s="43">
        <v>44634.458333333336</v>
      </c>
      <c r="G4431" s="43">
        <v>44634.479166666664</v>
      </c>
      <c r="H4431">
        <v>11</v>
      </c>
      <c r="I4431">
        <v>0</v>
      </c>
      <c r="J4431">
        <v>11</v>
      </c>
      <c r="K4431">
        <v>30</v>
      </c>
      <c r="L4431">
        <v>2022</v>
      </c>
      <c r="N4431" t="s">
        <v>2808</v>
      </c>
      <c r="O4431" t="s">
        <v>47</v>
      </c>
      <c r="P4431" t="s">
        <v>2809</v>
      </c>
    </row>
    <row r="4432" spans="1:16" x14ac:dyDescent="0.3">
      <c r="A4432" t="s">
        <v>2804</v>
      </c>
      <c r="C4432">
        <v>55</v>
      </c>
      <c r="D4432" t="s">
        <v>10</v>
      </c>
      <c r="F4432" s="43">
        <v>44634.302083333336</v>
      </c>
      <c r="G4432" s="43">
        <v>44634.340277777781</v>
      </c>
      <c r="H4432">
        <v>7</v>
      </c>
      <c r="I4432">
        <v>15</v>
      </c>
      <c r="J4432">
        <v>8</v>
      </c>
      <c r="K4432">
        <v>10</v>
      </c>
      <c r="L4432">
        <v>2022</v>
      </c>
      <c r="O4432" t="s">
        <v>47</v>
      </c>
      <c r="P4432" t="s">
        <v>2805</v>
      </c>
    </row>
    <row r="4433" spans="1:16" x14ac:dyDescent="0.3">
      <c r="A4433" t="s">
        <v>2813</v>
      </c>
      <c r="C4433">
        <v>30</v>
      </c>
      <c r="D4433" t="s">
        <v>10</v>
      </c>
      <c r="F4433" s="43">
        <v>44633.770833333336</v>
      </c>
      <c r="G4433" s="43">
        <v>44633.791666666664</v>
      </c>
      <c r="H4433">
        <v>18</v>
      </c>
      <c r="I4433">
        <v>30</v>
      </c>
      <c r="J4433">
        <v>19</v>
      </c>
      <c r="K4433">
        <v>0</v>
      </c>
      <c r="L4433">
        <v>2022</v>
      </c>
      <c r="O4433" t="s">
        <v>47</v>
      </c>
      <c r="P4433" t="s">
        <v>2814</v>
      </c>
    </row>
    <row r="4434" spans="1:16" x14ac:dyDescent="0.3">
      <c r="A4434" t="s">
        <v>2813</v>
      </c>
      <c r="C4434">
        <v>60</v>
      </c>
      <c r="D4434" t="s">
        <v>10</v>
      </c>
      <c r="F4434" s="43">
        <v>44633.708333333336</v>
      </c>
      <c r="G4434" s="43">
        <v>44633.75</v>
      </c>
      <c r="H4434">
        <v>17</v>
      </c>
      <c r="I4434">
        <v>0</v>
      </c>
      <c r="J4434">
        <v>18</v>
      </c>
      <c r="K4434">
        <v>0</v>
      </c>
      <c r="L4434">
        <v>2022</v>
      </c>
      <c r="O4434" t="s">
        <v>47</v>
      </c>
      <c r="P4434" t="s">
        <v>2815</v>
      </c>
    </row>
    <row r="4435" spans="1:16" x14ac:dyDescent="0.3">
      <c r="A4435" t="s">
        <v>2813</v>
      </c>
      <c r="C4435">
        <v>55</v>
      </c>
      <c r="D4435" t="s">
        <v>10</v>
      </c>
      <c r="F4435" s="43">
        <v>44633.645833333336</v>
      </c>
      <c r="G4435" s="43">
        <v>44633.684027777781</v>
      </c>
      <c r="H4435">
        <v>15</v>
      </c>
      <c r="I4435">
        <v>30</v>
      </c>
      <c r="J4435">
        <v>16</v>
      </c>
      <c r="K4435">
        <v>25</v>
      </c>
      <c r="L4435">
        <v>2022</v>
      </c>
      <c r="O4435" t="s">
        <v>47</v>
      </c>
      <c r="P4435" t="s">
        <v>2816</v>
      </c>
    </row>
    <row r="4436" spans="1:16" x14ac:dyDescent="0.3">
      <c r="A4436" t="s">
        <v>2817</v>
      </c>
      <c r="C4436">
        <v>60</v>
      </c>
      <c r="D4436" t="s">
        <v>10</v>
      </c>
      <c r="F4436" s="43">
        <v>44633.604166666664</v>
      </c>
      <c r="G4436" s="43">
        <v>44633.645833333336</v>
      </c>
      <c r="H4436">
        <v>14</v>
      </c>
      <c r="I4436">
        <v>30</v>
      </c>
      <c r="J4436">
        <v>15</v>
      </c>
      <c r="K4436">
        <v>30</v>
      </c>
      <c r="L4436">
        <v>2022</v>
      </c>
      <c r="O4436" t="s">
        <v>47</v>
      </c>
      <c r="P4436" t="s">
        <v>2818</v>
      </c>
    </row>
    <row r="4437" spans="1:16" x14ac:dyDescent="0.3">
      <c r="A4437" t="s">
        <v>2813</v>
      </c>
      <c r="C4437">
        <v>60</v>
      </c>
      <c r="D4437" t="s">
        <v>10</v>
      </c>
      <c r="F4437" s="43">
        <v>44633.541666666664</v>
      </c>
      <c r="G4437" s="43">
        <v>44633.583333333336</v>
      </c>
      <c r="H4437">
        <v>13</v>
      </c>
      <c r="I4437">
        <v>0</v>
      </c>
      <c r="J4437">
        <v>14</v>
      </c>
      <c r="K4437">
        <v>0</v>
      </c>
      <c r="L4437">
        <v>2022</v>
      </c>
      <c r="O4437" t="s">
        <v>47</v>
      </c>
      <c r="P4437" t="s">
        <v>2819</v>
      </c>
    </row>
    <row r="4438" spans="1:16" x14ac:dyDescent="0.3">
      <c r="A4438" t="s">
        <v>2820</v>
      </c>
      <c r="C4438">
        <v>60</v>
      </c>
      <c r="D4438" t="s">
        <v>10</v>
      </c>
      <c r="F4438" s="43">
        <v>44633.375</v>
      </c>
      <c r="G4438" s="43">
        <v>44633.416666666664</v>
      </c>
      <c r="H4438">
        <v>9</v>
      </c>
      <c r="I4438">
        <v>0</v>
      </c>
      <c r="J4438">
        <v>10</v>
      </c>
      <c r="K4438">
        <v>0</v>
      </c>
      <c r="L4438">
        <v>2022</v>
      </c>
      <c r="O4438" t="s">
        <v>47</v>
      </c>
      <c r="P4438" t="s">
        <v>2821</v>
      </c>
    </row>
    <row r="4439" spans="1:16" x14ac:dyDescent="0.3">
      <c r="A4439" t="s">
        <v>2822</v>
      </c>
      <c r="C4439">
        <v>240</v>
      </c>
      <c r="D4439" t="s">
        <v>10</v>
      </c>
      <c r="F4439" s="43">
        <v>44632.458333333336</v>
      </c>
      <c r="G4439" s="43">
        <v>44632.625</v>
      </c>
      <c r="H4439">
        <v>11</v>
      </c>
      <c r="I4439">
        <v>0</v>
      </c>
      <c r="J4439">
        <v>15</v>
      </c>
      <c r="K4439">
        <v>0</v>
      </c>
      <c r="L4439">
        <v>2022</v>
      </c>
      <c r="O4439" t="s">
        <v>47</v>
      </c>
      <c r="P4439" t="s">
        <v>2823</v>
      </c>
    </row>
    <row r="4440" spans="1:16" x14ac:dyDescent="0.3">
      <c r="A4440" t="s">
        <v>2824</v>
      </c>
      <c r="C4440">
        <v>60</v>
      </c>
      <c r="D4440" t="s">
        <v>10</v>
      </c>
      <c r="F4440" s="43">
        <v>44632.239583333336</v>
      </c>
      <c r="G4440" s="43">
        <v>44632.28125</v>
      </c>
      <c r="H4440">
        <v>5</v>
      </c>
      <c r="I4440">
        <v>45</v>
      </c>
      <c r="J4440">
        <v>6</v>
      </c>
      <c r="K4440">
        <v>45</v>
      </c>
      <c r="L4440">
        <v>2022</v>
      </c>
      <c r="O4440" t="s">
        <v>47</v>
      </c>
      <c r="P4440" t="s">
        <v>2825</v>
      </c>
    </row>
    <row r="4441" spans="1:16" x14ac:dyDescent="0.3">
      <c r="A4441" t="s">
        <v>2826</v>
      </c>
      <c r="C4441">
        <v>50</v>
      </c>
      <c r="D4441" t="s">
        <v>10</v>
      </c>
      <c r="F4441" s="43">
        <v>44631.791666666664</v>
      </c>
      <c r="G4441" s="43">
        <v>44631.826388888891</v>
      </c>
      <c r="H4441">
        <v>19</v>
      </c>
      <c r="I4441">
        <v>0</v>
      </c>
      <c r="J4441">
        <v>19</v>
      </c>
      <c r="K4441">
        <v>50</v>
      </c>
      <c r="L4441">
        <v>2022</v>
      </c>
      <c r="O4441" t="s">
        <v>47</v>
      </c>
      <c r="P4441" t="s">
        <v>2827</v>
      </c>
    </row>
    <row r="4442" spans="1:16" x14ac:dyDescent="0.3">
      <c r="A4442" t="s">
        <v>2826</v>
      </c>
      <c r="C4442">
        <v>60</v>
      </c>
      <c r="D4442" t="s">
        <v>10</v>
      </c>
      <c r="F4442" s="43">
        <v>44631.697916666664</v>
      </c>
      <c r="G4442" s="43">
        <v>44631.739583333336</v>
      </c>
      <c r="H4442">
        <v>16</v>
      </c>
      <c r="I4442">
        <v>45</v>
      </c>
      <c r="J4442">
        <v>17</v>
      </c>
      <c r="K4442">
        <v>45</v>
      </c>
      <c r="L4442">
        <v>2022</v>
      </c>
      <c r="O4442" t="s">
        <v>47</v>
      </c>
      <c r="P4442" t="s">
        <v>2828</v>
      </c>
    </row>
    <row r="4443" spans="1:16" x14ac:dyDescent="0.3">
      <c r="A4443" t="s">
        <v>8</v>
      </c>
      <c r="C4443">
        <v>90</v>
      </c>
      <c r="D4443" t="s">
        <v>10</v>
      </c>
      <c r="F4443" s="43">
        <v>44631.541666666664</v>
      </c>
      <c r="G4443" s="43">
        <v>44631.604166666664</v>
      </c>
      <c r="H4443">
        <v>13</v>
      </c>
      <c r="I4443">
        <v>0</v>
      </c>
      <c r="J4443">
        <v>14</v>
      </c>
      <c r="K4443">
        <v>30</v>
      </c>
      <c r="L4443">
        <v>2022</v>
      </c>
      <c r="O4443" t="s">
        <v>47</v>
      </c>
      <c r="P4443" t="s">
        <v>2829</v>
      </c>
    </row>
    <row r="4444" spans="1:16" x14ac:dyDescent="0.3">
      <c r="A4444" t="s">
        <v>7</v>
      </c>
      <c r="C4444">
        <v>30</v>
      </c>
      <c r="D4444" t="s">
        <v>10</v>
      </c>
      <c r="F4444" s="43">
        <v>44631.5</v>
      </c>
      <c r="G4444" s="43">
        <v>44631.520833333336</v>
      </c>
      <c r="H4444">
        <v>12</v>
      </c>
      <c r="I4444">
        <v>0</v>
      </c>
      <c r="J4444">
        <v>12</v>
      </c>
      <c r="K4444">
        <v>30</v>
      </c>
      <c r="L4444">
        <v>2022</v>
      </c>
      <c r="O4444" t="s">
        <v>47</v>
      </c>
      <c r="P4444" t="s">
        <v>2833</v>
      </c>
    </row>
    <row r="4445" spans="1:16" x14ac:dyDescent="0.3">
      <c r="A4445" t="s">
        <v>1769</v>
      </c>
      <c r="C4445">
        <v>30</v>
      </c>
      <c r="D4445" t="s">
        <v>10</v>
      </c>
      <c r="F4445" s="43">
        <v>44631.458333333336</v>
      </c>
      <c r="G4445" s="43">
        <v>44631.479166666664</v>
      </c>
      <c r="H4445">
        <v>11</v>
      </c>
      <c r="I4445">
        <v>0</v>
      </c>
      <c r="J4445">
        <v>11</v>
      </c>
      <c r="K4445">
        <v>30</v>
      </c>
      <c r="L4445">
        <v>2022</v>
      </c>
      <c r="O4445" t="s">
        <v>47</v>
      </c>
      <c r="P4445" t="s">
        <v>2831</v>
      </c>
    </row>
    <row r="4446" spans="1:16" x14ac:dyDescent="0.3">
      <c r="A4446" t="s">
        <v>3091</v>
      </c>
      <c r="C4446">
        <v>45</v>
      </c>
      <c r="D4446" t="s">
        <v>10</v>
      </c>
      <c r="E4446" t="s">
        <v>2134</v>
      </c>
      <c r="F4446" s="43">
        <v>44631.416666666664</v>
      </c>
      <c r="G4446" s="43">
        <v>44631.447916666664</v>
      </c>
      <c r="H4446">
        <v>10</v>
      </c>
      <c r="I4446">
        <v>0</v>
      </c>
      <c r="J4446">
        <v>10</v>
      </c>
      <c r="K4446">
        <v>45</v>
      </c>
      <c r="L4446">
        <v>2022</v>
      </c>
      <c r="N4446" t="s">
        <v>3092</v>
      </c>
      <c r="O4446" t="s">
        <v>2136</v>
      </c>
      <c r="P4446" t="s">
        <v>3093</v>
      </c>
    </row>
    <row r="4447" spans="1:16" x14ac:dyDescent="0.3">
      <c r="A4447" t="s">
        <v>1139</v>
      </c>
      <c r="C4447">
        <v>30</v>
      </c>
      <c r="D4447" t="s">
        <v>10</v>
      </c>
      <c r="F4447" s="43">
        <v>44631.395833333336</v>
      </c>
      <c r="G4447" s="43">
        <v>44631.416666666664</v>
      </c>
      <c r="H4447">
        <v>9</v>
      </c>
      <c r="I4447">
        <v>30</v>
      </c>
      <c r="J4447">
        <v>10</v>
      </c>
      <c r="K4447">
        <v>0</v>
      </c>
      <c r="L4447">
        <v>2022</v>
      </c>
      <c r="O4447" t="s">
        <v>47</v>
      </c>
      <c r="P4447" t="s">
        <v>2830</v>
      </c>
    </row>
    <row r="4448" spans="1:16" x14ac:dyDescent="0.3">
      <c r="A4448" t="s">
        <v>2894</v>
      </c>
      <c r="C4448">
        <v>60</v>
      </c>
      <c r="D4448" t="s">
        <v>10</v>
      </c>
      <c r="E4448" t="s">
        <v>2895</v>
      </c>
      <c r="F4448" s="43">
        <v>44631.354166666664</v>
      </c>
      <c r="G4448" s="43">
        <v>44631.395833333336</v>
      </c>
      <c r="H4448">
        <v>8</v>
      </c>
      <c r="I4448">
        <v>30</v>
      </c>
      <c r="J4448">
        <v>9</v>
      </c>
      <c r="K4448">
        <v>30</v>
      </c>
      <c r="L4448">
        <v>2022</v>
      </c>
      <c r="N4448" t="s">
        <v>2896</v>
      </c>
      <c r="O4448" t="s">
        <v>956</v>
      </c>
      <c r="P4448" t="s">
        <v>2897</v>
      </c>
    </row>
    <row r="4449" spans="1:16" x14ac:dyDescent="0.3">
      <c r="A4449" t="s">
        <v>8</v>
      </c>
      <c r="C4449">
        <v>30</v>
      </c>
      <c r="D4449" t="s">
        <v>10</v>
      </c>
      <c r="F4449" s="43">
        <v>44631.333333333336</v>
      </c>
      <c r="G4449" s="43">
        <v>44631.354166666664</v>
      </c>
      <c r="H4449">
        <v>8</v>
      </c>
      <c r="I4449">
        <v>0</v>
      </c>
      <c r="J4449">
        <v>8</v>
      </c>
      <c r="K4449">
        <v>30</v>
      </c>
      <c r="L4449">
        <v>2022</v>
      </c>
      <c r="O4449" t="s">
        <v>47</v>
      </c>
      <c r="P4449" t="s">
        <v>2832</v>
      </c>
    </row>
    <row r="4450" spans="1:16" x14ac:dyDescent="0.3">
      <c r="A4450" t="s">
        <v>2842</v>
      </c>
      <c r="C4450">
        <v>30</v>
      </c>
      <c r="D4450" t="s">
        <v>10</v>
      </c>
      <c r="F4450" s="43">
        <v>44631.270833333336</v>
      </c>
      <c r="G4450" s="43">
        <v>44631.291666666664</v>
      </c>
      <c r="H4450">
        <v>6</v>
      </c>
      <c r="I4450">
        <v>30</v>
      </c>
      <c r="J4450">
        <v>7</v>
      </c>
      <c r="K4450">
        <v>0</v>
      </c>
      <c r="L4450">
        <v>2022</v>
      </c>
      <c r="O4450" t="s">
        <v>47</v>
      </c>
      <c r="P4450" t="s">
        <v>2843</v>
      </c>
    </row>
    <row r="4451" spans="1:16" x14ac:dyDescent="0.3">
      <c r="A4451" t="s">
        <v>2826</v>
      </c>
      <c r="C4451">
        <v>40</v>
      </c>
      <c r="D4451" t="s">
        <v>10</v>
      </c>
      <c r="F4451" s="43">
        <v>44630.798611111109</v>
      </c>
      <c r="G4451" s="43">
        <v>44630.826388888891</v>
      </c>
      <c r="H4451">
        <v>19</v>
      </c>
      <c r="I4451">
        <v>10</v>
      </c>
      <c r="J4451">
        <v>19</v>
      </c>
      <c r="K4451">
        <v>50</v>
      </c>
      <c r="L4451">
        <v>2022</v>
      </c>
      <c r="O4451" t="s">
        <v>47</v>
      </c>
      <c r="P4451" t="s">
        <v>2847</v>
      </c>
    </row>
    <row r="4452" spans="1:16" x14ac:dyDescent="0.3">
      <c r="A4452" t="s">
        <v>2526</v>
      </c>
      <c r="C4452">
        <v>45</v>
      </c>
      <c r="D4452" t="s">
        <v>10</v>
      </c>
      <c r="F4452" s="43">
        <v>44630.760416666664</v>
      </c>
      <c r="G4452" s="43">
        <v>44630.791666666664</v>
      </c>
      <c r="H4452">
        <v>18</v>
      </c>
      <c r="I4452">
        <v>15</v>
      </c>
      <c r="J4452">
        <v>19</v>
      </c>
      <c r="K4452">
        <v>0</v>
      </c>
      <c r="L4452">
        <v>2022</v>
      </c>
      <c r="O4452" t="s">
        <v>47</v>
      </c>
      <c r="P4452" t="s">
        <v>2848</v>
      </c>
    </row>
    <row r="4453" spans="1:16" x14ac:dyDescent="0.3">
      <c r="A4453" t="s">
        <v>2384</v>
      </c>
      <c r="C4453">
        <v>60</v>
      </c>
      <c r="D4453" t="s">
        <v>10</v>
      </c>
      <c r="F4453" s="43">
        <v>44630.625</v>
      </c>
      <c r="G4453" s="43">
        <v>44630.666666666664</v>
      </c>
      <c r="H4453">
        <v>15</v>
      </c>
      <c r="I4453">
        <v>0</v>
      </c>
      <c r="J4453">
        <v>16</v>
      </c>
      <c r="K4453">
        <v>0</v>
      </c>
      <c r="L4453">
        <v>2022</v>
      </c>
      <c r="O4453" t="s">
        <v>47</v>
      </c>
      <c r="P4453" t="s">
        <v>2849</v>
      </c>
    </row>
    <row r="4454" spans="1:16" x14ac:dyDescent="0.3">
      <c r="A4454" t="s">
        <v>8</v>
      </c>
      <c r="C4454">
        <v>15</v>
      </c>
      <c r="D4454" t="s">
        <v>10</v>
      </c>
      <c r="F4454" s="43">
        <v>44630.614583333336</v>
      </c>
      <c r="G4454" s="43">
        <v>44630.625</v>
      </c>
      <c r="H4454">
        <v>14</v>
      </c>
      <c r="I4454">
        <v>45</v>
      </c>
      <c r="J4454">
        <v>15</v>
      </c>
      <c r="K4454">
        <v>0</v>
      </c>
      <c r="L4454">
        <v>2022</v>
      </c>
      <c r="O4454" t="s">
        <v>47</v>
      </c>
      <c r="P4454" t="s">
        <v>2850</v>
      </c>
    </row>
    <row r="4455" spans="1:16" x14ac:dyDescent="0.3">
      <c r="A4455" t="s">
        <v>2851</v>
      </c>
      <c r="C4455">
        <v>45</v>
      </c>
      <c r="D4455" t="s">
        <v>10</v>
      </c>
      <c r="F4455" s="43">
        <v>44630.541666666664</v>
      </c>
      <c r="G4455" s="43">
        <v>44630.572916666664</v>
      </c>
      <c r="H4455">
        <v>13</v>
      </c>
      <c r="I4455">
        <v>0</v>
      </c>
      <c r="J4455">
        <v>13</v>
      </c>
      <c r="K4455">
        <v>45</v>
      </c>
      <c r="L4455">
        <v>2022</v>
      </c>
      <c r="O4455" t="s">
        <v>47</v>
      </c>
      <c r="P4455" t="s">
        <v>2852</v>
      </c>
    </row>
    <row r="4456" spans="1:16" x14ac:dyDescent="0.3">
      <c r="A4456" t="s">
        <v>8</v>
      </c>
      <c r="C4456">
        <v>30</v>
      </c>
      <c r="D4456" t="s">
        <v>10</v>
      </c>
      <c r="F4456" s="43">
        <v>44630.458333333336</v>
      </c>
      <c r="G4456" s="43">
        <v>44630.479166666664</v>
      </c>
      <c r="H4456">
        <v>11</v>
      </c>
      <c r="I4456">
        <v>0</v>
      </c>
      <c r="J4456">
        <v>11</v>
      </c>
      <c r="K4456">
        <v>30</v>
      </c>
      <c r="L4456">
        <v>2022</v>
      </c>
      <c r="O4456" t="s">
        <v>47</v>
      </c>
      <c r="P4456" t="s">
        <v>2854</v>
      </c>
    </row>
    <row r="4457" spans="1:16" x14ac:dyDescent="0.3">
      <c r="A4457" t="s">
        <v>6</v>
      </c>
      <c r="C4457">
        <v>90</v>
      </c>
      <c r="D4457" t="s">
        <v>10</v>
      </c>
      <c r="F4457" s="43">
        <v>44630.375</v>
      </c>
      <c r="G4457" s="43">
        <v>44630.4375</v>
      </c>
      <c r="H4457">
        <v>9</v>
      </c>
      <c r="I4457">
        <v>0</v>
      </c>
      <c r="J4457">
        <v>10</v>
      </c>
      <c r="K4457">
        <v>30</v>
      </c>
      <c r="L4457">
        <v>2022</v>
      </c>
      <c r="O4457" t="s">
        <v>47</v>
      </c>
      <c r="P4457" t="s">
        <v>2853</v>
      </c>
    </row>
    <row r="4458" spans="1:16" x14ac:dyDescent="0.3">
      <c r="A4458" t="s">
        <v>2858</v>
      </c>
      <c r="C4458">
        <v>30</v>
      </c>
      <c r="D4458" t="s">
        <v>10</v>
      </c>
      <c r="E4458" t="s">
        <v>5</v>
      </c>
      <c r="F4458" s="43">
        <v>44630.333333333336</v>
      </c>
      <c r="G4458" s="43">
        <v>44630.354166666664</v>
      </c>
      <c r="H4458">
        <v>8</v>
      </c>
      <c r="I4458">
        <v>0</v>
      </c>
      <c r="J4458">
        <v>8</v>
      </c>
      <c r="K4458">
        <v>30</v>
      </c>
      <c r="L4458">
        <v>2022</v>
      </c>
      <c r="N4458" t="s">
        <v>2859</v>
      </c>
      <c r="O4458" t="s">
        <v>2860</v>
      </c>
      <c r="P4458" t="s">
        <v>2861</v>
      </c>
    </row>
    <row r="4459" spans="1:16" x14ac:dyDescent="0.3">
      <c r="A4459" t="s">
        <v>2767</v>
      </c>
      <c r="C4459">
        <v>150</v>
      </c>
      <c r="D4459" t="s">
        <v>10</v>
      </c>
      <c r="F4459" s="43">
        <v>44630.1875</v>
      </c>
      <c r="G4459" s="43">
        <v>44630.291666666664</v>
      </c>
      <c r="H4459">
        <v>4</v>
      </c>
      <c r="I4459">
        <v>30</v>
      </c>
      <c r="J4459">
        <v>7</v>
      </c>
      <c r="K4459">
        <v>0</v>
      </c>
      <c r="L4459">
        <v>2022</v>
      </c>
      <c r="O4459" t="s">
        <v>47</v>
      </c>
      <c r="P4459" t="s">
        <v>2857</v>
      </c>
    </row>
    <row r="4460" spans="1:16" x14ac:dyDescent="0.3">
      <c r="A4460" t="s">
        <v>2384</v>
      </c>
      <c r="C4460">
        <v>150</v>
      </c>
      <c r="D4460" t="s">
        <v>10</v>
      </c>
      <c r="F4460" s="43">
        <v>44629.75</v>
      </c>
      <c r="G4460" s="43">
        <v>44629.854166666664</v>
      </c>
      <c r="H4460">
        <v>18</v>
      </c>
      <c r="I4460">
        <v>0</v>
      </c>
      <c r="J4460">
        <v>20</v>
      </c>
      <c r="K4460">
        <v>30</v>
      </c>
      <c r="L4460">
        <v>2022</v>
      </c>
      <c r="O4460" t="s">
        <v>47</v>
      </c>
      <c r="P4460" t="s">
        <v>2863</v>
      </c>
    </row>
    <row r="4461" spans="1:16" x14ac:dyDescent="0.3">
      <c r="A4461" t="s">
        <v>6</v>
      </c>
      <c r="C4461">
        <v>30</v>
      </c>
      <c r="D4461" t="s">
        <v>10</v>
      </c>
      <c r="F4461" s="43">
        <v>44629.5</v>
      </c>
      <c r="G4461" s="43">
        <v>44629.520833333336</v>
      </c>
      <c r="H4461">
        <v>12</v>
      </c>
      <c r="I4461">
        <v>0</v>
      </c>
      <c r="J4461">
        <v>12</v>
      </c>
      <c r="K4461">
        <v>30</v>
      </c>
      <c r="L4461">
        <v>2022</v>
      </c>
      <c r="O4461" t="s">
        <v>47</v>
      </c>
      <c r="P4461" t="s">
        <v>2862</v>
      </c>
    </row>
    <row r="4462" spans="1:16" x14ac:dyDescent="0.3">
      <c r="A4462" t="s">
        <v>6</v>
      </c>
      <c r="C4462">
        <v>60</v>
      </c>
      <c r="D4462" t="s">
        <v>10</v>
      </c>
      <c r="F4462" s="43">
        <v>44629.416666666664</v>
      </c>
      <c r="G4462" s="43">
        <v>44629.458333333336</v>
      </c>
      <c r="H4462">
        <v>10</v>
      </c>
      <c r="I4462">
        <v>0</v>
      </c>
      <c r="J4462">
        <v>11</v>
      </c>
      <c r="K4462">
        <v>0</v>
      </c>
      <c r="L4462">
        <v>2022</v>
      </c>
      <c r="O4462" t="s">
        <v>47</v>
      </c>
      <c r="P4462" t="s">
        <v>2864</v>
      </c>
    </row>
    <row r="4463" spans="1:16" x14ac:dyDescent="0.3">
      <c r="A4463" t="s">
        <v>6</v>
      </c>
      <c r="C4463">
        <v>60</v>
      </c>
      <c r="D4463" t="s">
        <v>10</v>
      </c>
      <c r="F4463" s="43">
        <v>44629.208333333336</v>
      </c>
      <c r="G4463" s="43">
        <v>44629.25</v>
      </c>
      <c r="H4463">
        <v>5</v>
      </c>
      <c r="I4463">
        <v>0</v>
      </c>
      <c r="J4463">
        <v>6</v>
      </c>
      <c r="K4463">
        <v>0</v>
      </c>
      <c r="L4463">
        <v>2022</v>
      </c>
      <c r="O4463" t="s">
        <v>47</v>
      </c>
      <c r="P4463" t="s">
        <v>2868</v>
      </c>
    </row>
    <row r="4464" spans="1:16" x14ac:dyDescent="0.3">
      <c r="A4464" t="s">
        <v>8</v>
      </c>
      <c r="C4464">
        <v>15</v>
      </c>
      <c r="D4464" t="s">
        <v>10</v>
      </c>
      <c r="F4464" s="43">
        <v>44628.78125</v>
      </c>
      <c r="G4464" s="43">
        <v>44628.791666666664</v>
      </c>
      <c r="H4464">
        <v>18</v>
      </c>
      <c r="I4464">
        <v>45</v>
      </c>
      <c r="J4464">
        <v>19</v>
      </c>
      <c r="K4464">
        <v>0</v>
      </c>
      <c r="L4464">
        <v>2022</v>
      </c>
      <c r="O4464" t="s">
        <v>47</v>
      </c>
      <c r="P4464" t="s">
        <v>2869</v>
      </c>
    </row>
    <row r="4465" spans="1:16" x14ac:dyDescent="0.3">
      <c r="A4465" t="s">
        <v>712</v>
      </c>
      <c r="C4465">
        <v>30</v>
      </c>
      <c r="D4465" t="s">
        <v>10</v>
      </c>
      <c r="F4465" s="43">
        <v>44628.6875</v>
      </c>
      <c r="G4465" s="43">
        <v>44628.708333333336</v>
      </c>
      <c r="H4465">
        <v>16</v>
      </c>
      <c r="I4465">
        <v>30</v>
      </c>
      <c r="J4465">
        <v>17</v>
      </c>
      <c r="K4465">
        <v>0</v>
      </c>
      <c r="L4465">
        <v>2022</v>
      </c>
      <c r="O4465" t="s">
        <v>47</v>
      </c>
      <c r="P4465" t="s">
        <v>2870</v>
      </c>
    </row>
    <row r="4466" spans="1:16" x14ac:dyDescent="0.3">
      <c r="A4466" t="s">
        <v>7</v>
      </c>
      <c r="C4466">
        <v>45</v>
      </c>
      <c r="D4466" t="s">
        <v>10</v>
      </c>
      <c r="F4466" s="43">
        <v>44628.65625</v>
      </c>
      <c r="G4466" s="43">
        <v>44628.6875</v>
      </c>
      <c r="H4466">
        <v>15</v>
      </c>
      <c r="I4466">
        <v>45</v>
      </c>
      <c r="J4466">
        <v>16</v>
      </c>
      <c r="K4466">
        <v>30</v>
      </c>
      <c r="L4466">
        <v>2022</v>
      </c>
      <c r="O4466" t="s">
        <v>47</v>
      </c>
      <c r="P4466" t="s">
        <v>2871</v>
      </c>
    </row>
    <row r="4467" spans="1:16" x14ac:dyDescent="0.3">
      <c r="A4467" t="s">
        <v>2872</v>
      </c>
      <c r="C4467">
        <v>60</v>
      </c>
      <c r="D4467" t="s">
        <v>10</v>
      </c>
      <c r="F4467" s="43">
        <v>44628.604166666664</v>
      </c>
      <c r="G4467" s="43">
        <v>44628.645833333336</v>
      </c>
      <c r="H4467">
        <v>14</v>
      </c>
      <c r="I4467">
        <v>30</v>
      </c>
      <c r="J4467">
        <v>15</v>
      </c>
      <c r="K4467">
        <v>30</v>
      </c>
      <c r="L4467">
        <v>2022</v>
      </c>
      <c r="O4467" t="s">
        <v>47</v>
      </c>
      <c r="P4467" t="s">
        <v>2873</v>
      </c>
    </row>
    <row r="4468" spans="1:16" x14ac:dyDescent="0.3">
      <c r="A4468" t="s">
        <v>2892</v>
      </c>
      <c r="C4468">
        <v>30</v>
      </c>
      <c r="D4468" t="s">
        <v>10</v>
      </c>
      <c r="E4468" t="s">
        <v>2807</v>
      </c>
      <c r="F4468" s="43">
        <v>44628.583333333336</v>
      </c>
      <c r="G4468" s="43">
        <v>44628.604166666664</v>
      </c>
      <c r="H4468">
        <v>14</v>
      </c>
      <c r="I4468">
        <v>0</v>
      </c>
      <c r="J4468">
        <v>14</v>
      </c>
      <c r="K4468">
        <v>30</v>
      </c>
      <c r="L4468">
        <v>2022</v>
      </c>
      <c r="N4468" t="s">
        <v>2033</v>
      </c>
      <c r="O4468" t="s">
        <v>47</v>
      </c>
      <c r="P4468" t="s">
        <v>2893</v>
      </c>
    </row>
    <row r="4469" spans="1:16" x14ac:dyDescent="0.3">
      <c r="A4469" t="s">
        <v>2874</v>
      </c>
      <c r="C4469">
        <v>60</v>
      </c>
      <c r="D4469" t="s">
        <v>10</v>
      </c>
      <c r="F4469" s="43">
        <v>44628.479166666664</v>
      </c>
      <c r="G4469" s="43">
        <v>44628.520833333336</v>
      </c>
      <c r="H4469">
        <v>11</v>
      </c>
      <c r="I4469">
        <v>30</v>
      </c>
      <c r="J4469">
        <v>12</v>
      </c>
      <c r="K4469">
        <v>30</v>
      </c>
      <c r="L4469">
        <v>2022</v>
      </c>
      <c r="O4469" t="s">
        <v>47</v>
      </c>
      <c r="P4469" t="s">
        <v>2875</v>
      </c>
    </row>
    <row r="4470" spans="1:16" x14ac:dyDescent="0.3">
      <c r="A4470" t="s">
        <v>7</v>
      </c>
      <c r="C4470">
        <v>20</v>
      </c>
      <c r="D4470" t="s">
        <v>10</v>
      </c>
      <c r="F4470" s="43">
        <v>44628.416666666664</v>
      </c>
      <c r="G4470" s="43">
        <v>44628.430555555555</v>
      </c>
      <c r="H4470">
        <v>10</v>
      </c>
      <c r="I4470">
        <v>0</v>
      </c>
      <c r="J4470">
        <v>10</v>
      </c>
      <c r="K4470">
        <v>20</v>
      </c>
      <c r="L4470">
        <v>2022</v>
      </c>
      <c r="O4470" t="s">
        <v>47</v>
      </c>
      <c r="P4470" t="s">
        <v>2878</v>
      </c>
    </row>
    <row r="4471" spans="1:16" x14ac:dyDescent="0.3">
      <c r="A4471" t="s">
        <v>2942</v>
      </c>
      <c r="C4471">
        <v>60</v>
      </c>
      <c r="D4471" t="s">
        <v>10</v>
      </c>
      <c r="E4471" t="s">
        <v>2835</v>
      </c>
      <c r="F4471" s="43">
        <v>44628.375</v>
      </c>
      <c r="G4471" s="43">
        <v>44628.416666666664</v>
      </c>
      <c r="H4471">
        <v>9</v>
      </c>
      <c r="I4471">
        <v>0</v>
      </c>
      <c r="J4471">
        <v>10</v>
      </c>
      <c r="K4471">
        <v>0</v>
      </c>
      <c r="L4471">
        <v>2022</v>
      </c>
      <c r="N4471" t="s">
        <v>2943</v>
      </c>
      <c r="O4471" t="s">
        <v>48</v>
      </c>
      <c r="P4471" t="s">
        <v>2944</v>
      </c>
    </row>
    <row r="4472" spans="1:16" x14ac:dyDescent="0.3">
      <c r="A4472" t="s">
        <v>2876</v>
      </c>
      <c r="C4472">
        <v>90</v>
      </c>
      <c r="D4472" t="s">
        <v>10</v>
      </c>
      <c r="F4472" s="43">
        <v>44628.3125</v>
      </c>
      <c r="G4472" s="43">
        <v>44628.375</v>
      </c>
      <c r="H4472">
        <v>7</v>
      </c>
      <c r="I4472">
        <v>30</v>
      </c>
      <c r="J4472">
        <v>9</v>
      </c>
      <c r="K4472">
        <v>0</v>
      </c>
      <c r="L4472">
        <v>2022</v>
      </c>
      <c r="O4472" t="s">
        <v>47</v>
      </c>
      <c r="P4472" t="s">
        <v>2877</v>
      </c>
    </row>
    <row r="4473" spans="1:16" x14ac:dyDescent="0.3">
      <c r="A4473" t="s">
        <v>2898</v>
      </c>
      <c r="C4473">
        <v>45</v>
      </c>
      <c r="D4473" t="s">
        <v>10</v>
      </c>
      <c r="E4473" t="s">
        <v>5</v>
      </c>
      <c r="F4473" s="43">
        <v>44628.229166666664</v>
      </c>
      <c r="G4473" s="43">
        <v>44628.260416666664</v>
      </c>
      <c r="H4473">
        <v>5</v>
      </c>
      <c r="I4473">
        <v>30</v>
      </c>
      <c r="J4473">
        <v>6</v>
      </c>
      <c r="K4473">
        <v>15</v>
      </c>
      <c r="L4473">
        <v>2022</v>
      </c>
      <c r="N4473" t="s">
        <v>2899</v>
      </c>
      <c r="O4473" t="s">
        <v>51</v>
      </c>
      <c r="P4473" t="s">
        <v>2900</v>
      </c>
    </row>
    <row r="4474" spans="1:16" x14ac:dyDescent="0.3">
      <c r="A4474" t="s">
        <v>2879</v>
      </c>
      <c r="C4474">
        <v>50</v>
      </c>
      <c r="D4474" t="s">
        <v>10</v>
      </c>
      <c r="F4474" s="43">
        <v>44627.770833333336</v>
      </c>
      <c r="G4474" s="43">
        <v>44627.805555555555</v>
      </c>
      <c r="H4474">
        <v>18</v>
      </c>
      <c r="I4474">
        <v>30</v>
      </c>
      <c r="J4474">
        <v>19</v>
      </c>
      <c r="K4474">
        <v>20</v>
      </c>
      <c r="L4474">
        <v>2022</v>
      </c>
      <c r="O4474" t="s">
        <v>47</v>
      </c>
      <c r="P4474" t="s">
        <v>2880</v>
      </c>
    </row>
    <row r="4475" spans="1:16" x14ac:dyDescent="0.3">
      <c r="A4475" t="s">
        <v>2879</v>
      </c>
      <c r="C4475">
        <v>30</v>
      </c>
      <c r="D4475" t="s">
        <v>10</v>
      </c>
      <c r="F4475" s="43">
        <v>44627.729166666664</v>
      </c>
      <c r="G4475" s="43">
        <v>44627.75</v>
      </c>
      <c r="H4475">
        <v>17</v>
      </c>
      <c r="I4475">
        <v>30</v>
      </c>
      <c r="J4475">
        <v>18</v>
      </c>
      <c r="K4475">
        <v>0</v>
      </c>
      <c r="L4475">
        <v>2022</v>
      </c>
      <c r="O4475" t="s">
        <v>47</v>
      </c>
      <c r="P4475" t="s">
        <v>2881</v>
      </c>
    </row>
    <row r="4476" spans="1:16" x14ac:dyDescent="0.3">
      <c r="A4476" t="s">
        <v>2879</v>
      </c>
      <c r="C4476">
        <v>30</v>
      </c>
      <c r="D4476" t="s">
        <v>10</v>
      </c>
      <c r="F4476" s="43">
        <v>44627.6875</v>
      </c>
      <c r="G4476" s="43">
        <v>44627.708333333336</v>
      </c>
      <c r="H4476">
        <v>16</v>
      </c>
      <c r="I4476">
        <v>30</v>
      </c>
      <c r="J4476">
        <v>17</v>
      </c>
      <c r="K4476">
        <v>0</v>
      </c>
      <c r="L4476">
        <v>2022</v>
      </c>
      <c r="O4476" t="s">
        <v>47</v>
      </c>
      <c r="P4476" t="s">
        <v>2882</v>
      </c>
    </row>
    <row r="4477" spans="1:16" x14ac:dyDescent="0.3">
      <c r="A4477" t="s">
        <v>2883</v>
      </c>
      <c r="C4477">
        <v>60</v>
      </c>
      <c r="D4477" t="s">
        <v>10</v>
      </c>
      <c r="F4477" s="43">
        <v>44627.645833333336</v>
      </c>
      <c r="G4477" s="43">
        <v>44627.6875</v>
      </c>
      <c r="H4477">
        <v>15</v>
      </c>
      <c r="I4477">
        <v>30</v>
      </c>
      <c r="J4477">
        <v>16</v>
      </c>
      <c r="K4477">
        <v>30</v>
      </c>
      <c r="L4477">
        <v>2022</v>
      </c>
      <c r="O4477" t="s">
        <v>47</v>
      </c>
      <c r="P4477" t="s">
        <v>2884</v>
      </c>
    </row>
    <row r="4478" spans="1:16" x14ac:dyDescent="0.3">
      <c r="A4478" t="s">
        <v>827</v>
      </c>
      <c r="C4478">
        <v>20</v>
      </c>
      <c r="D4478" t="s">
        <v>10</v>
      </c>
      <c r="F4478" s="43">
        <v>44627.59375</v>
      </c>
      <c r="G4478" s="43">
        <v>44627.607638888891</v>
      </c>
      <c r="H4478">
        <v>14</v>
      </c>
      <c r="I4478">
        <v>15</v>
      </c>
      <c r="J4478">
        <v>14</v>
      </c>
      <c r="K4478">
        <v>35</v>
      </c>
      <c r="L4478">
        <v>2022</v>
      </c>
      <c r="O4478" t="s">
        <v>47</v>
      </c>
      <c r="P4478" t="s">
        <v>2885</v>
      </c>
    </row>
    <row r="4479" spans="1:16" x14ac:dyDescent="0.3">
      <c r="A4479" t="s">
        <v>7</v>
      </c>
      <c r="C4479">
        <v>50</v>
      </c>
      <c r="D4479" t="s">
        <v>10</v>
      </c>
      <c r="F4479" s="43">
        <v>44627.5625</v>
      </c>
      <c r="G4479" s="43">
        <v>44627.597222222219</v>
      </c>
      <c r="H4479">
        <v>13</v>
      </c>
      <c r="I4479">
        <v>30</v>
      </c>
      <c r="J4479">
        <v>14</v>
      </c>
      <c r="K4479">
        <v>20</v>
      </c>
      <c r="L4479">
        <v>2022</v>
      </c>
      <c r="O4479" t="s">
        <v>47</v>
      </c>
      <c r="P4479" t="s">
        <v>2886</v>
      </c>
    </row>
    <row r="4480" spans="1:16" x14ac:dyDescent="0.3">
      <c r="A4480" t="s">
        <v>2918</v>
      </c>
      <c r="C4480">
        <v>60</v>
      </c>
      <c r="D4480" t="s">
        <v>10</v>
      </c>
      <c r="E4480" t="s">
        <v>2807</v>
      </c>
      <c r="F4480" s="43">
        <v>44627.5</v>
      </c>
      <c r="G4480" s="43">
        <v>44627.541666666664</v>
      </c>
      <c r="H4480">
        <v>12</v>
      </c>
      <c r="I4480">
        <v>0</v>
      </c>
      <c r="J4480">
        <v>13</v>
      </c>
      <c r="K4480">
        <v>0</v>
      </c>
      <c r="L4480">
        <v>2022</v>
      </c>
      <c r="N4480" t="s">
        <v>2919</v>
      </c>
      <c r="O4480" t="s">
        <v>47</v>
      </c>
      <c r="P4480" t="s">
        <v>2920</v>
      </c>
    </row>
    <row r="4481" spans="1:16" x14ac:dyDescent="0.3">
      <c r="A4481" t="s">
        <v>2888</v>
      </c>
      <c r="C4481">
        <v>30</v>
      </c>
      <c r="D4481" t="s">
        <v>10</v>
      </c>
      <c r="F4481" s="43">
        <v>44627.479166666664</v>
      </c>
      <c r="G4481" s="43">
        <v>44627.5</v>
      </c>
      <c r="H4481">
        <v>11</v>
      </c>
      <c r="I4481">
        <v>30</v>
      </c>
      <c r="J4481">
        <v>12</v>
      </c>
      <c r="K4481">
        <v>0</v>
      </c>
      <c r="L4481">
        <v>2022</v>
      </c>
      <c r="O4481" t="s">
        <v>47</v>
      </c>
      <c r="P4481" t="s">
        <v>2889</v>
      </c>
    </row>
    <row r="4482" spans="1:16" x14ac:dyDescent="0.3">
      <c r="A4482" t="s">
        <v>8</v>
      </c>
      <c r="C4482">
        <v>20</v>
      </c>
      <c r="D4482" t="s">
        <v>10</v>
      </c>
      <c r="F4482" s="43">
        <v>44627.444444444445</v>
      </c>
      <c r="G4482" s="43">
        <v>44627.458333333336</v>
      </c>
      <c r="H4482">
        <v>10</v>
      </c>
      <c r="I4482">
        <v>40</v>
      </c>
      <c r="J4482">
        <v>11</v>
      </c>
      <c r="K4482">
        <v>0</v>
      </c>
      <c r="L4482">
        <v>2022</v>
      </c>
      <c r="O4482" t="s">
        <v>47</v>
      </c>
      <c r="P4482" t="s">
        <v>2887</v>
      </c>
    </row>
    <row r="4483" spans="1:16" x14ac:dyDescent="0.3">
      <c r="A4483" t="s">
        <v>2955</v>
      </c>
      <c r="C4483">
        <v>45</v>
      </c>
      <c r="D4483" t="s">
        <v>10</v>
      </c>
      <c r="E4483" t="s">
        <v>2835</v>
      </c>
      <c r="F4483" s="43">
        <v>44627.416666666664</v>
      </c>
      <c r="G4483" s="43">
        <v>44627.447916666664</v>
      </c>
      <c r="H4483">
        <v>10</v>
      </c>
      <c r="I4483">
        <v>0</v>
      </c>
      <c r="J4483">
        <v>10</v>
      </c>
      <c r="K4483">
        <v>45</v>
      </c>
      <c r="L4483">
        <v>2022</v>
      </c>
      <c r="N4483" t="s">
        <v>2956</v>
      </c>
      <c r="O4483" t="s">
        <v>48</v>
      </c>
      <c r="P4483" t="s">
        <v>2957</v>
      </c>
    </row>
    <row r="4484" spans="1:16" x14ac:dyDescent="0.3">
      <c r="A4484" t="s">
        <v>2890</v>
      </c>
      <c r="C4484">
        <v>180</v>
      </c>
      <c r="D4484" t="s">
        <v>10</v>
      </c>
      <c r="F4484" s="43">
        <v>44627.229166666664</v>
      </c>
      <c r="G4484" s="43">
        <v>44627.354166666664</v>
      </c>
      <c r="H4484">
        <v>5</v>
      </c>
      <c r="I4484">
        <v>30</v>
      </c>
      <c r="J4484">
        <v>8</v>
      </c>
      <c r="K4484">
        <v>30</v>
      </c>
      <c r="L4484">
        <v>2022</v>
      </c>
      <c r="O4484" t="s">
        <v>47</v>
      </c>
      <c r="P4484" t="s">
        <v>2891</v>
      </c>
    </row>
    <row r="4485" spans="1:16" x14ac:dyDescent="0.3">
      <c r="A4485" t="s">
        <v>2901</v>
      </c>
      <c r="C4485">
        <v>75</v>
      </c>
      <c r="D4485" t="s">
        <v>10</v>
      </c>
      <c r="F4485" s="43">
        <v>44626.71875</v>
      </c>
      <c r="G4485" s="43">
        <v>44626.770833333336</v>
      </c>
      <c r="H4485">
        <v>17</v>
      </c>
      <c r="I4485">
        <v>15</v>
      </c>
      <c r="J4485">
        <v>18</v>
      </c>
      <c r="K4485">
        <v>30</v>
      </c>
      <c r="L4485">
        <v>2022</v>
      </c>
      <c r="O4485" t="s">
        <v>47</v>
      </c>
      <c r="P4485" t="s">
        <v>2902</v>
      </c>
    </row>
    <row r="4486" spans="1:16" x14ac:dyDescent="0.3">
      <c r="A4486" t="s">
        <v>2903</v>
      </c>
      <c r="C4486">
        <v>60</v>
      </c>
      <c r="D4486" t="s">
        <v>10</v>
      </c>
      <c r="F4486" s="43">
        <v>44626.604166666664</v>
      </c>
      <c r="G4486" s="43">
        <v>44626.645833333336</v>
      </c>
      <c r="H4486">
        <v>14</v>
      </c>
      <c r="I4486">
        <v>30</v>
      </c>
      <c r="J4486">
        <v>15</v>
      </c>
      <c r="K4486">
        <v>30</v>
      </c>
      <c r="L4486">
        <v>2022</v>
      </c>
      <c r="O4486" t="s">
        <v>47</v>
      </c>
      <c r="P4486" t="s">
        <v>2904</v>
      </c>
    </row>
    <row r="4487" spans="1:16" x14ac:dyDescent="0.3">
      <c r="A4487" t="s">
        <v>2905</v>
      </c>
      <c r="C4487">
        <v>45</v>
      </c>
      <c r="D4487" t="s">
        <v>10</v>
      </c>
      <c r="F4487" s="43">
        <v>44626.534722222219</v>
      </c>
      <c r="G4487" s="43">
        <v>44626.565972222219</v>
      </c>
      <c r="H4487">
        <v>12</v>
      </c>
      <c r="I4487">
        <v>50</v>
      </c>
      <c r="J4487">
        <v>13</v>
      </c>
      <c r="K4487">
        <v>35</v>
      </c>
      <c r="L4487">
        <v>2022</v>
      </c>
      <c r="O4487" t="s">
        <v>47</v>
      </c>
      <c r="P4487" t="s">
        <v>2906</v>
      </c>
    </row>
    <row r="4488" spans="1:16" x14ac:dyDescent="0.3">
      <c r="A4488" t="s">
        <v>2903</v>
      </c>
      <c r="C4488">
        <v>60</v>
      </c>
      <c r="D4488" t="s">
        <v>10</v>
      </c>
      <c r="F4488" s="43">
        <v>44626.479166666664</v>
      </c>
      <c r="G4488" s="43">
        <v>44626.520833333336</v>
      </c>
      <c r="H4488">
        <v>11</v>
      </c>
      <c r="I4488">
        <v>30</v>
      </c>
      <c r="J4488">
        <v>12</v>
      </c>
      <c r="K4488">
        <v>30</v>
      </c>
      <c r="L4488">
        <v>2022</v>
      </c>
      <c r="O4488" t="s">
        <v>47</v>
      </c>
      <c r="P4488" t="s">
        <v>2907</v>
      </c>
    </row>
    <row r="4489" spans="1:16" x14ac:dyDescent="0.3">
      <c r="A4489" t="s">
        <v>2905</v>
      </c>
      <c r="C4489">
        <v>70</v>
      </c>
      <c r="D4489" t="s">
        <v>10</v>
      </c>
      <c r="F4489" s="43">
        <v>44626.354166666664</v>
      </c>
      <c r="G4489" s="43">
        <v>44626.402777777781</v>
      </c>
      <c r="H4489">
        <v>8</v>
      </c>
      <c r="I4489">
        <v>30</v>
      </c>
      <c r="J4489">
        <v>9</v>
      </c>
      <c r="K4489">
        <v>40</v>
      </c>
      <c r="L4489">
        <v>2022</v>
      </c>
      <c r="O4489" t="s">
        <v>47</v>
      </c>
      <c r="P4489" t="s">
        <v>2909</v>
      </c>
    </row>
    <row r="4490" spans="1:16" x14ac:dyDescent="0.3">
      <c r="A4490" t="s">
        <v>2905</v>
      </c>
      <c r="C4490">
        <v>300</v>
      </c>
      <c r="D4490" t="s">
        <v>10</v>
      </c>
      <c r="F4490" s="43">
        <v>44625.395833333336</v>
      </c>
      <c r="G4490" s="43">
        <v>44625.604166666664</v>
      </c>
      <c r="H4490">
        <v>9</v>
      </c>
      <c r="I4490">
        <v>30</v>
      </c>
      <c r="J4490">
        <v>14</v>
      </c>
      <c r="K4490">
        <v>30</v>
      </c>
      <c r="L4490">
        <v>2022</v>
      </c>
      <c r="O4490" t="s">
        <v>47</v>
      </c>
      <c r="P4490" t="s">
        <v>2908</v>
      </c>
    </row>
    <row r="4491" spans="1:16" x14ac:dyDescent="0.3">
      <c r="A4491" t="s">
        <v>2905</v>
      </c>
      <c r="C4491">
        <v>60</v>
      </c>
      <c r="D4491" t="s">
        <v>10</v>
      </c>
      <c r="F4491" s="43">
        <v>44624.791666666664</v>
      </c>
      <c r="G4491" s="43">
        <v>44624.833333333336</v>
      </c>
      <c r="H4491">
        <v>19</v>
      </c>
      <c r="I4491">
        <v>0</v>
      </c>
      <c r="J4491">
        <v>20</v>
      </c>
      <c r="K4491">
        <v>0</v>
      </c>
      <c r="L4491">
        <v>2022</v>
      </c>
      <c r="O4491" t="s">
        <v>47</v>
      </c>
      <c r="P4491" t="s">
        <v>2910</v>
      </c>
    </row>
    <row r="4492" spans="1:16" x14ac:dyDescent="0.3">
      <c r="A4492" t="s">
        <v>2905</v>
      </c>
      <c r="C4492">
        <v>45</v>
      </c>
      <c r="D4492" t="s">
        <v>10</v>
      </c>
      <c r="F4492" s="43">
        <v>44624.708333333336</v>
      </c>
      <c r="G4492" s="43">
        <v>44624.739583333336</v>
      </c>
      <c r="H4492">
        <v>17</v>
      </c>
      <c r="I4492">
        <v>0</v>
      </c>
      <c r="J4492">
        <v>17</v>
      </c>
      <c r="K4492">
        <v>45</v>
      </c>
      <c r="L4492">
        <v>2022</v>
      </c>
      <c r="O4492" t="s">
        <v>47</v>
      </c>
      <c r="P4492" t="s">
        <v>2912</v>
      </c>
    </row>
    <row r="4493" spans="1:16" x14ac:dyDescent="0.3">
      <c r="A4493" t="s">
        <v>2905</v>
      </c>
      <c r="C4493">
        <v>45</v>
      </c>
      <c r="D4493" t="s">
        <v>10</v>
      </c>
      <c r="F4493" s="43">
        <v>44624.666666666664</v>
      </c>
      <c r="G4493" s="43">
        <v>44624.697916666664</v>
      </c>
      <c r="H4493">
        <v>16</v>
      </c>
      <c r="I4493">
        <v>0</v>
      </c>
      <c r="J4493">
        <v>16</v>
      </c>
      <c r="K4493">
        <v>45</v>
      </c>
      <c r="L4493">
        <v>2022</v>
      </c>
      <c r="O4493" t="s">
        <v>47</v>
      </c>
      <c r="P4493" t="s">
        <v>2913</v>
      </c>
    </row>
    <row r="4494" spans="1:16" x14ac:dyDescent="0.3">
      <c r="A4494" t="s">
        <v>446</v>
      </c>
      <c r="C4494">
        <v>20</v>
      </c>
      <c r="D4494" t="s">
        <v>10</v>
      </c>
      <c r="F4494" s="43">
        <v>44624.625</v>
      </c>
      <c r="G4494" s="43">
        <v>44624.638888888891</v>
      </c>
      <c r="H4494">
        <v>15</v>
      </c>
      <c r="I4494">
        <v>0</v>
      </c>
      <c r="J4494">
        <v>15</v>
      </c>
      <c r="K4494">
        <v>20</v>
      </c>
      <c r="L4494">
        <v>2022</v>
      </c>
      <c r="O4494" t="s">
        <v>47</v>
      </c>
      <c r="P4494" t="s">
        <v>2914</v>
      </c>
    </row>
    <row r="4495" spans="1:16" x14ac:dyDescent="0.3">
      <c r="A4495" t="s">
        <v>2969</v>
      </c>
      <c r="C4495">
        <v>30</v>
      </c>
      <c r="D4495" t="s">
        <v>10</v>
      </c>
      <c r="E4495" t="s">
        <v>2970</v>
      </c>
      <c r="F4495" s="43">
        <v>44624.604166666664</v>
      </c>
      <c r="G4495" s="43">
        <v>44624.625</v>
      </c>
      <c r="H4495">
        <v>14</v>
      </c>
      <c r="I4495">
        <v>30</v>
      </c>
      <c r="J4495">
        <v>15</v>
      </c>
      <c r="K4495">
        <v>0</v>
      </c>
      <c r="L4495">
        <v>2022</v>
      </c>
      <c r="N4495" t="s">
        <v>2971</v>
      </c>
      <c r="O4495" t="s">
        <v>2972</v>
      </c>
      <c r="P4495" t="s">
        <v>2973</v>
      </c>
    </row>
    <row r="4496" spans="1:16" x14ac:dyDescent="0.3">
      <c r="A4496" t="s">
        <v>7</v>
      </c>
      <c r="C4496">
        <v>30</v>
      </c>
      <c r="D4496" t="s">
        <v>10</v>
      </c>
      <c r="F4496" s="43">
        <v>44624.5625</v>
      </c>
      <c r="G4496" s="43">
        <v>44624.583333333336</v>
      </c>
      <c r="H4496">
        <v>13</v>
      </c>
      <c r="I4496">
        <v>30</v>
      </c>
      <c r="J4496">
        <v>14</v>
      </c>
      <c r="K4496">
        <v>0</v>
      </c>
      <c r="L4496">
        <v>2022</v>
      </c>
      <c r="O4496" t="s">
        <v>47</v>
      </c>
      <c r="P4496" t="s">
        <v>2915</v>
      </c>
    </row>
    <row r="4497" spans="1:16" x14ac:dyDescent="0.3">
      <c r="A4497" t="s">
        <v>6</v>
      </c>
      <c r="C4497">
        <v>30</v>
      </c>
      <c r="D4497" t="s">
        <v>10</v>
      </c>
      <c r="F4497" s="43">
        <v>44624.541666666664</v>
      </c>
      <c r="G4497" s="43">
        <v>44624.5625</v>
      </c>
      <c r="H4497">
        <v>13</v>
      </c>
      <c r="I4497">
        <v>0</v>
      </c>
      <c r="J4497">
        <v>13</v>
      </c>
      <c r="K4497">
        <v>30</v>
      </c>
      <c r="L4497">
        <v>2022</v>
      </c>
      <c r="O4497" t="s">
        <v>47</v>
      </c>
      <c r="P4497" t="s">
        <v>2916</v>
      </c>
    </row>
    <row r="4498" spans="1:16" x14ac:dyDescent="0.3">
      <c r="A4498" t="s">
        <v>2927</v>
      </c>
      <c r="C4498">
        <v>30</v>
      </c>
      <c r="D4498" t="s">
        <v>10</v>
      </c>
      <c r="E4498" t="s">
        <v>2807</v>
      </c>
      <c r="F4498" s="43">
        <v>44624.427083333336</v>
      </c>
      <c r="G4498" s="43">
        <v>44624.447916666664</v>
      </c>
      <c r="H4498">
        <v>10</v>
      </c>
      <c r="I4498">
        <v>15</v>
      </c>
      <c r="J4498">
        <v>10</v>
      </c>
      <c r="K4498">
        <v>45</v>
      </c>
      <c r="L4498">
        <v>2022</v>
      </c>
      <c r="N4498" t="s">
        <v>2928</v>
      </c>
      <c r="O4498" t="s">
        <v>47</v>
      </c>
      <c r="P4498" t="s">
        <v>2929</v>
      </c>
    </row>
    <row r="4499" spans="1:16" x14ac:dyDescent="0.3">
      <c r="A4499" t="s">
        <v>8</v>
      </c>
      <c r="C4499">
        <v>30</v>
      </c>
      <c r="D4499" t="s">
        <v>10</v>
      </c>
      <c r="F4499" s="43">
        <v>44624.375</v>
      </c>
      <c r="G4499" s="43">
        <v>44624.395833333336</v>
      </c>
      <c r="H4499">
        <v>9</v>
      </c>
      <c r="I4499">
        <v>0</v>
      </c>
      <c r="J4499">
        <v>9</v>
      </c>
      <c r="K4499">
        <v>30</v>
      </c>
      <c r="L4499">
        <v>2022</v>
      </c>
      <c r="O4499" t="s">
        <v>47</v>
      </c>
      <c r="P4499" t="s">
        <v>2911</v>
      </c>
    </row>
    <row r="4500" spans="1:16" x14ac:dyDescent="0.3">
      <c r="A4500" t="s">
        <v>8</v>
      </c>
      <c r="C4500">
        <v>40</v>
      </c>
      <c r="D4500" t="s">
        <v>10</v>
      </c>
      <c r="F4500" s="43">
        <v>44624.333333333336</v>
      </c>
      <c r="G4500" s="43">
        <v>44624.361111111109</v>
      </c>
      <c r="H4500">
        <v>8</v>
      </c>
      <c r="I4500">
        <v>0</v>
      </c>
      <c r="J4500">
        <v>8</v>
      </c>
      <c r="K4500">
        <v>40</v>
      </c>
      <c r="L4500">
        <v>2022</v>
      </c>
      <c r="O4500" t="s">
        <v>47</v>
      </c>
      <c r="P4500" t="s">
        <v>2917</v>
      </c>
    </row>
    <row r="4501" spans="1:16" x14ac:dyDescent="0.3">
      <c r="A4501" t="s">
        <v>2921</v>
      </c>
      <c r="C4501">
        <v>45</v>
      </c>
      <c r="D4501" t="s">
        <v>10</v>
      </c>
      <c r="F4501" s="43">
        <v>44624.28125</v>
      </c>
      <c r="G4501" s="43">
        <v>44624.3125</v>
      </c>
      <c r="H4501">
        <v>6</v>
      </c>
      <c r="I4501">
        <v>45</v>
      </c>
      <c r="J4501">
        <v>7</v>
      </c>
      <c r="K4501">
        <v>30</v>
      </c>
      <c r="L4501">
        <v>2022</v>
      </c>
      <c r="O4501" t="s">
        <v>47</v>
      </c>
      <c r="P4501" t="s">
        <v>2922</v>
      </c>
    </row>
    <row r="4502" spans="1:16" x14ac:dyDescent="0.3">
      <c r="A4502" t="s">
        <v>2923</v>
      </c>
      <c r="C4502">
        <v>25</v>
      </c>
      <c r="D4502" t="s">
        <v>10</v>
      </c>
      <c r="F4502" s="43">
        <v>44623.770833333336</v>
      </c>
      <c r="G4502" s="43">
        <v>44623.788194444445</v>
      </c>
      <c r="H4502">
        <v>18</v>
      </c>
      <c r="I4502">
        <v>30</v>
      </c>
      <c r="J4502">
        <v>18</v>
      </c>
      <c r="K4502">
        <v>55</v>
      </c>
      <c r="L4502">
        <v>2022</v>
      </c>
      <c r="O4502" t="s">
        <v>47</v>
      </c>
      <c r="P4502" t="s">
        <v>2924</v>
      </c>
    </row>
    <row r="4503" spans="1:16" x14ac:dyDescent="0.3">
      <c r="A4503" t="s">
        <v>446</v>
      </c>
      <c r="C4503">
        <v>30</v>
      </c>
      <c r="D4503" t="s">
        <v>10</v>
      </c>
      <c r="F4503" s="43">
        <v>44623.729166666664</v>
      </c>
      <c r="G4503" s="43">
        <v>44623.75</v>
      </c>
      <c r="H4503">
        <v>17</v>
      </c>
      <c r="I4503">
        <v>30</v>
      </c>
      <c r="J4503">
        <v>18</v>
      </c>
      <c r="K4503">
        <v>0</v>
      </c>
      <c r="L4503">
        <v>2022</v>
      </c>
      <c r="O4503" t="s">
        <v>47</v>
      </c>
      <c r="P4503" t="s">
        <v>2925</v>
      </c>
    </row>
    <row r="4504" spans="1:16" x14ac:dyDescent="0.3">
      <c r="A4504" t="s">
        <v>2923</v>
      </c>
      <c r="C4504">
        <v>50</v>
      </c>
      <c r="D4504" t="s">
        <v>10</v>
      </c>
      <c r="F4504" s="43">
        <v>44623.673611111109</v>
      </c>
      <c r="G4504" s="43">
        <v>44623.708333333336</v>
      </c>
      <c r="H4504">
        <v>16</v>
      </c>
      <c r="I4504">
        <v>10</v>
      </c>
      <c r="J4504">
        <v>17</v>
      </c>
      <c r="K4504">
        <v>0</v>
      </c>
      <c r="L4504">
        <v>2022</v>
      </c>
      <c r="O4504" t="s">
        <v>47</v>
      </c>
      <c r="P4504" t="s">
        <v>2926</v>
      </c>
    </row>
    <row r="4505" spans="1:16" x14ac:dyDescent="0.3">
      <c r="A4505" t="s">
        <v>7</v>
      </c>
      <c r="C4505">
        <v>40</v>
      </c>
      <c r="D4505" t="s">
        <v>10</v>
      </c>
      <c r="F4505" s="43">
        <v>44623.645833333336</v>
      </c>
      <c r="G4505" s="43">
        <v>44623.673611111109</v>
      </c>
      <c r="H4505">
        <v>15</v>
      </c>
      <c r="I4505">
        <v>30</v>
      </c>
      <c r="J4505">
        <v>16</v>
      </c>
      <c r="K4505">
        <v>10</v>
      </c>
      <c r="L4505">
        <v>2022</v>
      </c>
      <c r="O4505" t="s">
        <v>47</v>
      </c>
      <c r="P4505" t="s">
        <v>2930</v>
      </c>
    </row>
    <row r="4506" spans="1:16" x14ac:dyDescent="0.3">
      <c r="A4506" t="s">
        <v>2923</v>
      </c>
      <c r="C4506">
        <v>30</v>
      </c>
      <c r="D4506" t="s">
        <v>10</v>
      </c>
      <c r="F4506" s="43">
        <v>44623.625</v>
      </c>
      <c r="G4506" s="43">
        <v>44623.645833333336</v>
      </c>
      <c r="H4506">
        <v>15</v>
      </c>
      <c r="I4506">
        <v>0</v>
      </c>
      <c r="J4506">
        <v>15</v>
      </c>
      <c r="K4506">
        <v>30</v>
      </c>
      <c r="L4506">
        <v>2022</v>
      </c>
      <c r="O4506" t="s">
        <v>47</v>
      </c>
      <c r="P4506" t="s">
        <v>2931</v>
      </c>
    </row>
    <row r="4507" spans="1:16" x14ac:dyDescent="0.3">
      <c r="A4507" t="s">
        <v>2932</v>
      </c>
      <c r="C4507">
        <v>30</v>
      </c>
      <c r="D4507" t="s">
        <v>10</v>
      </c>
      <c r="F4507" s="43">
        <v>44623.604166666664</v>
      </c>
      <c r="G4507" s="43">
        <v>44623.625</v>
      </c>
      <c r="H4507">
        <v>14</v>
      </c>
      <c r="I4507">
        <v>30</v>
      </c>
      <c r="J4507">
        <v>15</v>
      </c>
      <c r="K4507">
        <v>0</v>
      </c>
      <c r="L4507">
        <v>2022</v>
      </c>
      <c r="O4507" t="s">
        <v>47</v>
      </c>
      <c r="P4507" t="s">
        <v>2933</v>
      </c>
    </row>
    <row r="4508" spans="1:16" x14ac:dyDescent="0.3">
      <c r="A4508" t="s">
        <v>2923</v>
      </c>
      <c r="C4508">
        <v>30</v>
      </c>
      <c r="D4508" t="s">
        <v>10</v>
      </c>
      <c r="F4508" s="43">
        <v>44623.583333333336</v>
      </c>
      <c r="G4508" s="43">
        <v>44623.604166666664</v>
      </c>
      <c r="H4508">
        <v>14</v>
      </c>
      <c r="I4508">
        <v>0</v>
      </c>
      <c r="J4508">
        <v>14</v>
      </c>
      <c r="K4508">
        <v>30</v>
      </c>
      <c r="L4508">
        <v>2022</v>
      </c>
      <c r="O4508" t="s">
        <v>47</v>
      </c>
      <c r="P4508" t="s">
        <v>2934</v>
      </c>
    </row>
    <row r="4509" spans="1:16" x14ac:dyDescent="0.3">
      <c r="A4509" t="s">
        <v>6</v>
      </c>
      <c r="C4509">
        <v>60</v>
      </c>
      <c r="D4509" t="s">
        <v>10</v>
      </c>
      <c r="F4509" s="43">
        <v>44623.541666666664</v>
      </c>
      <c r="G4509" s="43">
        <v>44623.583333333336</v>
      </c>
      <c r="H4509">
        <v>13</v>
      </c>
      <c r="I4509">
        <v>0</v>
      </c>
      <c r="J4509">
        <v>14</v>
      </c>
      <c r="K4509">
        <v>0</v>
      </c>
      <c r="L4509">
        <v>2022</v>
      </c>
      <c r="O4509" t="s">
        <v>47</v>
      </c>
      <c r="P4509" t="s">
        <v>2935</v>
      </c>
    </row>
    <row r="4510" spans="1:16" x14ac:dyDescent="0.3">
      <c r="A4510" t="s">
        <v>2118</v>
      </c>
      <c r="C4510">
        <v>30</v>
      </c>
      <c r="D4510" t="s">
        <v>10</v>
      </c>
      <c r="E4510" t="s">
        <v>2807</v>
      </c>
      <c r="F4510" s="43">
        <v>44623.5</v>
      </c>
      <c r="G4510" s="43">
        <v>44623.520833333336</v>
      </c>
      <c r="H4510">
        <v>12</v>
      </c>
      <c r="I4510">
        <v>0</v>
      </c>
      <c r="J4510">
        <v>12</v>
      </c>
      <c r="K4510">
        <v>30</v>
      </c>
      <c r="L4510">
        <v>2022</v>
      </c>
      <c r="N4510" t="s">
        <v>519</v>
      </c>
      <c r="O4510" t="s">
        <v>47</v>
      </c>
      <c r="P4510" t="s">
        <v>2937</v>
      </c>
    </row>
    <row r="4511" spans="1:16" x14ac:dyDescent="0.3">
      <c r="C4511">
        <v>45</v>
      </c>
      <c r="D4511" t="s">
        <v>10</v>
      </c>
      <c r="F4511" s="43">
        <v>44623.46875</v>
      </c>
      <c r="G4511" s="43">
        <v>44623.5</v>
      </c>
      <c r="H4511">
        <v>11</v>
      </c>
      <c r="I4511">
        <v>15</v>
      </c>
      <c r="J4511">
        <v>12</v>
      </c>
      <c r="K4511">
        <v>0</v>
      </c>
      <c r="L4511">
        <v>2022</v>
      </c>
      <c r="O4511" t="s">
        <v>47</v>
      </c>
      <c r="P4511" t="s">
        <v>2936</v>
      </c>
    </row>
    <row r="4512" spans="1:16" x14ac:dyDescent="0.3">
      <c r="A4512" t="s">
        <v>2938</v>
      </c>
      <c r="C4512">
        <v>25</v>
      </c>
      <c r="D4512" t="s">
        <v>10</v>
      </c>
      <c r="F4512" s="43">
        <v>44623.451388888891</v>
      </c>
      <c r="G4512" s="43">
        <v>44623.46875</v>
      </c>
      <c r="H4512">
        <v>10</v>
      </c>
      <c r="I4512">
        <v>50</v>
      </c>
      <c r="J4512">
        <v>11</v>
      </c>
      <c r="K4512">
        <v>15</v>
      </c>
      <c r="L4512">
        <v>2022</v>
      </c>
      <c r="O4512" t="s">
        <v>47</v>
      </c>
      <c r="P4512" t="s">
        <v>2939</v>
      </c>
    </row>
    <row r="4513" spans="1:16" x14ac:dyDescent="0.3">
      <c r="A4513" t="s">
        <v>2940</v>
      </c>
      <c r="C4513">
        <v>50</v>
      </c>
      <c r="D4513" t="s">
        <v>10</v>
      </c>
      <c r="F4513" s="43">
        <v>44623.385416666664</v>
      </c>
      <c r="G4513" s="43">
        <v>44623.420138888891</v>
      </c>
      <c r="H4513">
        <v>9</v>
      </c>
      <c r="I4513">
        <v>15</v>
      </c>
      <c r="J4513">
        <v>10</v>
      </c>
      <c r="K4513">
        <v>5</v>
      </c>
      <c r="L4513">
        <v>2022</v>
      </c>
      <c r="O4513" t="s">
        <v>47</v>
      </c>
      <c r="P4513" t="s">
        <v>2941</v>
      </c>
    </row>
    <row r="4514" spans="1:16" x14ac:dyDescent="0.3">
      <c r="A4514" t="s">
        <v>2945</v>
      </c>
      <c r="C4514">
        <v>60</v>
      </c>
      <c r="D4514" t="s">
        <v>10</v>
      </c>
      <c r="F4514" s="43">
        <v>44623.3125</v>
      </c>
      <c r="G4514" s="43">
        <v>44623.354166666664</v>
      </c>
      <c r="H4514">
        <v>7</v>
      </c>
      <c r="I4514">
        <v>30</v>
      </c>
      <c r="J4514">
        <v>8</v>
      </c>
      <c r="K4514">
        <v>30</v>
      </c>
      <c r="L4514">
        <v>2022</v>
      </c>
      <c r="O4514" t="s">
        <v>47</v>
      </c>
      <c r="P4514" t="s">
        <v>2946</v>
      </c>
    </row>
    <row r="4515" spans="1:16" x14ac:dyDescent="0.3">
      <c r="A4515" t="s">
        <v>2384</v>
      </c>
      <c r="C4515">
        <v>90</v>
      </c>
      <c r="D4515" t="s">
        <v>10</v>
      </c>
      <c r="F4515" s="43">
        <v>44623.208333333336</v>
      </c>
      <c r="G4515" s="43">
        <v>44623.270833333336</v>
      </c>
      <c r="H4515">
        <v>5</v>
      </c>
      <c r="I4515">
        <v>0</v>
      </c>
      <c r="J4515">
        <v>6</v>
      </c>
      <c r="K4515">
        <v>30</v>
      </c>
      <c r="L4515">
        <v>2022</v>
      </c>
      <c r="O4515" t="s">
        <v>47</v>
      </c>
      <c r="P4515" t="s">
        <v>2947</v>
      </c>
    </row>
    <row r="4516" spans="1:16" x14ac:dyDescent="0.3">
      <c r="A4516" t="s">
        <v>2949</v>
      </c>
      <c r="C4516">
        <v>50</v>
      </c>
      <c r="D4516" t="s">
        <v>10</v>
      </c>
      <c r="F4516" s="43">
        <v>44622.770833333336</v>
      </c>
      <c r="G4516" s="43">
        <v>44622.805555555555</v>
      </c>
      <c r="H4516">
        <v>18</v>
      </c>
      <c r="I4516">
        <v>30</v>
      </c>
      <c r="J4516">
        <v>19</v>
      </c>
      <c r="K4516">
        <v>20</v>
      </c>
      <c r="L4516">
        <v>2022</v>
      </c>
      <c r="O4516" t="s">
        <v>47</v>
      </c>
      <c r="P4516" t="s">
        <v>2950</v>
      </c>
    </row>
    <row r="4517" spans="1:16" x14ac:dyDescent="0.3">
      <c r="A4517" t="s">
        <v>2940</v>
      </c>
      <c r="C4517">
        <v>30</v>
      </c>
      <c r="D4517" t="s">
        <v>10</v>
      </c>
      <c r="F4517" s="43">
        <v>44622.729166666664</v>
      </c>
      <c r="G4517" s="43">
        <v>44622.75</v>
      </c>
      <c r="H4517">
        <v>17</v>
      </c>
      <c r="I4517">
        <v>30</v>
      </c>
      <c r="J4517">
        <v>18</v>
      </c>
      <c r="K4517">
        <v>0</v>
      </c>
      <c r="L4517">
        <v>2022</v>
      </c>
      <c r="O4517" t="s">
        <v>47</v>
      </c>
      <c r="P4517" t="s">
        <v>2948</v>
      </c>
    </row>
    <row r="4518" spans="1:16" x14ac:dyDescent="0.3">
      <c r="A4518" t="s">
        <v>2951</v>
      </c>
      <c r="C4518">
        <v>150</v>
      </c>
      <c r="D4518" t="s">
        <v>10</v>
      </c>
      <c r="F4518" s="43">
        <v>44622.604166666664</v>
      </c>
      <c r="G4518" s="43">
        <v>44622.708333333336</v>
      </c>
      <c r="H4518">
        <v>14</v>
      </c>
      <c r="I4518">
        <v>30</v>
      </c>
      <c r="J4518">
        <v>17</v>
      </c>
      <c r="K4518">
        <v>0</v>
      </c>
      <c r="L4518">
        <v>2022</v>
      </c>
      <c r="O4518" t="s">
        <v>47</v>
      </c>
      <c r="P4518" t="s">
        <v>2952</v>
      </c>
    </row>
    <row r="4519" spans="1:16" x14ac:dyDescent="0.3">
      <c r="A4519" t="s">
        <v>7</v>
      </c>
      <c r="C4519">
        <v>30</v>
      </c>
      <c r="D4519" t="s">
        <v>10</v>
      </c>
      <c r="F4519" s="43">
        <v>44622.583333333336</v>
      </c>
      <c r="G4519" s="43">
        <v>44622.604166666664</v>
      </c>
      <c r="H4519">
        <v>14</v>
      </c>
      <c r="I4519">
        <v>0</v>
      </c>
      <c r="J4519">
        <v>14</v>
      </c>
      <c r="K4519">
        <v>30</v>
      </c>
      <c r="L4519">
        <v>2022</v>
      </c>
      <c r="O4519" t="s">
        <v>47</v>
      </c>
      <c r="P4519" t="s">
        <v>2954</v>
      </c>
    </row>
    <row r="4520" spans="1:16" x14ac:dyDescent="0.3">
      <c r="A4520" t="s">
        <v>6</v>
      </c>
      <c r="C4520">
        <v>30</v>
      </c>
      <c r="D4520" t="s">
        <v>10</v>
      </c>
      <c r="F4520" s="43">
        <v>44622.541666666664</v>
      </c>
      <c r="G4520" s="43">
        <v>44622.5625</v>
      </c>
      <c r="H4520">
        <v>13</v>
      </c>
      <c r="I4520">
        <v>0</v>
      </c>
      <c r="J4520">
        <v>13</v>
      </c>
      <c r="K4520">
        <v>30</v>
      </c>
      <c r="L4520">
        <v>2022</v>
      </c>
      <c r="O4520" t="s">
        <v>47</v>
      </c>
      <c r="P4520" t="s">
        <v>2953</v>
      </c>
    </row>
    <row r="4521" spans="1:16" x14ac:dyDescent="0.3">
      <c r="A4521" t="s">
        <v>3189</v>
      </c>
      <c r="C4521">
        <v>45</v>
      </c>
      <c r="D4521" t="s">
        <v>10</v>
      </c>
      <c r="E4521" t="s">
        <v>21</v>
      </c>
      <c r="F4521" s="43">
        <v>44622.458333333336</v>
      </c>
      <c r="G4521" s="43">
        <v>44622.489583333336</v>
      </c>
      <c r="H4521">
        <v>11</v>
      </c>
      <c r="I4521">
        <v>0</v>
      </c>
      <c r="J4521">
        <v>11</v>
      </c>
      <c r="K4521">
        <v>45</v>
      </c>
      <c r="L4521">
        <v>2022</v>
      </c>
      <c r="N4521" t="s">
        <v>56</v>
      </c>
      <c r="O4521" t="s">
        <v>50</v>
      </c>
      <c r="P4521" t="s">
        <v>3190</v>
      </c>
    </row>
    <row r="4522" spans="1:16" x14ac:dyDescent="0.3">
      <c r="A4522" t="s">
        <v>2958</v>
      </c>
      <c r="C4522">
        <v>90</v>
      </c>
      <c r="D4522" t="s">
        <v>10</v>
      </c>
      <c r="F4522" s="43">
        <v>44622.395833333336</v>
      </c>
      <c r="G4522" s="43">
        <v>44622.458333333336</v>
      </c>
      <c r="H4522">
        <v>9</v>
      </c>
      <c r="I4522">
        <v>30</v>
      </c>
      <c r="J4522">
        <v>11</v>
      </c>
      <c r="K4522">
        <v>0</v>
      </c>
      <c r="L4522">
        <v>2022</v>
      </c>
      <c r="O4522" t="s">
        <v>47</v>
      </c>
      <c r="P4522" t="s">
        <v>2959</v>
      </c>
    </row>
    <row r="4523" spans="1:16" x14ac:dyDescent="0.3">
      <c r="A4523" t="s">
        <v>8</v>
      </c>
      <c r="C4523">
        <v>60</v>
      </c>
      <c r="D4523" t="s">
        <v>10</v>
      </c>
      <c r="F4523" s="43">
        <v>44622.25</v>
      </c>
      <c r="G4523" s="43">
        <v>44622.291666666664</v>
      </c>
      <c r="H4523">
        <v>6</v>
      </c>
      <c r="I4523">
        <v>0</v>
      </c>
      <c r="J4523">
        <v>7</v>
      </c>
      <c r="K4523">
        <v>0</v>
      </c>
      <c r="L4523">
        <v>2022</v>
      </c>
      <c r="O4523" t="s">
        <v>47</v>
      </c>
      <c r="P4523" t="s">
        <v>2960</v>
      </c>
    </row>
    <row r="4524" spans="1:16" x14ac:dyDescent="0.3">
      <c r="A4524" t="s">
        <v>2940</v>
      </c>
      <c r="C4524">
        <v>45</v>
      </c>
      <c r="D4524" t="s">
        <v>10</v>
      </c>
      <c r="F4524" s="43">
        <v>44621.791666666664</v>
      </c>
      <c r="G4524" s="43">
        <v>44621.822916666664</v>
      </c>
      <c r="H4524">
        <v>19</v>
      </c>
      <c r="I4524">
        <v>0</v>
      </c>
      <c r="J4524">
        <v>19</v>
      </c>
      <c r="K4524">
        <v>45</v>
      </c>
      <c r="L4524">
        <v>2022</v>
      </c>
      <c r="O4524" t="s">
        <v>47</v>
      </c>
      <c r="P4524" t="s">
        <v>2961</v>
      </c>
    </row>
    <row r="4525" spans="1:16" x14ac:dyDescent="0.3">
      <c r="A4525" t="s">
        <v>2940</v>
      </c>
      <c r="C4525">
        <v>30</v>
      </c>
      <c r="D4525" t="s">
        <v>10</v>
      </c>
      <c r="F4525" s="43">
        <v>44621.75</v>
      </c>
      <c r="G4525" s="43">
        <v>44621.770833333336</v>
      </c>
      <c r="H4525">
        <v>18</v>
      </c>
      <c r="I4525">
        <v>0</v>
      </c>
      <c r="J4525">
        <v>18</v>
      </c>
      <c r="K4525">
        <v>30</v>
      </c>
      <c r="L4525">
        <v>2022</v>
      </c>
      <c r="O4525" t="s">
        <v>47</v>
      </c>
      <c r="P4525" t="s">
        <v>2962</v>
      </c>
    </row>
    <row r="4526" spans="1:16" x14ac:dyDescent="0.3">
      <c r="A4526" t="s">
        <v>7</v>
      </c>
      <c r="C4526">
        <v>30</v>
      </c>
      <c r="D4526" t="s">
        <v>10</v>
      </c>
      <c r="F4526" s="43">
        <v>44621.729166666664</v>
      </c>
      <c r="G4526" s="43">
        <v>44621.75</v>
      </c>
      <c r="H4526">
        <v>17</v>
      </c>
      <c r="I4526">
        <v>30</v>
      </c>
      <c r="J4526">
        <v>18</v>
      </c>
      <c r="K4526">
        <v>0</v>
      </c>
      <c r="L4526">
        <v>2022</v>
      </c>
      <c r="O4526" t="s">
        <v>47</v>
      </c>
      <c r="P4526" t="s">
        <v>2963</v>
      </c>
    </row>
    <row r="4527" spans="1:16" x14ac:dyDescent="0.3">
      <c r="A4527" t="s">
        <v>2940</v>
      </c>
      <c r="C4527">
        <v>80</v>
      </c>
      <c r="D4527" t="s">
        <v>10</v>
      </c>
      <c r="F4527" s="43">
        <v>44621.645833333336</v>
      </c>
      <c r="G4527" s="43">
        <v>44621.701388888891</v>
      </c>
      <c r="H4527">
        <v>15</v>
      </c>
      <c r="I4527">
        <v>30</v>
      </c>
      <c r="J4527">
        <v>16</v>
      </c>
      <c r="K4527">
        <v>50</v>
      </c>
      <c r="L4527">
        <v>2022</v>
      </c>
      <c r="O4527" t="s">
        <v>47</v>
      </c>
      <c r="P4527" t="s">
        <v>2964</v>
      </c>
    </row>
    <row r="4528" spans="1:16" x14ac:dyDescent="0.3">
      <c r="A4528" t="s">
        <v>2965</v>
      </c>
      <c r="C4528">
        <v>30</v>
      </c>
      <c r="D4528" t="s">
        <v>10</v>
      </c>
      <c r="F4528" s="43">
        <v>44621.541666666664</v>
      </c>
      <c r="G4528" s="43">
        <v>44621.5625</v>
      </c>
      <c r="H4528">
        <v>13</v>
      </c>
      <c r="I4528">
        <v>0</v>
      </c>
      <c r="J4528">
        <v>13</v>
      </c>
      <c r="K4528">
        <v>30</v>
      </c>
      <c r="L4528">
        <v>2022</v>
      </c>
      <c r="O4528" t="s">
        <v>47</v>
      </c>
      <c r="P4528" t="s">
        <v>2966</v>
      </c>
    </row>
    <row r="4529" spans="1:16" x14ac:dyDescent="0.3">
      <c r="A4529" t="s">
        <v>2767</v>
      </c>
      <c r="C4529">
        <v>30</v>
      </c>
      <c r="D4529" t="s">
        <v>10</v>
      </c>
      <c r="F4529" s="43">
        <v>44621.5</v>
      </c>
      <c r="G4529" s="43">
        <v>44621.520833333336</v>
      </c>
      <c r="H4529">
        <v>12</v>
      </c>
      <c r="I4529">
        <v>0</v>
      </c>
      <c r="J4529">
        <v>12</v>
      </c>
      <c r="K4529">
        <v>30</v>
      </c>
      <c r="L4529">
        <v>2022</v>
      </c>
      <c r="O4529" t="s">
        <v>47</v>
      </c>
      <c r="P4529" t="s">
        <v>2967</v>
      </c>
    </row>
    <row r="4530" spans="1:16" x14ac:dyDescent="0.3">
      <c r="A4530" t="s">
        <v>28</v>
      </c>
      <c r="C4530">
        <v>20</v>
      </c>
      <c r="D4530" t="s">
        <v>10</v>
      </c>
      <c r="F4530" s="43">
        <v>44621.479166666664</v>
      </c>
      <c r="G4530" s="43">
        <v>44621.493055555555</v>
      </c>
      <c r="H4530">
        <v>11</v>
      </c>
      <c r="I4530">
        <v>30</v>
      </c>
      <c r="J4530">
        <v>11</v>
      </c>
      <c r="K4530">
        <v>50</v>
      </c>
      <c r="L4530">
        <v>2022</v>
      </c>
      <c r="O4530" t="s">
        <v>47</v>
      </c>
      <c r="P4530" t="s">
        <v>2968</v>
      </c>
    </row>
    <row r="4531" spans="1:16" x14ac:dyDescent="0.3">
      <c r="A4531" t="s">
        <v>1151</v>
      </c>
      <c r="C4531">
        <v>30</v>
      </c>
      <c r="D4531" t="s">
        <v>10</v>
      </c>
      <c r="E4531" t="s">
        <v>5</v>
      </c>
      <c r="F4531" s="43">
        <v>44621.458333333336</v>
      </c>
      <c r="G4531" s="43">
        <v>44621.479166666664</v>
      </c>
      <c r="H4531">
        <v>11</v>
      </c>
      <c r="I4531">
        <v>0</v>
      </c>
      <c r="J4531">
        <v>11</v>
      </c>
      <c r="K4531">
        <v>30</v>
      </c>
      <c r="L4531">
        <v>2022</v>
      </c>
      <c r="N4531" t="s">
        <v>2975</v>
      </c>
      <c r="O4531" t="s">
        <v>2976</v>
      </c>
      <c r="P4531" t="s">
        <v>2977</v>
      </c>
    </row>
    <row r="4532" spans="1:16" x14ac:dyDescent="0.3">
      <c r="A4532" t="s">
        <v>2874</v>
      </c>
      <c r="C4532">
        <v>70</v>
      </c>
      <c r="D4532" t="s">
        <v>10</v>
      </c>
      <c r="F4532" s="43">
        <v>44621.375</v>
      </c>
      <c r="G4532" s="43">
        <v>44621.423611111109</v>
      </c>
      <c r="H4532">
        <v>9</v>
      </c>
      <c r="I4532">
        <v>0</v>
      </c>
      <c r="J4532">
        <v>10</v>
      </c>
      <c r="K4532">
        <v>10</v>
      </c>
      <c r="L4532">
        <v>2022</v>
      </c>
      <c r="O4532" t="s">
        <v>47</v>
      </c>
      <c r="P4532" t="s">
        <v>2974</v>
      </c>
    </row>
    <row r="4533" spans="1:16" x14ac:dyDescent="0.3">
      <c r="A4533" t="s">
        <v>2978</v>
      </c>
      <c r="C4533">
        <v>30</v>
      </c>
      <c r="D4533" t="s">
        <v>10</v>
      </c>
      <c r="E4533" t="s">
        <v>1599</v>
      </c>
      <c r="F4533" s="43">
        <v>44621.354166666664</v>
      </c>
      <c r="G4533" s="43">
        <v>44621.375</v>
      </c>
      <c r="H4533">
        <v>8</v>
      </c>
      <c r="I4533">
        <v>30</v>
      </c>
      <c r="J4533">
        <v>9</v>
      </c>
      <c r="K4533">
        <v>0</v>
      </c>
      <c r="L4533">
        <v>2022</v>
      </c>
      <c r="N4533" t="s">
        <v>2979</v>
      </c>
      <c r="O4533" t="s">
        <v>1987</v>
      </c>
      <c r="P4533" t="s">
        <v>2980</v>
      </c>
    </row>
    <row r="4534" spans="1:16" x14ac:dyDescent="0.3">
      <c r="A4534" t="s">
        <v>3056</v>
      </c>
      <c r="C4534">
        <v>30</v>
      </c>
      <c r="D4534" t="s">
        <v>10</v>
      </c>
      <c r="F4534" s="43">
        <v>44621.354166666664</v>
      </c>
      <c r="G4534" s="43">
        <v>44621.375</v>
      </c>
      <c r="H4534">
        <v>8</v>
      </c>
      <c r="I4534">
        <v>30</v>
      </c>
      <c r="J4534">
        <v>9</v>
      </c>
      <c r="K4534">
        <v>0</v>
      </c>
      <c r="L4534">
        <v>2022</v>
      </c>
      <c r="N4534" t="s">
        <v>3057</v>
      </c>
      <c r="O4534" t="s">
        <v>3058</v>
      </c>
      <c r="P4534" t="s">
        <v>3059</v>
      </c>
    </row>
    <row r="4535" spans="1:16" x14ac:dyDescent="0.3">
      <c r="A4535" t="s">
        <v>2940</v>
      </c>
      <c r="C4535">
        <v>30</v>
      </c>
      <c r="D4535" t="s">
        <v>10</v>
      </c>
      <c r="F4535" s="43">
        <v>44621.3125</v>
      </c>
      <c r="G4535" s="43">
        <v>44621.333333333336</v>
      </c>
      <c r="H4535">
        <v>7</v>
      </c>
      <c r="I4535">
        <v>30</v>
      </c>
      <c r="J4535">
        <v>8</v>
      </c>
      <c r="K4535">
        <v>0</v>
      </c>
      <c r="L4535">
        <v>2022</v>
      </c>
      <c r="O4535" t="s">
        <v>47</v>
      </c>
      <c r="P4535" t="s">
        <v>2981</v>
      </c>
    </row>
    <row r="4536" spans="1:16" x14ac:dyDescent="0.3">
      <c r="A4536" t="s">
        <v>28</v>
      </c>
      <c r="C4536">
        <v>60</v>
      </c>
      <c r="D4536" t="s">
        <v>10</v>
      </c>
      <c r="F4536" s="43">
        <v>44621.25</v>
      </c>
      <c r="G4536" s="43">
        <v>44621.291666666664</v>
      </c>
      <c r="H4536">
        <v>6</v>
      </c>
      <c r="I4536">
        <v>0</v>
      </c>
      <c r="J4536">
        <v>7</v>
      </c>
      <c r="K4536">
        <v>0</v>
      </c>
      <c r="L4536">
        <v>2022</v>
      </c>
      <c r="O4536" t="s">
        <v>47</v>
      </c>
      <c r="P4536" t="s">
        <v>2982</v>
      </c>
    </row>
    <row r="4537" spans="1:16" x14ac:dyDescent="0.3">
      <c r="A4537" t="s">
        <v>2940</v>
      </c>
      <c r="C4537">
        <v>15</v>
      </c>
      <c r="D4537" t="s">
        <v>10</v>
      </c>
      <c r="F4537" s="43">
        <v>44620.791666666664</v>
      </c>
      <c r="G4537" s="43">
        <v>44620.802083333336</v>
      </c>
      <c r="H4537">
        <v>19</v>
      </c>
      <c r="I4537">
        <v>0</v>
      </c>
      <c r="J4537">
        <v>19</v>
      </c>
      <c r="K4537">
        <v>15</v>
      </c>
      <c r="L4537">
        <v>2022</v>
      </c>
      <c r="O4537" t="s">
        <v>47</v>
      </c>
      <c r="P4537" t="s">
        <v>2983</v>
      </c>
    </row>
    <row r="4538" spans="1:16" x14ac:dyDescent="0.3">
      <c r="A4538" t="s">
        <v>8</v>
      </c>
      <c r="C4538">
        <v>45</v>
      </c>
      <c r="D4538" t="s">
        <v>10</v>
      </c>
      <c r="F4538" s="43">
        <v>44620.760416666664</v>
      </c>
      <c r="G4538" s="43">
        <v>44620.791666666664</v>
      </c>
      <c r="H4538">
        <v>18</v>
      </c>
      <c r="I4538">
        <v>15</v>
      </c>
      <c r="J4538">
        <v>19</v>
      </c>
      <c r="K4538">
        <v>0</v>
      </c>
      <c r="L4538">
        <v>2022</v>
      </c>
      <c r="O4538" t="s">
        <v>47</v>
      </c>
      <c r="P4538" t="s">
        <v>2984</v>
      </c>
    </row>
    <row r="4539" spans="1:16" x14ac:dyDescent="0.3">
      <c r="A4539" t="s">
        <v>2940</v>
      </c>
      <c r="C4539">
        <v>20</v>
      </c>
      <c r="D4539" t="s">
        <v>10</v>
      </c>
      <c r="F4539" s="43">
        <v>44620.729166666664</v>
      </c>
      <c r="G4539" s="43">
        <v>44620.743055555555</v>
      </c>
      <c r="H4539">
        <v>17</v>
      </c>
      <c r="I4539">
        <v>30</v>
      </c>
      <c r="J4539">
        <v>17</v>
      </c>
      <c r="K4539">
        <v>50</v>
      </c>
      <c r="L4539">
        <v>2022</v>
      </c>
      <c r="O4539" t="s">
        <v>47</v>
      </c>
      <c r="P4539" t="s">
        <v>2985</v>
      </c>
    </row>
    <row r="4540" spans="1:16" x14ac:dyDescent="0.3">
      <c r="A4540" t="s">
        <v>3025</v>
      </c>
      <c r="C4540">
        <v>30</v>
      </c>
      <c r="D4540" t="s">
        <v>10</v>
      </c>
      <c r="E4540" t="s">
        <v>2807</v>
      </c>
      <c r="F4540" s="43">
        <v>44620.6875</v>
      </c>
      <c r="G4540" s="43">
        <v>44620.708333333336</v>
      </c>
      <c r="H4540">
        <v>16</v>
      </c>
      <c r="I4540">
        <v>30</v>
      </c>
      <c r="J4540">
        <v>17</v>
      </c>
      <c r="K4540">
        <v>0</v>
      </c>
      <c r="L4540">
        <v>2022</v>
      </c>
      <c r="N4540" t="s">
        <v>3026</v>
      </c>
      <c r="O4540" t="s">
        <v>47</v>
      </c>
      <c r="P4540" t="s">
        <v>3027</v>
      </c>
    </row>
    <row r="4541" spans="1:16" x14ac:dyDescent="0.3">
      <c r="A4541" t="s">
        <v>2145</v>
      </c>
      <c r="C4541">
        <v>30</v>
      </c>
      <c r="D4541" t="s">
        <v>10</v>
      </c>
      <c r="F4541" s="43">
        <v>44620.666666666664</v>
      </c>
      <c r="G4541" s="43">
        <v>44620.6875</v>
      </c>
      <c r="H4541">
        <v>16</v>
      </c>
      <c r="I4541">
        <v>0</v>
      </c>
      <c r="J4541">
        <v>16</v>
      </c>
      <c r="K4541">
        <v>30</v>
      </c>
      <c r="L4541">
        <v>2022</v>
      </c>
      <c r="O4541" t="s">
        <v>47</v>
      </c>
      <c r="P4541" t="s">
        <v>2986</v>
      </c>
    </row>
    <row r="4542" spans="1:16" x14ac:dyDescent="0.3">
      <c r="A4542" t="s">
        <v>446</v>
      </c>
      <c r="C4542">
        <v>45</v>
      </c>
      <c r="D4542" t="s">
        <v>10</v>
      </c>
      <c r="F4542" s="43">
        <v>44620.625</v>
      </c>
      <c r="G4542" s="43">
        <v>44620.65625</v>
      </c>
      <c r="H4542">
        <v>15</v>
      </c>
      <c r="I4542">
        <v>0</v>
      </c>
      <c r="J4542">
        <v>15</v>
      </c>
      <c r="K4542">
        <v>45</v>
      </c>
      <c r="L4542">
        <v>2022</v>
      </c>
      <c r="O4542" t="s">
        <v>47</v>
      </c>
      <c r="P4542" t="s">
        <v>2987</v>
      </c>
    </row>
    <row r="4543" spans="1:16" x14ac:dyDescent="0.3">
      <c r="A4543" t="s">
        <v>2688</v>
      </c>
      <c r="C4543">
        <v>30</v>
      </c>
      <c r="D4543" t="s">
        <v>10</v>
      </c>
      <c r="F4543" s="43">
        <v>44620.604166666664</v>
      </c>
      <c r="G4543" s="43">
        <v>44620.625</v>
      </c>
      <c r="H4543">
        <v>14</v>
      </c>
      <c r="I4543">
        <v>30</v>
      </c>
      <c r="J4543">
        <v>15</v>
      </c>
      <c r="K4543">
        <v>0</v>
      </c>
      <c r="L4543">
        <v>2022</v>
      </c>
      <c r="O4543" t="s">
        <v>47</v>
      </c>
      <c r="P4543" t="s">
        <v>2988</v>
      </c>
    </row>
    <row r="4544" spans="1:16" x14ac:dyDescent="0.3">
      <c r="A4544" t="s">
        <v>7</v>
      </c>
      <c r="C4544">
        <v>60</v>
      </c>
      <c r="D4544" t="s">
        <v>10</v>
      </c>
      <c r="F4544" s="43">
        <v>44620.5625</v>
      </c>
      <c r="G4544" s="43">
        <v>44620.604166666664</v>
      </c>
      <c r="H4544">
        <v>13</v>
      </c>
      <c r="I4544">
        <v>30</v>
      </c>
      <c r="J4544">
        <v>14</v>
      </c>
      <c r="K4544">
        <v>30</v>
      </c>
      <c r="L4544">
        <v>2022</v>
      </c>
      <c r="O4544" t="s">
        <v>47</v>
      </c>
      <c r="P4544" t="s">
        <v>2989</v>
      </c>
    </row>
    <row r="4545" spans="1:16" x14ac:dyDescent="0.3">
      <c r="A4545" t="s">
        <v>2990</v>
      </c>
      <c r="C4545">
        <v>60</v>
      </c>
      <c r="D4545" t="s">
        <v>10</v>
      </c>
      <c r="F4545" s="43">
        <v>44620.479166666664</v>
      </c>
      <c r="G4545" s="43">
        <v>44620.520833333336</v>
      </c>
      <c r="H4545">
        <v>11</v>
      </c>
      <c r="I4545">
        <v>30</v>
      </c>
      <c r="J4545">
        <v>12</v>
      </c>
      <c r="K4545">
        <v>30</v>
      </c>
      <c r="L4545">
        <v>2022</v>
      </c>
      <c r="O4545" t="s">
        <v>47</v>
      </c>
      <c r="P4545" t="s">
        <v>2991</v>
      </c>
    </row>
    <row r="4546" spans="1:16" x14ac:dyDescent="0.3">
      <c r="A4546" t="s">
        <v>8</v>
      </c>
      <c r="C4546">
        <v>90</v>
      </c>
      <c r="D4546" t="s">
        <v>10</v>
      </c>
      <c r="F4546" s="43">
        <v>44620.416666666664</v>
      </c>
      <c r="G4546" s="43">
        <v>44620.479166666664</v>
      </c>
      <c r="H4546">
        <v>10</v>
      </c>
      <c r="I4546">
        <v>0</v>
      </c>
      <c r="J4546">
        <v>11</v>
      </c>
      <c r="K4546">
        <v>30</v>
      </c>
      <c r="L4546">
        <v>2022</v>
      </c>
      <c r="O4546" t="s">
        <v>47</v>
      </c>
      <c r="P4546" t="s">
        <v>2992</v>
      </c>
    </row>
    <row r="4547" spans="1:16" x14ac:dyDescent="0.3">
      <c r="A4547" t="s">
        <v>827</v>
      </c>
      <c r="C4547">
        <v>30</v>
      </c>
      <c r="D4547" t="s">
        <v>10</v>
      </c>
      <c r="F4547" s="43">
        <v>44620.333333333336</v>
      </c>
      <c r="G4547" s="43">
        <v>44620.354166666664</v>
      </c>
      <c r="H4547">
        <v>8</v>
      </c>
      <c r="I4547">
        <v>0</v>
      </c>
      <c r="J4547">
        <v>8</v>
      </c>
      <c r="K4547">
        <v>30</v>
      </c>
      <c r="L4547">
        <v>2022</v>
      </c>
      <c r="O4547" t="s">
        <v>47</v>
      </c>
      <c r="P4547" t="s">
        <v>2993</v>
      </c>
    </row>
    <row r="4548" spans="1:16" x14ac:dyDescent="0.3">
      <c r="A4548" t="s">
        <v>2999</v>
      </c>
      <c r="C4548">
        <v>30</v>
      </c>
      <c r="D4548" t="s">
        <v>10</v>
      </c>
      <c r="E4548" t="s">
        <v>5</v>
      </c>
      <c r="F4548" s="43">
        <v>44620.3125</v>
      </c>
      <c r="G4548" s="43">
        <v>44620.333333333336</v>
      </c>
      <c r="H4548">
        <v>7</v>
      </c>
      <c r="I4548">
        <v>30</v>
      </c>
      <c r="J4548">
        <v>8</v>
      </c>
      <c r="K4548">
        <v>0</v>
      </c>
      <c r="L4548">
        <v>2022</v>
      </c>
      <c r="N4548" t="s">
        <v>2975</v>
      </c>
      <c r="O4548" t="s">
        <v>2976</v>
      </c>
      <c r="P4548" t="s">
        <v>3000</v>
      </c>
    </row>
    <row r="4549" spans="1:16" x14ac:dyDescent="0.3">
      <c r="A4549" t="s">
        <v>2994</v>
      </c>
      <c r="C4549">
        <v>60</v>
      </c>
      <c r="D4549" t="s">
        <v>10</v>
      </c>
      <c r="F4549" s="43">
        <v>44620.243055555555</v>
      </c>
      <c r="G4549" s="43">
        <v>44620.284722222219</v>
      </c>
      <c r="H4549">
        <v>5</v>
      </c>
      <c r="I4549">
        <v>50</v>
      </c>
      <c r="J4549">
        <v>6</v>
      </c>
      <c r="K4549">
        <v>50</v>
      </c>
      <c r="L4549">
        <v>2022</v>
      </c>
      <c r="O4549" t="s">
        <v>47</v>
      </c>
      <c r="P4549" t="s">
        <v>2995</v>
      </c>
    </row>
    <row r="4550" spans="1:16" x14ac:dyDescent="0.3">
      <c r="A4550" t="s">
        <v>2824</v>
      </c>
      <c r="C4550">
        <v>30</v>
      </c>
      <c r="D4550" t="s">
        <v>10</v>
      </c>
      <c r="F4550" s="43">
        <v>44619.833333333336</v>
      </c>
      <c r="G4550" s="43">
        <v>44619.854166666664</v>
      </c>
      <c r="H4550">
        <v>20</v>
      </c>
      <c r="I4550">
        <v>0</v>
      </c>
      <c r="J4550">
        <v>20</v>
      </c>
      <c r="K4550">
        <v>30</v>
      </c>
      <c r="L4550">
        <v>2022</v>
      </c>
      <c r="O4550" t="s">
        <v>47</v>
      </c>
      <c r="P4550" t="s">
        <v>2996</v>
      </c>
    </row>
    <row r="4551" spans="1:16" x14ac:dyDescent="0.3">
      <c r="A4551" t="s">
        <v>2997</v>
      </c>
      <c r="C4551">
        <v>60</v>
      </c>
      <c r="D4551" t="s">
        <v>10</v>
      </c>
      <c r="F4551" s="43">
        <v>44619.708333333336</v>
      </c>
      <c r="G4551" s="43">
        <v>44619.75</v>
      </c>
      <c r="H4551">
        <v>17</v>
      </c>
      <c r="I4551">
        <v>0</v>
      </c>
      <c r="J4551">
        <v>18</v>
      </c>
      <c r="K4551">
        <v>0</v>
      </c>
      <c r="L4551">
        <v>2022</v>
      </c>
      <c r="O4551" t="s">
        <v>47</v>
      </c>
      <c r="P4551" t="s">
        <v>2998</v>
      </c>
    </row>
    <row r="4552" spans="1:16" x14ac:dyDescent="0.3">
      <c r="A4552" t="s">
        <v>2997</v>
      </c>
      <c r="C4552">
        <v>70</v>
      </c>
      <c r="D4552" t="s">
        <v>10</v>
      </c>
      <c r="F4552" s="43">
        <v>44619.635416666664</v>
      </c>
      <c r="G4552" s="43">
        <v>44619.684027777781</v>
      </c>
      <c r="H4552">
        <v>15</v>
      </c>
      <c r="I4552">
        <v>15</v>
      </c>
      <c r="J4552">
        <v>16</v>
      </c>
      <c r="K4552">
        <v>25</v>
      </c>
      <c r="L4552">
        <v>2022</v>
      </c>
      <c r="O4552" t="s">
        <v>47</v>
      </c>
      <c r="P4552" t="s">
        <v>3001</v>
      </c>
    </row>
    <row r="4553" spans="1:16" x14ac:dyDescent="0.3">
      <c r="A4553" t="s">
        <v>3002</v>
      </c>
      <c r="C4553">
        <v>60</v>
      </c>
      <c r="D4553" t="s">
        <v>10</v>
      </c>
      <c r="F4553" s="43">
        <v>44619.541666666664</v>
      </c>
      <c r="G4553" s="43">
        <v>44619.583333333336</v>
      </c>
      <c r="H4553">
        <v>13</v>
      </c>
      <c r="I4553">
        <v>0</v>
      </c>
      <c r="J4553">
        <v>14</v>
      </c>
      <c r="K4553">
        <v>0</v>
      </c>
      <c r="L4553">
        <v>2022</v>
      </c>
      <c r="O4553" t="s">
        <v>47</v>
      </c>
      <c r="P4553" t="s">
        <v>3003</v>
      </c>
    </row>
    <row r="4554" spans="1:16" x14ac:dyDescent="0.3">
      <c r="A4554" t="s">
        <v>8</v>
      </c>
      <c r="C4554">
        <v>45</v>
      </c>
      <c r="D4554" t="s">
        <v>10</v>
      </c>
      <c r="F4554" s="43">
        <v>44619.458333333336</v>
      </c>
      <c r="G4554" s="43">
        <v>44619.489583333336</v>
      </c>
      <c r="H4554">
        <v>11</v>
      </c>
      <c r="I4554">
        <v>0</v>
      </c>
      <c r="J4554">
        <v>11</v>
      </c>
      <c r="K4554">
        <v>45</v>
      </c>
      <c r="L4554">
        <v>2022</v>
      </c>
      <c r="O4554" t="s">
        <v>47</v>
      </c>
      <c r="P4554" t="s">
        <v>3004</v>
      </c>
    </row>
    <row r="4555" spans="1:16" x14ac:dyDescent="0.3">
      <c r="A4555" t="s">
        <v>6</v>
      </c>
      <c r="C4555">
        <v>30</v>
      </c>
      <c r="D4555" t="s">
        <v>10</v>
      </c>
      <c r="F4555" s="43">
        <v>44619.291666666664</v>
      </c>
      <c r="G4555" s="43">
        <v>44619.3125</v>
      </c>
      <c r="H4555">
        <v>7</v>
      </c>
      <c r="I4555">
        <v>0</v>
      </c>
      <c r="J4555">
        <v>7</v>
      </c>
      <c r="K4555">
        <v>30</v>
      </c>
      <c r="L4555">
        <v>2022</v>
      </c>
      <c r="O4555" t="s">
        <v>47</v>
      </c>
      <c r="P4555" t="s">
        <v>3005</v>
      </c>
    </row>
    <row r="4556" spans="1:16" x14ac:dyDescent="0.3">
      <c r="A4556" t="s">
        <v>3006</v>
      </c>
      <c r="C4556">
        <v>60</v>
      </c>
      <c r="D4556" t="s">
        <v>10</v>
      </c>
      <c r="F4556" s="43">
        <v>44618.770833333336</v>
      </c>
      <c r="G4556" s="43">
        <v>44618.8125</v>
      </c>
      <c r="H4556">
        <v>18</v>
      </c>
      <c r="I4556">
        <v>30</v>
      </c>
      <c r="J4556">
        <v>19</v>
      </c>
      <c r="K4556">
        <v>30</v>
      </c>
      <c r="L4556">
        <v>2022</v>
      </c>
      <c r="O4556" t="s">
        <v>47</v>
      </c>
      <c r="P4556" t="s">
        <v>3007</v>
      </c>
    </row>
    <row r="4557" spans="1:16" x14ac:dyDescent="0.3">
      <c r="A4557" t="s">
        <v>3008</v>
      </c>
      <c r="C4557">
        <v>75</v>
      </c>
      <c r="D4557" t="s">
        <v>10</v>
      </c>
      <c r="F4557" s="43">
        <v>44618.666666666664</v>
      </c>
      <c r="G4557" s="43">
        <v>44618.71875</v>
      </c>
      <c r="H4557">
        <v>16</v>
      </c>
      <c r="I4557">
        <v>0</v>
      </c>
      <c r="J4557">
        <v>17</v>
      </c>
      <c r="K4557">
        <v>15</v>
      </c>
      <c r="L4557">
        <v>2022</v>
      </c>
      <c r="O4557" t="s">
        <v>47</v>
      </c>
      <c r="P4557" t="s">
        <v>3009</v>
      </c>
    </row>
    <row r="4558" spans="1:16" x14ac:dyDescent="0.3">
      <c r="A4558" t="s">
        <v>3010</v>
      </c>
      <c r="C4558">
        <v>75</v>
      </c>
      <c r="D4558" t="s">
        <v>10</v>
      </c>
      <c r="F4558" s="43">
        <v>44618.583333333336</v>
      </c>
      <c r="G4558" s="43">
        <v>44618.635416666664</v>
      </c>
      <c r="H4558">
        <v>14</v>
      </c>
      <c r="I4558">
        <v>0</v>
      </c>
      <c r="J4558">
        <v>15</v>
      </c>
      <c r="K4558">
        <v>15</v>
      </c>
      <c r="L4558">
        <v>2022</v>
      </c>
      <c r="O4558" t="s">
        <v>47</v>
      </c>
      <c r="P4558" t="s">
        <v>3014</v>
      </c>
    </row>
    <row r="4559" spans="1:16" x14ac:dyDescent="0.3">
      <c r="A4559" t="s">
        <v>3012</v>
      </c>
      <c r="C4559">
        <v>60</v>
      </c>
      <c r="D4559" t="s">
        <v>10</v>
      </c>
      <c r="F4559" s="43">
        <v>44618.416666666664</v>
      </c>
      <c r="G4559" s="43">
        <v>44618.458333333336</v>
      </c>
      <c r="H4559">
        <v>10</v>
      </c>
      <c r="I4559">
        <v>0</v>
      </c>
      <c r="J4559">
        <v>11</v>
      </c>
      <c r="K4559">
        <v>0</v>
      </c>
      <c r="L4559">
        <v>2022</v>
      </c>
      <c r="O4559" t="s">
        <v>47</v>
      </c>
      <c r="P4559" t="s">
        <v>3013</v>
      </c>
    </row>
    <row r="4560" spans="1:16" x14ac:dyDescent="0.3">
      <c r="A4560" t="s">
        <v>3010</v>
      </c>
      <c r="C4560">
        <v>30</v>
      </c>
      <c r="D4560" t="s">
        <v>10</v>
      </c>
      <c r="F4560" s="43">
        <v>44618.291666666664</v>
      </c>
      <c r="G4560" s="43">
        <v>44618.3125</v>
      </c>
      <c r="H4560">
        <v>7</v>
      </c>
      <c r="I4560">
        <v>0</v>
      </c>
      <c r="J4560">
        <v>7</v>
      </c>
      <c r="K4560">
        <v>30</v>
      </c>
      <c r="L4560">
        <v>2022</v>
      </c>
      <c r="O4560" t="s">
        <v>47</v>
      </c>
      <c r="P4560" t="s">
        <v>3011</v>
      </c>
    </row>
    <row r="4561" spans="1:16" x14ac:dyDescent="0.3">
      <c r="A4561" t="s">
        <v>2824</v>
      </c>
      <c r="C4561">
        <v>30</v>
      </c>
      <c r="D4561" t="s">
        <v>10</v>
      </c>
      <c r="F4561" s="43">
        <v>44617.729166666664</v>
      </c>
      <c r="G4561" s="43">
        <v>44617.75</v>
      </c>
      <c r="H4561">
        <v>17</v>
      </c>
      <c r="I4561">
        <v>30</v>
      </c>
      <c r="J4561">
        <v>18</v>
      </c>
      <c r="K4561">
        <v>0</v>
      </c>
      <c r="L4561">
        <v>2022</v>
      </c>
      <c r="O4561" t="s">
        <v>47</v>
      </c>
      <c r="P4561" t="s">
        <v>3015</v>
      </c>
    </row>
    <row r="4562" spans="1:16" x14ac:dyDescent="0.3">
      <c r="A4562" t="s">
        <v>17</v>
      </c>
      <c r="C4562">
        <v>30</v>
      </c>
      <c r="D4562" t="s">
        <v>10</v>
      </c>
      <c r="F4562" s="43">
        <v>44617.5</v>
      </c>
      <c r="G4562" s="43">
        <v>44617.520833333336</v>
      </c>
      <c r="H4562">
        <v>12</v>
      </c>
      <c r="I4562">
        <v>0</v>
      </c>
      <c r="J4562">
        <v>12</v>
      </c>
      <c r="K4562">
        <v>30</v>
      </c>
      <c r="L4562">
        <v>2022</v>
      </c>
      <c r="O4562" t="s">
        <v>47</v>
      </c>
      <c r="P4562" t="s">
        <v>3016</v>
      </c>
    </row>
    <row r="4563" spans="1:16" x14ac:dyDescent="0.3">
      <c r="A4563" t="s">
        <v>3017</v>
      </c>
      <c r="C4563">
        <v>30</v>
      </c>
      <c r="D4563" t="s">
        <v>10</v>
      </c>
      <c r="F4563" s="43">
        <v>44617.4375</v>
      </c>
      <c r="G4563" s="43">
        <v>44617.458333333336</v>
      </c>
      <c r="H4563">
        <v>10</v>
      </c>
      <c r="I4563">
        <v>30</v>
      </c>
      <c r="J4563">
        <v>11</v>
      </c>
      <c r="K4563">
        <v>0</v>
      </c>
      <c r="L4563">
        <v>2022</v>
      </c>
      <c r="O4563" t="s">
        <v>47</v>
      </c>
      <c r="P4563" t="s">
        <v>3018</v>
      </c>
    </row>
    <row r="4564" spans="1:16" x14ac:dyDescent="0.3">
      <c r="A4564" t="s">
        <v>3022</v>
      </c>
      <c r="C4564">
        <v>30</v>
      </c>
      <c r="D4564" t="s">
        <v>10</v>
      </c>
      <c r="E4564" t="s">
        <v>2807</v>
      </c>
      <c r="F4564" s="43">
        <v>44617.416666666664</v>
      </c>
      <c r="G4564" s="43">
        <v>44617.4375</v>
      </c>
      <c r="H4564">
        <v>10</v>
      </c>
      <c r="I4564">
        <v>0</v>
      </c>
      <c r="J4564">
        <v>10</v>
      </c>
      <c r="K4564">
        <v>30</v>
      </c>
      <c r="L4564">
        <v>2022</v>
      </c>
      <c r="N4564" t="s">
        <v>3023</v>
      </c>
      <c r="O4564" t="s">
        <v>47</v>
      </c>
      <c r="P4564" t="s">
        <v>3024</v>
      </c>
    </row>
    <row r="4565" spans="1:16" x14ac:dyDescent="0.3">
      <c r="A4565" t="s">
        <v>2767</v>
      </c>
      <c r="C4565">
        <v>30</v>
      </c>
      <c r="D4565" t="s">
        <v>10</v>
      </c>
      <c r="F4565" s="43">
        <v>44617.354166666664</v>
      </c>
      <c r="G4565" s="43">
        <v>44617.375</v>
      </c>
      <c r="H4565">
        <v>8</v>
      </c>
      <c r="I4565">
        <v>30</v>
      </c>
      <c r="J4565">
        <v>9</v>
      </c>
      <c r="K4565">
        <v>0</v>
      </c>
      <c r="L4565">
        <v>2022</v>
      </c>
      <c r="O4565" t="s">
        <v>47</v>
      </c>
      <c r="P4565" t="s">
        <v>3019</v>
      </c>
    </row>
    <row r="4566" spans="1:16" x14ac:dyDescent="0.3">
      <c r="A4566" t="s">
        <v>3020</v>
      </c>
      <c r="C4566">
        <v>60</v>
      </c>
      <c r="D4566" t="s">
        <v>10</v>
      </c>
      <c r="F4566" s="43">
        <v>44617.270833333336</v>
      </c>
      <c r="G4566" s="43">
        <v>44617.3125</v>
      </c>
      <c r="H4566">
        <v>6</v>
      </c>
      <c r="I4566">
        <v>30</v>
      </c>
      <c r="J4566">
        <v>7</v>
      </c>
      <c r="K4566">
        <v>30</v>
      </c>
      <c r="L4566">
        <v>2022</v>
      </c>
      <c r="O4566" t="s">
        <v>47</v>
      </c>
      <c r="P4566" t="s">
        <v>3021</v>
      </c>
    </row>
    <row r="4567" spans="1:16" x14ac:dyDescent="0.3">
      <c r="A4567" t="s">
        <v>3028</v>
      </c>
      <c r="C4567">
        <v>40</v>
      </c>
      <c r="D4567" t="s">
        <v>10</v>
      </c>
      <c r="F4567" s="43">
        <v>44616.763888888891</v>
      </c>
      <c r="G4567" s="43">
        <v>44616.791666666664</v>
      </c>
      <c r="H4567">
        <v>18</v>
      </c>
      <c r="I4567">
        <v>20</v>
      </c>
      <c r="J4567">
        <v>19</v>
      </c>
      <c r="K4567">
        <v>0</v>
      </c>
      <c r="L4567">
        <v>2022</v>
      </c>
      <c r="O4567" t="s">
        <v>47</v>
      </c>
      <c r="P4567" t="s">
        <v>3029</v>
      </c>
    </row>
    <row r="4568" spans="1:16" x14ac:dyDescent="0.3">
      <c r="A4568" t="s">
        <v>3030</v>
      </c>
      <c r="C4568">
        <v>20</v>
      </c>
      <c r="D4568" t="s">
        <v>10</v>
      </c>
      <c r="F4568" s="43">
        <v>44616.729166666664</v>
      </c>
      <c r="G4568" s="43">
        <v>44616.743055555555</v>
      </c>
      <c r="H4568">
        <v>17</v>
      </c>
      <c r="I4568">
        <v>30</v>
      </c>
      <c r="J4568">
        <v>17</v>
      </c>
      <c r="K4568">
        <v>50</v>
      </c>
      <c r="L4568">
        <v>2022</v>
      </c>
      <c r="O4568" t="s">
        <v>47</v>
      </c>
      <c r="P4568" t="s">
        <v>3031</v>
      </c>
    </row>
    <row r="4569" spans="1:16" x14ac:dyDescent="0.3">
      <c r="A4569" t="s">
        <v>3032</v>
      </c>
      <c r="C4569">
        <v>60</v>
      </c>
      <c r="D4569" t="s">
        <v>10</v>
      </c>
      <c r="F4569" s="43">
        <v>44616.666666666664</v>
      </c>
      <c r="G4569" s="43">
        <v>44616.708333333336</v>
      </c>
      <c r="H4569">
        <v>16</v>
      </c>
      <c r="I4569">
        <v>0</v>
      </c>
      <c r="J4569">
        <v>17</v>
      </c>
      <c r="K4569">
        <v>0</v>
      </c>
      <c r="L4569">
        <v>2022</v>
      </c>
      <c r="O4569" t="s">
        <v>47</v>
      </c>
      <c r="P4569" t="s">
        <v>3033</v>
      </c>
    </row>
    <row r="4570" spans="1:16" x14ac:dyDescent="0.3">
      <c r="A4570" t="s">
        <v>9</v>
      </c>
      <c r="C4570">
        <v>60</v>
      </c>
      <c r="D4570" t="s">
        <v>10</v>
      </c>
      <c r="F4570" s="43">
        <v>44616.604166666664</v>
      </c>
      <c r="G4570" s="43">
        <v>44616.645833333336</v>
      </c>
      <c r="H4570">
        <v>14</v>
      </c>
      <c r="I4570">
        <v>30</v>
      </c>
      <c r="J4570">
        <v>15</v>
      </c>
      <c r="K4570">
        <v>30</v>
      </c>
      <c r="L4570">
        <v>2022</v>
      </c>
      <c r="O4570" t="s">
        <v>47</v>
      </c>
      <c r="P4570" t="s">
        <v>3034</v>
      </c>
    </row>
    <row r="4571" spans="1:16" x14ac:dyDescent="0.3">
      <c r="A4571" t="s">
        <v>3035</v>
      </c>
      <c r="C4571">
        <v>30</v>
      </c>
      <c r="D4571" t="s">
        <v>10</v>
      </c>
      <c r="F4571" s="43">
        <v>44616.583333333336</v>
      </c>
      <c r="G4571" s="43">
        <v>44616.604166666664</v>
      </c>
      <c r="H4571">
        <v>14</v>
      </c>
      <c r="I4571">
        <v>0</v>
      </c>
      <c r="J4571">
        <v>14</v>
      </c>
      <c r="K4571">
        <v>30</v>
      </c>
      <c r="L4571">
        <v>2022</v>
      </c>
      <c r="O4571" t="s">
        <v>47</v>
      </c>
      <c r="P4571" t="s">
        <v>3036</v>
      </c>
    </row>
    <row r="4572" spans="1:16" x14ac:dyDescent="0.3">
      <c r="A4572" t="s">
        <v>3037</v>
      </c>
      <c r="C4572">
        <v>30</v>
      </c>
      <c r="D4572" t="s">
        <v>10</v>
      </c>
      <c r="E4572" t="s">
        <v>3038</v>
      </c>
      <c r="F4572" s="43">
        <v>44616.506944444445</v>
      </c>
      <c r="G4572" s="43">
        <v>44616.527777777781</v>
      </c>
      <c r="H4572">
        <v>12</v>
      </c>
      <c r="I4572">
        <v>10</v>
      </c>
      <c r="J4572">
        <v>12</v>
      </c>
      <c r="K4572">
        <v>40</v>
      </c>
      <c r="L4572">
        <v>2022</v>
      </c>
      <c r="N4572" t="s">
        <v>3039</v>
      </c>
      <c r="O4572" t="s">
        <v>50</v>
      </c>
      <c r="P4572" t="s">
        <v>3040</v>
      </c>
    </row>
    <row r="4573" spans="1:16" x14ac:dyDescent="0.3">
      <c r="A4573" t="s">
        <v>3094</v>
      </c>
      <c r="C4573">
        <v>60</v>
      </c>
      <c r="D4573" t="s">
        <v>10</v>
      </c>
      <c r="E4573" t="s">
        <v>5</v>
      </c>
      <c r="F4573" s="43">
        <v>44616.333333333336</v>
      </c>
      <c r="G4573" s="43">
        <v>44616.375</v>
      </c>
      <c r="H4573">
        <v>8</v>
      </c>
      <c r="I4573">
        <v>0</v>
      </c>
      <c r="J4573">
        <v>9</v>
      </c>
      <c r="K4573">
        <v>0</v>
      </c>
      <c r="L4573">
        <v>2022</v>
      </c>
      <c r="N4573" t="s">
        <v>3095</v>
      </c>
      <c r="O4573" t="s">
        <v>3096</v>
      </c>
      <c r="P4573" t="s">
        <v>3097</v>
      </c>
    </row>
    <row r="4574" spans="1:16" x14ac:dyDescent="0.3">
      <c r="A4574" t="s">
        <v>3041</v>
      </c>
      <c r="C4574">
        <v>120</v>
      </c>
      <c r="D4574" t="s">
        <v>10</v>
      </c>
      <c r="F4574" s="43">
        <v>44616.229166666664</v>
      </c>
      <c r="G4574" s="43">
        <v>44616.3125</v>
      </c>
      <c r="H4574">
        <v>5</v>
      </c>
      <c r="I4574">
        <v>30</v>
      </c>
      <c r="J4574">
        <v>7</v>
      </c>
      <c r="K4574">
        <v>30</v>
      </c>
      <c r="L4574">
        <v>2022</v>
      </c>
      <c r="O4574" t="s">
        <v>47</v>
      </c>
      <c r="P4574" t="s">
        <v>3042</v>
      </c>
    </row>
    <row r="4575" spans="1:16" x14ac:dyDescent="0.3">
      <c r="A4575" t="s">
        <v>3088</v>
      </c>
      <c r="B4575" t="s">
        <v>6</v>
      </c>
      <c r="C4575">
        <v>30</v>
      </c>
      <c r="D4575" t="s">
        <v>256</v>
      </c>
      <c r="E4575" t="s">
        <v>2807</v>
      </c>
      <c r="F4575" s="43">
        <v>44616</v>
      </c>
      <c r="G4575" s="43">
        <v>949997.9993055556</v>
      </c>
      <c r="H4575">
        <v>10</v>
      </c>
      <c r="I4575">
        <v>30</v>
      </c>
      <c r="J4575">
        <v>11</v>
      </c>
      <c r="K4575">
        <v>0</v>
      </c>
      <c r="L4575">
        <v>2022</v>
      </c>
      <c r="N4575" t="s">
        <v>3089</v>
      </c>
      <c r="O4575" t="s">
        <v>47</v>
      </c>
      <c r="P4575" t="s">
        <v>3090</v>
      </c>
    </row>
    <row r="4576" spans="1:16" x14ac:dyDescent="0.3">
      <c r="A4576" t="s">
        <v>8</v>
      </c>
      <c r="C4576">
        <v>15</v>
      </c>
      <c r="D4576" t="s">
        <v>10</v>
      </c>
      <c r="F4576" s="43">
        <v>44615.78125</v>
      </c>
      <c r="G4576" s="43">
        <v>44615.791666666664</v>
      </c>
      <c r="H4576">
        <v>18</v>
      </c>
      <c r="I4576">
        <v>45</v>
      </c>
      <c r="J4576">
        <v>19</v>
      </c>
      <c r="K4576">
        <v>0</v>
      </c>
      <c r="L4576">
        <v>2022</v>
      </c>
      <c r="O4576" t="s">
        <v>47</v>
      </c>
      <c r="P4576" t="s">
        <v>3043</v>
      </c>
    </row>
    <row r="4577" spans="1:18" x14ac:dyDescent="0.3">
      <c r="A4577" t="s">
        <v>3044</v>
      </c>
      <c r="C4577">
        <v>30</v>
      </c>
      <c r="D4577" t="s">
        <v>10</v>
      </c>
      <c r="F4577" s="43">
        <v>44615.760416666664</v>
      </c>
      <c r="G4577" s="43">
        <v>44615.78125</v>
      </c>
      <c r="H4577">
        <v>18</v>
      </c>
      <c r="I4577">
        <v>15</v>
      </c>
      <c r="J4577">
        <v>18</v>
      </c>
      <c r="K4577">
        <v>45</v>
      </c>
      <c r="L4577">
        <v>2022</v>
      </c>
      <c r="O4577" t="s">
        <v>47</v>
      </c>
      <c r="P4577" t="s">
        <v>3045</v>
      </c>
    </row>
    <row r="4578" spans="1:18" x14ac:dyDescent="0.3">
      <c r="A4578" t="s">
        <v>3044</v>
      </c>
      <c r="C4578">
        <v>80</v>
      </c>
      <c r="D4578" t="s">
        <v>10</v>
      </c>
      <c r="F4578" s="43">
        <v>44615.666666666664</v>
      </c>
      <c r="G4578" s="43">
        <v>44615.722222222219</v>
      </c>
      <c r="H4578">
        <v>16</v>
      </c>
      <c r="I4578">
        <v>0</v>
      </c>
      <c r="J4578">
        <v>17</v>
      </c>
      <c r="K4578">
        <v>20</v>
      </c>
      <c r="L4578">
        <v>2022</v>
      </c>
      <c r="O4578" t="s">
        <v>47</v>
      </c>
      <c r="P4578" t="s">
        <v>3046</v>
      </c>
    </row>
    <row r="4579" spans="1:18" x14ac:dyDescent="0.3">
      <c r="A4579" t="s">
        <v>28</v>
      </c>
      <c r="C4579">
        <v>90</v>
      </c>
      <c r="D4579" t="s">
        <v>10</v>
      </c>
      <c r="F4579" s="43">
        <v>44615.583333333336</v>
      </c>
      <c r="G4579" s="43">
        <v>44615.645833333336</v>
      </c>
      <c r="H4579">
        <v>14</v>
      </c>
      <c r="I4579">
        <v>0</v>
      </c>
      <c r="J4579">
        <v>15</v>
      </c>
      <c r="K4579">
        <v>30</v>
      </c>
      <c r="L4579">
        <v>2022</v>
      </c>
      <c r="O4579" t="s">
        <v>47</v>
      </c>
      <c r="P4579" t="s">
        <v>3047</v>
      </c>
    </row>
    <row r="4580" spans="1:18" x14ac:dyDescent="0.3">
      <c r="A4580" t="s">
        <v>3051</v>
      </c>
      <c r="C4580">
        <v>30</v>
      </c>
      <c r="D4580" t="s">
        <v>10</v>
      </c>
      <c r="E4580" t="s">
        <v>3052</v>
      </c>
      <c r="F4580" s="43">
        <v>44615.479166666664</v>
      </c>
      <c r="G4580" s="43">
        <v>44615.5</v>
      </c>
      <c r="H4580">
        <v>11</v>
      </c>
      <c r="I4580">
        <v>30</v>
      </c>
      <c r="J4580">
        <v>12</v>
      </c>
      <c r="K4580">
        <v>0</v>
      </c>
      <c r="L4580">
        <v>2022</v>
      </c>
      <c r="N4580" t="s">
        <v>3053</v>
      </c>
      <c r="O4580" t="s">
        <v>3054</v>
      </c>
      <c r="P4580" t="s">
        <v>3055</v>
      </c>
    </row>
    <row r="4581" spans="1:18" x14ac:dyDescent="0.3">
      <c r="A4581" t="s">
        <v>3041</v>
      </c>
      <c r="C4581">
        <v>60</v>
      </c>
      <c r="D4581" t="s">
        <v>10</v>
      </c>
      <c r="F4581" s="43">
        <v>44615.416666666664</v>
      </c>
      <c r="G4581" s="43">
        <v>44615.458333333336</v>
      </c>
      <c r="H4581">
        <v>10</v>
      </c>
      <c r="I4581">
        <v>0</v>
      </c>
      <c r="J4581">
        <v>11</v>
      </c>
      <c r="K4581">
        <v>0</v>
      </c>
      <c r="L4581">
        <v>2022</v>
      </c>
      <c r="O4581" t="s">
        <v>47</v>
      </c>
      <c r="P4581" t="s">
        <v>3048</v>
      </c>
    </row>
    <row r="4582" spans="1:18" x14ac:dyDescent="0.3">
      <c r="A4582" t="s">
        <v>3076</v>
      </c>
      <c r="C4582">
        <v>30</v>
      </c>
      <c r="D4582" t="s">
        <v>10</v>
      </c>
      <c r="E4582" t="s">
        <v>2807</v>
      </c>
      <c r="F4582" s="43">
        <v>44615.375</v>
      </c>
      <c r="G4582" s="43">
        <v>44615.395833333336</v>
      </c>
      <c r="H4582">
        <v>9</v>
      </c>
      <c r="I4582">
        <v>0</v>
      </c>
      <c r="J4582">
        <v>9</v>
      </c>
      <c r="K4582">
        <v>30</v>
      </c>
      <c r="L4582">
        <v>2022</v>
      </c>
      <c r="N4582" t="s">
        <v>3077</v>
      </c>
      <c r="O4582" t="s">
        <v>47</v>
      </c>
      <c r="P4582" t="s">
        <v>3078</v>
      </c>
    </row>
    <row r="4583" spans="1:18" x14ac:dyDescent="0.3">
      <c r="A4583" t="s">
        <v>3049</v>
      </c>
      <c r="C4583">
        <v>90</v>
      </c>
      <c r="D4583" t="s">
        <v>10</v>
      </c>
      <c r="F4583" s="43">
        <v>44615.229166666664</v>
      </c>
      <c r="G4583" s="43">
        <v>44615.291666666664</v>
      </c>
      <c r="H4583">
        <v>5</v>
      </c>
      <c r="I4583">
        <v>30</v>
      </c>
      <c r="J4583">
        <v>7</v>
      </c>
      <c r="K4583">
        <v>0</v>
      </c>
      <c r="L4583">
        <v>2022</v>
      </c>
      <c r="O4583" t="s">
        <v>47</v>
      </c>
      <c r="P4583" t="s">
        <v>3050</v>
      </c>
    </row>
    <row r="4584" spans="1:18" x14ac:dyDescent="0.3">
      <c r="A4584" t="s">
        <v>3049</v>
      </c>
      <c r="C4584">
        <v>40</v>
      </c>
      <c r="D4584" t="s">
        <v>10</v>
      </c>
      <c r="F4584" s="43">
        <v>44614.777777777781</v>
      </c>
      <c r="G4584" s="43">
        <v>44614.805555555555</v>
      </c>
      <c r="H4584">
        <v>18</v>
      </c>
      <c r="I4584">
        <v>40</v>
      </c>
      <c r="J4584">
        <v>19</v>
      </c>
      <c r="K4584">
        <v>20</v>
      </c>
      <c r="L4584">
        <v>2022</v>
      </c>
      <c r="O4584" t="s">
        <v>47</v>
      </c>
      <c r="P4584" t="s">
        <v>3060</v>
      </c>
    </row>
    <row r="4585" spans="1:18" x14ac:dyDescent="0.3">
      <c r="A4585" t="s">
        <v>3079</v>
      </c>
      <c r="C4585">
        <v>30</v>
      </c>
      <c r="D4585" t="s">
        <v>10</v>
      </c>
      <c r="E4585" t="s">
        <v>2807</v>
      </c>
      <c r="F4585" s="43">
        <v>44614.75</v>
      </c>
      <c r="G4585" s="43">
        <v>44614.770833333336</v>
      </c>
      <c r="H4585">
        <v>18</v>
      </c>
      <c r="I4585">
        <v>0</v>
      </c>
      <c r="J4585">
        <v>18</v>
      </c>
      <c r="K4585">
        <v>30</v>
      </c>
      <c r="L4585">
        <v>2022</v>
      </c>
      <c r="N4585" t="s">
        <v>3080</v>
      </c>
      <c r="O4585" t="s">
        <v>47</v>
      </c>
      <c r="P4585" t="s">
        <v>3081</v>
      </c>
      <c r="Q4585" t="s">
        <v>6</v>
      </c>
      <c r="R4585" s="41" t="s">
        <v>9112</v>
      </c>
    </row>
    <row r="4586" spans="1:18" x14ac:dyDescent="0.3">
      <c r="A4586" t="s">
        <v>24</v>
      </c>
      <c r="C4586">
        <v>15</v>
      </c>
      <c r="D4586" t="s">
        <v>10</v>
      </c>
      <c r="F4586" s="43">
        <v>44614.677083333336</v>
      </c>
      <c r="G4586" s="43">
        <v>44614.6875</v>
      </c>
      <c r="H4586">
        <v>16</v>
      </c>
      <c r="I4586">
        <v>15</v>
      </c>
      <c r="J4586">
        <v>16</v>
      </c>
      <c r="K4586">
        <v>30</v>
      </c>
      <c r="L4586">
        <v>2022</v>
      </c>
      <c r="O4586" t="s">
        <v>47</v>
      </c>
      <c r="P4586" t="s">
        <v>3065</v>
      </c>
    </row>
    <row r="4587" spans="1:18" x14ac:dyDescent="0.3">
      <c r="A4587" t="s">
        <v>3062</v>
      </c>
      <c r="C4587">
        <v>45</v>
      </c>
      <c r="D4587" t="s">
        <v>10</v>
      </c>
      <c r="F4587" s="43">
        <v>44614.604166666664</v>
      </c>
      <c r="G4587" s="43">
        <v>44614.635416666664</v>
      </c>
      <c r="H4587">
        <v>14</v>
      </c>
      <c r="I4587">
        <v>30</v>
      </c>
      <c r="J4587">
        <v>15</v>
      </c>
      <c r="K4587">
        <v>15</v>
      </c>
      <c r="L4587">
        <v>2022</v>
      </c>
      <c r="O4587" t="s">
        <v>47</v>
      </c>
      <c r="P4587" t="s">
        <v>3063</v>
      </c>
    </row>
    <row r="4588" spans="1:18" x14ac:dyDescent="0.3">
      <c r="A4588" t="s">
        <v>3049</v>
      </c>
      <c r="C4588">
        <v>60</v>
      </c>
      <c r="D4588" t="s">
        <v>10</v>
      </c>
      <c r="F4588" s="43">
        <v>44614.552083333336</v>
      </c>
      <c r="G4588" s="43">
        <v>44614.59375</v>
      </c>
      <c r="H4588">
        <v>13</v>
      </c>
      <c r="I4588">
        <v>15</v>
      </c>
      <c r="J4588">
        <v>14</v>
      </c>
      <c r="K4588">
        <v>15</v>
      </c>
      <c r="L4588">
        <v>2022</v>
      </c>
      <c r="O4588" t="s">
        <v>47</v>
      </c>
      <c r="P4588" t="s">
        <v>3066</v>
      </c>
    </row>
    <row r="4589" spans="1:18" x14ac:dyDescent="0.3">
      <c r="A4589" t="s">
        <v>17</v>
      </c>
      <c r="C4589">
        <v>30</v>
      </c>
      <c r="D4589" t="s">
        <v>10</v>
      </c>
      <c r="F4589" s="43">
        <v>44614.5</v>
      </c>
      <c r="G4589" s="43">
        <v>44614.520833333336</v>
      </c>
      <c r="H4589">
        <v>12</v>
      </c>
      <c r="I4589">
        <v>0</v>
      </c>
      <c r="J4589">
        <v>12</v>
      </c>
      <c r="K4589">
        <v>30</v>
      </c>
      <c r="L4589">
        <v>2022</v>
      </c>
      <c r="O4589" t="s">
        <v>47</v>
      </c>
      <c r="P4589" t="s">
        <v>3067</v>
      </c>
    </row>
    <row r="4590" spans="1:18" x14ac:dyDescent="0.3">
      <c r="A4590" t="s">
        <v>3082</v>
      </c>
      <c r="C4590">
        <v>30</v>
      </c>
      <c r="D4590" t="s">
        <v>10</v>
      </c>
      <c r="E4590" t="s">
        <v>2807</v>
      </c>
      <c r="F4590" s="43">
        <v>44614.479166666664</v>
      </c>
      <c r="G4590" s="43">
        <v>44614.5</v>
      </c>
      <c r="H4590">
        <v>11</v>
      </c>
      <c r="I4590">
        <v>30</v>
      </c>
      <c r="J4590">
        <v>12</v>
      </c>
      <c r="K4590">
        <v>0</v>
      </c>
      <c r="L4590">
        <v>2022</v>
      </c>
      <c r="N4590" t="s">
        <v>3083</v>
      </c>
      <c r="O4590" t="s">
        <v>47</v>
      </c>
      <c r="P4590" t="s">
        <v>3084</v>
      </c>
    </row>
    <row r="4591" spans="1:18" x14ac:dyDescent="0.3">
      <c r="A4591" t="s">
        <v>7</v>
      </c>
      <c r="C4591">
        <v>30</v>
      </c>
      <c r="D4591" t="s">
        <v>10</v>
      </c>
      <c r="F4591" s="43">
        <v>44614.416666666664</v>
      </c>
      <c r="G4591" s="43">
        <v>44614.4375</v>
      </c>
      <c r="H4591">
        <v>10</v>
      </c>
      <c r="I4591">
        <v>0</v>
      </c>
      <c r="J4591">
        <v>10</v>
      </c>
      <c r="K4591">
        <v>30</v>
      </c>
      <c r="L4591">
        <v>2022</v>
      </c>
      <c r="O4591" t="s">
        <v>47</v>
      </c>
      <c r="P4591" t="s">
        <v>3068</v>
      </c>
    </row>
    <row r="4592" spans="1:18" x14ac:dyDescent="0.3">
      <c r="A4592" t="s">
        <v>3071</v>
      </c>
      <c r="C4592">
        <v>30</v>
      </c>
      <c r="D4592" t="s">
        <v>10</v>
      </c>
      <c r="E4592" t="s">
        <v>3072</v>
      </c>
      <c r="F4592" s="43">
        <v>44614.388888888891</v>
      </c>
      <c r="G4592" s="43">
        <v>44614.409722222219</v>
      </c>
      <c r="H4592">
        <v>9</v>
      </c>
      <c r="I4592">
        <v>20</v>
      </c>
      <c r="J4592">
        <v>9</v>
      </c>
      <c r="K4592">
        <v>50</v>
      </c>
      <c r="L4592">
        <v>2022</v>
      </c>
      <c r="N4592" t="s">
        <v>3039</v>
      </c>
      <c r="O4592" t="s">
        <v>50</v>
      </c>
      <c r="P4592" t="s">
        <v>3073</v>
      </c>
    </row>
    <row r="4593" spans="1:16" x14ac:dyDescent="0.3">
      <c r="A4593" t="s">
        <v>3069</v>
      </c>
      <c r="C4593">
        <v>75</v>
      </c>
      <c r="D4593" t="s">
        <v>10</v>
      </c>
      <c r="F4593" s="43">
        <v>44614.333333333336</v>
      </c>
      <c r="G4593" s="43">
        <v>44614.385416666664</v>
      </c>
      <c r="H4593">
        <v>8</v>
      </c>
      <c r="I4593">
        <v>0</v>
      </c>
      <c r="J4593">
        <v>9</v>
      </c>
      <c r="K4593">
        <v>15</v>
      </c>
      <c r="L4593">
        <v>2022</v>
      </c>
      <c r="O4593" t="s">
        <v>47</v>
      </c>
      <c r="P4593" t="s">
        <v>3070</v>
      </c>
    </row>
    <row r="4594" spans="1:16" x14ac:dyDescent="0.3">
      <c r="A4594" t="s">
        <v>3074</v>
      </c>
      <c r="C4594">
        <v>30</v>
      </c>
      <c r="D4594" t="s">
        <v>10</v>
      </c>
      <c r="F4594" s="43">
        <v>44614.291666666664</v>
      </c>
      <c r="G4594" s="43">
        <v>44614.3125</v>
      </c>
      <c r="H4594">
        <v>7</v>
      </c>
      <c r="I4594">
        <v>0</v>
      </c>
      <c r="J4594">
        <v>7</v>
      </c>
      <c r="K4594">
        <v>30</v>
      </c>
      <c r="L4594">
        <v>2022</v>
      </c>
      <c r="O4594" t="s">
        <v>47</v>
      </c>
      <c r="P4594" t="s">
        <v>3075</v>
      </c>
    </row>
    <row r="4595" spans="1:16" x14ac:dyDescent="0.3">
      <c r="A4595" t="s">
        <v>3085</v>
      </c>
      <c r="C4595">
        <v>30</v>
      </c>
      <c r="D4595" t="s">
        <v>10</v>
      </c>
      <c r="E4595" t="s">
        <v>2807</v>
      </c>
      <c r="F4595" s="43">
        <v>44614.270833333336</v>
      </c>
      <c r="G4595" s="43">
        <v>44614.291666666664</v>
      </c>
      <c r="H4595">
        <v>6</v>
      </c>
      <c r="I4595">
        <v>30</v>
      </c>
      <c r="J4595">
        <v>7</v>
      </c>
      <c r="K4595">
        <v>0</v>
      </c>
      <c r="L4595">
        <v>2022</v>
      </c>
      <c r="N4595" t="s">
        <v>3086</v>
      </c>
      <c r="O4595" t="s">
        <v>47</v>
      </c>
      <c r="P4595" t="s">
        <v>3087</v>
      </c>
    </row>
    <row r="4596" spans="1:16" x14ac:dyDescent="0.3">
      <c r="A4596" t="s">
        <v>3106</v>
      </c>
      <c r="C4596">
        <v>60</v>
      </c>
      <c r="D4596" t="s">
        <v>10</v>
      </c>
      <c r="E4596" t="s">
        <v>3107</v>
      </c>
      <c r="F4596" s="43">
        <v>44614.229166666664</v>
      </c>
      <c r="G4596" s="43">
        <v>44614.270833333336</v>
      </c>
      <c r="H4596">
        <v>5</v>
      </c>
      <c r="I4596">
        <v>30</v>
      </c>
      <c r="J4596">
        <v>6</v>
      </c>
      <c r="K4596">
        <v>30</v>
      </c>
      <c r="L4596">
        <v>2022</v>
      </c>
      <c r="N4596" t="s">
        <v>3108</v>
      </c>
      <c r="O4596" t="s">
        <v>1272</v>
      </c>
      <c r="P4596" t="s">
        <v>3109</v>
      </c>
    </row>
    <row r="4597" spans="1:16" x14ac:dyDescent="0.3">
      <c r="A4597" t="s">
        <v>3049</v>
      </c>
      <c r="C4597">
        <v>30</v>
      </c>
      <c r="D4597" t="s">
        <v>10</v>
      </c>
      <c r="F4597" s="43">
        <v>44613.729166666664</v>
      </c>
      <c r="G4597" s="43">
        <v>44613.75</v>
      </c>
      <c r="H4597">
        <v>17</v>
      </c>
      <c r="I4597">
        <v>30</v>
      </c>
      <c r="J4597">
        <v>18</v>
      </c>
      <c r="K4597">
        <v>0</v>
      </c>
      <c r="L4597">
        <v>2022</v>
      </c>
      <c r="O4597" t="s">
        <v>47</v>
      </c>
      <c r="P4597" t="s">
        <v>3098</v>
      </c>
    </row>
    <row r="4598" spans="1:16" x14ac:dyDescent="0.3">
      <c r="A4598" t="s">
        <v>3049</v>
      </c>
      <c r="C4598">
        <v>30</v>
      </c>
      <c r="D4598" t="s">
        <v>10</v>
      </c>
      <c r="F4598" s="43">
        <v>44613.6875</v>
      </c>
      <c r="G4598" s="43">
        <v>44613.708333333336</v>
      </c>
      <c r="H4598">
        <v>16</v>
      </c>
      <c r="I4598">
        <v>30</v>
      </c>
      <c r="J4598">
        <v>17</v>
      </c>
      <c r="K4598">
        <v>0</v>
      </c>
      <c r="L4598">
        <v>2022</v>
      </c>
      <c r="O4598" t="s">
        <v>47</v>
      </c>
      <c r="P4598" t="s">
        <v>3099</v>
      </c>
    </row>
    <row r="4599" spans="1:16" x14ac:dyDescent="0.3">
      <c r="A4599" t="s">
        <v>9</v>
      </c>
      <c r="C4599">
        <v>30</v>
      </c>
      <c r="D4599" t="s">
        <v>10</v>
      </c>
      <c r="F4599" s="43">
        <v>44613.666666666664</v>
      </c>
      <c r="G4599" s="43">
        <v>44613.6875</v>
      </c>
      <c r="H4599">
        <v>16</v>
      </c>
      <c r="I4599">
        <v>0</v>
      </c>
      <c r="J4599">
        <v>16</v>
      </c>
      <c r="K4599">
        <v>30</v>
      </c>
      <c r="L4599">
        <v>2022</v>
      </c>
      <c r="O4599" t="s">
        <v>47</v>
      </c>
      <c r="P4599" t="s">
        <v>3100</v>
      </c>
    </row>
    <row r="4600" spans="1:16" x14ac:dyDescent="0.3">
      <c r="A4600" t="s">
        <v>3049</v>
      </c>
      <c r="C4600">
        <v>90</v>
      </c>
      <c r="D4600" t="s">
        <v>10</v>
      </c>
      <c r="F4600" s="43">
        <v>44613.604166666664</v>
      </c>
      <c r="G4600" s="43">
        <v>44613.666666666664</v>
      </c>
      <c r="H4600">
        <v>14</v>
      </c>
      <c r="I4600">
        <v>30</v>
      </c>
      <c r="J4600">
        <v>16</v>
      </c>
      <c r="K4600">
        <v>0</v>
      </c>
      <c r="L4600">
        <v>2022</v>
      </c>
      <c r="O4600" t="s">
        <v>47</v>
      </c>
      <c r="P4600" t="s">
        <v>3101</v>
      </c>
    </row>
    <row r="4601" spans="1:16" x14ac:dyDescent="0.3">
      <c r="A4601" t="s">
        <v>3128</v>
      </c>
      <c r="C4601">
        <v>30</v>
      </c>
      <c r="D4601" t="s">
        <v>10</v>
      </c>
      <c r="E4601" t="s">
        <v>5</v>
      </c>
      <c r="F4601" s="43">
        <v>44613.354166666664</v>
      </c>
      <c r="G4601" s="43">
        <v>44613.375</v>
      </c>
      <c r="H4601">
        <v>8</v>
      </c>
      <c r="I4601">
        <v>30</v>
      </c>
      <c r="J4601">
        <v>9</v>
      </c>
      <c r="K4601">
        <v>0</v>
      </c>
      <c r="L4601">
        <v>2022</v>
      </c>
      <c r="N4601" t="s">
        <v>3129</v>
      </c>
      <c r="O4601" t="s">
        <v>2976</v>
      </c>
      <c r="P4601" t="s">
        <v>3130</v>
      </c>
    </row>
    <row r="4602" spans="1:16" x14ac:dyDescent="0.3">
      <c r="A4602" t="s">
        <v>8</v>
      </c>
      <c r="C4602">
        <v>30</v>
      </c>
      <c r="D4602" t="s">
        <v>10</v>
      </c>
      <c r="F4602" s="43">
        <v>44613.3125</v>
      </c>
      <c r="G4602" s="43">
        <v>44613.333333333336</v>
      </c>
      <c r="H4602">
        <v>7</v>
      </c>
      <c r="I4602">
        <v>30</v>
      </c>
      <c r="J4602">
        <v>8</v>
      </c>
      <c r="K4602">
        <v>0</v>
      </c>
      <c r="L4602">
        <v>2022</v>
      </c>
      <c r="O4602" t="s">
        <v>47</v>
      </c>
      <c r="P4602" t="s">
        <v>3064</v>
      </c>
    </row>
    <row r="4603" spans="1:16" x14ac:dyDescent="0.3">
      <c r="A4603" t="s">
        <v>3103</v>
      </c>
      <c r="C4603">
        <v>30</v>
      </c>
      <c r="D4603" t="s">
        <v>10</v>
      </c>
      <c r="F4603" s="43">
        <v>44613.291666666664</v>
      </c>
      <c r="G4603" s="43">
        <v>44613.3125</v>
      </c>
      <c r="H4603">
        <v>7</v>
      </c>
      <c r="I4603">
        <v>0</v>
      </c>
      <c r="J4603">
        <v>7</v>
      </c>
      <c r="K4603">
        <v>30</v>
      </c>
      <c r="L4603">
        <v>2022</v>
      </c>
      <c r="N4603" t="s">
        <v>3104</v>
      </c>
      <c r="O4603" t="s">
        <v>1987</v>
      </c>
      <c r="P4603" t="s">
        <v>3105</v>
      </c>
    </row>
    <row r="4604" spans="1:16" x14ac:dyDescent="0.3">
      <c r="A4604" t="s">
        <v>8</v>
      </c>
      <c r="C4604">
        <v>90</v>
      </c>
      <c r="D4604" t="s">
        <v>10</v>
      </c>
      <c r="F4604" s="43">
        <v>44613.229166666664</v>
      </c>
      <c r="G4604" s="43">
        <v>44613.291666666664</v>
      </c>
      <c r="H4604">
        <v>5</v>
      </c>
      <c r="I4604">
        <v>30</v>
      </c>
      <c r="J4604">
        <v>7</v>
      </c>
      <c r="K4604">
        <v>0</v>
      </c>
      <c r="L4604">
        <v>2022</v>
      </c>
      <c r="O4604" t="s">
        <v>47</v>
      </c>
      <c r="P4604" t="s">
        <v>3102</v>
      </c>
    </row>
    <row r="4605" spans="1:16" x14ac:dyDescent="0.3">
      <c r="A4605" t="s">
        <v>3049</v>
      </c>
      <c r="C4605">
        <v>20</v>
      </c>
      <c r="D4605" t="s">
        <v>10</v>
      </c>
      <c r="F4605" s="43">
        <v>44612.770833333336</v>
      </c>
      <c r="G4605" s="43">
        <v>44612.784722222219</v>
      </c>
      <c r="H4605">
        <v>18</v>
      </c>
      <c r="I4605">
        <v>30</v>
      </c>
      <c r="J4605">
        <v>18</v>
      </c>
      <c r="K4605">
        <v>50</v>
      </c>
      <c r="L4605">
        <v>2022</v>
      </c>
      <c r="O4605" t="s">
        <v>47</v>
      </c>
      <c r="P4605" t="s">
        <v>3110</v>
      </c>
    </row>
    <row r="4606" spans="1:16" x14ac:dyDescent="0.3">
      <c r="A4606" t="s">
        <v>3049</v>
      </c>
      <c r="C4606">
        <v>60</v>
      </c>
      <c r="D4606" t="s">
        <v>10</v>
      </c>
      <c r="F4606" s="43">
        <v>44612.715277777781</v>
      </c>
      <c r="G4606" s="43">
        <v>44612.756944444445</v>
      </c>
      <c r="H4606">
        <v>17</v>
      </c>
      <c r="I4606">
        <v>10</v>
      </c>
      <c r="J4606">
        <v>18</v>
      </c>
      <c r="K4606">
        <v>10</v>
      </c>
      <c r="L4606">
        <v>2022</v>
      </c>
      <c r="O4606" t="s">
        <v>47</v>
      </c>
      <c r="P4606" t="s">
        <v>3111</v>
      </c>
    </row>
    <row r="4607" spans="1:16" x14ac:dyDescent="0.3">
      <c r="A4607" t="s">
        <v>3112</v>
      </c>
      <c r="C4607">
        <v>30</v>
      </c>
      <c r="D4607" t="s">
        <v>10</v>
      </c>
      <c r="F4607" s="43">
        <v>44612.645833333336</v>
      </c>
      <c r="G4607" s="43">
        <v>44612.666666666664</v>
      </c>
      <c r="H4607">
        <v>15</v>
      </c>
      <c r="I4607">
        <v>30</v>
      </c>
      <c r="J4607">
        <v>16</v>
      </c>
      <c r="K4607">
        <v>0</v>
      </c>
      <c r="L4607">
        <v>2022</v>
      </c>
      <c r="O4607" t="s">
        <v>47</v>
      </c>
      <c r="P4607" t="s">
        <v>3113</v>
      </c>
    </row>
    <row r="4608" spans="1:16" x14ac:dyDescent="0.3">
      <c r="A4608" t="s">
        <v>8</v>
      </c>
      <c r="C4608">
        <v>60</v>
      </c>
      <c r="D4608" t="s">
        <v>10</v>
      </c>
      <c r="F4608" s="43">
        <v>44612.583333333336</v>
      </c>
      <c r="G4608" s="43">
        <v>44612.625</v>
      </c>
      <c r="H4608">
        <v>14</v>
      </c>
      <c r="I4608">
        <v>0</v>
      </c>
      <c r="J4608">
        <v>15</v>
      </c>
      <c r="K4608">
        <v>0</v>
      </c>
      <c r="L4608">
        <v>2022</v>
      </c>
      <c r="O4608" t="s">
        <v>47</v>
      </c>
      <c r="P4608" t="s">
        <v>3114</v>
      </c>
    </row>
    <row r="4609" spans="1:16" x14ac:dyDescent="0.3">
      <c r="A4609" t="s">
        <v>3049</v>
      </c>
      <c r="C4609">
        <v>30</v>
      </c>
      <c r="D4609" t="s">
        <v>10</v>
      </c>
      <c r="F4609" s="43">
        <v>44612.479166666664</v>
      </c>
      <c r="G4609" s="43">
        <v>44612.5</v>
      </c>
      <c r="H4609">
        <v>11</v>
      </c>
      <c r="I4609">
        <v>30</v>
      </c>
      <c r="J4609">
        <v>12</v>
      </c>
      <c r="K4609">
        <v>0</v>
      </c>
      <c r="L4609">
        <v>2022</v>
      </c>
      <c r="O4609" t="s">
        <v>47</v>
      </c>
      <c r="P4609" t="s">
        <v>3115</v>
      </c>
    </row>
    <row r="4610" spans="1:16" x14ac:dyDescent="0.3">
      <c r="A4610" t="s">
        <v>3049</v>
      </c>
      <c r="C4610">
        <v>30</v>
      </c>
      <c r="D4610" t="s">
        <v>10</v>
      </c>
      <c r="F4610" s="43">
        <v>44612.4375</v>
      </c>
      <c r="G4610" s="43">
        <v>44612.458333333336</v>
      </c>
      <c r="H4610">
        <v>10</v>
      </c>
      <c r="I4610">
        <v>30</v>
      </c>
      <c r="J4610">
        <v>11</v>
      </c>
      <c r="K4610">
        <v>0</v>
      </c>
      <c r="L4610">
        <v>2022</v>
      </c>
      <c r="O4610" t="s">
        <v>47</v>
      </c>
      <c r="P4610" t="s">
        <v>3116</v>
      </c>
    </row>
    <row r="4611" spans="1:16" x14ac:dyDescent="0.3">
      <c r="A4611" t="s">
        <v>8</v>
      </c>
      <c r="C4611">
        <v>30</v>
      </c>
      <c r="D4611" t="s">
        <v>10</v>
      </c>
      <c r="F4611" s="43">
        <v>44612.416666666664</v>
      </c>
      <c r="G4611" s="43">
        <v>44612.4375</v>
      </c>
      <c r="H4611">
        <v>10</v>
      </c>
      <c r="I4611">
        <v>0</v>
      </c>
      <c r="J4611">
        <v>10</v>
      </c>
      <c r="K4611">
        <v>30</v>
      </c>
      <c r="L4611">
        <v>2022</v>
      </c>
      <c r="O4611" t="s">
        <v>47</v>
      </c>
      <c r="P4611" t="s">
        <v>3117</v>
      </c>
    </row>
    <row r="4612" spans="1:16" x14ac:dyDescent="0.3">
      <c r="A4612" t="s">
        <v>3049</v>
      </c>
      <c r="C4612">
        <v>80</v>
      </c>
      <c r="D4612" t="s">
        <v>10</v>
      </c>
      <c r="F4612" s="43">
        <v>44612.25</v>
      </c>
      <c r="G4612" s="43">
        <v>44612.305555555555</v>
      </c>
      <c r="H4612">
        <v>6</v>
      </c>
      <c r="I4612">
        <v>0</v>
      </c>
      <c r="J4612">
        <v>7</v>
      </c>
      <c r="K4612">
        <v>20</v>
      </c>
      <c r="L4612">
        <v>2022</v>
      </c>
      <c r="O4612" t="s">
        <v>47</v>
      </c>
      <c r="P4612" t="s">
        <v>3118</v>
      </c>
    </row>
    <row r="4613" spans="1:16" x14ac:dyDescent="0.3">
      <c r="A4613" t="s">
        <v>3119</v>
      </c>
      <c r="C4613">
        <v>30</v>
      </c>
      <c r="D4613" t="s">
        <v>10</v>
      </c>
      <c r="F4613" s="43">
        <v>44611.75</v>
      </c>
      <c r="G4613" s="43">
        <v>44611.770833333336</v>
      </c>
      <c r="H4613">
        <v>18</v>
      </c>
      <c r="I4613">
        <v>0</v>
      </c>
      <c r="J4613">
        <v>18</v>
      </c>
      <c r="K4613">
        <v>30</v>
      </c>
      <c r="L4613">
        <v>2022</v>
      </c>
      <c r="O4613" t="s">
        <v>47</v>
      </c>
      <c r="P4613" t="s">
        <v>3120</v>
      </c>
    </row>
    <row r="4614" spans="1:16" x14ac:dyDescent="0.3">
      <c r="A4614" t="s">
        <v>3049</v>
      </c>
      <c r="C4614">
        <v>60</v>
      </c>
      <c r="D4614" t="s">
        <v>10</v>
      </c>
      <c r="F4614" s="43">
        <v>44611.416666666664</v>
      </c>
      <c r="G4614" s="43">
        <v>44611.458333333336</v>
      </c>
      <c r="H4614">
        <v>10</v>
      </c>
      <c r="I4614">
        <v>0</v>
      </c>
      <c r="J4614">
        <v>11</v>
      </c>
      <c r="K4614">
        <v>0</v>
      </c>
      <c r="L4614">
        <v>2022</v>
      </c>
      <c r="O4614" t="s">
        <v>47</v>
      </c>
      <c r="P4614" t="s">
        <v>3121</v>
      </c>
    </row>
    <row r="4615" spans="1:16" x14ac:dyDescent="0.3">
      <c r="A4615" t="s">
        <v>3049</v>
      </c>
      <c r="C4615">
        <v>30</v>
      </c>
      <c r="D4615" t="s">
        <v>10</v>
      </c>
      <c r="F4615" s="43">
        <v>44611.291666666664</v>
      </c>
      <c r="G4615" s="43">
        <v>44611.3125</v>
      </c>
      <c r="H4615">
        <v>7</v>
      </c>
      <c r="I4615">
        <v>0</v>
      </c>
      <c r="J4615">
        <v>7</v>
      </c>
      <c r="K4615">
        <v>30</v>
      </c>
      <c r="L4615">
        <v>2022</v>
      </c>
      <c r="O4615" t="s">
        <v>47</v>
      </c>
      <c r="P4615" t="s">
        <v>3122</v>
      </c>
    </row>
    <row r="4616" spans="1:16" x14ac:dyDescent="0.3">
      <c r="A4616" t="s">
        <v>3049</v>
      </c>
      <c r="C4616">
        <v>60</v>
      </c>
      <c r="D4616" t="s">
        <v>10</v>
      </c>
      <c r="F4616" s="43">
        <v>44610.777777777781</v>
      </c>
      <c r="G4616" s="43">
        <v>44610.819444444445</v>
      </c>
      <c r="H4616">
        <v>18</v>
      </c>
      <c r="I4616">
        <v>40</v>
      </c>
      <c r="J4616">
        <v>19</v>
      </c>
      <c r="K4616">
        <v>40</v>
      </c>
      <c r="L4616">
        <v>2022</v>
      </c>
      <c r="O4616" t="s">
        <v>47</v>
      </c>
      <c r="P4616" t="s">
        <v>3123</v>
      </c>
    </row>
    <row r="4617" spans="1:16" x14ac:dyDescent="0.3">
      <c r="A4617" t="s">
        <v>7</v>
      </c>
      <c r="C4617">
        <v>20</v>
      </c>
      <c r="D4617" t="s">
        <v>10</v>
      </c>
      <c r="F4617" s="43">
        <v>44610.729166666664</v>
      </c>
      <c r="G4617" s="43">
        <v>44610.743055555555</v>
      </c>
      <c r="H4617">
        <v>17</v>
      </c>
      <c r="I4617">
        <v>30</v>
      </c>
      <c r="J4617">
        <v>17</v>
      </c>
      <c r="K4617">
        <v>50</v>
      </c>
      <c r="L4617">
        <v>2022</v>
      </c>
      <c r="O4617" t="s">
        <v>47</v>
      </c>
      <c r="P4617" t="s">
        <v>3124</v>
      </c>
    </row>
    <row r="4618" spans="1:16" x14ac:dyDescent="0.3">
      <c r="A4618" t="s">
        <v>3049</v>
      </c>
      <c r="C4618">
        <v>90</v>
      </c>
      <c r="D4618" t="s">
        <v>10</v>
      </c>
      <c r="F4618" s="43">
        <v>44610.666666666664</v>
      </c>
      <c r="G4618" s="43">
        <v>44610.729166666664</v>
      </c>
      <c r="H4618">
        <v>16</v>
      </c>
      <c r="I4618">
        <v>0</v>
      </c>
      <c r="J4618">
        <v>17</v>
      </c>
      <c r="K4618">
        <v>30</v>
      </c>
      <c r="L4618">
        <v>2022</v>
      </c>
      <c r="O4618" t="s">
        <v>47</v>
      </c>
      <c r="P4618" t="s">
        <v>3125</v>
      </c>
    </row>
    <row r="4619" spans="1:16" x14ac:dyDescent="0.3">
      <c r="A4619" t="s">
        <v>3126</v>
      </c>
      <c r="C4619">
        <v>20</v>
      </c>
      <c r="D4619" t="s">
        <v>10</v>
      </c>
      <c r="F4619" s="43">
        <v>44610.583333333336</v>
      </c>
      <c r="G4619" s="43">
        <v>44610.597222222219</v>
      </c>
      <c r="H4619">
        <v>14</v>
      </c>
      <c r="I4619">
        <v>0</v>
      </c>
      <c r="J4619">
        <v>14</v>
      </c>
      <c r="K4619">
        <v>20</v>
      </c>
      <c r="L4619">
        <v>2022</v>
      </c>
      <c r="O4619" t="s">
        <v>47</v>
      </c>
      <c r="P4619" t="s">
        <v>3127</v>
      </c>
    </row>
    <row r="4620" spans="1:16" x14ac:dyDescent="0.3">
      <c r="A4620" t="s">
        <v>3131</v>
      </c>
      <c r="C4620">
        <v>30</v>
      </c>
      <c r="D4620" t="s">
        <v>10</v>
      </c>
      <c r="E4620" t="s">
        <v>2835</v>
      </c>
      <c r="F4620" s="43">
        <v>44610.5625</v>
      </c>
      <c r="G4620" s="43">
        <v>44610.583333333336</v>
      </c>
      <c r="H4620">
        <v>13</v>
      </c>
      <c r="I4620">
        <v>30</v>
      </c>
      <c r="J4620">
        <v>14</v>
      </c>
      <c r="K4620">
        <v>0</v>
      </c>
      <c r="L4620">
        <v>2022</v>
      </c>
      <c r="N4620" t="s">
        <v>2176</v>
      </c>
      <c r="O4620" t="s">
        <v>48</v>
      </c>
      <c r="P4620" t="s">
        <v>3132</v>
      </c>
    </row>
    <row r="4621" spans="1:16" x14ac:dyDescent="0.3">
      <c r="A4621" t="s">
        <v>3133</v>
      </c>
      <c r="C4621">
        <v>15</v>
      </c>
      <c r="D4621" t="s">
        <v>10</v>
      </c>
      <c r="E4621" t="s">
        <v>5</v>
      </c>
      <c r="F4621" s="43">
        <v>44610.5</v>
      </c>
      <c r="G4621" s="43">
        <v>44610.510416666664</v>
      </c>
      <c r="H4621">
        <v>12</v>
      </c>
      <c r="I4621">
        <v>0</v>
      </c>
      <c r="J4621">
        <v>12</v>
      </c>
      <c r="K4621">
        <v>15</v>
      </c>
      <c r="L4621">
        <v>2022</v>
      </c>
      <c r="N4621" t="s">
        <v>3134</v>
      </c>
      <c r="O4621" t="s">
        <v>2976</v>
      </c>
      <c r="P4621" t="s">
        <v>3135</v>
      </c>
    </row>
    <row r="4622" spans="1:16" x14ac:dyDescent="0.3">
      <c r="A4622" t="s">
        <v>3137</v>
      </c>
      <c r="C4622">
        <v>60</v>
      </c>
      <c r="D4622" t="s">
        <v>10</v>
      </c>
      <c r="E4622" t="s">
        <v>2134</v>
      </c>
      <c r="F4622" s="43">
        <v>44610.4375</v>
      </c>
      <c r="G4622" s="43">
        <v>44610.479166666664</v>
      </c>
      <c r="H4622">
        <v>10</v>
      </c>
      <c r="I4622">
        <v>30</v>
      </c>
      <c r="J4622">
        <v>11</v>
      </c>
      <c r="K4622">
        <v>30</v>
      </c>
      <c r="L4622">
        <v>2022</v>
      </c>
      <c r="N4622" t="s">
        <v>3138</v>
      </c>
      <c r="O4622" t="s">
        <v>2136</v>
      </c>
      <c r="P4622" t="s">
        <v>3139</v>
      </c>
    </row>
    <row r="4623" spans="1:16" x14ac:dyDescent="0.3">
      <c r="A4623" t="s">
        <v>3229</v>
      </c>
      <c r="B4623" t="s">
        <v>2222</v>
      </c>
      <c r="C4623">
        <v>120</v>
      </c>
      <c r="D4623" t="s">
        <v>10</v>
      </c>
      <c r="E4623" t="s">
        <v>1599</v>
      </c>
      <c r="F4623" s="43">
        <v>44610.354166666664</v>
      </c>
      <c r="G4623" s="43">
        <v>44610.4375</v>
      </c>
      <c r="H4623">
        <v>8</v>
      </c>
      <c r="I4623">
        <v>30</v>
      </c>
      <c r="J4623">
        <v>10</v>
      </c>
      <c r="K4623">
        <v>30</v>
      </c>
      <c r="L4623">
        <v>2022</v>
      </c>
      <c r="N4623" t="s">
        <v>3230</v>
      </c>
      <c r="O4623" t="s">
        <v>1987</v>
      </c>
      <c r="P4623" t="s">
        <v>3231</v>
      </c>
    </row>
    <row r="4624" spans="1:16" x14ac:dyDescent="0.3">
      <c r="A4624" t="s">
        <v>8</v>
      </c>
      <c r="C4624">
        <v>60</v>
      </c>
      <c r="D4624" t="s">
        <v>10</v>
      </c>
      <c r="F4624" s="43">
        <v>44610.3125</v>
      </c>
      <c r="G4624" s="43">
        <v>44610.354166666664</v>
      </c>
      <c r="H4624">
        <v>7</v>
      </c>
      <c r="I4624">
        <v>30</v>
      </c>
      <c r="J4624">
        <v>8</v>
      </c>
      <c r="K4624">
        <v>30</v>
      </c>
      <c r="L4624">
        <v>2022</v>
      </c>
      <c r="O4624" t="s">
        <v>47</v>
      </c>
      <c r="P4624" t="s">
        <v>3136</v>
      </c>
    </row>
    <row r="4625" spans="1:16" x14ac:dyDescent="0.3">
      <c r="A4625" t="s">
        <v>8</v>
      </c>
      <c r="C4625">
        <v>30</v>
      </c>
      <c r="D4625" t="s">
        <v>10</v>
      </c>
      <c r="F4625" s="43">
        <v>44610.277777777781</v>
      </c>
      <c r="G4625" s="43">
        <v>44610.298611111109</v>
      </c>
      <c r="H4625">
        <v>6</v>
      </c>
      <c r="I4625">
        <v>40</v>
      </c>
      <c r="J4625">
        <v>7</v>
      </c>
      <c r="K4625">
        <v>10</v>
      </c>
      <c r="L4625">
        <v>2022</v>
      </c>
      <c r="O4625" t="s">
        <v>47</v>
      </c>
      <c r="P4625" t="s">
        <v>3140</v>
      </c>
    </row>
    <row r="4626" spans="1:16" x14ac:dyDescent="0.3">
      <c r="A4626" t="s">
        <v>8</v>
      </c>
      <c r="C4626">
        <v>30</v>
      </c>
      <c r="D4626" t="s">
        <v>10</v>
      </c>
      <c r="F4626" s="43">
        <v>44609.770833333336</v>
      </c>
      <c r="G4626" s="43">
        <v>44609.791666666664</v>
      </c>
      <c r="H4626">
        <v>18</v>
      </c>
      <c r="I4626">
        <v>30</v>
      </c>
      <c r="J4626">
        <v>19</v>
      </c>
      <c r="K4626">
        <v>0</v>
      </c>
      <c r="L4626">
        <v>2022</v>
      </c>
      <c r="O4626" t="s">
        <v>47</v>
      </c>
      <c r="P4626" t="s">
        <v>3141</v>
      </c>
    </row>
    <row r="4627" spans="1:16" x14ac:dyDescent="0.3">
      <c r="A4627" t="s">
        <v>3049</v>
      </c>
      <c r="C4627">
        <v>60</v>
      </c>
      <c r="D4627" t="s">
        <v>10</v>
      </c>
      <c r="F4627" s="43">
        <v>44609.666666666664</v>
      </c>
      <c r="G4627" s="43">
        <v>44609.708333333336</v>
      </c>
      <c r="H4627">
        <v>16</v>
      </c>
      <c r="I4627">
        <v>0</v>
      </c>
      <c r="J4627">
        <v>17</v>
      </c>
      <c r="K4627">
        <v>0</v>
      </c>
      <c r="L4627">
        <v>2022</v>
      </c>
      <c r="O4627" t="s">
        <v>47</v>
      </c>
      <c r="P4627" t="s">
        <v>3142</v>
      </c>
    </row>
    <row r="4628" spans="1:16" x14ac:dyDescent="0.3">
      <c r="A4628" t="s">
        <v>3143</v>
      </c>
      <c r="C4628">
        <v>75</v>
      </c>
      <c r="D4628" t="s">
        <v>10</v>
      </c>
      <c r="F4628" s="43">
        <v>44609.5625</v>
      </c>
      <c r="G4628" s="43">
        <v>44609.614583333336</v>
      </c>
      <c r="H4628">
        <v>13</v>
      </c>
      <c r="I4628">
        <v>30</v>
      </c>
      <c r="J4628">
        <v>14</v>
      </c>
      <c r="K4628">
        <v>45</v>
      </c>
      <c r="L4628">
        <v>2022</v>
      </c>
      <c r="O4628" t="s">
        <v>47</v>
      </c>
      <c r="P4628" t="s">
        <v>3144</v>
      </c>
    </row>
    <row r="4629" spans="1:16" x14ac:dyDescent="0.3">
      <c r="A4629" t="s">
        <v>3145</v>
      </c>
      <c r="C4629">
        <v>15</v>
      </c>
      <c r="D4629" t="s">
        <v>10</v>
      </c>
      <c r="F4629" s="43">
        <v>44609.541666666664</v>
      </c>
      <c r="G4629" s="43">
        <v>44609.552083333336</v>
      </c>
      <c r="H4629">
        <v>13</v>
      </c>
      <c r="I4629">
        <v>0</v>
      </c>
      <c r="J4629">
        <v>13</v>
      </c>
      <c r="K4629">
        <v>15</v>
      </c>
      <c r="L4629">
        <v>2022</v>
      </c>
      <c r="O4629" t="s">
        <v>47</v>
      </c>
      <c r="P4629" t="s">
        <v>3146</v>
      </c>
    </row>
    <row r="4630" spans="1:16" x14ac:dyDescent="0.3">
      <c r="A4630" t="s">
        <v>7</v>
      </c>
      <c r="C4630">
        <v>30</v>
      </c>
      <c r="D4630" t="s">
        <v>10</v>
      </c>
      <c r="F4630" s="43">
        <v>44609.5</v>
      </c>
      <c r="G4630" s="43">
        <v>44609.520833333336</v>
      </c>
      <c r="H4630">
        <v>12</v>
      </c>
      <c r="I4630">
        <v>0</v>
      </c>
      <c r="J4630">
        <v>12</v>
      </c>
      <c r="K4630">
        <v>30</v>
      </c>
      <c r="L4630">
        <v>2022</v>
      </c>
      <c r="O4630" t="s">
        <v>47</v>
      </c>
      <c r="P4630" t="s">
        <v>3147</v>
      </c>
    </row>
    <row r="4631" spans="1:16" x14ac:dyDescent="0.3">
      <c r="A4631" t="s">
        <v>3049</v>
      </c>
      <c r="C4631">
        <v>60</v>
      </c>
      <c r="D4631" t="s">
        <v>10</v>
      </c>
      <c r="F4631" s="43">
        <v>44609.458333333336</v>
      </c>
      <c r="G4631" s="43">
        <v>44609.5</v>
      </c>
      <c r="H4631">
        <v>11</v>
      </c>
      <c r="I4631">
        <v>0</v>
      </c>
      <c r="J4631">
        <v>12</v>
      </c>
      <c r="K4631">
        <v>0</v>
      </c>
      <c r="L4631">
        <v>2022</v>
      </c>
      <c r="O4631" t="s">
        <v>47</v>
      </c>
      <c r="P4631" t="s">
        <v>3148</v>
      </c>
    </row>
    <row r="4632" spans="1:16" x14ac:dyDescent="0.3">
      <c r="A4632" t="s">
        <v>3449</v>
      </c>
      <c r="C4632">
        <v>60</v>
      </c>
      <c r="D4632" t="s">
        <v>10</v>
      </c>
      <c r="E4632" t="s">
        <v>2807</v>
      </c>
      <c r="F4632" s="43">
        <v>44609.375</v>
      </c>
      <c r="G4632" s="43">
        <v>44609.416666666664</v>
      </c>
      <c r="H4632">
        <v>9</v>
      </c>
      <c r="I4632">
        <v>0</v>
      </c>
      <c r="J4632">
        <v>10</v>
      </c>
      <c r="K4632">
        <v>0</v>
      </c>
      <c r="L4632">
        <v>2022</v>
      </c>
      <c r="N4632" t="s">
        <v>3450</v>
      </c>
      <c r="O4632" t="s">
        <v>47</v>
      </c>
      <c r="P4632" t="s">
        <v>3451</v>
      </c>
    </row>
    <row r="4633" spans="1:16" x14ac:dyDescent="0.3">
      <c r="A4633" t="s">
        <v>3149</v>
      </c>
      <c r="C4633">
        <v>30</v>
      </c>
      <c r="D4633" t="s">
        <v>10</v>
      </c>
      <c r="F4633" s="43">
        <v>44609.354166666664</v>
      </c>
      <c r="G4633" s="43">
        <v>44609.375</v>
      </c>
      <c r="H4633">
        <v>8</v>
      </c>
      <c r="I4633">
        <v>30</v>
      </c>
      <c r="J4633">
        <v>9</v>
      </c>
      <c r="K4633">
        <v>0</v>
      </c>
      <c r="L4633">
        <v>2022</v>
      </c>
      <c r="O4633" t="s">
        <v>47</v>
      </c>
      <c r="P4633" t="s">
        <v>3150</v>
      </c>
    </row>
    <row r="4634" spans="1:16" x14ac:dyDescent="0.3">
      <c r="A4634" t="s">
        <v>6</v>
      </c>
      <c r="C4634">
        <v>60</v>
      </c>
      <c r="D4634" t="s">
        <v>10</v>
      </c>
      <c r="F4634" s="43">
        <v>44609.3125</v>
      </c>
      <c r="G4634" s="43">
        <v>44609.354166666664</v>
      </c>
      <c r="H4634">
        <v>7</v>
      </c>
      <c r="I4634">
        <v>30</v>
      </c>
      <c r="J4634">
        <v>8</v>
      </c>
      <c r="K4634">
        <v>30</v>
      </c>
      <c r="L4634">
        <v>2022</v>
      </c>
      <c r="O4634" t="s">
        <v>47</v>
      </c>
      <c r="P4634" t="s">
        <v>3151</v>
      </c>
    </row>
    <row r="4635" spans="1:16" x14ac:dyDescent="0.3">
      <c r="A4635" t="s">
        <v>6</v>
      </c>
      <c r="C4635">
        <v>80</v>
      </c>
      <c r="D4635" t="s">
        <v>10</v>
      </c>
      <c r="F4635" s="43">
        <v>44609.1875</v>
      </c>
      <c r="G4635" s="43">
        <v>44609.243055555555</v>
      </c>
      <c r="H4635">
        <v>4</v>
      </c>
      <c r="I4635">
        <v>30</v>
      </c>
      <c r="J4635">
        <v>5</v>
      </c>
      <c r="K4635">
        <v>50</v>
      </c>
      <c r="L4635">
        <v>2022</v>
      </c>
      <c r="O4635" t="s">
        <v>47</v>
      </c>
      <c r="P4635" t="s">
        <v>3152</v>
      </c>
    </row>
    <row r="4636" spans="1:16" x14ac:dyDescent="0.3">
      <c r="A4636" t="s">
        <v>3049</v>
      </c>
      <c r="C4636">
        <v>50</v>
      </c>
      <c r="D4636" t="s">
        <v>10</v>
      </c>
      <c r="F4636" s="43">
        <v>44608.770833333336</v>
      </c>
      <c r="G4636" s="43">
        <v>44608.805555555555</v>
      </c>
      <c r="H4636">
        <v>18</v>
      </c>
      <c r="I4636">
        <v>30</v>
      </c>
      <c r="J4636">
        <v>19</v>
      </c>
      <c r="K4636">
        <v>20</v>
      </c>
      <c r="L4636">
        <v>2022</v>
      </c>
      <c r="O4636" t="s">
        <v>47</v>
      </c>
      <c r="P4636" t="s">
        <v>3153</v>
      </c>
    </row>
    <row r="4637" spans="1:16" x14ac:dyDescent="0.3">
      <c r="A4637" t="s">
        <v>7</v>
      </c>
      <c r="C4637">
        <v>50</v>
      </c>
      <c r="D4637" t="s">
        <v>10</v>
      </c>
      <c r="F4637" s="43">
        <v>44608.708333333336</v>
      </c>
      <c r="G4637" s="43">
        <v>44608.743055555555</v>
      </c>
      <c r="H4637">
        <v>17</v>
      </c>
      <c r="I4637">
        <v>0</v>
      </c>
      <c r="J4637">
        <v>17</v>
      </c>
      <c r="K4637">
        <v>50</v>
      </c>
      <c r="L4637">
        <v>2022</v>
      </c>
      <c r="O4637" t="s">
        <v>47</v>
      </c>
      <c r="P4637" t="s">
        <v>3154</v>
      </c>
    </row>
    <row r="4638" spans="1:16" x14ac:dyDescent="0.3">
      <c r="A4638" t="s">
        <v>2662</v>
      </c>
      <c r="C4638">
        <v>110</v>
      </c>
      <c r="D4638" t="s">
        <v>10</v>
      </c>
      <c r="F4638" s="43">
        <v>44608.631944444445</v>
      </c>
      <c r="G4638" s="43">
        <v>44608.708333333336</v>
      </c>
      <c r="H4638">
        <v>15</v>
      </c>
      <c r="I4638">
        <v>10</v>
      </c>
      <c r="J4638">
        <v>17</v>
      </c>
      <c r="K4638">
        <v>0</v>
      </c>
      <c r="L4638">
        <v>2022</v>
      </c>
      <c r="O4638" t="s">
        <v>47</v>
      </c>
      <c r="P4638" t="s">
        <v>3155</v>
      </c>
    </row>
    <row r="4639" spans="1:16" x14ac:dyDescent="0.3">
      <c r="A4639" t="s">
        <v>827</v>
      </c>
      <c r="C4639">
        <v>60</v>
      </c>
      <c r="D4639" t="s">
        <v>10</v>
      </c>
      <c r="E4639" t="s">
        <v>3156</v>
      </c>
      <c r="F4639" s="43">
        <v>44608.541666666664</v>
      </c>
      <c r="G4639" s="43">
        <v>44608.583333333336</v>
      </c>
      <c r="H4639">
        <v>13</v>
      </c>
      <c r="I4639">
        <v>0</v>
      </c>
      <c r="J4639">
        <v>14</v>
      </c>
      <c r="K4639">
        <v>0</v>
      </c>
      <c r="L4639">
        <v>2022</v>
      </c>
      <c r="O4639" t="s">
        <v>47</v>
      </c>
      <c r="P4639" t="s">
        <v>3157</v>
      </c>
    </row>
    <row r="4640" spans="1:16" x14ac:dyDescent="0.3">
      <c r="A4640" t="s">
        <v>3049</v>
      </c>
      <c r="C4640">
        <v>15</v>
      </c>
      <c r="D4640" t="s">
        <v>10</v>
      </c>
      <c r="F4640" s="43">
        <v>44608.4375</v>
      </c>
      <c r="G4640" s="43">
        <v>44608.447916666664</v>
      </c>
      <c r="H4640">
        <v>10</v>
      </c>
      <c r="I4640">
        <v>30</v>
      </c>
      <c r="J4640">
        <v>10</v>
      </c>
      <c r="K4640">
        <v>45</v>
      </c>
      <c r="L4640">
        <v>2022</v>
      </c>
      <c r="O4640" t="s">
        <v>47</v>
      </c>
      <c r="P4640" t="s">
        <v>3158</v>
      </c>
    </row>
    <row r="4641" spans="1:16" x14ac:dyDescent="0.3">
      <c r="A4641" t="s">
        <v>3162</v>
      </c>
      <c r="C4641">
        <v>30</v>
      </c>
      <c r="D4641" t="s">
        <v>10</v>
      </c>
      <c r="E4641" t="s">
        <v>5</v>
      </c>
      <c r="F4641" s="43">
        <v>44608.416666666664</v>
      </c>
      <c r="G4641" s="43">
        <v>44608.4375</v>
      </c>
      <c r="H4641">
        <v>10</v>
      </c>
      <c r="I4641">
        <v>0</v>
      </c>
      <c r="J4641">
        <v>10</v>
      </c>
      <c r="K4641">
        <v>30</v>
      </c>
      <c r="L4641">
        <v>2022</v>
      </c>
      <c r="N4641" t="s">
        <v>3163</v>
      </c>
      <c r="O4641" t="s">
        <v>3164</v>
      </c>
      <c r="P4641" t="s">
        <v>3165</v>
      </c>
    </row>
    <row r="4642" spans="1:16" x14ac:dyDescent="0.3">
      <c r="A4642" t="s">
        <v>3174</v>
      </c>
      <c r="C4642">
        <v>45</v>
      </c>
      <c r="D4642" t="s">
        <v>10</v>
      </c>
      <c r="E4642" t="s">
        <v>2807</v>
      </c>
      <c r="F4642" s="43">
        <v>44608.385416666664</v>
      </c>
      <c r="G4642" s="43">
        <v>44608.416666666664</v>
      </c>
      <c r="H4642">
        <v>9</v>
      </c>
      <c r="I4642">
        <v>15</v>
      </c>
      <c r="J4642">
        <v>10</v>
      </c>
      <c r="K4642">
        <v>0</v>
      </c>
      <c r="L4642">
        <v>2022</v>
      </c>
      <c r="N4642" t="s">
        <v>3175</v>
      </c>
      <c r="O4642" t="s">
        <v>47</v>
      </c>
      <c r="P4642" t="s">
        <v>3176</v>
      </c>
    </row>
    <row r="4643" spans="1:16" x14ac:dyDescent="0.3">
      <c r="A4643" t="s">
        <v>17</v>
      </c>
      <c r="C4643">
        <v>30</v>
      </c>
      <c r="D4643" t="s">
        <v>10</v>
      </c>
      <c r="F4643" s="43">
        <v>44608.291666666664</v>
      </c>
      <c r="G4643" s="43">
        <v>44608.3125</v>
      </c>
      <c r="H4643">
        <v>7</v>
      </c>
      <c r="I4643">
        <v>0</v>
      </c>
      <c r="J4643">
        <v>7</v>
      </c>
      <c r="K4643">
        <v>30</v>
      </c>
      <c r="L4643">
        <v>2022</v>
      </c>
      <c r="O4643" t="s">
        <v>47</v>
      </c>
      <c r="P4643" t="s">
        <v>3159</v>
      </c>
    </row>
    <row r="4644" spans="1:16" x14ac:dyDescent="0.3">
      <c r="A4644" t="s">
        <v>6</v>
      </c>
      <c r="C4644">
        <v>90</v>
      </c>
      <c r="D4644" t="s">
        <v>10</v>
      </c>
      <c r="F4644" s="43">
        <v>44608.208333333336</v>
      </c>
      <c r="G4644" s="43">
        <v>44608.270833333336</v>
      </c>
      <c r="H4644">
        <v>5</v>
      </c>
      <c r="I4644">
        <v>0</v>
      </c>
      <c r="J4644">
        <v>6</v>
      </c>
      <c r="K4644">
        <v>30</v>
      </c>
      <c r="L4644">
        <v>2022</v>
      </c>
      <c r="O4644" t="s">
        <v>47</v>
      </c>
      <c r="P4644" t="s">
        <v>3160</v>
      </c>
    </row>
    <row r="4645" spans="1:16" x14ac:dyDescent="0.3">
      <c r="A4645" t="s">
        <v>3049</v>
      </c>
      <c r="C4645">
        <v>60</v>
      </c>
      <c r="D4645" t="s">
        <v>10</v>
      </c>
      <c r="F4645" s="43">
        <v>44607.770833333336</v>
      </c>
      <c r="G4645" s="43">
        <v>44607.8125</v>
      </c>
      <c r="H4645">
        <v>18</v>
      </c>
      <c r="I4645">
        <v>30</v>
      </c>
      <c r="J4645">
        <v>19</v>
      </c>
      <c r="K4645">
        <v>30</v>
      </c>
      <c r="L4645">
        <v>2022</v>
      </c>
      <c r="O4645" t="s">
        <v>47</v>
      </c>
      <c r="P4645" t="s">
        <v>3167</v>
      </c>
    </row>
    <row r="4646" spans="1:16" x14ac:dyDescent="0.3">
      <c r="A4646" t="s">
        <v>6</v>
      </c>
      <c r="C4646">
        <v>20</v>
      </c>
      <c r="D4646" t="s">
        <v>10</v>
      </c>
      <c r="F4646" s="43">
        <v>44607.75</v>
      </c>
      <c r="G4646" s="43">
        <v>44607.763888888891</v>
      </c>
      <c r="H4646">
        <v>18</v>
      </c>
      <c r="I4646">
        <v>0</v>
      </c>
      <c r="J4646">
        <v>18</v>
      </c>
      <c r="K4646">
        <v>20</v>
      </c>
      <c r="L4646">
        <v>2022</v>
      </c>
      <c r="O4646" t="s">
        <v>47</v>
      </c>
      <c r="P4646" t="s">
        <v>3166</v>
      </c>
    </row>
    <row r="4647" spans="1:16" x14ac:dyDescent="0.3">
      <c r="A4647" t="s">
        <v>7</v>
      </c>
      <c r="C4647">
        <v>30</v>
      </c>
      <c r="D4647" t="s">
        <v>10</v>
      </c>
      <c r="F4647" s="43">
        <v>44607.729166666664</v>
      </c>
      <c r="G4647" s="43">
        <v>44607.75</v>
      </c>
      <c r="H4647">
        <v>17</v>
      </c>
      <c r="I4647">
        <v>30</v>
      </c>
      <c r="J4647">
        <v>18</v>
      </c>
      <c r="K4647">
        <v>0</v>
      </c>
      <c r="L4647">
        <v>2022</v>
      </c>
      <c r="O4647" t="s">
        <v>47</v>
      </c>
      <c r="P4647" t="s">
        <v>3171</v>
      </c>
    </row>
    <row r="4648" spans="1:16" x14ac:dyDescent="0.3">
      <c r="A4648" t="s">
        <v>3478</v>
      </c>
      <c r="C4648">
        <v>300</v>
      </c>
      <c r="D4648" t="s">
        <v>10</v>
      </c>
      <c r="F4648" s="43">
        <v>44607.5</v>
      </c>
      <c r="G4648" s="43">
        <v>44607.708333333336</v>
      </c>
      <c r="H4648">
        <v>12</v>
      </c>
      <c r="I4648">
        <v>0</v>
      </c>
      <c r="J4648">
        <v>17</v>
      </c>
      <c r="K4648">
        <v>0</v>
      </c>
      <c r="L4648">
        <v>2022</v>
      </c>
      <c r="O4648" t="s">
        <v>47</v>
      </c>
      <c r="P4648" t="s">
        <v>3479</v>
      </c>
    </row>
    <row r="4649" spans="1:16" x14ac:dyDescent="0.3">
      <c r="A4649" t="s">
        <v>6</v>
      </c>
      <c r="C4649">
        <v>30</v>
      </c>
      <c r="D4649" t="s">
        <v>10</v>
      </c>
      <c r="F4649" s="43">
        <v>44607.458333333336</v>
      </c>
      <c r="G4649" s="43">
        <v>44607.479166666664</v>
      </c>
      <c r="H4649">
        <v>11</v>
      </c>
      <c r="I4649">
        <v>0</v>
      </c>
      <c r="J4649">
        <v>11</v>
      </c>
      <c r="K4649">
        <v>30</v>
      </c>
      <c r="L4649">
        <v>2022</v>
      </c>
      <c r="O4649" t="s">
        <v>47</v>
      </c>
      <c r="P4649" t="s">
        <v>3170</v>
      </c>
    </row>
    <row r="4650" spans="1:16" x14ac:dyDescent="0.3">
      <c r="A4650" t="s">
        <v>3401</v>
      </c>
      <c r="C4650">
        <v>30</v>
      </c>
      <c r="D4650" t="s">
        <v>10</v>
      </c>
      <c r="E4650" t="s">
        <v>2835</v>
      </c>
      <c r="F4650" s="43">
        <v>44607.4375</v>
      </c>
      <c r="G4650" s="43">
        <v>44607.458333333336</v>
      </c>
      <c r="H4650">
        <v>10</v>
      </c>
      <c r="I4650">
        <v>30</v>
      </c>
      <c r="J4650">
        <v>11</v>
      </c>
      <c r="K4650">
        <v>0</v>
      </c>
      <c r="L4650">
        <v>2022</v>
      </c>
      <c r="N4650" t="s">
        <v>3402</v>
      </c>
      <c r="O4650" t="s">
        <v>48</v>
      </c>
      <c r="P4650" t="s">
        <v>3403</v>
      </c>
    </row>
    <row r="4651" spans="1:16" x14ac:dyDescent="0.3">
      <c r="A4651" t="s">
        <v>3168</v>
      </c>
      <c r="C4651">
        <v>60</v>
      </c>
      <c r="D4651" t="s">
        <v>10</v>
      </c>
      <c r="F4651" s="43">
        <v>44607.395833333336</v>
      </c>
      <c r="G4651" s="43">
        <v>44607.4375</v>
      </c>
      <c r="H4651">
        <v>9</v>
      </c>
      <c r="I4651">
        <v>30</v>
      </c>
      <c r="J4651">
        <v>10</v>
      </c>
      <c r="K4651">
        <v>30</v>
      </c>
      <c r="L4651">
        <v>2022</v>
      </c>
      <c r="O4651" t="s">
        <v>47</v>
      </c>
      <c r="P4651" t="s">
        <v>3169</v>
      </c>
    </row>
    <row r="4652" spans="1:16" x14ac:dyDescent="0.3">
      <c r="A4652" t="s">
        <v>3172</v>
      </c>
      <c r="C4652">
        <v>40</v>
      </c>
      <c r="D4652" t="s">
        <v>10</v>
      </c>
      <c r="F4652" s="43">
        <v>44607.361111111109</v>
      </c>
      <c r="G4652" s="43">
        <v>44607.388888888891</v>
      </c>
      <c r="H4652">
        <v>8</v>
      </c>
      <c r="I4652">
        <v>40</v>
      </c>
      <c r="J4652">
        <v>9</v>
      </c>
      <c r="K4652">
        <v>20</v>
      </c>
      <c r="L4652">
        <v>2022</v>
      </c>
      <c r="O4652" t="s">
        <v>47</v>
      </c>
      <c r="P4652" t="s">
        <v>3173</v>
      </c>
    </row>
    <row r="4653" spans="1:16" x14ac:dyDescent="0.3">
      <c r="A4653" t="s">
        <v>3177</v>
      </c>
      <c r="C4653">
        <v>20</v>
      </c>
      <c r="D4653" t="s">
        <v>10</v>
      </c>
      <c r="F4653" s="43">
        <v>44607.333333333336</v>
      </c>
      <c r="G4653" s="43">
        <v>44607.347222222219</v>
      </c>
      <c r="H4653">
        <v>8</v>
      </c>
      <c r="I4653">
        <v>0</v>
      </c>
      <c r="J4653">
        <v>8</v>
      </c>
      <c r="K4653">
        <v>20</v>
      </c>
      <c r="L4653">
        <v>2022</v>
      </c>
      <c r="O4653" t="s">
        <v>47</v>
      </c>
      <c r="P4653" t="s">
        <v>3178</v>
      </c>
    </row>
    <row r="4654" spans="1:16" x14ac:dyDescent="0.3">
      <c r="A4654" t="s">
        <v>17</v>
      </c>
      <c r="C4654">
        <v>30</v>
      </c>
      <c r="D4654" t="s">
        <v>10</v>
      </c>
      <c r="F4654" s="43">
        <v>44607.291666666664</v>
      </c>
      <c r="G4654" s="43">
        <v>44607.3125</v>
      </c>
      <c r="H4654">
        <v>7</v>
      </c>
      <c r="I4654">
        <v>0</v>
      </c>
      <c r="J4654">
        <v>7</v>
      </c>
      <c r="K4654">
        <v>30</v>
      </c>
      <c r="L4654">
        <v>2022</v>
      </c>
      <c r="O4654" t="s">
        <v>47</v>
      </c>
      <c r="P4654" t="s">
        <v>3161</v>
      </c>
    </row>
    <row r="4655" spans="1:16" x14ac:dyDescent="0.3">
      <c r="A4655" t="s">
        <v>6</v>
      </c>
      <c r="C4655">
        <v>60</v>
      </c>
      <c r="D4655" t="s">
        <v>10</v>
      </c>
      <c r="F4655" s="43">
        <v>44607.229166666664</v>
      </c>
      <c r="G4655" s="43">
        <v>44607.270833333336</v>
      </c>
      <c r="H4655">
        <v>5</v>
      </c>
      <c r="I4655">
        <v>30</v>
      </c>
      <c r="J4655">
        <v>6</v>
      </c>
      <c r="K4655">
        <v>30</v>
      </c>
      <c r="L4655">
        <v>2022</v>
      </c>
      <c r="O4655" t="s">
        <v>47</v>
      </c>
      <c r="P4655" t="s">
        <v>3179</v>
      </c>
    </row>
    <row r="4656" spans="1:16" x14ac:dyDescent="0.3">
      <c r="A4656" t="s">
        <v>3049</v>
      </c>
      <c r="C4656">
        <v>70</v>
      </c>
      <c r="D4656" t="s">
        <v>10</v>
      </c>
      <c r="F4656" s="43">
        <v>44606.763888888891</v>
      </c>
      <c r="G4656" s="43">
        <v>44606.8125</v>
      </c>
      <c r="H4656">
        <v>18</v>
      </c>
      <c r="I4656">
        <v>20</v>
      </c>
      <c r="J4656">
        <v>19</v>
      </c>
      <c r="K4656">
        <v>30</v>
      </c>
      <c r="L4656">
        <v>2022</v>
      </c>
      <c r="O4656" t="s">
        <v>47</v>
      </c>
      <c r="P4656" t="s">
        <v>3180</v>
      </c>
    </row>
    <row r="4657" spans="1:16" x14ac:dyDescent="0.3">
      <c r="A4657" t="s">
        <v>1750</v>
      </c>
      <c r="C4657">
        <v>15</v>
      </c>
      <c r="D4657" t="s">
        <v>10</v>
      </c>
      <c r="F4657" s="1">
        <v>44606.729166666664</v>
      </c>
      <c r="G4657" s="1">
        <v>44606.739583333336</v>
      </c>
      <c r="H4657">
        <v>17</v>
      </c>
      <c r="I4657">
        <v>30</v>
      </c>
      <c r="J4657">
        <v>17</v>
      </c>
      <c r="K4657">
        <v>45</v>
      </c>
      <c r="L4657">
        <v>2022</v>
      </c>
      <c r="O4657" t="s">
        <v>47</v>
      </c>
      <c r="P4657" t="s">
        <v>3181</v>
      </c>
    </row>
    <row r="4658" spans="1:16" x14ac:dyDescent="0.3">
      <c r="A4658" t="s">
        <v>3248</v>
      </c>
      <c r="B4658" t="s">
        <v>20</v>
      </c>
      <c r="C4658">
        <v>60</v>
      </c>
      <c r="D4658" t="s">
        <v>10</v>
      </c>
      <c r="E4658" t="s">
        <v>2835</v>
      </c>
      <c r="F4658" s="43">
        <v>44606.666666666664</v>
      </c>
      <c r="G4658" s="43">
        <v>44606.708333333336</v>
      </c>
      <c r="H4658">
        <v>16</v>
      </c>
      <c r="I4658">
        <v>0</v>
      </c>
      <c r="J4658">
        <v>17</v>
      </c>
      <c r="K4658">
        <v>0</v>
      </c>
      <c r="L4658">
        <v>2022</v>
      </c>
      <c r="N4658" t="s">
        <v>3249</v>
      </c>
      <c r="O4658" t="s">
        <v>48</v>
      </c>
      <c r="P4658" t="s">
        <v>3250</v>
      </c>
    </row>
    <row r="4659" spans="1:16" x14ac:dyDescent="0.3">
      <c r="A4659" t="s">
        <v>3182</v>
      </c>
      <c r="C4659">
        <v>60</v>
      </c>
      <c r="D4659" t="s">
        <v>10</v>
      </c>
      <c r="F4659" s="43">
        <v>44606.625</v>
      </c>
      <c r="G4659" s="43">
        <v>44606.666666666664</v>
      </c>
      <c r="H4659">
        <v>15</v>
      </c>
      <c r="I4659">
        <v>0</v>
      </c>
      <c r="J4659">
        <v>16</v>
      </c>
      <c r="K4659">
        <v>0</v>
      </c>
      <c r="L4659">
        <v>2022</v>
      </c>
      <c r="O4659" t="s">
        <v>47</v>
      </c>
      <c r="P4659" t="s">
        <v>3183</v>
      </c>
    </row>
    <row r="4660" spans="1:16" x14ac:dyDescent="0.3">
      <c r="A4660" t="s">
        <v>3351</v>
      </c>
      <c r="B4660" t="s">
        <v>20</v>
      </c>
      <c r="C4660">
        <v>30</v>
      </c>
      <c r="D4660" t="s">
        <v>10</v>
      </c>
      <c r="E4660" t="s">
        <v>5</v>
      </c>
      <c r="F4660" s="43">
        <v>44606.583333333336</v>
      </c>
      <c r="G4660" s="43">
        <v>44606.604166666664</v>
      </c>
      <c r="H4660">
        <v>14</v>
      </c>
      <c r="I4660">
        <v>0</v>
      </c>
      <c r="J4660">
        <v>14</v>
      </c>
      <c r="K4660">
        <v>30</v>
      </c>
      <c r="L4660">
        <v>2022</v>
      </c>
      <c r="N4660" t="s">
        <v>3352</v>
      </c>
      <c r="O4660" t="s">
        <v>47</v>
      </c>
      <c r="P4660" t="s">
        <v>3353</v>
      </c>
    </row>
    <row r="4661" spans="1:16" x14ac:dyDescent="0.3">
      <c r="A4661" t="s">
        <v>8</v>
      </c>
      <c r="C4661">
        <v>30</v>
      </c>
      <c r="D4661" t="s">
        <v>10</v>
      </c>
      <c r="F4661" s="43">
        <v>44606.5625</v>
      </c>
      <c r="G4661" s="43">
        <v>44606.583333333336</v>
      </c>
      <c r="H4661">
        <v>13</v>
      </c>
      <c r="I4661">
        <v>30</v>
      </c>
      <c r="J4661">
        <v>14</v>
      </c>
      <c r="K4661">
        <v>0</v>
      </c>
      <c r="L4661">
        <v>2022</v>
      </c>
      <c r="O4661" t="s">
        <v>47</v>
      </c>
      <c r="P4661" t="s">
        <v>3184</v>
      </c>
    </row>
    <row r="4662" spans="1:16" x14ac:dyDescent="0.3">
      <c r="A4662" t="s">
        <v>7</v>
      </c>
      <c r="C4662">
        <v>35</v>
      </c>
      <c r="D4662" t="s">
        <v>10</v>
      </c>
      <c r="F4662" s="43">
        <v>44606.53125</v>
      </c>
      <c r="G4662" s="43">
        <v>44606.555555555555</v>
      </c>
      <c r="H4662">
        <v>12</v>
      </c>
      <c r="I4662">
        <v>45</v>
      </c>
      <c r="J4662">
        <v>13</v>
      </c>
      <c r="K4662">
        <v>20</v>
      </c>
      <c r="L4662">
        <v>2022</v>
      </c>
      <c r="O4662" t="s">
        <v>47</v>
      </c>
      <c r="P4662" t="s">
        <v>3185</v>
      </c>
    </row>
    <row r="4663" spans="1:16" x14ac:dyDescent="0.3">
      <c r="A4663" t="s">
        <v>3187</v>
      </c>
      <c r="C4663">
        <v>45</v>
      </c>
      <c r="D4663" t="s">
        <v>10</v>
      </c>
      <c r="F4663" s="43">
        <v>44606.5</v>
      </c>
      <c r="G4663" s="43">
        <v>44606.53125</v>
      </c>
      <c r="H4663">
        <v>12</v>
      </c>
      <c r="I4663">
        <v>0</v>
      </c>
      <c r="J4663">
        <v>12</v>
      </c>
      <c r="K4663">
        <v>45</v>
      </c>
      <c r="L4663">
        <v>2022</v>
      </c>
      <c r="O4663" t="s">
        <v>47</v>
      </c>
      <c r="P4663" t="s">
        <v>3188</v>
      </c>
    </row>
    <row r="4664" spans="1:16" x14ac:dyDescent="0.3">
      <c r="A4664" t="s">
        <v>3191</v>
      </c>
      <c r="C4664">
        <v>30</v>
      </c>
      <c r="D4664" t="s">
        <v>10</v>
      </c>
      <c r="E4664" t="s">
        <v>21</v>
      </c>
      <c r="F4664" s="43">
        <v>44606.479166666664</v>
      </c>
      <c r="G4664" s="43">
        <v>44606.5</v>
      </c>
      <c r="H4664">
        <v>11</v>
      </c>
      <c r="I4664">
        <v>30</v>
      </c>
      <c r="J4664">
        <v>12</v>
      </c>
      <c r="K4664">
        <v>0</v>
      </c>
      <c r="L4664">
        <v>2022</v>
      </c>
      <c r="N4664" t="s">
        <v>1260</v>
      </c>
      <c r="O4664" t="s">
        <v>50</v>
      </c>
      <c r="P4664" t="s">
        <v>3192</v>
      </c>
    </row>
    <row r="4665" spans="1:16" x14ac:dyDescent="0.3">
      <c r="A4665" t="s">
        <v>6</v>
      </c>
      <c r="C4665">
        <v>30</v>
      </c>
      <c r="D4665" t="s">
        <v>10</v>
      </c>
      <c r="F4665" s="43">
        <v>44606.458333333336</v>
      </c>
      <c r="G4665" s="43">
        <v>44606.479166666664</v>
      </c>
      <c r="H4665">
        <v>11</v>
      </c>
      <c r="I4665">
        <v>0</v>
      </c>
      <c r="J4665">
        <v>11</v>
      </c>
      <c r="K4665">
        <v>30</v>
      </c>
      <c r="L4665">
        <v>2022</v>
      </c>
      <c r="O4665" t="s">
        <v>47</v>
      </c>
      <c r="P4665" t="s">
        <v>3186</v>
      </c>
    </row>
    <row r="4666" spans="1:16" x14ac:dyDescent="0.3">
      <c r="A4666" t="s">
        <v>6</v>
      </c>
      <c r="C4666">
        <v>15</v>
      </c>
      <c r="D4666" t="s">
        <v>10</v>
      </c>
      <c r="F4666" s="43">
        <v>44606.416666666664</v>
      </c>
      <c r="G4666" s="43">
        <v>44606.427083333336</v>
      </c>
      <c r="H4666">
        <v>10</v>
      </c>
      <c r="I4666">
        <v>0</v>
      </c>
      <c r="J4666">
        <v>10</v>
      </c>
      <c r="K4666">
        <v>15</v>
      </c>
      <c r="L4666">
        <v>2022</v>
      </c>
      <c r="O4666" t="s">
        <v>47</v>
      </c>
      <c r="P4666" t="s">
        <v>3193</v>
      </c>
    </row>
    <row r="4667" spans="1:16" x14ac:dyDescent="0.3">
      <c r="A4667" t="s">
        <v>8</v>
      </c>
      <c r="C4667">
        <v>30</v>
      </c>
      <c r="D4667" t="s">
        <v>10</v>
      </c>
      <c r="F4667" s="43">
        <v>44606.34375</v>
      </c>
      <c r="G4667" s="43">
        <v>44606.364583333336</v>
      </c>
      <c r="H4667">
        <v>8</v>
      </c>
      <c r="I4667">
        <v>15</v>
      </c>
      <c r="J4667">
        <v>8</v>
      </c>
      <c r="K4667">
        <v>45</v>
      </c>
      <c r="L4667">
        <v>2022</v>
      </c>
      <c r="O4667" t="s">
        <v>47</v>
      </c>
      <c r="P4667" t="s">
        <v>3194</v>
      </c>
    </row>
    <row r="4668" spans="1:16" x14ac:dyDescent="0.3">
      <c r="A4668" t="s">
        <v>3049</v>
      </c>
      <c r="C4668">
        <v>30</v>
      </c>
      <c r="D4668" t="s">
        <v>10</v>
      </c>
      <c r="F4668" s="43">
        <v>44606.25</v>
      </c>
      <c r="G4668" s="43">
        <v>44606.270833333336</v>
      </c>
      <c r="H4668">
        <v>6</v>
      </c>
      <c r="I4668">
        <v>0</v>
      </c>
      <c r="J4668">
        <v>6</v>
      </c>
      <c r="K4668">
        <v>30</v>
      </c>
      <c r="L4668">
        <v>2022</v>
      </c>
      <c r="O4668" t="s">
        <v>47</v>
      </c>
      <c r="P4668" t="s">
        <v>3195</v>
      </c>
    </row>
    <row r="4669" spans="1:16" x14ac:dyDescent="0.3">
      <c r="A4669" t="s">
        <v>28</v>
      </c>
      <c r="B4669" t="s">
        <v>2222</v>
      </c>
      <c r="C4669">
        <v>25</v>
      </c>
      <c r="D4669" t="s">
        <v>10</v>
      </c>
      <c r="E4669" t="s">
        <v>3196</v>
      </c>
      <c r="F4669" s="43">
        <v>44605.770833333336</v>
      </c>
      <c r="G4669" s="43">
        <v>44605.788194444445</v>
      </c>
      <c r="H4669">
        <v>18</v>
      </c>
      <c r="I4669">
        <v>30</v>
      </c>
      <c r="J4669">
        <v>18</v>
      </c>
      <c r="K4669">
        <v>55</v>
      </c>
      <c r="L4669">
        <v>2022</v>
      </c>
      <c r="O4669" t="s">
        <v>47</v>
      </c>
      <c r="P4669" t="s">
        <v>3197</v>
      </c>
    </row>
    <row r="4670" spans="1:16" x14ac:dyDescent="0.3">
      <c r="A4670" t="s">
        <v>3198</v>
      </c>
      <c r="B4670" t="s">
        <v>109</v>
      </c>
      <c r="C4670">
        <v>45</v>
      </c>
      <c r="D4670" t="s">
        <v>10</v>
      </c>
      <c r="E4670" t="s">
        <v>3199</v>
      </c>
      <c r="F4670" s="43">
        <v>44605.708333333336</v>
      </c>
      <c r="G4670" s="43">
        <v>44605.739583333336</v>
      </c>
      <c r="H4670">
        <v>17</v>
      </c>
      <c r="I4670">
        <v>0</v>
      </c>
      <c r="J4670">
        <v>17</v>
      </c>
      <c r="K4670">
        <v>45</v>
      </c>
      <c r="L4670">
        <v>2022</v>
      </c>
      <c r="O4670" t="s">
        <v>47</v>
      </c>
      <c r="P4670" t="s">
        <v>3200</v>
      </c>
    </row>
    <row r="4671" spans="1:16" x14ac:dyDescent="0.3">
      <c r="A4671" t="s">
        <v>3198</v>
      </c>
      <c r="B4671" t="s">
        <v>109</v>
      </c>
      <c r="C4671">
        <v>60</v>
      </c>
      <c r="D4671" t="s">
        <v>10</v>
      </c>
      <c r="E4671" t="s">
        <v>3199</v>
      </c>
      <c r="F4671" s="43">
        <v>44605.631944444445</v>
      </c>
      <c r="G4671" s="43">
        <v>44605.673611111109</v>
      </c>
      <c r="H4671">
        <v>15</v>
      </c>
      <c r="I4671">
        <v>10</v>
      </c>
      <c r="J4671">
        <v>16</v>
      </c>
      <c r="K4671">
        <v>10</v>
      </c>
      <c r="L4671">
        <v>2022</v>
      </c>
      <c r="O4671" t="s">
        <v>47</v>
      </c>
      <c r="P4671" t="s">
        <v>3201</v>
      </c>
    </row>
    <row r="4672" spans="1:16" x14ac:dyDescent="0.3">
      <c r="A4672" t="s">
        <v>3202</v>
      </c>
      <c r="B4672" t="s">
        <v>109</v>
      </c>
      <c r="C4672">
        <v>45</v>
      </c>
      <c r="D4672" t="s">
        <v>10</v>
      </c>
      <c r="E4672" t="s">
        <v>3203</v>
      </c>
      <c r="F4672" s="43">
        <v>44605.53125</v>
      </c>
      <c r="G4672" s="43">
        <v>44605.5625</v>
      </c>
      <c r="H4672">
        <v>12</v>
      </c>
      <c r="I4672">
        <v>45</v>
      </c>
      <c r="J4672">
        <v>13</v>
      </c>
      <c r="K4672">
        <v>30</v>
      </c>
      <c r="L4672">
        <v>2022</v>
      </c>
      <c r="O4672" t="s">
        <v>47</v>
      </c>
      <c r="P4672" t="s">
        <v>3204</v>
      </c>
    </row>
    <row r="4673" spans="1:16" x14ac:dyDescent="0.3">
      <c r="A4673" t="s">
        <v>8</v>
      </c>
      <c r="B4673" t="s">
        <v>6</v>
      </c>
      <c r="C4673">
        <v>40</v>
      </c>
      <c r="D4673" t="s">
        <v>10</v>
      </c>
      <c r="F4673" s="43">
        <v>44605.479166666664</v>
      </c>
      <c r="G4673" s="43">
        <v>44605.506944444445</v>
      </c>
      <c r="H4673">
        <v>11</v>
      </c>
      <c r="I4673">
        <v>30</v>
      </c>
      <c r="J4673">
        <v>12</v>
      </c>
      <c r="K4673">
        <v>10</v>
      </c>
      <c r="L4673">
        <v>2022</v>
      </c>
      <c r="O4673" t="s">
        <v>47</v>
      </c>
      <c r="P4673" t="s">
        <v>3205</v>
      </c>
    </row>
    <row r="4674" spans="1:16" x14ac:dyDescent="0.3">
      <c r="A4674" t="s">
        <v>6</v>
      </c>
      <c r="B4674" t="s">
        <v>6</v>
      </c>
      <c r="C4674">
        <v>60</v>
      </c>
      <c r="D4674" t="s">
        <v>10</v>
      </c>
      <c r="F4674" s="43">
        <v>44605.34375</v>
      </c>
      <c r="G4674" s="43">
        <v>44605.385416666664</v>
      </c>
      <c r="H4674">
        <v>8</v>
      </c>
      <c r="I4674">
        <v>15</v>
      </c>
      <c r="J4674">
        <v>9</v>
      </c>
      <c r="K4674">
        <v>15</v>
      </c>
      <c r="L4674">
        <v>2022</v>
      </c>
      <c r="O4674" t="s">
        <v>47</v>
      </c>
      <c r="P4674" t="s">
        <v>3206</v>
      </c>
    </row>
    <row r="4675" spans="1:16" x14ac:dyDescent="0.3">
      <c r="A4675" t="s">
        <v>3207</v>
      </c>
      <c r="B4675" t="s">
        <v>3208</v>
      </c>
      <c r="C4675">
        <v>30</v>
      </c>
      <c r="D4675" t="s">
        <v>10</v>
      </c>
      <c r="E4675" t="s">
        <v>3209</v>
      </c>
      <c r="F4675" s="43">
        <v>44605.243055555555</v>
      </c>
      <c r="G4675" s="43">
        <v>44605.263888888891</v>
      </c>
      <c r="H4675">
        <v>5</v>
      </c>
      <c r="I4675">
        <v>50</v>
      </c>
      <c r="J4675">
        <v>6</v>
      </c>
      <c r="K4675">
        <v>20</v>
      </c>
      <c r="L4675">
        <v>2022</v>
      </c>
      <c r="O4675" t="s">
        <v>47</v>
      </c>
      <c r="P4675" t="s">
        <v>3210</v>
      </c>
    </row>
    <row r="4676" spans="1:16" x14ac:dyDescent="0.3">
      <c r="A4676" t="s">
        <v>28</v>
      </c>
      <c r="B4676" t="s">
        <v>2222</v>
      </c>
      <c r="C4676">
        <v>30</v>
      </c>
      <c r="D4676" t="s">
        <v>10</v>
      </c>
      <c r="E4676" t="s">
        <v>3196</v>
      </c>
      <c r="F4676" s="43">
        <v>44605.222222222219</v>
      </c>
      <c r="G4676" s="43">
        <v>44605.243055555555</v>
      </c>
      <c r="H4676">
        <v>5</v>
      </c>
      <c r="I4676">
        <v>20</v>
      </c>
      <c r="J4676">
        <v>5</v>
      </c>
      <c r="K4676">
        <v>50</v>
      </c>
      <c r="L4676">
        <v>2022</v>
      </c>
      <c r="O4676" t="s">
        <v>47</v>
      </c>
      <c r="P4676" t="s">
        <v>3211</v>
      </c>
    </row>
    <row r="4677" spans="1:16" x14ac:dyDescent="0.3">
      <c r="A4677" t="s">
        <v>8</v>
      </c>
      <c r="C4677">
        <v>45</v>
      </c>
      <c r="D4677" t="s">
        <v>10</v>
      </c>
      <c r="F4677" s="43">
        <v>44604.791666666664</v>
      </c>
      <c r="G4677" s="43">
        <v>44604.822916666664</v>
      </c>
      <c r="H4677">
        <v>19</v>
      </c>
      <c r="I4677">
        <v>0</v>
      </c>
      <c r="J4677">
        <v>19</v>
      </c>
      <c r="K4677">
        <v>45</v>
      </c>
      <c r="L4677">
        <v>2022</v>
      </c>
      <c r="O4677" t="s">
        <v>47</v>
      </c>
      <c r="P4677" t="s">
        <v>3212</v>
      </c>
    </row>
    <row r="4678" spans="1:16" x14ac:dyDescent="0.3">
      <c r="A4678" t="s">
        <v>3049</v>
      </c>
      <c r="C4678">
        <v>60</v>
      </c>
      <c r="D4678" t="s">
        <v>10</v>
      </c>
      <c r="F4678" s="43">
        <v>44604.6875</v>
      </c>
      <c r="G4678" s="43">
        <v>44604.729166666664</v>
      </c>
      <c r="H4678">
        <v>16</v>
      </c>
      <c r="I4678">
        <v>30</v>
      </c>
      <c r="J4678">
        <v>17</v>
      </c>
      <c r="K4678">
        <v>30</v>
      </c>
      <c r="L4678">
        <v>2022</v>
      </c>
      <c r="O4678" t="s">
        <v>47</v>
      </c>
      <c r="P4678" t="s">
        <v>3213</v>
      </c>
    </row>
    <row r="4679" spans="1:16" x14ac:dyDescent="0.3">
      <c r="A4679" t="s">
        <v>3214</v>
      </c>
      <c r="B4679" t="s">
        <v>2222</v>
      </c>
      <c r="C4679">
        <v>60</v>
      </c>
      <c r="D4679" t="s">
        <v>10</v>
      </c>
      <c r="E4679" t="s">
        <v>3196</v>
      </c>
      <c r="F4679" s="43">
        <v>44604.583333333336</v>
      </c>
      <c r="G4679" s="43">
        <v>44604.625</v>
      </c>
      <c r="H4679">
        <v>14</v>
      </c>
      <c r="I4679">
        <v>0</v>
      </c>
      <c r="J4679">
        <v>15</v>
      </c>
      <c r="K4679">
        <v>0</v>
      </c>
      <c r="L4679">
        <v>2022</v>
      </c>
      <c r="O4679" t="s">
        <v>47</v>
      </c>
      <c r="P4679" t="s">
        <v>3215</v>
      </c>
    </row>
    <row r="4680" spans="1:16" x14ac:dyDescent="0.3">
      <c r="A4680" t="s">
        <v>3049</v>
      </c>
      <c r="C4680">
        <v>75</v>
      </c>
      <c r="D4680" t="s">
        <v>10</v>
      </c>
      <c r="F4680" s="43">
        <v>44604.25</v>
      </c>
      <c r="G4680" s="43">
        <v>44604.302083333336</v>
      </c>
      <c r="H4680">
        <v>6</v>
      </c>
      <c r="I4680">
        <v>0</v>
      </c>
      <c r="J4680">
        <v>7</v>
      </c>
      <c r="K4680">
        <v>15</v>
      </c>
      <c r="L4680">
        <v>2022</v>
      </c>
      <c r="O4680" t="s">
        <v>47</v>
      </c>
      <c r="P4680" t="s">
        <v>3216</v>
      </c>
    </row>
    <row r="4681" spans="1:16" x14ac:dyDescent="0.3">
      <c r="A4681" t="s">
        <v>3217</v>
      </c>
      <c r="C4681">
        <v>90</v>
      </c>
      <c r="D4681" t="s">
        <v>10</v>
      </c>
      <c r="F4681" s="43">
        <v>44603.6875</v>
      </c>
      <c r="G4681" s="43">
        <v>44603.75</v>
      </c>
      <c r="H4681">
        <v>16</v>
      </c>
      <c r="I4681">
        <v>30</v>
      </c>
      <c r="J4681">
        <v>18</v>
      </c>
      <c r="K4681">
        <v>0</v>
      </c>
      <c r="L4681">
        <v>2022</v>
      </c>
      <c r="O4681" t="s">
        <v>47</v>
      </c>
      <c r="P4681" t="s">
        <v>3218</v>
      </c>
    </row>
    <row r="4682" spans="1:16" x14ac:dyDescent="0.3">
      <c r="A4682" t="s">
        <v>3149</v>
      </c>
      <c r="C4682">
        <v>40</v>
      </c>
      <c r="D4682" t="s">
        <v>10</v>
      </c>
      <c r="F4682" s="43">
        <v>44603.583333333336</v>
      </c>
      <c r="G4682" s="43">
        <v>44603.611111111109</v>
      </c>
      <c r="H4682">
        <v>14</v>
      </c>
      <c r="I4682">
        <v>0</v>
      </c>
      <c r="J4682">
        <v>14</v>
      </c>
      <c r="K4682">
        <v>40</v>
      </c>
      <c r="L4682">
        <v>2022</v>
      </c>
      <c r="O4682" t="s">
        <v>47</v>
      </c>
      <c r="P4682" t="s">
        <v>3219</v>
      </c>
    </row>
    <row r="4683" spans="1:16" x14ac:dyDescent="0.3">
      <c r="A4683" t="s">
        <v>8</v>
      </c>
      <c r="C4683">
        <v>12</v>
      </c>
      <c r="D4683" t="s">
        <v>10</v>
      </c>
      <c r="F4683" s="43">
        <v>44603.5625</v>
      </c>
      <c r="G4683" s="43">
        <v>44603.570833333331</v>
      </c>
      <c r="H4683">
        <v>13</v>
      </c>
      <c r="I4683">
        <v>30</v>
      </c>
      <c r="J4683">
        <v>13</v>
      </c>
      <c r="K4683">
        <v>42</v>
      </c>
      <c r="L4683">
        <v>2022</v>
      </c>
      <c r="O4683" t="s">
        <v>47</v>
      </c>
      <c r="P4683" t="s">
        <v>3220</v>
      </c>
    </row>
    <row r="4684" spans="1:16" x14ac:dyDescent="0.3">
      <c r="A4684" t="s">
        <v>3223</v>
      </c>
      <c r="C4684">
        <v>30</v>
      </c>
      <c r="D4684" t="s">
        <v>10</v>
      </c>
      <c r="E4684" t="s">
        <v>2807</v>
      </c>
      <c r="F4684" s="43">
        <v>44603.541666666664</v>
      </c>
      <c r="G4684" s="43">
        <v>44603.5625</v>
      </c>
      <c r="H4684">
        <v>13</v>
      </c>
      <c r="I4684">
        <v>0</v>
      </c>
      <c r="J4684">
        <v>13</v>
      </c>
      <c r="K4684">
        <v>30</v>
      </c>
      <c r="L4684">
        <v>2022</v>
      </c>
      <c r="N4684" t="s">
        <v>3224</v>
      </c>
      <c r="O4684" t="s">
        <v>47</v>
      </c>
      <c r="P4684" t="s">
        <v>3225</v>
      </c>
    </row>
    <row r="4685" spans="1:16" x14ac:dyDescent="0.3">
      <c r="A4685" t="s">
        <v>789</v>
      </c>
      <c r="C4685">
        <v>60</v>
      </c>
      <c r="D4685" t="s">
        <v>10</v>
      </c>
      <c r="F4685" s="1">
        <v>44603.479166666664</v>
      </c>
      <c r="G4685" s="1">
        <v>44603.520833333336</v>
      </c>
      <c r="H4685">
        <v>11</v>
      </c>
      <c r="I4685">
        <v>30</v>
      </c>
      <c r="J4685">
        <v>12</v>
      </c>
      <c r="K4685">
        <v>30</v>
      </c>
      <c r="L4685">
        <v>2022</v>
      </c>
      <c r="O4685" t="s">
        <v>47</v>
      </c>
      <c r="P4685" t="s">
        <v>3221</v>
      </c>
    </row>
    <row r="4686" spans="1:16" x14ac:dyDescent="0.3">
      <c r="A4686" t="s">
        <v>7</v>
      </c>
      <c r="C4686">
        <v>30</v>
      </c>
      <c r="D4686" t="s">
        <v>10</v>
      </c>
      <c r="F4686" s="43">
        <v>44603.458333333336</v>
      </c>
      <c r="G4686" s="43">
        <v>44603.479166666664</v>
      </c>
      <c r="H4686">
        <v>11</v>
      </c>
      <c r="I4686">
        <v>0</v>
      </c>
      <c r="J4686">
        <v>11</v>
      </c>
      <c r="K4686">
        <v>30</v>
      </c>
      <c r="L4686">
        <v>2022</v>
      </c>
      <c r="O4686" t="s">
        <v>47</v>
      </c>
      <c r="P4686" t="s">
        <v>3222</v>
      </c>
    </row>
    <row r="4687" spans="1:16" x14ac:dyDescent="0.3">
      <c r="A4687" t="s">
        <v>6</v>
      </c>
      <c r="C4687">
        <v>60</v>
      </c>
      <c r="D4687" t="s">
        <v>10</v>
      </c>
      <c r="F4687" s="43">
        <v>44603.388888888891</v>
      </c>
      <c r="G4687" s="43">
        <v>44603.430555555555</v>
      </c>
      <c r="H4687">
        <v>9</v>
      </c>
      <c r="I4687">
        <v>20</v>
      </c>
      <c r="J4687">
        <v>10</v>
      </c>
      <c r="K4687">
        <v>20</v>
      </c>
      <c r="L4687">
        <v>2022</v>
      </c>
      <c r="O4687" t="s">
        <v>47</v>
      </c>
      <c r="P4687" t="s">
        <v>3226</v>
      </c>
    </row>
    <row r="4688" spans="1:16" x14ac:dyDescent="0.3">
      <c r="A4688" t="s">
        <v>17</v>
      </c>
      <c r="C4688">
        <v>30</v>
      </c>
      <c r="D4688" t="s">
        <v>10</v>
      </c>
      <c r="F4688" s="43">
        <v>44603.340277777781</v>
      </c>
      <c r="G4688" s="43">
        <v>44603.361111111109</v>
      </c>
      <c r="H4688">
        <v>8</v>
      </c>
      <c r="I4688">
        <v>10</v>
      </c>
      <c r="J4688">
        <v>8</v>
      </c>
      <c r="K4688">
        <v>40</v>
      </c>
      <c r="L4688">
        <v>2022</v>
      </c>
      <c r="O4688" t="s">
        <v>47</v>
      </c>
      <c r="P4688" t="s">
        <v>3227</v>
      </c>
    </row>
    <row r="4689" spans="1:16" x14ac:dyDescent="0.3">
      <c r="A4689" t="s">
        <v>8</v>
      </c>
      <c r="C4689">
        <v>30</v>
      </c>
      <c r="D4689" t="s">
        <v>10</v>
      </c>
      <c r="F4689" s="43">
        <v>44603.270833333336</v>
      </c>
      <c r="G4689" s="43">
        <v>44603.291666666664</v>
      </c>
      <c r="H4689">
        <v>6</v>
      </c>
      <c r="I4689">
        <v>30</v>
      </c>
      <c r="J4689">
        <v>7</v>
      </c>
      <c r="K4689">
        <v>0</v>
      </c>
      <c r="L4689">
        <v>2022</v>
      </c>
      <c r="O4689" t="s">
        <v>47</v>
      </c>
      <c r="P4689" t="s">
        <v>3228</v>
      </c>
    </row>
    <row r="4690" spans="1:16" x14ac:dyDescent="0.3">
      <c r="A4690" t="s">
        <v>3271</v>
      </c>
      <c r="C4690">
        <v>30</v>
      </c>
      <c r="D4690" t="s">
        <v>256</v>
      </c>
      <c r="E4690" t="s">
        <v>1599</v>
      </c>
      <c r="F4690" s="43">
        <v>44603</v>
      </c>
      <c r="G4690" s="43">
        <v>44614</v>
      </c>
      <c r="H4690">
        <v>7</v>
      </c>
      <c r="I4690">
        <v>0</v>
      </c>
      <c r="J4690">
        <v>7</v>
      </c>
      <c r="K4690">
        <v>30</v>
      </c>
      <c r="L4690">
        <v>2022</v>
      </c>
      <c r="N4690" t="s">
        <v>3272</v>
      </c>
      <c r="O4690" t="s">
        <v>1987</v>
      </c>
      <c r="P4690" t="s">
        <v>3273</v>
      </c>
    </row>
    <row r="4691" spans="1:16" x14ac:dyDescent="0.3">
      <c r="A4691" t="s">
        <v>3049</v>
      </c>
      <c r="C4691">
        <v>60</v>
      </c>
      <c r="D4691" t="s">
        <v>10</v>
      </c>
      <c r="F4691" s="43">
        <v>44602.739583333336</v>
      </c>
      <c r="G4691" s="43">
        <v>44602.78125</v>
      </c>
      <c r="H4691">
        <v>17</v>
      </c>
      <c r="I4691">
        <v>45</v>
      </c>
      <c r="J4691">
        <v>18</v>
      </c>
      <c r="K4691">
        <v>45</v>
      </c>
      <c r="L4691">
        <v>2022</v>
      </c>
      <c r="O4691" t="s">
        <v>47</v>
      </c>
      <c r="P4691" t="s">
        <v>3232</v>
      </c>
    </row>
    <row r="4692" spans="1:16" x14ac:dyDescent="0.3">
      <c r="A4692" t="s">
        <v>9</v>
      </c>
      <c r="C4692">
        <v>40</v>
      </c>
      <c r="D4692" t="s">
        <v>10</v>
      </c>
      <c r="F4692" s="43">
        <v>44602.666666666664</v>
      </c>
      <c r="G4692" s="43">
        <v>44602.694444444445</v>
      </c>
      <c r="H4692">
        <v>16</v>
      </c>
      <c r="I4692">
        <v>0</v>
      </c>
      <c r="J4692">
        <v>16</v>
      </c>
      <c r="K4692">
        <v>40</v>
      </c>
      <c r="L4692">
        <v>2022</v>
      </c>
      <c r="O4692" t="s">
        <v>47</v>
      </c>
      <c r="P4692" t="s">
        <v>3233</v>
      </c>
    </row>
    <row r="4693" spans="1:16" x14ac:dyDescent="0.3">
      <c r="A4693" t="s">
        <v>3234</v>
      </c>
      <c r="C4693">
        <v>30</v>
      </c>
      <c r="D4693" t="s">
        <v>10</v>
      </c>
      <c r="F4693" s="43">
        <v>44602.625</v>
      </c>
      <c r="G4693" s="43">
        <v>44602.645833333336</v>
      </c>
      <c r="H4693">
        <v>15</v>
      </c>
      <c r="I4693">
        <v>0</v>
      </c>
      <c r="J4693">
        <v>15</v>
      </c>
      <c r="K4693">
        <v>30</v>
      </c>
      <c r="L4693">
        <v>2022</v>
      </c>
      <c r="O4693" t="s">
        <v>47</v>
      </c>
      <c r="P4693" t="s">
        <v>3235</v>
      </c>
    </row>
    <row r="4694" spans="1:16" x14ac:dyDescent="0.3">
      <c r="A4694" t="s">
        <v>3236</v>
      </c>
      <c r="C4694">
        <v>45</v>
      </c>
      <c r="D4694" t="s">
        <v>10</v>
      </c>
      <c r="F4694" s="43">
        <v>44602.572916666664</v>
      </c>
      <c r="G4694" s="43">
        <v>44602.604166666664</v>
      </c>
      <c r="H4694">
        <v>13</v>
      </c>
      <c r="I4694">
        <v>45</v>
      </c>
      <c r="J4694">
        <v>14</v>
      </c>
      <c r="K4694">
        <v>30</v>
      </c>
      <c r="L4694">
        <v>2022</v>
      </c>
      <c r="O4694" t="s">
        <v>47</v>
      </c>
      <c r="P4694" t="s">
        <v>3237</v>
      </c>
    </row>
    <row r="4695" spans="1:16" x14ac:dyDescent="0.3">
      <c r="A4695" t="s">
        <v>3238</v>
      </c>
      <c r="C4695">
        <v>30</v>
      </c>
      <c r="D4695" t="s">
        <v>10</v>
      </c>
      <c r="F4695" s="43">
        <v>44602.541666666664</v>
      </c>
      <c r="G4695" s="43">
        <v>44602.5625</v>
      </c>
      <c r="H4695">
        <v>13</v>
      </c>
      <c r="I4695">
        <v>0</v>
      </c>
      <c r="J4695">
        <v>13</v>
      </c>
      <c r="K4695">
        <v>30</v>
      </c>
      <c r="L4695">
        <v>2022</v>
      </c>
      <c r="O4695" t="s">
        <v>47</v>
      </c>
      <c r="P4695" t="s">
        <v>3239</v>
      </c>
    </row>
    <row r="4696" spans="1:16" x14ac:dyDescent="0.3">
      <c r="A4696" t="s">
        <v>3240</v>
      </c>
      <c r="C4696">
        <v>10</v>
      </c>
      <c r="D4696" t="s">
        <v>10</v>
      </c>
      <c r="F4696" s="43">
        <v>44602.479166666664</v>
      </c>
      <c r="G4696" s="43">
        <v>44602.486111111109</v>
      </c>
      <c r="H4696">
        <v>11</v>
      </c>
      <c r="I4696">
        <v>30</v>
      </c>
      <c r="J4696">
        <v>11</v>
      </c>
      <c r="K4696">
        <v>40</v>
      </c>
      <c r="L4696">
        <v>2022</v>
      </c>
      <c r="O4696" t="s">
        <v>47</v>
      </c>
      <c r="P4696" t="s">
        <v>3241</v>
      </c>
    </row>
    <row r="4697" spans="1:16" x14ac:dyDescent="0.3">
      <c r="A4697" t="s">
        <v>3240</v>
      </c>
      <c r="C4697">
        <v>30</v>
      </c>
      <c r="D4697" t="s">
        <v>10</v>
      </c>
      <c r="F4697" s="43">
        <v>44602.4375</v>
      </c>
      <c r="G4697" s="43">
        <v>44602.458333333336</v>
      </c>
      <c r="H4697">
        <v>10</v>
      </c>
      <c r="I4697">
        <v>30</v>
      </c>
      <c r="J4697">
        <v>11</v>
      </c>
      <c r="K4697">
        <v>0</v>
      </c>
      <c r="L4697">
        <v>2022</v>
      </c>
      <c r="O4697" t="s">
        <v>47</v>
      </c>
      <c r="P4697" t="s">
        <v>3242</v>
      </c>
    </row>
    <row r="4698" spans="1:16" x14ac:dyDescent="0.3">
      <c r="A4698" t="s">
        <v>827</v>
      </c>
      <c r="C4698">
        <v>45</v>
      </c>
      <c r="D4698" t="s">
        <v>10</v>
      </c>
      <c r="F4698" s="43">
        <v>44602.402777777781</v>
      </c>
      <c r="G4698" s="43">
        <v>44602.434027777781</v>
      </c>
      <c r="H4698">
        <v>9</v>
      </c>
      <c r="I4698">
        <v>40</v>
      </c>
      <c r="J4698">
        <v>10</v>
      </c>
      <c r="K4698">
        <v>25</v>
      </c>
      <c r="L4698">
        <v>2022</v>
      </c>
      <c r="O4698" t="s">
        <v>47</v>
      </c>
      <c r="P4698" t="s">
        <v>3243</v>
      </c>
    </row>
    <row r="4699" spans="1:16" x14ac:dyDescent="0.3">
      <c r="A4699" t="s">
        <v>789</v>
      </c>
      <c r="C4699">
        <v>60</v>
      </c>
      <c r="D4699" t="s">
        <v>10</v>
      </c>
      <c r="F4699" s="43">
        <v>44602.361111111109</v>
      </c>
      <c r="G4699" s="43">
        <v>44602.402777777781</v>
      </c>
      <c r="H4699">
        <v>8</v>
      </c>
      <c r="I4699">
        <v>40</v>
      </c>
      <c r="J4699">
        <v>9</v>
      </c>
      <c r="K4699">
        <v>40</v>
      </c>
      <c r="L4699">
        <v>2022</v>
      </c>
      <c r="O4699" t="s">
        <v>47</v>
      </c>
      <c r="P4699" t="s">
        <v>3244</v>
      </c>
    </row>
    <row r="4700" spans="1:16" x14ac:dyDescent="0.3">
      <c r="A4700" t="s">
        <v>6</v>
      </c>
      <c r="C4700">
        <v>50</v>
      </c>
      <c r="D4700" t="s">
        <v>10</v>
      </c>
      <c r="F4700" s="43">
        <v>44602.3125</v>
      </c>
      <c r="G4700" s="43">
        <v>44602.347222222219</v>
      </c>
      <c r="H4700">
        <v>7</v>
      </c>
      <c r="I4700">
        <v>30</v>
      </c>
      <c r="J4700">
        <v>8</v>
      </c>
      <c r="K4700">
        <v>20</v>
      </c>
      <c r="L4700">
        <v>2022</v>
      </c>
      <c r="O4700" t="s">
        <v>47</v>
      </c>
      <c r="P4700" t="s">
        <v>3245</v>
      </c>
    </row>
    <row r="4701" spans="1:16" x14ac:dyDescent="0.3">
      <c r="A4701" t="s">
        <v>8</v>
      </c>
      <c r="C4701">
        <v>30</v>
      </c>
      <c r="D4701" t="s">
        <v>10</v>
      </c>
      <c r="F4701" s="43">
        <v>44601.798611111109</v>
      </c>
      <c r="G4701" s="43">
        <v>44601.819444444445</v>
      </c>
      <c r="H4701">
        <v>19</v>
      </c>
      <c r="I4701">
        <v>10</v>
      </c>
      <c r="J4701">
        <v>19</v>
      </c>
      <c r="K4701">
        <v>40</v>
      </c>
      <c r="L4701">
        <v>2022</v>
      </c>
      <c r="O4701" t="s">
        <v>47</v>
      </c>
      <c r="P4701" t="s">
        <v>3246</v>
      </c>
    </row>
    <row r="4702" spans="1:16" x14ac:dyDescent="0.3">
      <c r="A4702" t="s">
        <v>8</v>
      </c>
      <c r="C4702">
        <v>30</v>
      </c>
      <c r="D4702" t="s">
        <v>10</v>
      </c>
      <c r="F4702" s="43">
        <v>44601.770833333336</v>
      </c>
      <c r="G4702" s="43">
        <v>44601.791666666664</v>
      </c>
      <c r="H4702">
        <v>18</v>
      </c>
      <c r="I4702">
        <v>30</v>
      </c>
      <c r="J4702">
        <v>19</v>
      </c>
      <c r="K4702">
        <v>0</v>
      </c>
      <c r="L4702">
        <v>2022</v>
      </c>
      <c r="O4702" t="s">
        <v>47</v>
      </c>
      <c r="P4702" t="s">
        <v>3247</v>
      </c>
    </row>
    <row r="4703" spans="1:16" x14ac:dyDescent="0.3">
      <c r="A4703" t="s">
        <v>6</v>
      </c>
      <c r="C4703">
        <v>60</v>
      </c>
      <c r="D4703" t="s">
        <v>10</v>
      </c>
      <c r="F4703" s="43">
        <v>44601.666666666664</v>
      </c>
      <c r="G4703" s="43">
        <v>44601.708333333336</v>
      </c>
      <c r="H4703">
        <v>16</v>
      </c>
      <c r="I4703">
        <v>0</v>
      </c>
      <c r="J4703">
        <v>17</v>
      </c>
      <c r="K4703">
        <v>0</v>
      </c>
      <c r="L4703">
        <v>2022</v>
      </c>
      <c r="O4703" t="s">
        <v>47</v>
      </c>
      <c r="P4703" t="s">
        <v>3251</v>
      </c>
    </row>
    <row r="4704" spans="1:16" x14ac:dyDescent="0.3">
      <c r="A4704" t="s">
        <v>3236</v>
      </c>
      <c r="B4704" t="s">
        <v>3149</v>
      </c>
      <c r="C4704">
        <v>45</v>
      </c>
      <c r="D4704" t="s">
        <v>10</v>
      </c>
      <c r="F4704" s="43">
        <v>44601.625</v>
      </c>
      <c r="G4704" s="43">
        <v>44601.65625</v>
      </c>
      <c r="H4704">
        <v>15</v>
      </c>
      <c r="I4704">
        <v>0</v>
      </c>
      <c r="J4704">
        <v>15</v>
      </c>
      <c r="K4704">
        <v>45</v>
      </c>
      <c r="L4704">
        <v>2022</v>
      </c>
      <c r="O4704" t="s">
        <v>47</v>
      </c>
      <c r="P4704" t="s">
        <v>3252</v>
      </c>
    </row>
    <row r="4705" spans="1:16" x14ac:dyDescent="0.3">
      <c r="A4705" t="s">
        <v>7</v>
      </c>
      <c r="C4705">
        <v>40</v>
      </c>
      <c r="D4705" t="s">
        <v>10</v>
      </c>
      <c r="F4705" s="43">
        <v>44601.541666666664</v>
      </c>
      <c r="G4705" s="43">
        <v>44601.569444444445</v>
      </c>
      <c r="H4705">
        <v>13</v>
      </c>
      <c r="I4705">
        <v>0</v>
      </c>
      <c r="J4705">
        <v>13</v>
      </c>
      <c r="K4705">
        <v>40</v>
      </c>
      <c r="L4705">
        <v>2022</v>
      </c>
      <c r="O4705" t="s">
        <v>47</v>
      </c>
      <c r="P4705" t="s">
        <v>3253</v>
      </c>
    </row>
    <row r="4706" spans="1:16" x14ac:dyDescent="0.3">
      <c r="A4706" t="s">
        <v>3384</v>
      </c>
      <c r="B4706" t="s">
        <v>20</v>
      </c>
      <c r="C4706">
        <v>45</v>
      </c>
      <c r="D4706" t="s">
        <v>10</v>
      </c>
      <c r="E4706" t="s">
        <v>2835</v>
      </c>
      <c r="F4706" s="43">
        <v>44601.479166666664</v>
      </c>
      <c r="G4706" s="43">
        <v>44601.510416666664</v>
      </c>
      <c r="H4706">
        <v>11</v>
      </c>
      <c r="I4706">
        <v>30</v>
      </c>
      <c r="J4706">
        <v>12</v>
      </c>
      <c r="K4706">
        <v>15</v>
      </c>
      <c r="L4706">
        <v>2022</v>
      </c>
      <c r="N4706" t="s">
        <v>3385</v>
      </c>
      <c r="O4706" t="s">
        <v>48</v>
      </c>
      <c r="P4706" t="s">
        <v>3386</v>
      </c>
    </row>
    <row r="4707" spans="1:16" x14ac:dyDescent="0.3">
      <c r="A4707" t="s">
        <v>446</v>
      </c>
      <c r="C4707">
        <v>25</v>
      </c>
      <c r="D4707" t="s">
        <v>10</v>
      </c>
      <c r="F4707" s="43">
        <v>44601.447916666664</v>
      </c>
      <c r="G4707" s="43">
        <v>44601.465277777781</v>
      </c>
      <c r="H4707">
        <v>10</v>
      </c>
      <c r="I4707">
        <v>45</v>
      </c>
      <c r="J4707">
        <v>11</v>
      </c>
      <c r="K4707">
        <v>10</v>
      </c>
      <c r="L4707">
        <v>2022</v>
      </c>
      <c r="O4707" t="s">
        <v>47</v>
      </c>
      <c r="P4707" t="s">
        <v>3256</v>
      </c>
    </row>
    <row r="4708" spans="1:16" x14ac:dyDescent="0.3">
      <c r="A4708" t="s">
        <v>6</v>
      </c>
      <c r="C4708">
        <v>30</v>
      </c>
      <c r="D4708" t="s">
        <v>10</v>
      </c>
      <c r="F4708" s="43">
        <v>44601.416666666664</v>
      </c>
      <c r="G4708" s="43">
        <v>44601.4375</v>
      </c>
      <c r="H4708">
        <v>10</v>
      </c>
      <c r="I4708">
        <v>0</v>
      </c>
      <c r="J4708">
        <v>10</v>
      </c>
      <c r="K4708">
        <v>30</v>
      </c>
      <c r="L4708">
        <v>2022</v>
      </c>
      <c r="O4708" t="s">
        <v>47</v>
      </c>
      <c r="P4708" t="s">
        <v>3257</v>
      </c>
    </row>
    <row r="4709" spans="1:16" x14ac:dyDescent="0.3">
      <c r="A4709" t="s">
        <v>3288</v>
      </c>
      <c r="B4709" t="s">
        <v>20</v>
      </c>
      <c r="C4709">
        <v>60</v>
      </c>
      <c r="D4709" t="s">
        <v>10</v>
      </c>
      <c r="E4709" t="s">
        <v>5</v>
      </c>
      <c r="F4709" s="43">
        <v>44601.375</v>
      </c>
      <c r="G4709" s="43">
        <v>44601.416666666664</v>
      </c>
      <c r="H4709">
        <v>9</v>
      </c>
      <c r="I4709">
        <v>0</v>
      </c>
      <c r="J4709">
        <v>10</v>
      </c>
      <c r="K4709">
        <v>0</v>
      </c>
      <c r="L4709">
        <v>2022</v>
      </c>
      <c r="N4709" t="s">
        <v>3289</v>
      </c>
      <c r="O4709" t="s">
        <v>2840</v>
      </c>
      <c r="P4709" t="s">
        <v>3290</v>
      </c>
    </row>
    <row r="4710" spans="1:16" x14ac:dyDescent="0.3">
      <c r="A4710" t="s">
        <v>3254</v>
      </c>
      <c r="C4710">
        <v>30</v>
      </c>
      <c r="D4710" t="s">
        <v>10</v>
      </c>
      <c r="F4710" s="43">
        <v>44601.333333333336</v>
      </c>
      <c r="G4710" s="43">
        <v>44601.354166666664</v>
      </c>
      <c r="H4710">
        <v>8</v>
      </c>
      <c r="I4710">
        <v>0</v>
      </c>
      <c r="J4710">
        <v>8</v>
      </c>
      <c r="K4710">
        <v>30</v>
      </c>
      <c r="L4710">
        <v>2022</v>
      </c>
      <c r="O4710" t="s">
        <v>47</v>
      </c>
      <c r="P4710" t="s">
        <v>3255</v>
      </c>
    </row>
    <row r="4711" spans="1:16" x14ac:dyDescent="0.3">
      <c r="A4711" t="s">
        <v>28</v>
      </c>
      <c r="C4711">
        <v>30</v>
      </c>
      <c r="D4711" t="s">
        <v>10</v>
      </c>
      <c r="E4711" t="s">
        <v>21</v>
      </c>
      <c r="F4711" s="43">
        <v>44601.3125</v>
      </c>
      <c r="G4711" s="43">
        <v>44601.333333333336</v>
      </c>
      <c r="H4711">
        <v>7</v>
      </c>
      <c r="I4711">
        <v>30</v>
      </c>
      <c r="J4711">
        <v>8</v>
      </c>
      <c r="K4711">
        <v>0</v>
      </c>
      <c r="L4711">
        <v>2022</v>
      </c>
      <c r="N4711" t="s">
        <v>3039</v>
      </c>
      <c r="O4711" t="s">
        <v>50</v>
      </c>
      <c r="P4711" t="s">
        <v>3294</v>
      </c>
    </row>
    <row r="4712" spans="1:16" x14ac:dyDescent="0.3">
      <c r="A4712" t="s">
        <v>3271</v>
      </c>
      <c r="C4712">
        <v>30</v>
      </c>
      <c r="D4712" t="s">
        <v>10</v>
      </c>
      <c r="E4712" t="s">
        <v>1599</v>
      </c>
      <c r="F4712" s="43">
        <v>44601.291666666664</v>
      </c>
      <c r="G4712" s="43">
        <v>44601.3125</v>
      </c>
      <c r="H4712">
        <v>7</v>
      </c>
      <c r="I4712">
        <v>0</v>
      </c>
      <c r="J4712">
        <v>7</v>
      </c>
      <c r="K4712">
        <v>30</v>
      </c>
      <c r="L4712">
        <v>2022</v>
      </c>
      <c r="N4712" t="s">
        <v>3272</v>
      </c>
      <c r="O4712" t="s">
        <v>1987</v>
      </c>
      <c r="P4712" t="s">
        <v>3274</v>
      </c>
    </row>
    <row r="4713" spans="1:16" x14ac:dyDescent="0.3">
      <c r="A4713" t="s">
        <v>3258</v>
      </c>
      <c r="B4713" t="s">
        <v>109</v>
      </c>
      <c r="C4713">
        <v>45</v>
      </c>
      <c r="D4713" t="s">
        <v>10</v>
      </c>
      <c r="F4713" s="43">
        <v>44601.229166666664</v>
      </c>
      <c r="G4713" s="43">
        <v>44601.260416666664</v>
      </c>
      <c r="H4713">
        <v>5</v>
      </c>
      <c r="I4713">
        <v>30</v>
      </c>
      <c r="J4713">
        <v>6</v>
      </c>
      <c r="K4713">
        <v>15</v>
      </c>
      <c r="L4713">
        <v>2022</v>
      </c>
      <c r="O4713" t="s">
        <v>47</v>
      </c>
      <c r="P4713" t="s">
        <v>3259</v>
      </c>
    </row>
    <row r="4714" spans="1:16" x14ac:dyDescent="0.3">
      <c r="A4714" t="s">
        <v>3260</v>
      </c>
      <c r="C4714">
        <v>20</v>
      </c>
      <c r="D4714" t="s">
        <v>10</v>
      </c>
      <c r="F4714" s="43">
        <v>44600.833333333336</v>
      </c>
      <c r="G4714" s="43">
        <v>44600.847222222219</v>
      </c>
      <c r="H4714">
        <v>20</v>
      </c>
      <c r="I4714">
        <v>0</v>
      </c>
      <c r="J4714">
        <v>20</v>
      </c>
      <c r="K4714">
        <v>20</v>
      </c>
      <c r="L4714">
        <v>2022</v>
      </c>
      <c r="O4714" t="s">
        <v>47</v>
      </c>
      <c r="P4714" t="s">
        <v>3261</v>
      </c>
    </row>
    <row r="4715" spans="1:16" x14ac:dyDescent="0.3">
      <c r="A4715" t="s">
        <v>1769</v>
      </c>
      <c r="C4715">
        <v>20</v>
      </c>
      <c r="D4715" t="s">
        <v>10</v>
      </c>
      <c r="F4715" s="43">
        <v>44600.8125</v>
      </c>
      <c r="G4715" s="43">
        <v>44600.826388888891</v>
      </c>
      <c r="H4715">
        <v>19</v>
      </c>
      <c r="I4715">
        <v>30</v>
      </c>
      <c r="J4715">
        <v>19</v>
      </c>
      <c r="K4715">
        <v>50</v>
      </c>
      <c r="L4715">
        <v>2022</v>
      </c>
      <c r="O4715" t="s">
        <v>47</v>
      </c>
      <c r="P4715" t="s">
        <v>3262</v>
      </c>
    </row>
    <row r="4716" spans="1:16" x14ac:dyDescent="0.3">
      <c r="A4716" t="s">
        <v>29</v>
      </c>
      <c r="B4716" t="s">
        <v>109</v>
      </c>
      <c r="C4716">
        <v>30</v>
      </c>
      <c r="D4716" t="s">
        <v>10</v>
      </c>
      <c r="F4716" s="43">
        <v>44600.770833333336</v>
      </c>
      <c r="G4716" s="43">
        <v>44600.791666666664</v>
      </c>
      <c r="H4716">
        <v>18</v>
      </c>
      <c r="I4716">
        <v>30</v>
      </c>
      <c r="J4716">
        <v>19</v>
      </c>
      <c r="K4716">
        <v>0</v>
      </c>
      <c r="L4716">
        <v>2022</v>
      </c>
      <c r="O4716" t="s">
        <v>47</v>
      </c>
      <c r="P4716" t="s">
        <v>3263</v>
      </c>
    </row>
    <row r="4717" spans="1:16" x14ac:dyDescent="0.3">
      <c r="A4717" t="s">
        <v>3258</v>
      </c>
      <c r="B4717" t="s">
        <v>109</v>
      </c>
      <c r="C4717">
        <v>75</v>
      </c>
      <c r="D4717" t="s">
        <v>10</v>
      </c>
      <c r="F4717" s="43">
        <v>44600.708333333336</v>
      </c>
      <c r="G4717" s="43">
        <v>44600.760416666664</v>
      </c>
      <c r="H4717">
        <v>17</v>
      </c>
      <c r="I4717">
        <v>0</v>
      </c>
      <c r="J4717">
        <v>18</v>
      </c>
      <c r="K4717">
        <v>15</v>
      </c>
      <c r="L4717">
        <v>2022</v>
      </c>
      <c r="O4717" t="s">
        <v>47</v>
      </c>
      <c r="P4717" t="s">
        <v>3264</v>
      </c>
    </row>
    <row r="4718" spans="1:16" x14ac:dyDescent="0.3">
      <c r="A4718" t="s">
        <v>446</v>
      </c>
      <c r="C4718">
        <v>30</v>
      </c>
      <c r="D4718" t="s">
        <v>10</v>
      </c>
      <c r="F4718" s="43">
        <v>44600.6875</v>
      </c>
      <c r="G4718" s="43">
        <v>44600.708333333336</v>
      </c>
      <c r="H4718">
        <v>16</v>
      </c>
      <c r="I4718">
        <v>30</v>
      </c>
      <c r="J4718">
        <v>17</v>
      </c>
      <c r="K4718">
        <v>0</v>
      </c>
      <c r="L4718">
        <v>2022</v>
      </c>
      <c r="O4718" t="s">
        <v>47</v>
      </c>
      <c r="P4718" t="s">
        <v>3265</v>
      </c>
    </row>
    <row r="4719" spans="1:16" x14ac:dyDescent="0.3">
      <c r="A4719" t="s">
        <v>9</v>
      </c>
      <c r="C4719">
        <v>30</v>
      </c>
      <c r="D4719" t="s">
        <v>10</v>
      </c>
      <c r="F4719" s="43">
        <v>44600.666666666664</v>
      </c>
      <c r="G4719" s="43">
        <v>44600.6875</v>
      </c>
      <c r="H4719">
        <v>16</v>
      </c>
      <c r="I4719">
        <v>0</v>
      </c>
      <c r="J4719">
        <v>16</v>
      </c>
      <c r="K4719">
        <v>30</v>
      </c>
      <c r="L4719">
        <v>2022</v>
      </c>
      <c r="O4719" t="s">
        <v>47</v>
      </c>
      <c r="P4719" t="s">
        <v>3266</v>
      </c>
    </row>
    <row r="4720" spans="1:16" x14ac:dyDescent="0.3">
      <c r="A4720" t="s">
        <v>3258</v>
      </c>
      <c r="C4720">
        <v>30</v>
      </c>
      <c r="D4720" t="s">
        <v>10</v>
      </c>
      <c r="F4720" s="43">
        <v>44600.59375</v>
      </c>
      <c r="G4720" s="43">
        <v>44600.614583333336</v>
      </c>
      <c r="H4720">
        <v>14</v>
      </c>
      <c r="I4720">
        <v>15</v>
      </c>
      <c r="J4720">
        <v>14</v>
      </c>
      <c r="K4720">
        <v>45</v>
      </c>
      <c r="L4720">
        <v>2022</v>
      </c>
      <c r="O4720" t="s">
        <v>47</v>
      </c>
      <c r="P4720" t="s">
        <v>3267</v>
      </c>
    </row>
    <row r="4721" spans="1:16" x14ac:dyDescent="0.3">
      <c r="A4721" t="s">
        <v>3268</v>
      </c>
      <c r="C4721">
        <v>30</v>
      </c>
      <c r="D4721" t="s">
        <v>10</v>
      </c>
      <c r="F4721" s="43">
        <v>44600.548611111109</v>
      </c>
      <c r="G4721" s="43">
        <v>44600.569444444445</v>
      </c>
      <c r="H4721">
        <v>13</v>
      </c>
      <c r="I4721">
        <v>10</v>
      </c>
      <c r="J4721">
        <v>13</v>
      </c>
      <c r="K4721">
        <v>40</v>
      </c>
      <c r="L4721">
        <v>2022</v>
      </c>
      <c r="O4721" t="s">
        <v>47</v>
      </c>
      <c r="P4721" t="s">
        <v>3269</v>
      </c>
    </row>
    <row r="4722" spans="1:16" x14ac:dyDescent="0.3">
      <c r="A4722" t="s">
        <v>1769</v>
      </c>
      <c r="C4722">
        <v>20</v>
      </c>
      <c r="D4722" t="s">
        <v>10</v>
      </c>
      <c r="F4722" s="43">
        <v>44600.53125</v>
      </c>
      <c r="G4722" s="43">
        <v>44600.545138888891</v>
      </c>
      <c r="H4722">
        <v>12</v>
      </c>
      <c r="I4722">
        <v>45</v>
      </c>
      <c r="J4722">
        <v>13</v>
      </c>
      <c r="K4722">
        <v>5</v>
      </c>
      <c r="L4722">
        <v>2022</v>
      </c>
      <c r="O4722" t="s">
        <v>47</v>
      </c>
      <c r="P4722" t="s">
        <v>3270</v>
      </c>
    </row>
    <row r="4723" spans="1:16" x14ac:dyDescent="0.3">
      <c r="A4723" t="s">
        <v>3488</v>
      </c>
      <c r="B4723" t="s">
        <v>223</v>
      </c>
      <c r="C4723">
        <v>60</v>
      </c>
      <c r="D4723" t="s">
        <v>10</v>
      </c>
      <c r="E4723" t="s">
        <v>2435</v>
      </c>
      <c r="F4723" s="43">
        <v>44600.5</v>
      </c>
      <c r="G4723" s="43">
        <v>44600.541666666664</v>
      </c>
      <c r="H4723">
        <v>12</v>
      </c>
      <c r="I4723">
        <v>0</v>
      </c>
      <c r="J4723">
        <v>13</v>
      </c>
      <c r="K4723">
        <v>0</v>
      </c>
      <c r="L4723">
        <v>2022</v>
      </c>
      <c r="N4723" t="s">
        <v>3489</v>
      </c>
      <c r="O4723" t="s">
        <v>1516</v>
      </c>
      <c r="P4723" t="s">
        <v>3490</v>
      </c>
    </row>
    <row r="4724" spans="1:16" x14ac:dyDescent="0.3">
      <c r="A4724" t="s">
        <v>3651</v>
      </c>
      <c r="B4724" t="s">
        <v>20</v>
      </c>
      <c r="C4724">
        <v>90</v>
      </c>
      <c r="D4724" t="s">
        <v>10</v>
      </c>
      <c r="E4724" t="s">
        <v>3652</v>
      </c>
      <c r="F4724" s="43">
        <v>44600.395833333336</v>
      </c>
      <c r="G4724" s="43">
        <v>44600.458333333336</v>
      </c>
      <c r="H4724">
        <v>9</v>
      </c>
      <c r="I4724">
        <v>30</v>
      </c>
      <c r="J4724">
        <v>11</v>
      </c>
      <c r="K4724">
        <v>0</v>
      </c>
      <c r="L4724">
        <v>2022</v>
      </c>
      <c r="N4724" t="s">
        <v>3653</v>
      </c>
      <c r="O4724" t="s">
        <v>3654</v>
      </c>
      <c r="P4724" t="s">
        <v>3655</v>
      </c>
    </row>
    <row r="4725" spans="1:16" x14ac:dyDescent="0.3">
      <c r="A4725" t="s">
        <v>2627</v>
      </c>
      <c r="C4725">
        <v>30</v>
      </c>
      <c r="D4725" t="s">
        <v>10</v>
      </c>
      <c r="F4725" s="43">
        <v>44600.375</v>
      </c>
      <c r="G4725" s="43">
        <v>44600.395833333336</v>
      </c>
      <c r="H4725">
        <v>9</v>
      </c>
      <c r="I4725">
        <v>0</v>
      </c>
      <c r="J4725">
        <v>9</v>
      </c>
      <c r="K4725">
        <v>30</v>
      </c>
      <c r="L4725">
        <v>2022</v>
      </c>
      <c r="O4725" t="s">
        <v>47</v>
      </c>
      <c r="P4725" t="s">
        <v>3275</v>
      </c>
    </row>
    <row r="4726" spans="1:16" x14ac:dyDescent="0.3">
      <c r="A4726" t="s">
        <v>3276</v>
      </c>
      <c r="C4726">
        <v>30</v>
      </c>
      <c r="D4726" t="s">
        <v>10</v>
      </c>
      <c r="F4726" s="43">
        <v>44600.3125</v>
      </c>
      <c r="G4726" s="43">
        <v>44600.333333333336</v>
      </c>
      <c r="H4726">
        <v>7</v>
      </c>
      <c r="I4726">
        <v>30</v>
      </c>
      <c r="J4726">
        <v>8</v>
      </c>
      <c r="K4726">
        <v>0</v>
      </c>
      <c r="L4726">
        <v>2022</v>
      </c>
      <c r="O4726" t="s">
        <v>47</v>
      </c>
      <c r="P4726" t="s">
        <v>3277</v>
      </c>
    </row>
    <row r="4727" spans="1:16" x14ac:dyDescent="0.3">
      <c r="A4727" t="s">
        <v>3280</v>
      </c>
      <c r="C4727">
        <v>30</v>
      </c>
      <c r="D4727" t="s">
        <v>10</v>
      </c>
      <c r="F4727" s="43">
        <v>44600.291666666664</v>
      </c>
      <c r="G4727" s="43">
        <v>44600.3125</v>
      </c>
      <c r="H4727">
        <v>7</v>
      </c>
      <c r="I4727">
        <v>0</v>
      </c>
      <c r="J4727">
        <v>7</v>
      </c>
      <c r="K4727">
        <v>30</v>
      </c>
      <c r="L4727">
        <v>2022</v>
      </c>
      <c r="N4727" t="s">
        <v>3281</v>
      </c>
      <c r="O4727" t="s">
        <v>3282</v>
      </c>
      <c r="P4727" t="s">
        <v>3283</v>
      </c>
    </row>
    <row r="4728" spans="1:16" x14ac:dyDescent="0.3">
      <c r="A4728" t="s">
        <v>3278</v>
      </c>
      <c r="C4728">
        <v>30</v>
      </c>
      <c r="D4728" t="s">
        <v>10</v>
      </c>
      <c r="F4728" s="43">
        <v>44600.229166666664</v>
      </c>
      <c r="G4728" s="43">
        <v>44600.25</v>
      </c>
      <c r="H4728">
        <v>5</v>
      </c>
      <c r="I4728">
        <v>30</v>
      </c>
      <c r="J4728">
        <v>6</v>
      </c>
      <c r="K4728">
        <v>0</v>
      </c>
      <c r="L4728">
        <v>2022</v>
      </c>
      <c r="O4728" t="s">
        <v>47</v>
      </c>
      <c r="P4728" t="s">
        <v>3279</v>
      </c>
    </row>
    <row r="4729" spans="1:16" x14ac:dyDescent="0.3">
      <c r="A4729" t="s">
        <v>3347</v>
      </c>
      <c r="B4729" t="s">
        <v>20</v>
      </c>
      <c r="C4729">
        <v>60</v>
      </c>
      <c r="D4729" t="s">
        <v>256</v>
      </c>
      <c r="E4729" t="s">
        <v>1599</v>
      </c>
      <c r="F4729" s="43">
        <v>44600</v>
      </c>
      <c r="G4729" s="43">
        <v>44925</v>
      </c>
      <c r="H4729">
        <v>6</v>
      </c>
      <c r="I4729">
        <v>0</v>
      </c>
      <c r="J4729">
        <v>7</v>
      </c>
      <c r="K4729">
        <v>0</v>
      </c>
      <c r="L4729">
        <v>2022</v>
      </c>
      <c r="M4729" t="s">
        <v>33</v>
      </c>
      <c r="N4729" t="s">
        <v>3348</v>
      </c>
      <c r="O4729" t="s">
        <v>2353</v>
      </c>
      <c r="P4729" t="s">
        <v>3349</v>
      </c>
    </row>
    <row r="4730" spans="1:16" x14ac:dyDescent="0.3">
      <c r="A4730" t="s">
        <v>3278</v>
      </c>
      <c r="C4730">
        <v>20</v>
      </c>
      <c r="D4730" t="s">
        <v>10</v>
      </c>
      <c r="F4730" s="43">
        <v>44599.805555555555</v>
      </c>
      <c r="G4730" s="43">
        <v>44599.819444444445</v>
      </c>
      <c r="H4730">
        <v>19</v>
      </c>
      <c r="I4730">
        <v>20</v>
      </c>
      <c r="J4730">
        <v>19</v>
      </c>
      <c r="K4730">
        <v>40</v>
      </c>
      <c r="L4730">
        <v>2022</v>
      </c>
      <c r="O4730" t="s">
        <v>47</v>
      </c>
      <c r="P4730" t="s">
        <v>3284</v>
      </c>
    </row>
    <row r="4731" spans="1:16" x14ac:dyDescent="0.3">
      <c r="A4731" t="s">
        <v>3278</v>
      </c>
      <c r="C4731">
        <v>70</v>
      </c>
      <c r="D4731" t="s">
        <v>10</v>
      </c>
      <c r="F4731" s="43">
        <v>44599.729166666664</v>
      </c>
      <c r="G4731" s="43">
        <v>44599.777777777781</v>
      </c>
      <c r="H4731">
        <v>17</v>
      </c>
      <c r="I4731">
        <v>30</v>
      </c>
      <c r="J4731">
        <v>18</v>
      </c>
      <c r="K4731">
        <v>40</v>
      </c>
      <c r="L4731">
        <v>2022</v>
      </c>
      <c r="O4731" t="s">
        <v>47</v>
      </c>
      <c r="P4731" t="s">
        <v>3285</v>
      </c>
    </row>
    <row r="4732" spans="1:16" x14ac:dyDescent="0.3">
      <c r="A4732" t="s">
        <v>3278</v>
      </c>
      <c r="C4732">
        <v>60</v>
      </c>
      <c r="D4732" t="s">
        <v>10</v>
      </c>
      <c r="F4732" s="43">
        <v>44599.666666666664</v>
      </c>
      <c r="G4732" s="43">
        <v>44599.708333333336</v>
      </c>
      <c r="H4732">
        <v>16</v>
      </c>
      <c r="I4732">
        <v>0</v>
      </c>
      <c r="J4732">
        <v>17</v>
      </c>
      <c r="K4732">
        <v>0</v>
      </c>
      <c r="L4732">
        <v>2022</v>
      </c>
      <c r="O4732" t="s">
        <v>47</v>
      </c>
      <c r="P4732" t="s">
        <v>3286</v>
      </c>
    </row>
    <row r="4733" spans="1:16" x14ac:dyDescent="0.3">
      <c r="A4733" t="s">
        <v>6</v>
      </c>
      <c r="C4733">
        <v>60</v>
      </c>
      <c r="D4733" t="s">
        <v>10</v>
      </c>
      <c r="F4733" s="43">
        <v>44599.625</v>
      </c>
      <c r="G4733" s="43">
        <v>44599.666666666664</v>
      </c>
      <c r="H4733">
        <v>15</v>
      </c>
      <c r="I4733">
        <v>0</v>
      </c>
      <c r="J4733">
        <v>16</v>
      </c>
      <c r="K4733">
        <v>0</v>
      </c>
      <c r="L4733">
        <v>2022</v>
      </c>
      <c r="O4733" t="s">
        <v>47</v>
      </c>
      <c r="P4733" t="s">
        <v>3287</v>
      </c>
    </row>
    <row r="4734" spans="1:16" x14ac:dyDescent="0.3">
      <c r="A4734" t="s">
        <v>7</v>
      </c>
      <c r="C4734">
        <v>30</v>
      </c>
      <c r="D4734" t="s">
        <v>10</v>
      </c>
      <c r="F4734" s="43">
        <v>44599.59375</v>
      </c>
      <c r="G4734" s="43">
        <v>44599.614583333336</v>
      </c>
      <c r="H4734">
        <v>14</v>
      </c>
      <c r="I4734">
        <v>15</v>
      </c>
      <c r="J4734">
        <v>14</v>
      </c>
      <c r="K4734">
        <v>45</v>
      </c>
      <c r="L4734">
        <v>2022</v>
      </c>
      <c r="O4734" t="s">
        <v>47</v>
      </c>
      <c r="P4734" t="s">
        <v>3291</v>
      </c>
    </row>
    <row r="4735" spans="1:16" x14ac:dyDescent="0.3">
      <c r="A4735" t="s">
        <v>3292</v>
      </c>
      <c r="C4735">
        <v>15</v>
      </c>
      <c r="D4735" t="s">
        <v>10</v>
      </c>
      <c r="F4735" s="43">
        <v>44599.552083333336</v>
      </c>
      <c r="G4735" s="43">
        <v>44599.5625</v>
      </c>
      <c r="H4735">
        <v>13</v>
      </c>
      <c r="I4735">
        <v>15</v>
      </c>
      <c r="J4735">
        <v>13</v>
      </c>
      <c r="K4735">
        <v>30</v>
      </c>
      <c r="L4735">
        <v>2022</v>
      </c>
      <c r="O4735" t="s">
        <v>47</v>
      </c>
      <c r="P4735" t="s">
        <v>3293</v>
      </c>
    </row>
    <row r="4736" spans="1:16" x14ac:dyDescent="0.3">
      <c r="A4736" t="s">
        <v>827</v>
      </c>
      <c r="C4736">
        <v>15</v>
      </c>
      <c r="D4736" t="s">
        <v>10</v>
      </c>
      <c r="F4736" s="43">
        <v>44599.541666666664</v>
      </c>
      <c r="G4736" s="43">
        <v>44599.552083333336</v>
      </c>
      <c r="H4736">
        <v>13</v>
      </c>
      <c r="I4736">
        <v>0</v>
      </c>
      <c r="J4736">
        <v>13</v>
      </c>
      <c r="K4736">
        <v>15</v>
      </c>
      <c r="L4736">
        <v>2022</v>
      </c>
      <c r="O4736" t="s">
        <v>47</v>
      </c>
      <c r="P4736" t="s">
        <v>3295</v>
      </c>
    </row>
    <row r="4737" spans="1:16" x14ac:dyDescent="0.3">
      <c r="A4737" t="s">
        <v>3296</v>
      </c>
      <c r="C4737">
        <v>30</v>
      </c>
      <c r="D4737" t="s">
        <v>10</v>
      </c>
      <c r="E4737" t="s">
        <v>2807</v>
      </c>
      <c r="F4737" s="43">
        <v>44599.5</v>
      </c>
      <c r="G4737" s="43">
        <v>44599.520833333336</v>
      </c>
      <c r="H4737">
        <v>12</v>
      </c>
      <c r="I4737">
        <v>0</v>
      </c>
      <c r="J4737">
        <v>12</v>
      </c>
      <c r="K4737">
        <v>30</v>
      </c>
      <c r="L4737">
        <v>2022</v>
      </c>
      <c r="N4737" t="s">
        <v>3297</v>
      </c>
      <c r="O4737" t="s">
        <v>47</v>
      </c>
      <c r="P4737" t="s">
        <v>3298</v>
      </c>
    </row>
    <row r="4738" spans="1:16" x14ac:dyDescent="0.3">
      <c r="A4738" t="s">
        <v>17</v>
      </c>
      <c r="C4738">
        <v>50</v>
      </c>
      <c r="D4738" t="s">
        <v>10</v>
      </c>
      <c r="F4738" s="43">
        <v>44599.3125</v>
      </c>
      <c r="G4738" s="43">
        <v>44599.347222222219</v>
      </c>
      <c r="H4738">
        <v>7</v>
      </c>
      <c r="I4738">
        <v>30</v>
      </c>
      <c r="J4738">
        <v>8</v>
      </c>
      <c r="K4738">
        <v>20</v>
      </c>
      <c r="L4738">
        <v>2022</v>
      </c>
      <c r="O4738" t="s">
        <v>47</v>
      </c>
      <c r="P4738" t="s">
        <v>3299</v>
      </c>
    </row>
    <row r="4739" spans="1:16" x14ac:dyDescent="0.3">
      <c r="A4739" t="s">
        <v>3278</v>
      </c>
      <c r="C4739">
        <v>60</v>
      </c>
      <c r="D4739" t="s">
        <v>10</v>
      </c>
      <c r="F4739" s="43">
        <v>44599.25</v>
      </c>
      <c r="G4739" s="43">
        <v>44599.291666666664</v>
      </c>
      <c r="H4739">
        <v>6</v>
      </c>
      <c r="I4739">
        <v>0</v>
      </c>
      <c r="J4739">
        <v>7</v>
      </c>
      <c r="K4739">
        <v>0</v>
      </c>
      <c r="L4739">
        <v>2022</v>
      </c>
      <c r="O4739" t="s">
        <v>47</v>
      </c>
      <c r="P4739" t="s">
        <v>3300</v>
      </c>
    </row>
    <row r="4740" spans="1:16" x14ac:dyDescent="0.3">
      <c r="A4740" t="s">
        <v>3278</v>
      </c>
      <c r="C4740">
        <v>60</v>
      </c>
      <c r="D4740" t="s">
        <v>10</v>
      </c>
      <c r="F4740" s="43">
        <v>44598.75</v>
      </c>
      <c r="G4740" s="43">
        <v>44598.791666666664</v>
      </c>
      <c r="H4740">
        <v>18</v>
      </c>
      <c r="I4740">
        <v>0</v>
      </c>
      <c r="J4740">
        <v>19</v>
      </c>
      <c r="K4740">
        <v>0</v>
      </c>
      <c r="L4740">
        <v>2022</v>
      </c>
      <c r="O4740" t="s">
        <v>47</v>
      </c>
      <c r="P4740" t="s">
        <v>3301</v>
      </c>
    </row>
    <row r="4741" spans="1:16" x14ac:dyDescent="0.3">
      <c r="A4741" t="s">
        <v>3278</v>
      </c>
      <c r="C4741">
        <v>81</v>
      </c>
      <c r="D4741" t="s">
        <v>10</v>
      </c>
      <c r="F4741" s="43">
        <v>44598.625</v>
      </c>
      <c r="G4741" s="43">
        <v>44598.681250000001</v>
      </c>
      <c r="H4741">
        <v>15</v>
      </c>
      <c r="I4741">
        <v>0</v>
      </c>
      <c r="J4741">
        <v>16</v>
      </c>
      <c r="K4741">
        <v>21</v>
      </c>
      <c r="L4741">
        <v>2022</v>
      </c>
      <c r="O4741" t="s">
        <v>47</v>
      </c>
      <c r="P4741" t="s">
        <v>3302</v>
      </c>
    </row>
    <row r="4742" spans="1:16" x14ac:dyDescent="0.3">
      <c r="A4742" t="s">
        <v>2905</v>
      </c>
      <c r="C4742">
        <v>40</v>
      </c>
      <c r="D4742" t="s">
        <v>10</v>
      </c>
      <c r="F4742" s="43">
        <v>44598.5625</v>
      </c>
      <c r="G4742" s="43">
        <v>44598.590277777781</v>
      </c>
      <c r="H4742">
        <v>13</v>
      </c>
      <c r="I4742">
        <v>30</v>
      </c>
      <c r="J4742">
        <v>14</v>
      </c>
      <c r="K4742">
        <v>10</v>
      </c>
      <c r="L4742">
        <v>2022</v>
      </c>
      <c r="O4742" t="s">
        <v>47</v>
      </c>
      <c r="P4742" t="s">
        <v>3303</v>
      </c>
    </row>
    <row r="4743" spans="1:16" x14ac:dyDescent="0.3">
      <c r="A4743" t="s">
        <v>3149</v>
      </c>
      <c r="C4743">
        <v>30</v>
      </c>
      <c r="D4743" t="s">
        <v>10</v>
      </c>
      <c r="F4743" s="43">
        <v>44598.541666666664</v>
      </c>
      <c r="G4743" s="43">
        <v>44598.5625</v>
      </c>
      <c r="H4743">
        <v>13</v>
      </c>
      <c r="I4743">
        <v>0</v>
      </c>
      <c r="J4743">
        <v>13</v>
      </c>
      <c r="K4743">
        <v>30</v>
      </c>
      <c r="L4743">
        <v>2022</v>
      </c>
      <c r="O4743" t="s">
        <v>47</v>
      </c>
      <c r="P4743" t="s">
        <v>3304</v>
      </c>
    </row>
    <row r="4744" spans="1:16" x14ac:dyDescent="0.3">
      <c r="A4744" t="s">
        <v>3305</v>
      </c>
      <c r="C4744">
        <v>30</v>
      </c>
      <c r="D4744" t="s">
        <v>10</v>
      </c>
      <c r="F4744" s="43">
        <v>44598.368055555555</v>
      </c>
      <c r="G4744" s="43">
        <v>44598.388888888891</v>
      </c>
      <c r="H4744">
        <v>8</v>
      </c>
      <c r="I4744">
        <v>50</v>
      </c>
      <c r="J4744">
        <v>9</v>
      </c>
      <c r="K4744">
        <v>20</v>
      </c>
      <c r="L4744">
        <v>2022</v>
      </c>
      <c r="O4744" t="s">
        <v>47</v>
      </c>
      <c r="P4744" t="s">
        <v>3306</v>
      </c>
    </row>
    <row r="4745" spans="1:16" x14ac:dyDescent="0.3">
      <c r="A4745" t="s">
        <v>3307</v>
      </c>
      <c r="C4745">
        <v>70</v>
      </c>
      <c r="D4745" t="s">
        <v>10</v>
      </c>
      <c r="F4745" s="43">
        <v>44598.236111111109</v>
      </c>
      <c r="G4745" s="43">
        <v>44598.284722222219</v>
      </c>
      <c r="H4745">
        <v>5</v>
      </c>
      <c r="I4745">
        <v>40</v>
      </c>
      <c r="J4745">
        <v>6</v>
      </c>
      <c r="K4745">
        <v>50</v>
      </c>
      <c r="L4745">
        <v>2022</v>
      </c>
      <c r="O4745" t="s">
        <v>47</v>
      </c>
      <c r="P4745" t="s">
        <v>3308</v>
      </c>
    </row>
    <row r="4746" spans="1:16" x14ac:dyDescent="0.3">
      <c r="A4746" t="s">
        <v>3309</v>
      </c>
      <c r="C4746">
        <v>60</v>
      </c>
      <c r="D4746" t="s">
        <v>10</v>
      </c>
      <c r="F4746" s="43">
        <v>44597.760416666664</v>
      </c>
      <c r="G4746" s="43">
        <v>44597.802083333336</v>
      </c>
      <c r="H4746">
        <v>18</v>
      </c>
      <c r="I4746">
        <v>15</v>
      </c>
      <c r="J4746">
        <v>19</v>
      </c>
      <c r="K4746">
        <v>15</v>
      </c>
      <c r="L4746">
        <v>2022</v>
      </c>
      <c r="O4746" t="s">
        <v>47</v>
      </c>
      <c r="P4746" t="s">
        <v>3310</v>
      </c>
    </row>
    <row r="4747" spans="1:16" x14ac:dyDescent="0.3">
      <c r="A4747" t="s">
        <v>3311</v>
      </c>
      <c r="C4747">
        <v>60</v>
      </c>
      <c r="D4747" t="s">
        <v>10</v>
      </c>
      <c r="F4747" s="43">
        <v>44597.614583333336</v>
      </c>
      <c r="G4747" s="43">
        <v>44597.65625</v>
      </c>
      <c r="H4747">
        <v>14</v>
      </c>
      <c r="I4747">
        <v>45</v>
      </c>
      <c r="J4747">
        <v>15</v>
      </c>
      <c r="K4747">
        <v>45</v>
      </c>
      <c r="L4747">
        <v>2022</v>
      </c>
      <c r="O4747" t="s">
        <v>47</v>
      </c>
      <c r="P4747" t="s">
        <v>3312</v>
      </c>
    </row>
    <row r="4748" spans="1:16" x14ac:dyDescent="0.3">
      <c r="A4748" t="s">
        <v>3313</v>
      </c>
      <c r="C4748">
        <v>36</v>
      </c>
      <c r="D4748" t="s">
        <v>10</v>
      </c>
      <c r="F4748" s="43">
        <v>44597.416666666664</v>
      </c>
      <c r="G4748" s="43">
        <v>44597.441666666666</v>
      </c>
      <c r="H4748">
        <v>10</v>
      </c>
      <c r="I4748">
        <v>0</v>
      </c>
      <c r="J4748">
        <v>10</v>
      </c>
      <c r="K4748">
        <v>36</v>
      </c>
      <c r="L4748">
        <v>2022</v>
      </c>
      <c r="O4748" t="s">
        <v>47</v>
      </c>
      <c r="P4748" t="s">
        <v>3314</v>
      </c>
    </row>
    <row r="4749" spans="1:16" x14ac:dyDescent="0.3">
      <c r="A4749" t="s">
        <v>3315</v>
      </c>
      <c r="B4749" t="s">
        <v>6</v>
      </c>
      <c r="C4749">
        <v>75</v>
      </c>
      <c r="D4749" t="s">
        <v>10</v>
      </c>
      <c r="F4749" s="43">
        <v>44597.25</v>
      </c>
      <c r="G4749" s="43">
        <v>44597.302083333336</v>
      </c>
      <c r="H4749">
        <v>6</v>
      </c>
      <c r="I4749">
        <v>0</v>
      </c>
      <c r="J4749">
        <v>7</v>
      </c>
      <c r="K4749">
        <v>15</v>
      </c>
      <c r="L4749">
        <v>2022</v>
      </c>
      <c r="O4749" t="s">
        <v>47</v>
      </c>
      <c r="P4749" t="s">
        <v>3316</v>
      </c>
    </row>
    <row r="4750" spans="1:16" x14ac:dyDescent="0.3">
      <c r="A4750" t="s">
        <v>446</v>
      </c>
      <c r="B4750" t="s">
        <v>6</v>
      </c>
      <c r="C4750">
        <v>50</v>
      </c>
      <c r="D4750" t="s">
        <v>10</v>
      </c>
      <c r="E4750" t="s">
        <v>447</v>
      </c>
      <c r="F4750" s="43">
        <v>44596.645833333336</v>
      </c>
      <c r="G4750" s="43">
        <v>44596.680555555555</v>
      </c>
      <c r="H4750">
        <v>15</v>
      </c>
      <c r="I4750">
        <v>30</v>
      </c>
      <c r="J4750">
        <v>16</v>
      </c>
      <c r="K4750">
        <v>20</v>
      </c>
      <c r="L4750">
        <v>2022</v>
      </c>
      <c r="O4750" t="s">
        <v>47</v>
      </c>
      <c r="P4750" t="s">
        <v>3320</v>
      </c>
    </row>
    <row r="4751" spans="1:16" x14ac:dyDescent="0.3">
      <c r="A4751" t="s">
        <v>7</v>
      </c>
      <c r="B4751" t="s">
        <v>6</v>
      </c>
      <c r="C4751">
        <v>50</v>
      </c>
      <c r="D4751" t="s">
        <v>10</v>
      </c>
      <c r="E4751" t="s">
        <v>449</v>
      </c>
      <c r="F4751" s="43">
        <v>44596.569444444445</v>
      </c>
      <c r="G4751" s="43">
        <v>44596.604166666664</v>
      </c>
      <c r="H4751">
        <v>13</v>
      </c>
      <c r="I4751">
        <v>40</v>
      </c>
      <c r="J4751">
        <v>14</v>
      </c>
      <c r="K4751">
        <v>30</v>
      </c>
      <c r="L4751">
        <v>2022</v>
      </c>
      <c r="O4751" t="s">
        <v>47</v>
      </c>
      <c r="P4751" t="s">
        <v>3321</v>
      </c>
    </row>
    <row r="4752" spans="1:16" x14ac:dyDescent="0.3">
      <c r="A4752" t="s">
        <v>3322</v>
      </c>
      <c r="C4752">
        <v>15</v>
      </c>
      <c r="D4752" t="s">
        <v>10</v>
      </c>
      <c r="F4752" s="43">
        <v>44596.520833333336</v>
      </c>
      <c r="G4752" s="43">
        <v>44596.53125</v>
      </c>
      <c r="H4752">
        <v>12</v>
      </c>
      <c r="I4752">
        <v>30</v>
      </c>
      <c r="J4752">
        <v>12</v>
      </c>
      <c r="K4752">
        <v>45</v>
      </c>
      <c r="L4752">
        <v>2022</v>
      </c>
      <c r="O4752" t="s">
        <v>47</v>
      </c>
      <c r="P4752" t="s">
        <v>3323</v>
      </c>
    </row>
    <row r="4753" spans="1:16" x14ac:dyDescent="0.3">
      <c r="A4753" t="s">
        <v>3324</v>
      </c>
      <c r="C4753">
        <v>30</v>
      </c>
      <c r="D4753" t="s">
        <v>10</v>
      </c>
      <c r="F4753" s="43">
        <v>44596.5</v>
      </c>
      <c r="G4753" s="43">
        <v>44596.520833333336</v>
      </c>
      <c r="H4753">
        <v>12</v>
      </c>
      <c r="I4753">
        <v>0</v>
      </c>
      <c r="J4753">
        <v>12</v>
      </c>
      <c r="K4753">
        <v>30</v>
      </c>
      <c r="L4753">
        <v>2022</v>
      </c>
      <c r="O4753" t="s">
        <v>47</v>
      </c>
      <c r="P4753" t="s">
        <v>3325</v>
      </c>
    </row>
    <row r="4754" spans="1:16" x14ac:dyDescent="0.3">
      <c r="A4754" t="s">
        <v>3588</v>
      </c>
      <c r="B4754" t="s">
        <v>20</v>
      </c>
      <c r="C4754">
        <v>60</v>
      </c>
      <c r="D4754" t="s">
        <v>10</v>
      </c>
      <c r="E4754" t="s">
        <v>3589</v>
      </c>
      <c r="F4754" s="43">
        <v>44596.416666666664</v>
      </c>
      <c r="G4754" s="43">
        <v>44596.458333333336</v>
      </c>
      <c r="H4754">
        <v>10</v>
      </c>
      <c r="I4754">
        <v>0</v>
      </c>
      <c r="J4754">
        <v>11</v>
      </c>
      <c r="K4754">
        <v>0</v>
      </c>
      <c r="L4754">
        <v>2022</v>
      </c>
      <c r="N4754" t="s">
        <v>3590</v>
      </c>
      <c r="O4754" t="s">
        <v>956</v>
      </c>
      <c r="P4754" t="s">
        <v>3591</v>
      </c>
    </row>
    <row r="4755" spans="1:16" x14ac:dyDescent="0.3">
      <c r="A4755" t="s">
        <v>3326</v>
      </c>
      <c r="B4755" t="s">
        <v>109</v>
      </c>
      <c r="C4755">
        <v>60</v>
      </c>
      <c r="D4755" t="s">
        <v>10</v>
      </c>
      <c r="E4755" t="s">
        <v>3327</v>
      </c>
      <c r="F4755" s="43">
        <v>44596.375</v>
      </c>
      <c r="G4755" s="43">
        <v>44596.416666666664</v>
      </c>
      <c r="H4755">
        <v>9</v>
      </c>
      <c r="I4755">
        <v>0</v>
      </c>
      <c r="J4755">
        <v>10</v>
      </c>
      <c r="K4755">
        <v>0</v>
      </c>
      <c r="L4755">
        <v>2022</v>
      </c>
      <c r="O4755" t="s">
        <v>47</v>
      </c>
      <c r="P4755" t="s">
        <v>3328</v>
      </c>
    </row>
    <row r="4756" spans="1:16" x14ac:dyDescent="0.3">
      <c r="A4756" t="s">
        <v>3357</v>
      </c>
      <c r="C4756">
        <v>60</v>
      </c>
      <c r="D4756" t="s">
        <v>10</v>
      </c>
      <c r="E4756" t="s">
        <v>5</v>
      </c>
      <c r="F4756" s="43">
        <v>44596.333333333336</v>
      </c>
      <c r="G4756" s="43">
        <v>44596.375</v>
      </c>
      <c r="H4756">
        <v>8</v>
      </c>
      <c r="I4756">
        <v>0</v>
      </c>
      <c r="J4756">
        <v>9</v>
      </c>
      <c r="K4756">
        <v>0</v>
      </c>
      <c r="L4756">
        <v>2022</v>
      </c>
      <c r="N4756" s="46" t="s">
        <v>3358</v>
      </c>
      <c r="O4756" t="s">
        <v>47</v>
      </c>
      <c r="P4756" t="s">
        <v>3359</v>
      </c>
    </row>
    <row r="4757" spans="1:16" x14ac:dyDescent="0.3">
      <c r="A4757" t="s">
        <v>3326</v>
      </c>
      <c r="B4757" t="s">
        <v>109</v>
      </c>
      <c r="C4757">
        <v>30</v>
      </c>
      <c r="D4757" t="s">
        <v>10</v>
      </c>
      <c r="E4757" t="s">
        <v>3327</v>
      </c>
      <c r="F4757" s="43">
        <v>44596.3125</v>
      </c>
      <c r="G4757" s="43">
        <v>44596.333333333336</v>
      </c>
      <c r="H4757">
        <v>7</v>
      </c>
      <c r="I4757">
        <v>30</v>
      </c>
      <c r="J4757">
        <v>8</v>
      </c>
      <c r="K4757">
        <v>0</v>
      </c>
      <c r="L4757">
        <v>2022</v>
      </c>
      <c r="O4757" t="s">
        <v>47</v>
      </c>
      <c r="P4757" t="s">
        <v>3329</v>
      </c>
    </row>
    <row r="4758" spans="1:16" x14ac:dyDescent="0.3">
      <c r="A4758" t="s">
        <v>3326</v>
      </c>
      <c r="B4758" t="s">
        <v>109</v>
      </c>
      <c r="C4758">
        <v>120</v>
      </c>
      <c r="D4758" t="s">
        <v>10</v>
      </c>
      <c r="E4758" t="s">
        <v>3327</v>
      </c>
      <c r="F4758" s="43">
        <v>44596.208333333336</v>
      </c>
      <c r="G4758" s="43">
        <v>44596.291666666664</v>
      </c>
      <c r="H4758">
        <v>5</v>
      </c>
      <c r="I4758">
        <v>0</v>
      </c>
      <c r="J4758">
        <v>7</v>
      </c>
      <c r="K4758">
        <v>0</v>
      </c>
      <c r="L4758">
        <v>2022</v>
      </c>
      <c r="O4758" t="s">
        <v>47</v>
      </c>
      <c r="P4758" t="s">
        <v>3330</v>
      </c>
    </row>
    <row r="4759" spans="1:16" x14ac:dyDescent="0.3">
      <c r="A4759" t="s">
        <v>3331</v>
      </c>
      <c r="B4759" t="s">
        <v>109</v>
      </c>
      <c r="C4759">
        <v>30</v>
      </c>
      <c r="D4759" t="s">
        <v>10</v>
      </c>
      <c r="E4759" t="s">
        <v>3327</v>
      </c>
      <c r="F4759" s="43">
        <v>44595.791666666664</v>
      </c>
      <c r="G4759" s="43">
        <v>44595.8125</v>
      </c>
      <c r="H4759">
        <v>19</v>
      </c>
      <c r="I4759">
        <v>0</v>
      </c>
      <c r="J4759">
        <v>19</v>
      </c>
      <c r="K4759">
        <v>30</v>
      </c>
      <c r="L4759">
        <v>2022</v>
      </c>
      <c r="O4759" t="s">
        <v>47</v>
      </c>
      <c r="P4759" t="s">
        <v>3332</v>
      </c>
    </row>
    <row r="4760" spans="1:16" x14ac:dyDescent="0.3">
      <c r="A4760" t="s">
        <v>2905</v>
      </c>
      <c r="C4760">
        <v>15</v>
      </c>
      <c r="D4760" t="s">
        <v>10</v>
      </c>
      <c r="F4760" s="43">
        <v>44595.729166666664</v>
      </c>
      <c r="G4760" s="43">
        <v>44595.739583333336</v>
      </c>
      <c r="H4760">
        <v>17</v>
      </c>
      <c r="I4760">
        <v>30</v>
      </c>
      <c r="J4760">
        <v>17</v>
      </c>
      <c r="K4760">
        <v>45</v>
      </c>
      <c r="L4760">
        <v>2022</v>
      </c>
      <c r="O4760" t="s">
        <v>47</v>
      </c>
      <c r="P4760" t="s">
        <v>3333</v>
      </c>
    </row>
    <row r="4761" spans="1:16" x14ac:dyDescent="0.3">
      <c r="A4761" t="s">
        <v>3334</v>
      </c>
      <c r="B4761" t="s">
        <v>109</v>
      </c>
      <c r="C4761">
        <v>20</v>
      </c>
      <c r="D4761" t="s">
        <v>10</v>
      </c>
      <c r="E4761" t="s">
        <v>3335</v>
      </c>
      <c r="F4761" s="43">
        <v>44595.673611111109</v>
      </c>
      <c r="G4761" s="43">
        <v>44595.6875</v>
      </c>
      <c r="H4761">
        <v>16</v>
      </c>
      <c r="I4761">
        <v>10</v>
      </c>
      <c r="J4761">
        <v>16</v>
      </c>
      <c r="K4761">
        <v>30</v>
      </c>
      <c r="L4761">
        <v>2022</v>
      </c>
      <c r="O4761" t="s">
        <v>47</v>
      </c>
      <c r="P4761" t="s">
        <v>3336</v>
      </c>
    </row>
    <row r="4762" spans="1:16" x14ac:dyDescent="0.3">
      <c r="A4762" t="s">
        <v>3334</v>
      </c>
      <c r="B4762" t="s">
        <v>109</v>
      </c>
      <c r="C4762">
        <v>60</v>
      </c>
      <c r="D4762" t="s">
        <v>10</v>
      </c>
      <c r="E4762" t="s">
        <v>3335</v>
      </c>
      <c r="F4762" s="43">
        <v>44595.625</v>
      </c>
      <c r="G4762" s="43">
        <v>44595.666666666664</v>
      </c>
      <c r="H4762">
        <v>15</v>
      </c>
      <c r="I4762">
        <v>0</v>
      </c>
      <c r="J4762">
        <v>16</v>
      </c>
      <c r="K4762">
        <v>0</v>
      </c>
      <c r="L4762">
        <v>2022</v>
      </c>
      <c r="O4762" t="s">
        <v>47</v>
      </c>
      <c r="P4762" t="s">
        <v>3338</v>
      </c>
    </row>
    <row r="4763" spans="1:16" x14ac:dyDescent="0.3">
      <c r="A4763" t="s">
        <v>8</v>
      </c>
      <c r="B4763" t="s">
        <v>6</v>
      </c>
      <c r="C4763">
        <v>30</v>
      </c>
      <c r="D4763" t="s">
        <v>10</v>
      </c>
      <c r="F4763" s="43">
        <v>44595.604166666664</v>
      </c>
      <c r="G4763" s="43">
        <v>44595.625</v>
      </c>
      <c r="H4763">
        <v>14</v>
      </c>
      <c r="I4763">
        <v>30</v>
      </c>
      <c r="J4763">
        <v>15</v>
      </c>
      <c r="K4763">
        <v>0</v>
      </c>
      <c r="L4763">
        <v>2022</v>
      </c>
      <c r="O4763" t="s">
        <v>47</v>
      </c>
      <c r="P4763" t="s">
        <v>3337</v>
      </c>
    </row>
    <row r="4764" spans="1:16" x14ac:dyDescent="0.3">
      <c r="A4764" t="s">
        <v>3339</v>
      </c>
      <c r="C4764">
        <v>50</v>
      </c>
      <c r="D4764" t="s">
        <v>10</v>
      </c>
      <c r="F4764" s="43">
        <v>44595.5625</v>
      </c>
      <c r="G4764" s="43">
        <v>44595.597222222219</v>
      </c>
      <c r="H4764">
        <v>13</v>
      </c>
      <c r="I4764">
        <v>30</v>
      </c>
      <c r="J4764">
        <v>14</v>
      </c>
      <c r="K4764">
        <v>20</v>
      </c>
      <c r="L4764">
        <v>2022</v>
      </c>
      <c r="O4764" t="s">
        <v>47</v>
      </c>
      <c r="P4764" t="s">
        <v>3340</v>
      </c>
    </row>
    <row r="4765" spans="1:16" x14ac:dyDescent="0.3">
      <c r="A4765" t="s">
        <v>8</v>
      </c>
      <c r="B4765" t="s">
        <v>6</v>
      </c>
      <c r="C4765">
        <v>30</v>
      </c>
      <c r="D4765" t="s">
        <v>10</v>
      </c>
      <c r="F4765" s="43">
        <v>44595.5</v>
      </c>
      <c r="G4765" s="43">
        <v>44595.520833333336</v>
      </c>
      <c r="H4765">
        <v>12</v>
      </c>
      <c r="I4765">
        <v>0</v>
      </c>
      <c r="J4765">
        <v>12</v>
      </c>
      <c r="K4765">
        <v>30</v>
      </c>
      <c r="L4765">
        <v>2022</v>
      </c>
      <c r="O4765" t="s">
        <v>47</v>
      </c>
      <c r="P4765" t="s">
        <v>3341</v>
      </c>
    </row>
    <row r="4766" spans="1:16" x14ac:dyDescent="0.3">
      <c r="A4766" t="s">
        <v>7</v>
      </c>
      <c r="B4766" t="s">
        <v>6</v>
      </c>
      <c r="C4766">
        <v>30</v>
      </c>
      <c r="D4766" t="s">
        <v>10</v>
      </c>
      <c r="E4766" t="s">
        <v>449</v>
      </c>
      <c r="F4766" s="43">
        <v>44595.479166666664</v>
      </c>
      <c r="G4766" s="43">
        <v>44595.5</v>
      </c>
      <c r="H4766">
        <v>11</v>
      </c>
      <c r="I4766">
        <v>30</v>
      </c>
      <c r="J4766">
        <v>12</v>
      </c>
      <c r="K4766">
        <v>0</v>
      </c>
      <c r="L4766">
        <v>2022</v>
      </c>
      <c r="O4766" t="s">
        <v>47</v>
      </c>
      <c r="P4766" t="s">
        <v>3342</v>
      </c>
    </row>
    <row r="4767" spans="1:16" x14ac:dyDescent="0.3">
      <c r="A4767" t="s">
        <v>1769</v>
      </c>
      <c r="C4767">
        <v>20</v>
      </c>
      <c r="D4767" t="s">
        <v>10</v>
      </c>
      <c r="F4767" s="43">
        <v>44595.416666666664</v>
      </c>
      <c r="G4767" s="43">
        <v>44595.430555555555</v>
      </c>
      <c r="H4767">
        <v>10</v>
      </c>
      <c r="I4767">
        <v>0</v>
      </c>
      <c r="J4767">
        <v>10</v>
      </c>
      <c r="K4767">
        <v>20</v>
      </c>
      <c r="L4767">
        <v>2022</v>
      </c>
      <c r="O4767" t="s">
        <v>47</v>
      </c>
      <c r="P4767" t="s">
        <v>3343</v>
      </c>
    </row>
    <row r="4768" spans="1:16" x14ac:dyDescent="0.3">
      <c r="A4768" t="s">
        <v>3363</v>
      </c>
      <c r="C4768">
        <v>60</v>
      </c>
      <c r="D4768" t="s">
        <v>10</v>
      </c>
      <c r="E4768" t="s">
        <v>2807</v>
      </c>
      <c r="F4768" s="43">
        <v>44595.375</v>
      </c>
      <c r="G4768" s="43">
        <v>44595.416666666664</v>
      </c>
      <c r="H4768">
        <v>9</v>
      </c>
      <c r="I4768">
        <v>0</v>
      </c>
      <c r="J4768">
        <v>10</v>
      </c>
      <c r="K4768">
        <v>0</v>
      </c>
      <c r="L4768">
        <v>2022</v>
      </c>
      <c r="N4768" t="s">
        <v>3364</v>
      </c>
      <c r="O4768" t="s">
        <v>47</v>
      </c>
      <c r="P4768" t="s">
        <v>3365</v>
      </c>
    </row>
    <row r="4769" spans="1:16" x14ac:dyDescent="0.3">
      <c r="A4769" t="s">
        <v>446</v>
      </c>
      <c r="C4769">
        <v>30</v>
      </c>
      <c r="D4769" t="s">
        <v>10</v>
      </c>
      <c r="F4769" s="43">
        <v>44595.354166666664</v>
      </c>
      <c r="G4769" s="43">
        <v>44595.375</v>
      </c>
      <c r="H4769">
        <v>8</v>
      </c>
      <c r="I4769">
        <v>30</v>
      </c>
      <c r="J4769">
        <v>9</v>
      </c>
      <c r="K4769">
        <v>0</v>
      </c>
      <c r="L4769">
        <v>2022</v>
      </c>
      <c r="O4769" t="s">
        <v>47</v>
      </c>
      <c r="P4769" t="s">
        <v>3344</v>
      </c>
    </row>
    <row r="4770" spans="1:16" x14ac:dyDescent="0.3">
      <c r="A4770" t="s">
        <v>2905</v>
      </c>
      <c r="C4770">
        <v>45</v>
      </c>
      <c r="D4770" t="s">
        <v>10</v>
      </c>
      <c r="F4770" s="43">
        <v>44595.270833333336</v>
      </c>
      <c r="G4770" s="43">
        <v>44595.302083333336</v>
      </c>
      <c r="H4770">
        <v>6</v>
      </c>
      <c r="I4770">
        <v>30</v>
      </c>
      <c r="J4770">
        <v>7</v>
      </c>
      <c r="K4770">
        <v>15</v>
      </c>
      <c r="L4770">
        <v>2022</v>
      </c>
      <c r="O4770" t="s">
        <v>47</v>
      </c>
      <c r="P4770" t="s">
        <v>3345</v>
      </c>
    </row>
    <row r="4771" spans="1:16" x14ac:dyDescent="0.3">
      <c r="A4771" t="s">
        <v>1769</v>
      </c>
      <c r="C4771">
        <v>30</v>
      </c>
      <c r="D4771" t="s">
        <v>10</v>
      </c>
      <c r="F4771" s="43">
        <v>44595.25</v>
      </c>
      <c r="G4771" s="43">
        <v>44595.270833333336</v>
      </c>
      <c r="H4771">
        <v>6</v>
      </c>
      <c r="I4771">
        <v>0</v>
      </c>
      <c r="J4771">
        <v>6</v>
      </c>
      <c r="K4771">
        <v>30</v>
      </c>
      <c r="L4771">
        <v>2022</v>
      </c>
      <c r="O4771" t="s">
        <v>47</v>
      </c>
      <c r="P4771" t="s">
        <v>3346</v>
      </c>
    </row>
    <row r="4772" spans="1:16" x14ac:dyDescent="0.3">
      <c r="A4772" t="s">
        <v>8</v>
      </c>
      <c r="B4772" t="s">
        <v>6</v>
      </c>
      <c r="C4772">
        <v>40</v>
      </c>
      <c r="D4772" t="s">
        <v>10</v>
      </c>
      <c r="F4772" s="43">
        <v>44594.788194444445</v>
      </c>
      <c r="G4772" s="43">
        <v>44594.815972222219</v>
      </c>
      <c r="H4772">
        <v>18</v>
      </c>
      <c r="I4772">
        <v>55</v>
      </c>
      <c r="J4772">
        <v>19</v>
      </c>
      <c r="K4772">
        <v>35</v>
      </c>
      <c r="L4772">
        <v>2022</v>
      </c>
      <c r="O4772" t="s">
        <v>47</v>
      </c>
      <c r="P4772" t="s">
        <v>3350</v>
      </c>
    </row>
    <row r="4773" spans="1:16" x14ac:dyDescent="0.3">
      <c r="A4773" t="s">
        <v>7</v>
      </c>
      <c r="B4773" t="s">
        <v>6</v>
      </c>
      <c r="C4773">
        <v>30</v>
      </c>
      <c r="D4773" t="s">
        <v>10</v>
      </c>
      <c r="E4773" t="s">
        <v>449</v>
      </c>
      <c r="F4773" s="43">
        <v>44594.708333333336</v>
      </c>
      <c r="G4773" s="43">
        <v>44594.729166666664</v>
      </c>
      <c r="H4773">
        <v>17</v>
      </c>
      <c r="I4773">
        <v>0</v>
      </c>
      <c r="J4773">
        <v>17</v>
      </c>
      <c r="K4773">
        <v>30</v>
      </c>
      <c r="L4773">
        <v>2022</v>
      </c>
      <c r="O4773" t="s">
        <v>47</v>
      </c>
      <c r="P4773" t="s">
        <v>3355</v>
      </c>
    </row>
    <row r="4774" spans="1:16" x14ac:dyDescent="0.3">
      <c r="A4774" t="s">
        <v>2905</v>
      </c>
      <c r="C4774">
        <v>30</v>
      </c>
      <c r="D4774" t="s">
        <v>10</v>
      </c>
      <c r="F4774" s="43">
        <v>44594.6875</v>
      </c>
      <c r="G4774" s="43">
        <v>44594.708333333336</v>
      </c>
      <c r="H4774">
        <v>16</v>
      </c>
      <c r="I4774">
        <v>30</v>
      </c>
      <c r="J4774">
        <v>17</v>
      </c>
      <c r="K4774">
        <v>0</v>
      </c>
      <c r="L4774">
        <v>2022</v>
      </c>
      <c r="O4774" t="s">
        <v>47</v>
      </c>
      <c r="P4774" t="s">
        <v>3354</v>
      </c>
    </row>
    <row r="4775" spans="1:16" x14ac:dyDescent="0.3">
      <c r="A4775" t="s">
        <v>446</v>
      </c>
      <c r="B4775" t="s">
        <v>6</v>
      </c>
      <c r="C4775">
        <v>30</v>
      </c>
      <c r="D4775" t="s">
        <v>10</v>
      </c>
      <c r="E4775" t="s">
        <v>447</v>
      </c>
      <c r="F4775" s="43">
        <v>44594.645833333336</v>
      </c>
      <c r="G4775" s="43">
        <v>44594.666666666664</v>
      </c>
      <c r="H4775">
        <v>15</v>
      </c>
      <c r="I4775">
        <v>30</v>
      </c>
      <c r="J4775">
        <v>16</v>
      </c>
      <c r="K4775">
        <v>0</v>
      </c>
      <c r="L4775">
        <v>2022</v>
      </c>
      <c r="O4775" t="s">
        <v>47</v>
      </c>
      <c r="P4775" t="s">
        <v>3356</v>
      </c>
    </row>
    <row r="4776" spans="1:16" x14ac:dyDescent="0.3">
      <c r="A4776" t="s">
        <v>3360</v>
      </c>
      <c r="C4776">
        <v>90</v>
      </c>
      <c r="D4776" t="s">
        <v>10</v>
      </c>
      <c r="F4776" s="43">
        <v>44594.541666666664</v>
      </c>
      <c r="G4776" s="43">
        <v>44594.604166666664</v>
      </c>
      <c r="H4776">
        <v>13</v>
      </c>
      <c r="I4776">
        <v>0</v>
      </c>
      <c r="J4776">
        <v>14</v>
      </c>
      <c r="K4776">
        <v>30</v>
      </c>
      <c r="L4776">
        <v>2022</v>
      </c>
      <c r="O4776" t="s">
        <v>47</v>
      </c>
      <c r="P4776" t="s">
        <v>3361</v>
      </c>
    </row>
    <row r="4777" spans="1:16" x14ac:dyDescent="0.3">
      <c r="A4777" t="s">
        <v>8</v>
      </c>
      <c r="B4777" t="s">
        <v>6</v>
      </c>
      <c r="C4777">
        <v>30</v>
      </c>
      <c r="D4777" t="s">
        <v>10</v>
      </c>
      <c r="F4777" s="43">
        <v>44594.479166666664</v>
      </c>
      <c r="G4777" s="43">
        <v>44594.5</v>
      </c>
      <c r="H4777">
        <v>11</v>
      </c>
      <c r="I4777">
        <v>30</v>
      </c>
      <c r="J4777">
        <v>12</v>
      </c>
      <c r="K4777">
        <v>0</v>
      </c>
      <c r="L4777">
        <v>2022</v>
      </c>
      <c r="O4777" t="s">
        <v>47</v>
      </c>
      <c r="P4777" t="s">
        <v>3362</v>
      </c>
    </row>
    <row r="4778" spans="1:16" x14ac:dyDescent="0.3">
      <c r="A4778" t="s">
        <v>3366</v>
      </c>
      <c r="C4778">
        <v>15</v>
      </c>
      <c r="D4778" t="s">
        <v>10</v>
      </c>
      <c r="F4778" s="43">
        <v>44594.46875</v>
      </c>
      <c r="G4778" s="43">
        <v>44594.479166666664</v>
      </c>
      <c r="H4778">
        <v>11</v>
      </c>
      <c r="I4778">
        <v>15</v>
      </c>
      <c r="J4778">
        <v>11</v>
      </c>
      <c r="K4778">
        <v>30</v>
      </c>
      <c r="L4778">
        <v>2022</v>
      </c>
      <c r="O4778" t="s">
        <v>47</v>
      </c>
      <c r="P4778" t="s">
        <v>3367</v>
      </c>
    </row>
    <row r="4779" spans="1:16" x14ac:dyDescent="0.3">
      <c r="A4779" t="s">
        <v>3404</v>
      </c>
      <c r="C4779">
        <v>60</v>
      </c>
      <c r="D4779" t="s">
        <v>10</v>
      </c>
      <c r="E4779" t="s">
        <v>2807</v>
      </c>
      <c r="F4779" s="43">
        <v>44594.416666666664</v>
      </c>
      <c r="G4779" s="43">
        <v>44594.458333333336</v>
      </c>
      <c r="H4779">
        <v>10</v>
      </c>
      <c r="I4779">
        <v>0</v>
      </c>
      <c r="J4779">
        <v>11</v>
      </c>
      <c r="K4779">
        <v>0</v>
      </c>
      <c r="L4779">
        <v>2022</v>
      </c>
      <c r="N4779" t="s">
        <v>3405</v>
      </c>
      <c r="O4779" t="s">
        <v>47</v>
      </c>
      <c r="P4779" t="s">
        <v>3406</v>
      </c>
    </row>
    <row r="4780" spans="1:16" x14ac:dyDescent="0.3">
      <c r="A4780" t="s">
        <v>3317</v>
      </c>
      <c r="B4780" t="s">
        <v>20</v>
      </c>
      <c r="C4780">
        <v>90</v>
      </c>
      <c r="D4780" t="s">
        <v>10</v>
      </c>
      <c r="E4780" t="s">
        <v>3318</v>
      </c>
      <c r="F4780" s="43">
        <v>44594.333333333336</v>
      </c>
      <c r="G4780" s="43">
        <v>44594.395833333336</v>
      </c>
      <c r="H4780">
        <v>8</v>
      </c>
      <c r="I4780">
        <v>0</v>
      </c>
      <c r="J4780">
        <v>9</v>
      </c>
      <c r="K4780">
        <v>30</v>
      </c>
      <c r="L4780">
        <v>2022</v>
      </c>
      <c r="O4780" t="s">
        <v>47</v>
      </c>
      <c r="P4780" t="s">
        <v>3319</v>
      </c>
    </row>
    <row r="4781" spans="1:16" x14ac:dyDescent="0.3">
      <c r="A4781" t="s">
        <v>3368</v>
      </c>
      <c r="B4781" t="s">
        <v>109</v>
      </c>
      <c r="C4781">
        <v>60</v>
      </c>
      <c r="D4781" t="s">
        <v>10</v>
      </c>
      <c r="E4781" t="s">
        <v>3318</v>
      </c>
      <c r="F4781" s="43">
        <v>44594.291666666664</v>
      </c>
      <c r="G4781" s="43">
        <v>44594.333333333336</v>
      </c>
      <c r="H4781">
        <v>7</v>
      </c>
      <c r="I4781">
        <v>0</v>
      </c>
      <c r="J4781">
        <v>8</v>
      </c>
      <c r="K4781">
        <v>0</v>
      </c>
      <c r="L4781">
        <v>2022</v>
      </c>
      <c r="O4781" t="s">
        <v>47</v>
      </c>
      <c r="P4781" t="s">
        <v>3369</v>
      </c>
    </row>
    <row r="4782" spans="1:16" x14ac:dyDescent="0.3">
      <c r="A4782" t="s">
        <v>3368</v>
      </c>
      <c r="B4782" t="s">
        <v>109</v>
      </c>
      <c r="C4782">
        <v>120</v>
      </c>
      <c r="D4782" t="s">
        <v>10</v>
      </c>
      <c r="E4782" t="s">
        <v>3318</v>
      </c>
      <c r="F4782" s="43">
        <v>44594.1875</v>
      </c>
      <c r="G4782" s="43">
        <v>44594.270833333336</v>
      </c>
      <c r="H4782">
        <v>4</v>
      </c>
      <c r="I4782">
        <v>30</v>
      </c>
      <c r="J4782">
        <v>6</v>
      </c>
      <c r="K4782">
        <v>30</v>
      </c>
      <c r="L4782">
        <v>2022</v>
      </c>
      <c r="O4782" t="s">
        <v>47</v>
      </c>
      <c r="P4782" t="s">
        <v>3370</v>
      </c>
    </row>
    <row r="4783" spans="1:16" x14ac:dyDescent="0.3">
      <c r="A4783" t="s">
        <v>1419</v>
      </c>
      <c r="B4783" t="s">
        <v>225</v>
      </c>
      <c r="C4783">
        <v>30</v>
      </c>
      <c r="D4783" t="s">
        <v>10</v>
      </c>
      <c r="E4783" t="s">
        <v>3371</v>
      </c>
      <c r="F4783" s="43">
        <v>44593.8125</v>
      </c>
      <c r="G4783" s="43">
        <v>44593.833333333336</v>
      </c>
      <c r="H4783">
        <v>19</v>
      </c>
      <c r="I4783">
        <v>30</v>
      </c>
      <c r="J4783">
        <v>20</v>
      </c>
      <c r="K4783">
        <v>0</v>
      </c>
      <c r="L4783">
        <v>2022</v>
      </c>
      <c r="O4783" t="s">
        <v>47</v>
      </c>
      <c r="P4783" t="s">
        <v>3372</v>
      </c>
    </row>
    <row r="4784" spans="1:16" x14ac:dyDescent="0.3">
      <c r="A4784" t="s">
        <v>3373</v>
      </c>
      <c r="B4784" t="s">
        <v>109</v>
      </c>
      <c r="C4784">
        <v>150</v>
      </c>
      <c r="D4784" t="s">
        <v>10</v>
      </c>
      <c r="E4784" t="s">
        <v>3318</v>
      </c>
      <c r="F4784" s="43">
        <v>44593.708333333336</v>
      </c>
      <c r="G4784" s="43">
        <v>44593.8125</v>
      </c>
      <c r="H4784">
        <v>17</v>
      </c>
      <c r="I4784">
        <v>0</v>
      </c>
      <c r="J4784">
        <v>19</v>
      </c>
      <c r="K4784">
        <v>30</v>
      </c>
      <c r="L4784">
        <v>2022</v>
      </c>
      <c r="O4784" t="s">
        <v>47</v>
      </c>
      <c r="P4784" t="s">
        <v>3374</v>
      </c>
    </row>
    <row r="4785" spans="1:16" x14ac:dyDescent="0.3">
      <c r="A4785" t="s">
        <v>3375</v>
      </c>
      <c r="C4785">
        <v>30</v>
      </c>
      <c r="D4785" t="s">
        <v>10</v>
      </c>
      <c r="E4785" t="s">
        <v>2807</v>
      </c>
      <c r="F4785" s="43">
        <v>44593.666666666664</v>
      </c>
      <c r="G4785" s="43">
        <v>44593.6875</v>
      </c>
      <c r="H4785">
        <v>16</v>
      </c>
      <c r="I4785">
        <v>0</v>
      </c>
      <c r="J4785">
        <v>16</v>
      </c>
      <c r="K4785">
        <v>30</v>
      </c>
      <c r="L4785">
        <v>2022</v>
      </c>
      <c r="N4785" t="s">
        <v>3376</v>
      </c>
      <c r="O4785" t="s">
        <v>47</v>
      </c>
      <c r="P4785" t="s">
        <v>3377</v>
      </c>
    </row>
    <row r="4786" spans="1:16" x14ac:dyDescent="0.3">
      <c r="A4786" t="s">
        <v>24</v>
      </c>
      <c r="C4786">
        <v>60</v>
      </c>
      <c r="D4786" t="s">
        <v>10</v>
      </c>
      <c r="F4786" s="43">
        <v>44593.625</v>
      </c>
      <c r="G4786" s="43">
        <v>44593.666666666664</v>
      </c>
      <c r="H4786">
        <v>15</v>
      </c>
      <c r="I4786">
        <v>0</v>
      </c>
      <c r="J4786">
        <v>16</v>
      </c>
      <c r="K4786">
        <v>0</v>
      </c>
      <c r="L4786">
        <v>2022</v>
      </c>
      <c r="O4786" t="s">
        <v>47</v>
      </c>
      <c r="P4786" t="s">
        <v>3378</v>
      </c>
    </row>
    <row r="4787" spans="1:16" x14ac:dyDescent="0.3">
      <c r="A4787" t="s">
        <v>3044</v>
      </c>
      <c r="B4787" t="s">
        <v>20</v>
      </c>
      <c r="C4787">
        <v>20</v>
      </c>
      <c r="D4787" t="s">
        <v>10</v>
      </c>
      <c r="E4787" t="s">
        <v>3379</v>
      </c>
      <c r="F4787" s="43">
        <v>44593.479166666664</v>
      </c>
      <c r="G4787" s="43">
        <v>44593.493055555555</v>
      </c>
      <c r="H4787">
        <v>11</v>
      </c>
      <c r="I4787">
        <v>30</v>
      </c>
      <c r="J4787">
        <v>11</v>
      </c>
      <c r="K4787">
        <v>50</v>
      </c>
      <c r="L4787">
        <v>2022</v>
      </c>
      <c r="O4787" t="s">
        <v>47</v>
      </c>
      <c r="P4787" t="s">
        <v>3380</v>
      </c>
    </row>
    <row r="4788" spans="1:16" x14ac:dyDescent="0.3">
      <c r="A4788" t="s">
        <v>3572</v>
      </c>
      <c r="B4788" t="s">
        <v>20</v>
      </c>
      <c r="C4788">
        <v>30</v>
      </c>
      <c r="D4788" t="s">
        <v>10</v>
      </c>
      <c r="E4788" t="s">
        <v>3573</v>
      </c>
      <c r="F4788" s="43">
        <v>44593.458333333336</v>
      </c>
      <c r="G4788" s="43">
        <v>44593.479166666664</v>
      </c>
      <c r="H4788">
        <v>11</v>
      </c>
      <c r="I4788">
        <v>0</v>
      </c>
      <c r="J4788">
        <v>11</v>
      </c>
      <c r="K4788">
        <v>30</v>
      </c>
      <c r="L4788">
        <v>2022</v>
      </c>
      <c r="N4788" t="s">
        <v>3574</v>
      </c>
      <c r="O4788" t="s">
        <v>47</v>
      </c>
      <c r="P4788" t="s">
        <v>3575</v>
      </c>
    </row>
    <row r="4789" spans="1:16" x14ac:dyDescent="0.3">
      <c r="A4789" t="s">
        <v>7</v>
      </c>
      <c r="B4789" t="s">
        <v>3381</v>
      </c>
      <c r="C4789">
        <v>30</v>
      </c>
      <c r="D4789" t="s">
        <v>10</v>
      </c>
      <c r="E4789" t="s">
        <v>449</v>
      </c>
      <c r="F4789" s="43">
        <v>44593.4375</v>
      </c>
      <c r="G4789" s="43">
        <v>44593.458333333336</v>
      </c>
      <c r="H4789">
        <v>10</v>
      </c>
      <c r="I4789">
        <v>30</v>
      </c>
      <c r="J4789">
        <v>11</v>
      </c>
      <c r="K4789">
        <v>0</v>
      </c>
      <c r="L4789">
        <v>2022</v>
      </c>
      <c r="O4789" t="s">
        <v>47</v>
      </c>
      <c r="P4789" t="s">
        <v>3382</v>
      </c>
    </row>
    <row r="4790" spans="1:16" x14ac:dyDescent="0.3">
      <c r="A4790" t="s">
        <v>2145</v>
      </c>
      <c r="C4790">
        <v>30</v>
      </c>
      <c r="D4790" t="s">
        <v>10</v>
      </c>
      <c r="F4790" s="43">
        <v>44593.416666666664</v>
      </c>
      <c r="G4790" s="43">
        <v>44593.4375</v>
      </c>
      <c r="H4790">
        <v>10</v>
      </c>
      <c r="I4790">
        <v>0</v>
      </c>
      <c r="J4790">
        <v>10</v>
      </c>
      <c r="K4790">
        <v>30</v>
      </c>
      <c r="L4790">
        <v>2022</v>
      </c>
      <c r="O4790" t="s">
        <v>47</v>
      </c>
      <c r="P4790" t="s">
        <v>3383</v>
      </c>
    </row>
    <row r="4791" spans="1:16" x14ac:dyDescent="0.3">
      <c r="A4791" t="s">
        <v>3390</v>
      </c>
      <c r="C4791">
        <v>30</v>
      </c>
      <c r="D4791" t="s">
        <v>10</v>
      </c>
      <c r="E4791" t="s">
        <v>2807</v>
      </c>
      <c r="F4791" s="43">
        <v>44593.395833333336</v>
      </c>
      <c r="G4791" s="43">
        <v>44593.416666666664</v>
      </c>
      <c r="H4791">
        <v>9</v>
      </c>
      <c r="I4791">
        <v>30</v>
      </c>
      <c r="J4791">
        <v>10</v>
      </c>
      <c r="K4791">
        <v>0</v>
      </c>
      <c r="L4791">
        <v>2022</v>
      </c>
      <c r="N4791" t="s">
        <v>3391</v>
      </c>
      <c r="O4791" t="s">
        <v>47</v>
      </c>
      <c r="P4791" t="s">
        <v>3392</v>
      </c>
    </row>
    <row r="4792" spans="1:16" x14ac:dyDescent="0.3">
      <c r="A4792" t="s">
        <v>3393</v>
      </c>
      <c r="C4792">
        <v>45</v>
      </c>
      <c r="D4792" t="s">
        <v>10</v>
      </c>
      <c r="E4792" t="s">
        <v>2807</v>
      </c>
      <c r="F4792" s="43">
        <v>44593.34375</v>
      </c>
      <c r="G4792" s="43">
        <v>44593.375</v>
      </c>
      <c r="H4792">
        <v>8</v>
      </c>
      <c r="I4792">
        <v>15</v>
      </c>
      <c r="J4792">
        <v>9</v>
      </c>
      <c r="K4792">
        <v>0</v>
      </c>
      <c r="L4792">
        <v>2022</v>
      </c>
      <c r="N4792" t="s">
        <v>51</v>
      </c>
      <c r="O4792" t="s">
        <v>47</v>
      </c>
      <c r="P4792" t="s">
        <v>3394</v>
      </c>
    </row>
    <row r="4793" spans="1:16" x14ac:dyDescent="0.3">
      <c r="A4793" t="s">
        <v>1750</v>
      </c>
      <c r="B4793" t="s">
        <v>2568</v>
      </c>
      <c r="C4793">
        <v>20</v>
      </c>
      <c r="D4793" t="s">
        <v>10</v>
      </c>
      <c r="E4793" t="s">
        <v>3388</v>
      </c>
      <c r="F4793" s="43">
        <v>44592.729166666664</v>
      </c>
      <c r="G4793" s="43">
        <v>44592.743055555555</v>
      </c>
      <c r="H4793">
        <v>17</v>
      </c>
      <c r="I4793">
        <v>30</v>
      </c>
      <c r="J4793">
        <v>17</v>
      </c>
      <c r="K4793">
        <v>50</v>
      </c>
      <c r="L4793">
        <v>2022</v>
      </c>
      <c r="O4793" t="s">
        <v>47</v>
      </c>
      <c r="P4793" t="s">
        <v>3389</v>
      </c>
    </row>
    <row r="4794" spans="1:16" x14ac:dyDescent="0.3">
      <c r="A4794" t="s">
        <v>8</v>
      </c>
      <c r="B4794" t="s">
        <v>6</v>
      </c>
      <c r="C4794">
        <v>30</v>
      </c>
      <c r="D4794" t="s">
        <v>10</v>
      </c>
      <c r="F4794" s="43">
        <v>44592.677083333336</v>
      </c>
      <c r="G4794" s="43">
        <v>44592.697916666664</v>
      </c>
      <c r="H4794">
        <v>16</v>
      </c>
      <c r="I4794">
        <v>15</v>
      </c>
      <c r="J4794">
        <v>16</v>
      </c>
      <c r="K4794">
        <v>45</v>
      </c>
      <c r="L4794">
        <v>2022</v>
      </c>
      <c r="O4794" t="s">
        <v>47</v>
      </c>
      <c r="P4794" t="s">
        <v>3387</v>
      </c>
    </row>
    <row r="4795" spans="1:16" x14ac:dyDescent="0.3">
      <c r="A4795" t="s">
        <v>3395</v>
      </c>
      <c r="B4795" t="s">
        <v>109</v>
      </c>
      <c r="C4795">
        <v>45</v>
      </c>
      <c r="D4795" t="s">
        <v>10</v>
      </c>
      <c r="E4795" t="s">
        <v>3335</v>
      </c>
      <c r="F4795" s="43">
        <v>44592.635416666664</v>
      </c>
      <c r="G4795" s="43">
        <v>44592.666666666664</v>
      </c>
      <c r="H4795">
        <v>15</v>
      </c>
      <c r="I4795">
        <v>15</v>
      </c>
      <c r="J4795">
        <v>16</v>
      </c>
      <c r="K4795">
        <v>0</v>
      </c>
      <c r="L4795">
        <v>2022</v>
      </c>
      <c r="O4795" t="s">
        <v>47</v>
      </c>
      <c r="P4795" t="s">
        <v>3396</v>
      </c>
    </row>
    <row r="4796" spans="1:16" x14ac:dyDescent="0.3">
      <c r="A4796" t="s">
        <v>3397</v>
      </c>
      <c r="B4796" t="s">
        <v>109</v>
      </c>
      <c r="C4796">
        <v>60</v>
      </c>
      <c r="D4796" t="s">
        <v>10</v>
      </c>
      <c r="E4796" t="s">
        <v>3335</v>
      </c>
      <c r="F4796" s="43">
        <v>44592.583333333336</v>
      </c>
      <c r="G4796" s="43">
        <v>44592.625</v>
      </c>
      <c r="H4796">
        <v>14</v>
      </c>
      <c r="I4796">
        <v>0</v>
      </c>
      <c r="J4796">
        <v>15</v>
      </c>
      <c r="K4796">
        <v>0</v>
      </c>
      <c r="L4796">
        <v>2022</v>
      </c>
      <c r="O4796" t="s">
        <v>47</v>
      </c>
      <c r="P4796" t="s">
        <v>3398</v>
      </c>
    </row>
    <row r="4797" spans="1:16" x14ac:dyDescent="0.3">
      <c r="A4797" t="s">
        <v>9</v>
      </c>
      <c r="B4797" t="s">
        <v>6</v>
      </c>
      <c r="C4797">
        <v>30</v>
      </c>
      <c r="D4797" t="s">
        <v>10</v>
      </c>
      <c r="E4797" t="s">
        <v>449</v>
      </c>
      <c r="F4797" s="43">
        <v>44592.5625</v>
      </c>
      <c r="G4797" s="43">
        <v>44592.583333333336</v>
      </c>
      <c r="H4797">
        <v>13</v>
      </c>
      <c r="I4797">
        <v>30</v>
      </c>
      <c r="J4797">
        <v>14</v>
      </c>
      <c r="K4797">
        <v>0</v>
      </c>
      <c r="L4797">
        <v>2022</v>
      </c>
      <c r="O4797" t="s">
        <v>47</v>
      </c>
      <c r="P4797" t="s">
        <v>3399</v>
      </c>
    </row>
    <row r="4798" spans="1:16" x14ac:dyDescent="0.3">
      <c r="A4798" t="s">
        <v>3397</v>
      </c>
      <c r="B4798" t="s">
        <v>109</v>
      </c>
      <c r="C4798">
        <v>30</v>
      </c>
      <c r="D4798" t="s">
        <v>10</v>
      </c>
      <c r="E4798" t="s">
        <v>3335</v>
      </c>
      <c r="F4798" s="43">
        <v>44592.541666666664</v>
      </c>
      <c r="G4798" s="43">
        <v>44592.5625</v>
      </c>
      <c r="H4798">
        <v>13</v>
      </c>
      <c r="I4798">
        <v>0</v>
      </c>
      <c r="J4798">
        <v>13</v>
      </c>
      <c r="K4798">
        <v>30</v>
      </c>
      <c r="L4798">
        <v>2022</v>
      </c>
      <c r="O4798" t="s">
        <v>47</v>
      </c>
      <c r="P4798" t="s">
        <v>3400</v>
      </c>
    </row>
    <row r="4799" spans="1:16" x14ac:dyDescent="0.3">
      <c r="A4799" t="s">
        <v>3445</v>
      </c>
      <c r="B4799" t="s">
        <v>225</v>
      </c>
      <c r="C4799">
        <v>60</v>
      </c>
      <c r="D4799" t="s">
        <v>10</v>
      </c>
      <c r="E4799" t="s">
        <v>3446</v>
      </c>
      <c r="F4799" s="43">
        <v>44592.458333333336</v>
      </c>
      <c r="G4799" s="43">
        <v>44592.5</v>
      </c>
      <c r="H4799">
        <v>11</v>
      </c>
      <c r="I4799">
        <v>0</v>
      </c>
      <c r="J4799">
        <v>12</v>
      </c>
      <c r="K4799">
        <v>0</v>
      </c>
      <c r="L4799">
        <v>2022</v>
      </c>
      <c r="N4799" t="s">
        <v>3447</v>
      </c>
      <c r="O4799" t="s">
        <v>47</v>
      </c>
      <c r="P4799" t="s">
        <v>3448</v>
      </c>
    </row>
    <row r="4800" spans="1:16" x14ac:dyDescent="0.3">
      <c r="A4800" t="s">
        <v>3407</v>
      </c>
      <c r="B4800" t="s">
        <v>6</v>
      </c>
      <c r="C4800">
        <v>30</v>
      </c>
      <c r="D4800" t="s">
        <v>10</v>
      </c>
      <c r="F4800" s="43">
        <v>44592.4375</v>
      </c>
      <c r="G4800" s="43">
        <v>44592.458333333336</v>
      </c>
      <c r="H4800">
        <v>10</v>
      </c>
      <c r="I4800">
        <v>30</v>
      </c>
      <c r="J4800">
        <v>11</v>
      </c>
      <c r="K4800">
        <v>0</v>
      </c>
      <c r="L4800">
        <v>2022</v>
      </c>
      <c r="O4800" t="s">
        <v>47</v>
      </c>
      <c r="P4800" t="s">
        <v>3408</v>
      </c>
    </row>
    <row r="4801" spans="1:16" x14ac:dyDescent="0.3">
      <c r="A4801" t="s">
        <v>23</v>
      </c>
      <c r="B4801" t="s">
        <v>109</v>
      </c>
      <c r="C4801">
        <v>30</v>
      </c>
      <c r="D4801" t="s">
        <v>10</v>
      </c>
      <c r="E4801" t="s">
        <v>3335</v>
      </c>
      <c r="F4801" s="43">
        <v>44592.375</v>
      </c>
      <c r="G4801" s="43">
        <v>44592.395833333336</v>
      </c>
      <c r="H4801">
        <v>9</v>
      </c>
      <c r="I4801">
        <v>0</v>
      </c>
      <c r="J4801">
        <v>9</v>
      </c>
      <c r="K4801">
        <v>30</v>
      </c>
      <c r="L4801">
        <v>2022</v>
      </c>
      <c r="O4801" t="s">
        <v>47</v>
      </c>
      <c r="P4801" t="s">
        <v>3410</v>
      </c>
    </row>
    <row r="4802" spans="1:16" x14ac:dyDescent="0.3">
      <c r="A4802" t="s">
        <v>3483</v>
      </c>
      <c r="B4802" t="s">
        <v>2568</v>
      </c>
      <c r="C4802">
        <v>60</v>
      </c>
      <c r="D4802" t="s">
        <v>10</v>
      </c>
      <c r="E4802" t="s">
        <v>3484</v>
      </c>
      <c r="F4802" s="43">
        <v>44592.333333333336</v>
      </c>
      <c r="G4802" s="43">
        <v>44592.375</v>
      </c>
      <c r="H4802">
        <v>8</v>
      </c>
      <c r="I4802">
        <v>0</v>
      </c>
      <c r="J4802">
        <v>9</v>
      </c>
      <c r="K4802">
        <v>0</v>
      </c>
      <c r="L4802">
        <v>2022</v>
      </c>
      <c r="N4802" t="s">
        <v>3485</v>
      </c>
      <c r="O4802" t="s">
        <v>3486</v>
      </c>
      <c r="P4802" t="s">
        <v>3487</v>
      </c>
    </row>
    <row r="4803" spans="1:16" x14ac:dyDescent="0.3">
      <c r="A4803" t="s">
        <v>3656</v>
      </c>
      <c r="B4803" t="s">
        <v>20</v>
      </c>
      <c r="C4803">
        <v>90</v>
      </c>
      <c r="D4803" t="s">
        <v>10</v>
      </c>
      <c r="E4803" t="s">
        <v>3657</v>
      </c>
      <c r="F4803" s="43">
        <v>44592.270833333336</v>
      </c>
      <c r="G4803" s="43">
        <v>44592.333333333336</v>
      </c>
      <c r="H4803">
        <v>6</v>
      </c>
      <c r="I4803">
        <v>30</v>
      </c>
      <c r="J4803">
        <v>8</v>
      </c>
      <c r="K4803">
        <v>0</v>
      </c>
      <c r="L4803">
        <v>2022</v>
      </c>
      <c r="N4803" t="s">
        <v>3658</v>
      </c>
      <c r="O4803" t="s">
        <v>3659</v>
      </c>
      <c r="P4803" t="s">
        <v>3660</v>
      </c>
    </row>
    <row r="4804" spans="1:16" x14ac:dyDescent="0.3">
      <c r="A4804" t="s">
        <v>2602</v>
      </c>
      <c r="C4804">
        <v>30</v>
      </c>
      <c r="D4804" t="s">
        <v>10</v>
      </c>
      <c r="F4804" s="43">
        <v>44592.25</v>
      </c>
      <c r="G4804" s="43">
        <v>44592.270833333336</v>
      </c>
      <c r="H4804">
        <v>6</v>
      </c>
      <c r="I4804">
        <v>0</v>
      </c>
      <c r="J4804">
        <v>6</v>
      </c>
      <c r="K4804">
        <v>30</v>
      </c>
      <c r="L4804">
        <v>2022</v>
      </c>
      <c r="O4804" t="s">
        <v>47</v>
      </c>
      <c r="P4804" t="s">
        <v>3409</v>
      </c>
    </row>
    <row r="4805" spans="1:16" x14ac:dyDescent="0.3">
      <c r="A4805" t="s">
        <v>3411</v>
      </c>
      <c r="B4805" t="s">
        <v>109</v>
      </c>
      <c r="C4805">
        <v>45</v>
      </c>
      <c r="D4805" t="s">
        <v>10</v>
      </c>
      <c r="E4805" t="s">
        <v>3412</v>
      </c>
      <c r="F4805" s="43">
        <v>44591.770833333336</v>
      </c>
      <c r="G4805" s="43">
        <v>44591.802083333336</v>
      </c>
      <c r="H4805">
        <v>18</v>
      </c>
      <c r="I4805">
        <v>30</v>
      </c>
      <c r="J4805">
        <v>19</v>
      </c>
      <c r="K4805">
        <v>15</v>
      </c>
      <c r="L4805">
        <v>2022</v>
      </c>
      <c r="O4805" t="s">
        <v>47</v>
      </c>
      <c r="P4805" t="s">
        <v>3413</v>
      </c>
    </row>
    <row r="4806" spans="1:16" x14ac:dyDescent="0.3">
      <c r="A4806" t="s">
        <v>3414</v>
      </c>
      <c r="B4806" t="s">
        <v>109</v>
      </c>
      <c r="C4806">
        <v>30</v>
      </c>
      <c r="D4806" t="s">
        <v>10</v>
      </c>
      <c r="E4806" t="s">
        <v>3412</v>
      </c>
      <c r="F4806" s="43">
        <v>44591.729166666664</v>
      </c>
      <c r="G4806" s="43">
        <v>44591.75</v>
      </c>
      <c r="H4806">
        <v>17</v>
      </c>
      <c r="I4806">
        <v>30</v>
      </c>
      <c r="J4806">
        <v>18</v>
      </c>
      <c r="K4806">
        <v>0</v>
      </c>
      <c r="L4806">
        <v>2022</v>
      </c>
      <c r="O4806" t="s">
        <v>47</v>
      </c>
      <c r="P4806" t="s">
        <v>3415</v>
      </c>
    </row>
    <row r="4807" spans="1:16" x14ac:dyDescent="0.3">
      <c r="A4807" t="s">
        <v>3411</v>
      </c>
      <c r="B4807" t="s">
        <v>109</v>
      </c>
      <c r="C4807">
        <v>55</v>
      </c>
      <c r="D4807" t="s">
        <v>10</v>
      </c>
      <c r="E4807" t="s">
        <v>3412</v>
      </c>
      <c r="F4807" s="43">
        <v>44591.659722222219</v>
      </c>
      <c r="G4807" s="43">
        <v>44591.697916666664</v>
      </c>
      <c r="H4807">
        <v>15</v>
      </c>
      <c r="I4807">
        <v>50</v>
      </c>
      <c r="J4807">
        <v>16</v>
      </c>
      <c r="K4807">
        <v>45</v>
      </c>
      <c r="L4807">
        <v>2022</v>
      </c>
      <c r="O4807" t="s">
        <v>47</v>
      </c>
      <c r="P4807" t="s">
        <v>3416</v>
      </c>
    </row>
    <row r="4808" spans="1:16" x14ac:dyDescent="0.3">
      <c r="A4808" t="s">
        <v>3414</v>
      </c>
      <c r="B4808" t="s">
        <v>109</v>
      </c>
      <c r="C4808">
        <v>30</v>
      </c>
      <c r="D4808" t="s">
        <v>10</v>
      </c>
      <c r="E4808" t="s">
        <v>3412</v>
      </c>
      <c r="F4808" s="43">
        <v>44591.604166666664</v>
      </c>
      <c r="G4808" s="43">
        <v>44591.625</v>
      </c>
      <c r="H4808">
        <v>14</v>
      </c>
      <c r="I4808">
        <v>30</v>
      </c>
      <c r="J4808">
        <v>15</v>
      </c>
      <c r="K4808">
        <v>0</v>
      </c>
      <c r="L4808">
        <v>2022</v>
      </c>
      <c r="O4808" t="s">
        <v>47</v>
      </c>
      <c r="P4808" t="s">
        <v>3417</v>
      </c>
    </row>
    <row r="4809" spans="1:16" x14ac:dyDescent="0.3">
      <c r="A4809" t="s">
        <v>7</v>
      </c>
      <c r="B4809" t="s">
        <v>6</v>
      </c>
      <c r="C4809">
        <v>30</v>
      </c>
      <c r="D4809" t="s">
        <v>10</v>
      </c>
      <c r="F4809" s="43">
        <v>44591.583333333336</v>
      </c>
      <c r="G4809" s="43">
        <v>44591.604166666664</v>
      </c>
      <c r="H4809">
        <v>14</v>
      </c>
      <c r="I4809">
        <v>0</v>
      </c>
      <c r="J4809">
        <v>14</v>
      </c>
      <c r="K4809">
        <v>30</v>
      </c>
      <c r="L4809">
        <v>2022</v>
      </c>
      <c r="O4809" t="s">
        <v>47</v>
      </c>
      <c r="P4809" t="s">
        <v>3418</v>
      </c>
    </row>
    <row r="4810" spans="1:16" x14ac:dyDescent="0.3">
      <c r="A4810" t="s">
        <v>3420</v>
      </c>
      <c r="B4810" t="s">
        <v>109</v>
      </c>
      <c r="C4810">
        <v>30</v>
      </c>
      <c r="D4810" t="s">
        <v>10</v>
      </c>
      <c r="E4810" t="s">
        <v>3421</v>
      </c>
      <c r="F4810" s="43">
        <v>44591.5</v>
      </c>
      <c r="G4810" s="43">
        <v>44591.520833333336</v>
      </c>
      <c r="H4810">
        <v>12</v>
      </c>
      <c r="I4810">
        <v>0</v>
      </c>
      <c r="J4810">
        <v>12</v>
      </c>
      <c r="K4810">
        <v>30</v>
      </c>
      <c r="L4810">
        <v>2022</v>
      </c>
      <c r="N4810" t="s">
        <v>3422</v>
      </c>
      <c r="O4810" t="s">
        <v>47</v>
      </c>
      <c r="P4810" t="s">
        <v>3423</v>
      </c>
    </row>
    <row r="4811" spans="1:16" x14ac:dyDescent="0.3">
      <c r="A4811" t="s">
        <v>3411</v>
      </c>
      <c r="B4811" t="s">
        <v>109</v>
      </c>
      <c r="C4811">
        <v>90</v>
      </c>
      <c r="D4811" t="s">
        <v>10</v>
      </c>
      <c r="E4811" t="s">
        <v>3412</v>
      </c>
      <c r="F4811" s="43">
        <v>44591.375</v>
      </c>
      <c r="G4811" s="43">
        <v>44591.4375</v>
      </c>
      <c r="H4811">
        <v>9</v>
      </c>
      <c r="I4811">
        <v>0</v>
      </c>
      <c r="J4811">
        <v>10</v>
      </c>
      <c r="K4811">
        <v>30</v>
      </c>
      <c r="L4811">
        <v>2022</v>
      </c>
      <c r="O4811" t="s">
        <v>47</v>
      </c>
      <c r="P4811" t="s">
        <v>3419</v>
      </c>
    </row>
    <row r="4812" spans="1:16" x14ac:dyDescent="0.3">
      <c r="A4812" t="s">
        <v>8</v>
      </c>
      <c r="B4812" t="s">
        <v>6</v>
      </c>
      <c r="C4812">
        <v>45</v>
      </c>
      <c r="D4812" t="s">
        <v>10</v>
      </c>
      <c r="F4812" s="43">
        <v>44591.270833333336</v>
      </c>
      <c r="G4812" s="43">
        <v>44591.302083333336</v>
      </c>
      <c r="H4812">
        <v>6</v>
      </c>
      <c r="I4812">
        <v>30</v>
      </c>
      <c r="J4812">
        <v>7</v>
      </c>
      <c r="K4812">
        <v>15</v>
      </c>
      <c r="L4812">
        <v>2022</v>
      </c>
      <c r="O4812" t="s">
        <v>47</v>
      </c>
      <c r="P4812" t="s">
        <v>3424</v>
      </c>
    </row>
    <row r="4813" spans="1:16" x14ac:dyDescent="0.3">
      <c r="A4813" t="s">
        <v>3425</v>
      </c>
      <c r="B4813" t="s">
        <v>109</v>
      </c>
      <c r="C4813">
        <v>120</v>
      </c>
      <c r="D4813" t="s">
        <v>10</v>
      </c>
      <c r="E4813" t="s">
        <v>3412</v>
      </c>
      <c r="F4813" s="43">
        <v>44590.708333333336</v>
      </c>
      <c r="G4813" s="43">
        <v>44590.791666666664</v>
      </c>
      <c r="H4813">
        <v>17</v>
      </c>
      <c r="I4813">
        <v>0</v>
      </c>
      <c r="J4813">
        <v>19</v>
      </c>
      <c r="K4813">
        <v>0</v>
      </c>
      <c r="L4813">
        <v>2022</v>
      </c>
      <c r="O4813" t="s">
        <v>47</v>
      </c>
      <c r="P4813" t="s">
        <v>3426</v>
      </c>
    </row>
    <row r="4814" spans="1:16" x14ac:dyDescent="0.3">
      <c r="A4814" t="s">
        <v>3427</v>
      </c>
      <c r="B4814" t="s">
        <v>109</v>
      </c>
      <c r="C4814">
        <v>90</v>
      </c>
      <c r="D4814" t="s">
        <v>10</v>
      </c>
      <c r="E4814" t="s">
        <v>3412</v>
      </c>
      <c r="F4814" s="43">
        <v>44590.541666666664</v>
      </c>
      <c r="G4814" s="43">
        <v>44590.604166666664</v>
      </c>
      <c r="H4814">
        <v>13</v>
      </c>
      <c r="I4814">
        <v>0</v>
      </c>
      <c r="J4814">
        <v>14</v>
      </c>
      <c r="K4814">
        <v>30</v>
      </c>
      <c r="L4814">
        <v>2022</v>
      </c>
      <c r="O4814" t="s">
        <v>47</v>
      </c>
      <c r="P4814" t="s">
        <v>3428</v>
      </c>
    </row>
    <row r="4815" spans="1:16" x14ac:dyDescent="0.3">
      <c r="A4815" t="s">
        <v>8</v>
      </c>
      <c r="B4815" t="s">
        <v>6</v>
      </c>
      <c r="C4815">
        <v>90</v>
      </c>
      <c r="D4815" t="s">
        <v>10</v>
      </c>
      <c r="F4815" s="43">
        <v>44590.25</v>
      </c>
      <c r="G4815" s="43">
        <v>44590.3125</v>
      </c>
      <c r="H4815">
        <v>6</v>
      </c>
      <c r="I4815">
        <v>0</v>
      </c>
      <c r="J4815">
        <v>7</v>
      </c>
      <c r="K4815">
        <v>30</v>
      </c>
      <c r="L4815">
        <v>2022</v>
      </c>
      <c r="O4815" t="s">
        <v>47</v>
      </c>
      <c r="P4815" t="s">
        <v>3429</v>
      </c>
    </row>
    <row r="4816" spans="1:16" x14ac:dyDescent="0.3">
      <c r="A4816" t="s">
        <v>3430</v>
      </c>
      <c r="B4816" t="s">
        <v>225</v>
      </c>
      <c r="C4816">
        <v>30</v>
      </c>
      <c r="D4816" t="s">
        <v>10</v>
      </c>
      <c r="E4816" t="s">
        <v>3371</v>
      </c>
      <c r="F4816" s="43">
        <v>44589.777777777781</v>
      </c>
      <c r="G4816" s="43">
        <v>44589.798611111109</v>
      </c>
      <c r="H4816">
        <v>18</v>
      </c>
      <c r="I4816">
        <v>40</v>
      </c>
      <c r="J4816">
        <v>19</v>
      </c>
      <c r="K4816">
        <v>10</v>
      </c>
      <c r="L4816">
        <v>2022</v>
      </c>
      <c r="O4816" t="s">
        <v>47</v>
      </c>
      <c r="P4816" t="s">
        <v>3431</v>
      </c>
    </row>
    <row r="4817" spans="1:16" x14ac:dyDescent="0.3">
      <c r="A4817" t="s">
        <v>3432</v>
      </c>
      <c r="B4817" t="s">
        <v>223</v>
      </c>
      <c r="C4817">
        <v>30</v>
      </c>
      <c r="D4817" t="s">
        <v>10</v>
      </c>
      <c r="E4817" t="s">
        <v>3433</v>
      </c>
      <c r="F4817" s="43">
        <v>44589.756944444445</v>
      </c>
      <c r="G4817" s="43">
        <v>44589.777777777781</v>
      </c>
      <c r="H4817">
        <v>18</v>
      </c>
      <c r="I4817">
        <v>10</v>
      </c>
      <c r="J4817">
        <v>18</v>
      </c>
      <c r="K4817">
        <v>40</v>
      </c>
      <c r="L4817">
        <v>2022</v>
      </c>
      <c r="O4817" t="s">
        <v>47</v>
      </c>
      <c r="P4817" t="s">
        <v>3434</v>
      </c>
    </row>
    <row r="4818" spans="1:16" x14ac:dyDescent="0.3">
      <c r="A4818" t="s">
        <v>8</v>
      </c>
      <c r="C4818">
        <v>20</v>
      </c>
      <c r="D4818" t="s">
        <v>10</v>
      </c>
      <c r="F4818" s="43">
        <v>44589.729166666664</v>
      </c>
      <c r="G4818" s="43">
        <v>44589.743055555555</v>
      </c>
      <c r="H4818">
        <v>17</v>
      </c>
      <c r="I4818">
        <v>30</v>
      </c>
      <c r="J4818">
        <v>17</v>
      </c>
      <c r="K4818">
        <v>50</v>
      </c>
      <c r="L4818">
        <v>2022</v>
      </c>
      <c r="O4818" t="s">
        <v>47</v>
      </c>
      <c r="P4818" t="s">
        <v>3435</v>
      </c>
    </row>
    <row r="4819" spans="1:16" x14ac:dyDescent="0.3">
      <c r="A4819" t="s">
        <v>3436</v>
      </c>
      <c r="B4819" t="s">
        <v>6</v>
      </c>
      <c r="C4819">
        <v>60</v>
      </c>
      <c r="D4819" t="s">
        <v>10</v>
      </c>
      <c r="E4819" t="s">
        <v>447</v>
      </c>
      <c r="F4819" s="43">
        <v>44589.645833333336</v>
      </c>
      <c r="G4819" s="43">
        <v>44589.6875</v>
      </c>
      <c r="H4819">
        <v>15</v>
      </c>
      <c r="I4819">
        <v>30</v>
      </c>
      <c r="J4819">
        <v>16</v>
      </c>
      <c r="K4819">
        <v>30</v>
      </c>
      <c r="L4819">
        <v>2022</v>
      </c>
      <c r="O4819" t="s">
        <v>47</v>
      </c>
      <c r="P4819" t="s">
        <v>3437</v>
      </c>
    </row>
    <row r="4820" spans="1:16" x14ac:dyDescent="0.3">
      <c r="A4820" t="s">
        <v>9</v>
      </c>
      <c r="C4820">
        <v>20</v>
      </c>
      <c r="D4820" t="s">
        <v>10</v>
      </c>
      <c r="F4820" s="43">
        <v>44589.569444444445</v>
      </c>
      <c r="G4820" s="43">
        <v>44589.583333333336</v>
      </c>
      <c r="H4820">
        <v>13</v>
      </c>
      <c r="I4820">
        <v>40</v>
      </c>
      <c r="J4820">
        <v>14</v>
      </c>
      <c r="K4820">
        <v>0</v>
      </c>
      <c r="L4820">
        <v>2022</v>
      </c>
      <c r="O4820" t="s">
        <v>47</v>
      </c>
      <c r="P4820" t="s">
        <v>3438</v>
      </c>
    </row>
    <row r="4821" spans="1:16" x14ac:dyDescent="0.3">
      <c r="A4821" t="s">
        <v>1256</v>
      </c>
      <c r="B4821" t="s">
        <v>2568</v>
      </c>
      <c r="C4821">
        <v>40</v>
      </c>
      <c r="D4821" t="s">
        <v>10</v>
      </c>
      <c r="F4821" s="43">
        <v>44589.541666666664</v>
      </c>
      <c r="G4821" s="43">
        <v>44589.569444444445</v>
      </c>
      <c r="H4821">
        <v>13</v>
      </c>
      <c r="I4821">
        <v>0</v>
      </c>
      <c r="J4821">
        <v>13</v>
      </c>
      <c r="K4821">
        <v>40</v>
      </c>
      <c r="L4821">
        <v>2022</v>
      </c>
      <c r="O4821" t="s">
        <v>47</v>
      </c>
      <c r="P4821" t="s">
        <v>3439</v>
      </c>
    </row>
    <row r="4822" spans="1:16" x14ac:dyDescent="0.3">
      <c r="A4822" t="s">
        <v>3440</v>
      </c>
      <c r="B4822" t="s">
        <v>2568</v>
      </c>
      <c r="C4822">
        <v>60</v>
      </c>
      <c r="D4822" t="s">
        <v>10</v>
      </c>
      <c r="E4822" t="s">
        <v>3441</v>
      </c>
      <c r="F4822" s="43">
        <v>44589.5</v>
      </c>
      <c r="G4822" s="43">
        <v>44589.541666666664</v>
      </c>
      <c r="H4822">
        <v>12</v>
      </c>
      <c r="I4822">
        <v>0</v>
      </c>
      <c r="J4822">
        <v>13</v>
      </c>
      <c r="K4822">
        <v>0</v>
      </c>
      <c r="L4822">
        <v>2022</v>
      </c>
      <c r="N4822" t="s">
        <v>806</v>
      </c>
      <c r="O4822" t="s">
        <v>47</v>
      </c>
      <c r="P4822" t="s">
        <v>3442</v>
      </c>
    </row>
    <row r="4823" spans="1:16" x14ac:dyDescent="0.3">
      <c r="A4823" t="s">
        <v>3592</v>
      </c>
      <c r="B4823" t="s">
        <v>20</v>
      </c>
      <c r="C4823">
        <v>120</v>
      </c>
      <c r="D4823" t="s">
        <v>10</v>
      </c>
      <c r="E4823" t="s">
        <v>3593</v>
      </c>
      <c r="F4823" s="43">
        <v>44589.375</v>
      </c>
      <c r="G4823" s="43">
        <v>44589.458333333336</v>
      </c>
      <c r="H4823">
        <v>9</v>
      </c>
      <c r="I4823">
        <v>0</v>
      </c>
      <c r="J4823">
        <v>11</v>
      </c>
      <c r="K4823">
        <v>0</v>
      </c>
      <c r="L4823">
        <v>2022</v>
      </c>
      <c r="N4823" t="s">
        <v>3594</v>
      </c>
      <c r="O4823" t="s">
        <v>956</v>
      </c>
      <c r="P4823" t="s">
        <v>3595</v>
      </c>
    </row>
    <row r="4824" spans="1:16" x14ac:dyDescent="0.3">
      <c r="A4824" t="s">
        <v>6</v>
      </c>
      <c r="C4824">
        <v>30</v>
      </c>
      <c r="D4824" t="s">
        <v>10</v>
      </c>
      <c r="F4824" s="43">
        <v>44589.34375</v>
      </c>
      <c r="G4824" s="43">
        <v>44589.364583333336</v>
      </c>
      <c r="H4824">
        <v>8</v>
      </c>
      <c r="I4824">
        <v>15</v>
      </c>
      <c r="J4824">
        <v>8</v>
      </c>
      <c r="K4824">
        <v>45</v>
      </c>
      <c r="L4824">
        <v>2022</v>
      </c>
      <c r="O4824" t="s">
        <v>47</v>
      </c>
      <c r="P4824" t="s">
        <v>3443</v>
      </c>
    </row>
    <row r="4825" spans="1:16" x14ac:dyDescent="0.3">
      <c r="A4825" t="s">
        <v>2528</v>
      </c>
      <c r="C4825">
        <v>30</v>
      </c>
      <c r="D4825" t="s">
        <v>10</v>
      </c>
      <c r="F4825" s="43">
        <v>44589.3125</v>
      </c>
      <c r="G4825" s="43">
        <v>44589.333333333336</v>
      </c>
      <c r="H4825">
        <v>7</v>
      </c>
      <c r="I4825">
        <v>30</v>
      </c>
      <c r="J4825">
        <v>8</v>
      </c>
      <c r="K4825">
        <v>0</v>
      </c>
      <c r="L4825">
        <v>2022</v>
      </c>
      <c r="O4825" t="s">
        <v>47</v>
      </c>
      <c r="P4825" t="s">
        <v>3444</v>
      </c>
    </row>
    <row r="4826" spans="1:16" x14ac:dyDescent="0.3">
      <c r="A4826" t="s">
        <v>3656</v>
      </c>
      <c r="B4826" t="s">
        <v>20</v>
      </c>
      <c r="C4826">
        <v>60</v>
      </c>
      <c r="D4826" t="s">
        <v>10</v>
      </c>
      <c r="E4826" t="s">
        <v>5</v>
      </c>
      <c r="F4826" s="43">
        <v>44589.270833333336</v>
      </c>
      <c r="G4826" s="43">
        <v>44589.3125</v>
      </c>
      <c r="H4826">
        <v>6</v>
      </c>
      <c r="I4826">
        <v>30</v>
      </c>
      <c r="J4826">
        <v>7</v>
      </c>
      <c r="K4826">
        <v>30</v>
      </c>
      <c r="L4826">
        <v>2022</v>
      </c>
      <c r="N4826" t="s">
        <v>3661</v>
      </c>
      <c r="O4826" t="s">
        <v>3659</v>
      </c>
      <c r="P4826" t="s">
        <v>3662</v>
      </c>
    </row>
    <row r="4827" spans="1:16" x14ac:dyDescent="0.3">
      <c r="A4827" t="s">
        <v>8</v>
      </c>
      <c r="C4827">
        <v>30</v>
      </c>
      <c r="D4827" t="s">
        <v>10</v>
      </c>
      <c r="F4827" s="43">
        <v>44588.791666666664</v>
      </c>
      <c r="G4827" s="43">
        <v>44588.8125</v>
      </c>
      <c r="H4827">
        <v>19</v>
      </c>
      <c r="I4827">
        <v>0</v>
      </c>
      <c r="J4827">
        <v>19</v>
      </c>
      <c r="K4827">
        <v>30</v>
      </c>
      <c r="L4827">
        <v>2022</v>
      </c>
      <c r="O4827" t="s">
        <v>47</v>
      </c>
      <c r="P4827" t="s">
        <v>3452</v>
      </c>
    </row>
    <row r="4828" spans="1:16" x14ac:dyDescent="0.3">
      <c r="A4828" t="s">
        <v>3453</v>
      </c>
      <c r="C4828">
        <v>40</v>
      </c>
      <c r="D4828" t="s">
        <v>10</v>
      </c>
      <c r="F4828" s="43">
        <v>44588.722222222219</v>
      </c>
      <c r="G4828" s="43">
        <v>44588.75</v>
      </c>
      <c r="H4828">
        <v>17</v>
      </c>
      <c r="I4828">
        <v>20</v>
      </c>
      <c r="J4828">
        <v>18</v>
      </c>
      <c r="K4828">
        <v>0</v>
      </c>
      <c r="L4828">
        <v>2022</v>
      </c>
      <c r="O4828" t="s">
        <v>47</v>
      </c>
      <c r="P4828" t="s">
        <v>3454</v>
      </c>
    </row>
    <row r="4829" spans="1:16" x14ac:dyDescent="0.3">
      <c r="A4829" t="s">
        <v>3455</v>
      </c>
      <c r="C4829">
        <v>15</v>
      </c>
      <c r="D4829" t="s">
        <v>10</v>
      </c>
      <c r="E4829" t="s">
        <v>3456</v>
      </c>
      <c r="F4829" s="43">
        <v>44588.715277777781</v>
      </c>
      <c r="G4829" s="43">
        <v>44588.725694444445</v>
      </c>
      <c r="H4829">
        <v>17</v>
      </c>
      <c r="I4829">
        <v>10</v>
      </c>
      <c r="J4829">
        <v>17</v>
      </c>
      <c r="K4829">
        <v>25</v>
      </c>
      <c r="L4829">
        <v>2022</v>
      </c>
      <c r="O4829" t="s">
        <v>47</v>
      </c>
      <c r="P4829" t="s">
        <v>3457</v>
      </c>
    </row>
    <row r="4830" spans="1:16" x14ac:dyDescent="0.3">
      <c r="A4830" t="s">
        <v>3458</v>
      </c>
      <c r="C4830">
        <v>60</v>
      </c>
      <c r="D4830" t="s">
        <v>10</v>
      </c>
      <c r="F4830" s="43">
        <v>44588.65625</v>
      </c>
      <c r="G4830" s="43">
        <v>44588.697916666664</v>
      </c>
      <c r="H4830">
        <v>15</v>
      </c>
      <c r="I4830">
        <v>45</v>
      </c>
      <c r="J4830">
        <v>16</v>
      </c>
      <c r="K4830">
        <v>45</v>
      </c>
      <c r="L4830">
        <v>2022</v>
      </c>
      <c r="O4830" t="s">
        <v>47</v>
      </c>
      <c r="P4830" t="s">
        <v>3459</v>
      </c>
    </row>
    <row r="4831" spans="1:16" x14ac:dyDescent="0.3">
      <c r="A4831" t="s">
        <v>3460</v>
      </c>
      <c r="C4831">
        <v>30</v>
      </c>
      <c r="D4831" t="s">
        <v>10</v>
      </c>
      <c r="F4831" s="43">
        <v>44588.59375</v>
      </c>
      <c r="G4831" s="43">
        <v>44588.614583333336</v>
      </c>
      <c r="H4831">
        <v>14</v>
      </c>
      <c r="I4831">
        <v>15</v>
      </c>
      <c r="J4831">
        <v>14</v>
      </c>
      <c r="K4831">
        <v>45</v>
      </c>
      <c r="L4831">
        <v>2022</v>
      </c>
      <c r="O4831" t="s">
        <v>47</v>
      </c>
      <c r="P4831" t="s">
        <v>3461</v>
      </c>
    </row>
    <row r="4832" spans="1:16" x14ac:dyDescent="0.3">
      <c r="A4832" t="s">
        <v>7</v>
      </c>
      <c r="B4832" t="s">
        <v>6</v>
      </c>
      <c r="C4832">
        <v>30</v>
      </c>
      <c r="D4832" t="s">
        <v>10</v>
      </c>
      <c r="F4832" s="43">
        <v>44588.569444444445</v>
      </c>
      <c r="G4832" s="43">
        <v>44588.590277777781</v>
      </c>
      <c r="H4832">
        <v>13</v>
      </c>
      <c r="I4832">
        <v>40</v>
      </c>
      <c r="J4832">
        <v>14</v>
      </c>
      <c r="K4832">
        <v>10</v>
      </c>
      <c r="L4832">
        <v>2022</v>
      </c>
      <c r="O4832" t="s">
        <v>47</v>
      </c>
      <c r="P4832" t="s">
        <v>3462</v>
      </c>
    </row>
    <row r="4833" spans="1:16" x14ac:dyDescent="0.3">
      <c r="A4833" t="s">
        <v>3464</v>
      </c>
      <c r="B4833" t="s">
        <v>109</v>
      </c>
      <c r="C4833">
        <v>20</v>
      </c>
      <c r="D4833" t="s">
        <v>10</v>
      </c>
      <c r="E4833" t="s">
        <v>3465</v>
      </c>
      <c r="F4833" s="43">
        <v>44588.541666666664</v>
      </c>
      <c r="G4833" s="43">
        <v>44588.555555555555</v>
      </c>
      <c r="H4833">
        <v>13</v>
      </c>
      <c r="I4833">
        <v>0</v>
      </c>
      <c r="J4833">
        <v>13</v>
      </c>
      <c r="K4833">
        <v>20</v>
      </c>
      <c r="L4833">
        <v>2022</v>
      </c>
      <c r="O4833" t="s">
        <v>47</v>
      </c>
      <c r="P4833" t="s">
        <v>3466</v>
      </c>
    </row>
    <row r="4834" spans="1:16" x14ac:dyDescent="0.3">
      <c r="A4834" t="s">
        <v>8</v>
      </c>
      <c r="B4834" t="s">
        <v>6</v>
      </c>
      <c r="C4834">
        <v>10</v>
      </c>
      <c r="D4834" t="s">
        <v>10</v>
      </c>
      <c r="F4834" s="43">
        <v>44588.513888888891</v>
      </c>
      <c r="G4834" s="43">
        <v>44588.520833333336</v>
      </c>
      <c r="H4834">
        <v>12</v>
      </c>
      <c r="I4834">
        <v>20</v>
      </c>
      <c r="J4834">
        <v>12</v>
      </c>
      <c r="K4834">
        <v>30</v>
      </c>
      <c r="L4834">
        <v>2022</v>
      </c>
      <c r="O4834" t="s">
        <v>47</v>
      </c>
      <c r="P4834" t="s">
        <v>3463</v>
      </c>
    </row>
    <row r="4835" spans="1:16" x14ac:dyDescent="0.3">
      <c r="A4835" t="s">
        <v>789</v>
      </c>
      <c r="C4835">
        <v>30</v>
      </c>
      <c r="D4835" t="s">
        <v>10</v>
      </c>
      <c r="F4835" s="43">
        <v>44588.416666666664</v>
      </c>
      <c r="G4835" s="43">
        <v>44588.4375</v>
      </c>
      <c r="H4835">
        <v>10</v>
      </c>
      <c r="I4835">
        <v>0</v>
      </c>
      <c r="J4835">
        <v>10</v>
      </c>
      <c r="K4835">
        <v>30</v>
      </c>
      <c r="L4835">
        <v>2022</v>
      </c>
      <c r="O4835" t="s">
        <v>47</v>
      </c>
      <c r="P4835" t="s">
        <v>3467</v>
      </c>
    </row>
    <row r="4836" spans="1:16" x14ac:dyDescent="0.3">
      <c r="A4836" t="s">
        <v>3614</v>
      </c>
      <c r="B4836" t="s">
        <v>225</v>
      </c>
      <c r="C4836">
        <v>0</v>
      </c>
      <c r="D4836" t="s">
        <v>10</v>
      </c>
      <c r="E4836" t="s">
        <v>3615</v>
      </c>
      <c r="F4836" s="43">
        <v>44588.416666666664</v>
      </c>
      <c r="G4836" s="43">
        <v>44588.416666666664</v>
      </c>
      <c r="H4836">
        <v>10</v>
      </c>
      <c r="I4836">
        <v>0</v>
      </c>
      <c r="J4836">
        <v>10</v>
      </c>
      <c r="K4836">
        <v>0</v>
      </c>
      <c r="L4836">
        <v>2022</v>
      </c>
      <c r="N4836" t="s">
        <v>3616</v>
      </c>
      <c r="O4836" t="s">
        <v>50</v>
      </c>
      <c r="P4836" t="s">
        <v>3617</v>
      </c>
    </row>
    <row r="4837" spans="1:16" x14ac:dyDescent="0.3">
      <c r="A4837" t="s">
        <v>3468</v>
      </c>
      <c r="B4837" t="s">
        <v>6</v>
      </c>
      <c r="C4837">
        <v>15</v>
      </c>
      <c r="D4837" t="s">
        <v>10</v>
      </c>
      <c r="F4837" s="43">
        <v>44588.364583333336</v>
      </c>
      <c r="G4837" s="43">
        <v>44588.375</v>
      </c>
      <c r="H4837">
        <v>8</v>
      </c>
      <c r="I4837">
        <v>45</v>
      </c>
      <c r="J4837">
        <v>9</v>
      </c>
      <c r="K4837">
        <v>0</v>
      </c>
      <c r="L4837">
        <v>2022</v>
      </c>
      <c r="O4837" t="s">
        <v>47</v>
      </c>
      <c r="P4837" t="s">
        <v>3469</v>
      </c>
    </row>
    <row r="4838" spans="1:16" x14ac:dyDescent="0.3">
      <c r="A4838" t="s">
        <v>3464</v>
      </c>
      <c r="B4838" t="s">
        <v>109</v>
      </c>
      <c r="C4838">
        <v>40</v>
      </c>
      <c r="D4838" t="s">
        <v>10</v>
      </c>
      <c r="E4838" t="s">
        <v>3465</v>
      </c>
      <c r="F4838" s="43">
        <v>44588.3125</v>
      </c>
      <c r="G4838" s="43">
        <v>44588.340277777781</v>
      </c>
      <c r="H4838">
        <v>7</v>
      </c>
      <c r="I4838">
        <v>30</v>
      </c>
      <c r="J4838">
        <v>8</v>
      </c>
      <c r="K4838">
        <v>10</v>
      </c>
      <c r="L4838">
        <v>2022</v>
      </c>
      <c r="O4838" t="s">
        <v>47</v>
      </c>
      <c r="P4838" t="s">
        <v>3470</v>
      </c>
    </row>
    <row r="4839" spans="1:16" x14ac:dyDescent="0.3">
      <c r="A4839" t="s">
        <v>2392</v>
      </c>
      <c r="B4839" t="s">
        <v>109</v>
      </c>
      <c r="C4839">
        <v>90</v>
      </c>
      <c r="D4839" t="s">
        <v>10</v>
      </c>
      <c r="E4839" t="s">
        <v>3471</v>
      </c>
      <c r="F4839" s="43">
        <v>44588.229166666664</v>
      </c>
      <c r="G4839" s="43">
        <v>44588.291666666664</v>
      </c>
      <c r="H4839">
        <v>5</v>
      </c>
      <c r="I4839">
        <v>30</v>
      </c>
      <c r="J4839">
        <v>7</v>
      </c>
      <c r="K4839">
        <v>0</v>
      </c>
      <c r="L4839">
        <v>2022</v>
      </c>
      <c r="O4839" t="s">
        <v>47</v>
      </c>
      <c r="P4839" t="s">
        <v>3472</v>
      </c>
    </row>
    <row r="4840" spans="1:16" x14ac:dyDescent="0.3">
      <c r="A4840" t="s">
        <v>3473</v>
      </c>
      <c r="C4840">
        <v>30</v>
      </c>
      <c r="D4840" t="s">
        <v>10</v>
      </c>
      <c r="F4840" s="43">
        <v>44587.760416666664</v>
      </c>
      <c r="G4840" s="43">
        <v>44587.78125</v>
      </c>
      <c r="H4840">
        <v>18</v>
      </c>
      <c r="I4840">
        <v>15</v>
      </c>
      <c r="J4840">
        <v>18</v>
      </c>
      <c r="K4840">
        <v>45</v>
      </c>
      <c r="L4840">
        <v>2022</v>
      </c>
      <c r="O4840" t="s">
        <v>47</v>
      </c>
      <c r="P4840" t="s">
        <v>3474</v>
      </c>
    </row>
    <row r="4841" spans="1:16" x14ac:dyDescent="0.3">
      <c r="A4841" t="s">
        <v>3475</v>
      </c>
      <c r="B4841" t="s">
        <v>6</v>
      </c>
      <c r="C4841">
        <v>45</v>
      </c>
      <c r="D4841" t="s">
        <v>10</v>
      </c>
      <c r="E4841" t="s">
        <v>3476</v>
      </c>
      <c r="F4841" s="43">
        <v>44587.701388888891</v>
      </c>
      <c r="G4841" s="43">
        <v>44587.732638888891</v>
      </c>
      <c r="H4841">
        <v>16</v>
      </c>
      <c r="I4841">
        <v>50</v>
      </c>
      <c r="J4841">
        <v>17</v>
      </c>
      <c r="K4841">
        <v>35</v>
      </c>
      <c r="L4841">
        <v>2022</v>
      </c>
      <c r="O4841" t="s">
        <v>47</v>
      </c>
      <c r="P4841" t="s">
        <v>3477</v>
      </c>
    </row>
    <row r="4842" spans="1:16" x14ac:dyDescent="0.3">
      <c r="A4842" t="s">
        <v>446</v>
      </c>
      <c r="B4842" t="s">
        <v>6</v>
      </c>
      <c r="C4842">
        <v>50</v>
      </c>
      <c r="D4842" t="s">
        <v>10</v>
      </c>
      <c r="E4842" t="s">
        <v>447</v>
      </c>
      <c r="F4842" s="43">
        <v>44587.645833333336</v>
      </c>
      <c r="G4842" s="43">
        <v>44587.680555555555</v>
      </c>
      <c r="H4842">
        <v>15</v>
      </c>
      <c r="I4842">
        <v>30</v>
      </c>
      <c r="J4842">
        <v>16</v>
      </c>
      <c r="K4842">
        <v>20</v>
      </c>
      <c r="L4842">
        <v>2022</v>
      </c>
      <c r="O4842" t="s">
        <v>47</v>
      </c>
      <c r="P4842" t="s">
        <v>3481</v>
      </c>
    </row>
    <row r="4843" spans="1:16" x14ac:dyDescent="0.3">
      <c r="A4843" t="s">
        <v>7</v>
      </c>
      <c r="B4843" t="s">
        <v>6</v>
      </c>
      <c r="C4843">
        <v>30</v>
      </c>
      <c r="D4843" t="s">
        <v>10</v>
      </c>
      <c r="F4843" s="43">
        <v>44587.614583333336</v>
      </c>
      <c r="G4843" s="43">
        <v>44587.635416666664</v>
      </c>
      <c r="H4843">
        <v>14</v>
      </c>
      <c r="I4843">
        <v>45</v>
      </c>
      <c r="J4843">
        <v>15</v>
      </c>
      <c r="K4843">
        <v>15</v>
      </c>
      <c r="L4843">
        <v>2022</v>
      </c>
      <c r="O4843" t="s">
        <v>47</v>
      </c>
      <c r="P4843" t="s">
        <v>3480</v>
      </c>
    </row>
    <row r="4844" spans="1:16" x14ac:dyDescent="0.3">
      <c r="A4844" t="s">
        <v>3149</v>
      </c>
      <c r="B4844" t="s">
        <v>225</v>
      </c>
      <c r="C4844">
        <v>30</v>
      </c>
      <c r="D4844" t="s">
        <v>10</v>
      </c>
      <c r="F4844" s="43">
        <v>44587.583333333336</v>
      </c>
      <c r="G4844" s="43">
        <v>44587.604166666664</v>
      </c>
      <c r="H4844">
        <v>14</v>
      </c>
      <c r="I4844">
        <v>0</v>
      </c>
      <c r="J4844">
        <v>14</v>
      </c>
      <c r="K4844">
        <v>30</v>
      </c>
      <c r="L4844">
        <v>2022</v>
      </c>
      <c r="O4844" t="s">
        <v>47</v>
      </c>
      <c r="P4844" t="s">
        <v>3482</v>
      </c>
    </row>
    <row r="4845" spans="1:16" x14ac:dyDescent="0.3">
      <c r="A4845" t="s">
        <v>3628</v>
      </c>
      <c r="C4845">
        <v>60</v>
      </c>
      <c r="D4845" t="s">
        <v>10</v>
      </c>
      <c r="E4845" t="s">
        <v>21</v>
      </c>
      <c r="F4845" s="43">
        <v>44587.5</v>
      </c>
      <c r="G4845" s="43">
        <v>44587.541666666664</v>
      </c>
      <c r="H4845">
        <v>12</v>
      </c>
      <c r="I4845">
        <v>0</v>
      </c>
      <c r="J4845">
        <v>13</v>
      </c>
      <c r="K4845">
        <v>0</v>
      </c>
      <c r="L4845">
        <v>2022</v>
      </c>
      <c r="N4845" t="s">
        <v>3629</v>
      </c>
      <c r="O4845" t="s">
        <v>54</v>
      </c>
      <c r="P4845" t="s">
        <v>3630</v>
      </c>
    </row>
    <row r="4846" spans="1:16" x14ac:dyDescent="0.3">
      <c r="A4846" t="s">
        <v>3542</v>
      </c>
      <c r="C4846">
        <v>30</v>
      </c>
      <c r="D4846" t="s">
        <v>10</v>
      </c>
      <c r="E4846" t="s">
        <v>5</v>
      </c>
      <c r="F4846" s="43">
        <v>44587.479166666664</v>
      </c>
      <c r="G4846" s="43">
        <v>44587.5</v>
      </c>
      <c r="H4846">
        <v>11</v>
      </c>
      <c r="I4846">
        <v>30</v>
      </c>
      <c r="J4846">
        <v>12</v>
      </c>
      <c r="K4846">
        <v>0</v>
      </c>
      <c r="L4846">
        <v>2022</v>
      </c>
      <c r="N4846" t="s">
        <v>1399</v>
      </c>
      <c r="O4846" t="s">
        <v>1241</v>
      </c>
      <c r="P4846" t="s">
        <v>3543</v>
      </c>
    </row>
    <row r="4847" spans="1:16" x14ac:dyDescent="0.3">
      <c r="A4847" t="s">
        <v>3563</v>
      </c>
      <c r="B4847" t="s">
        <v>20</v>
      </c>
      <c r="C4847">
        <v>45</v>
      </c>
      <c r="D4847" t="s">
        <v>10</v>
      </c>
      <c r="E4847" t="s">
        <v>3564</v>
      </c>
      <c r="F4847" s="43">
        <v>44587.458333333336</v>
      </c>
      <c r="G4847" s="43">
        <v>44587.489583333336</v>
      </c>
      <c r="H4847">
        <v>11</v>
      </c>
      <c r="I4847">
        <v>0</v>
      </c>
      <c r="J4847">
        <v>11</v>
      </c>
      <c r="K4847">
        <v>45</v>
      </c>
      <c r="L4847">
        <v>2022</v>
      </c>
      <c r="N4847" t="s">
        <v>3565</v>
      </c>
      <c r="O4847" t="s">
        <v>3566</v>
      </c>
      <c r="P4847" t="s">
        <v>3567</v>
      </c>
    </row>
    <row r="4848" spans="1:16" x14ac:dyDescent="0.3">
      <c r="A4848" t="s">
        <v>3558</v>
      </c>
      <c r="C4848">
        <v>30</v>
      </c>
      <c r="D4848" t="s">
        <v>10</v>
      </c>
      <c r="E4848" t="s">
        <v>2807</v>
      </c>
      <c r="F4848" s="43">
        <v>44587.4375</v>
      </c>
      <c r="G4848" s="43">
        <v>44587.458333333336</v>
      </c>
      <c r="H4848">
        <v>10</v>
      </c>
      <c r="I4848">
        <v>30</v>
      </c>
      <c r="J4848">
        <v>11</v>
      </c>
      <c r="K4848">
        <v>0</v>
      </c>
      <c r="L4848">
        <v>2022</v>
      </c>
      <c r="N4848" t="s">
        <v>3559</v>
      </c>
      <c r="O4848" t="s">
        <v>47</v>
      </c>
      <c r="P4848" t="s">
        <v>3560</v>
      </c>
    </row>
    <row r="4849" spans="1:16" x14ac:dyDescent="0.3">
      <c r="A4849" t="s">
        <v>3577</v>
      </c>
      <c r="C4849">
        <v>30</v>
      </c>
      <c r="D4849" t="s">
        <v>10</v>
      </c>
      <c r="E4849" t="s">
        <v>2807</v>
      </c>
      <c r="F4849" s="43">
        <v>44587.416666666664</v>
      </c>
      <c r="G4849" s="43">
        <v>44587.4375</v>
      </c>
      <c r="H4849">
        <v>10</v>
      </c>
      <c r="I4849">
        <v>0</v>
      </c>
      <c r="J4849">
        <v>10</v>
      </c>
      <c r="K4849">
        <v>30</v>
      </c>
      <c r="L4849">
        <v>2022</v>
      </c>
      <c r="N4849" t="s">
        <v>3578</v>
      </c>
      <c r="O4849" t="s">
        <v>47</v>
      </c>
      <c r="P4849" t="s">
        <v>3579</v>
      </c>
    </row>
    <row r="4850" spans="1:16" x14ac:dyDescent="0.3">
      <c r="A4850" t="s">
        <v>827</v>
      </c>
      <c r="C4850">
        <v>30</v>
      </c>
      <c r="D4850" t="s">
        <v>10</v>
      </c>
      <c r="F4850" s="43">
        <v>44587.270833333336</v>
      </c>
      <c r="G4850" s="43">
        <v>44587.291666666664</v>
      </c>
      <c r="H4850">
        <v>6</v>
      </c>
      <c r="I4850">
        <v>30</v>
      </c>
      <c r="J4850">
        <v>7</v>
      </c>
      <c r="K4850">
        <v>0</v>
      </c>
      <c r="L4850">
        <v>2022</v>
      </c>
      <c r="O4850" t="s">
        <v>47</v>
      </c>
      <c r="P4850" t="s">
        <v>3538</v>
      </c>
    </row>
    <row r="4851" spans="1:16" x14ac:dyDescent="0.3">
      <c r="A4851" t="s">
        <v>3539</v>
      </c>
      <c r="B4851" t="s">
        <v>109</v>
      </c>
      <c r="C4851">
        <v>60</v>
      </c>
      <c r="D4851" t="s">
        <v>10</v>
      </c>
      <c r="E4851" t="s">
        <v>3540</v>
      </c>
      <c r="F4851" s="43">
        <v>44587.229166666664</v>
      </c>
      <c r="G4851" s="43">
        <v>44587.270833333336</v>
      </c>
      <c r="H4851">
        <v>5</v>
      </c>
      <c r="I4851">
        <v>30</v>
      </c>
      <c r="J4851">
        <v>6</v>
      </c>
      <c r="K4851">
        <v>30</v>
      </c>
      <c r="L4851">
        <v>2022</v>
      </c>
      <c r="O4851" t="s">
        <v>47</v>
      </c>
      <c r="P4851" t="s">
        <v>3541</v>
      </c>
    </row>
    <row r="4852" spans="1:16" x14ac:dyDescent="0.3">
      <c r="A4852" t="s">
        <v>3544</v>
      </c>
      <c r="B4852" t="s">
        <v>109</v>
      </c>
      <c r="C4852">
        <v>30</v>
      </c>
      <c r="D4852" t="s">
        <v>10</v>
      </c>
      <c r="E4852" t="s">
        <v>3540</v>
      </c>
      <c r="F4852" s="43">
        <v>44586.798611111109</v>
      </c>
      <c r="G4852" s="43">
        <v>44586.819444444445</v>
      </c>
      <c r="H4852">
        <v>19</v>
      </c>
      <c r="I4852">
        <v>10</v>
      </c>
      <c r="J4852">
        <v>19</v>
      </c>
      <c r="K4852">
        <v>40</v>
      </c>
      <c r="L4852">
        <v>2022</v>
      </c>
      <c r="O4852" t="s">
        <v>47</v>
      </c>
      <c r="P4852" t="s">
        <v>3545</v>
      </c>
    </row>
    <row r="4853" spans="1:16" x14ac:dyDescent="0.3">
      <c r="A4853" t="s">
        <v>3547</v>
      </c>
      <c r="B4853" t="s">
        <v>20</v>
      </c>
      <c r="C4853">
        <v>60</v>
      </c>
      <c r="D4853" t="s">
        <v>10</v>
      </c>
      <c r="E4853" t="s">
        <v>3548</v>
      </c>
      <c r="F4853" s="43">
        <v>44586.75</v>
      </c>
      <c r="G4853" s="43">
        <v>44586.791666666664</v>
      </c>
      <c r="H4853">
        <v>18</v>
      </c>
      <c r="I4853">
        <v>0</v>
      </c>
      <c r="J4853">
        <v>19</v>
      </c>
      <c r="K4853">
        <v>0</v>
      </c>
      <c r="L4853">
        <v>2022</v>
      </c>
      <c r="N4853" t="s">
        <v>3549</v>
      </c>
      <c r="O4853" t="s">
        <v>1272</v>
      </c>
      <c r="P4853" t="s">
        <v>3550</v>
      </c>
    </row>
    <row r="4854" spans="1:16" x14ac:dyDescent="0.3">
      <c r="A4854" t="s">
        <v>3544</v>
      </c>
      <c r="B4854" t="s">
        <v>109</v>
      </c>
      <c r="C4854">
        <v>20</v>
      </c>
      <c r="D4854" t="s">
        <v>10</v>
      </c>
      <c r="E4854" t="s">
        <v>3540</v>
      </c>
      <c r="F4854" s="43">
        <v>44586.708333333336</v>
      </c>
      <c r="G4854" s="43">
        <v>44586.722222222219</v>
      </c>
      <c r="H4854">
        <v>17</v>
      </c>
      <c r="I4854">
        <v>0</v>
      </c>
      <c r="J4854">
        <v>17</v>
      </c>
      <c r="K4854">
        <v>20</v>
      </c>
      <c r="L4854">
        <v>2022</v>
      </c>
      <c r="O4854" t="s">
        <v>47</v>
      </c>
      <c r="P4854" t="s">
        <v>3546</v>
      </c>
    </row>
    <row r="4855" spans="1:16" x14ac:dyDescent="0.3">
      <c r="A4855" t="s">
        <v>3551</v>
      </c>
      <c r="B4855" t="s">
        <v>223</v>
      </c>
      <c r="C4855">
        <v>20</v>
      </c>
      <c r="D4855" t="s">
        <v>10</v>
      </c>
      <c r="E4855" t="s">
        <v>3552</v>
      </c>
      <c r="F4855" s="43">
        <v>44586.6875</v>
      </c>
      <c r="G4855" s="43">
        <v>44586.701388888891</v>
      </c>
      <c r="H4855">
        <v>16</v>
      </c>
      <c r="I4855">
        <v>30</v>
      </c>
      <c r="J4855">
        <v>16</v>
      </c>
      <c r="K4855">
        <v>50</v>
      </c>
      <c r="L4855">
        <v>2022</v>
      </c>
      <c r="O4855" t="s">
        <v>47</v>
      </c>
      <c r="P4855" t="s">
        <v>3553</v>
      </c>
    </row>
    <row r="4856" spans="1:16" x14ac:dyDescent="0.3">
      <c r="A4856" t="s">
        <v>3551</v>
      </c>
      <c r="B4856" t="s">
        <v>223</v>
      </c>
      <c r="C4856">
        <v>60</v>
      </c>
      <c r="D4856" t="s">
        <v>10</v>
      </c>
      <c r="E4856" t="s">
        <v>3552</v>
      </c>
      <c r="F4856" s="43">
        <v>44586.638888888891</v>
      </c>
      <c r="G4856" s="43">
        <v>44586.680555555555</v>
      </c>
      <c r="H4856">
        <v>15</v>
      </c>
      <c r="I4856">
        <v>20</v>
      </c>
      <c r="J4856">
        <v>16</v>
      </c>
      <c r="K4856">
        <v>20</v>
      </c>
      <c r="L4856">
        <v>2022</v>
      </c>
      <c r="O4856" t="s">
        <v>47</v>
      </c>
      <c r="P4856" t="s">
        <v>3554</v>
      </c>
    </row>
    <row r="4857" spans="1:16" x14ac:dyDescent="0.3">
      <c r="A4857" t="s">
        <v>8</v>
      </c>
      <c r="B4857" t="s">
        <v>6</v>
      </c>
      <c r="C4857">
        <v>20</v>
      </c>
      <c r="D4857" t="s">
        <v>10</v>
      </c>
      <c r="F4857" s="43">
        <v>44586.590277777781</v>
      </c>
      <c r="G4857" s="43">
        <v>44586.604166666664</v>
      </c>
      <c r="H4857">
        <v>14</v>
      </c>
      <c r="I4857">
        <v>10</v>
      </c>
      <c r="J4857">
        <v>14</v>
      </c>
      <c r="K4857">
        <v>30</v>
      </c>
      <c r="L4857">
        <v>2022</v>
      </c>
      <c r="O4857" t="s">
        <v>47</v>
      </c>
      <c r="P4857" t="s">
        <v>3555</v>
      </c>
    </row>
    <row r="4858" spans="1:16" x14ac:dyDescent="0.3">
      <c r="A4858" t="s">
        <v>9</v>
      </c>
      <c r="B4858" t="s">
        <v>6</v>
      </c>
      <c r="C4858">
        <v>40</v>
      </c>
      <c r="D4858" t="s">
        <v>10</v>
      </c>
      <c r="F4858" s="1">
        <v>44586.5625</v>
      </c>
      <c r="G4858" s="1">
        <v>44586.590277777781</v>
      </c>
      <c r="H4858">
        <v>13</v>
      </c>
      <c r="I4858">
        <v>30</v>
      </c>
      <c r="J4858">
        <v>14</v>
      </c>
      <c r="K4858">
        <v>10</v>
      </c>
      <c r="L4858">
        <v>2022</v>
      </c>
      <c r="O4858" t="s">
        <v>47</v>
      </c>
      <c r="P4858" t="s">
        <v>3556</v>
      </c>
    </row>
    <row r="4859" spans="1:16" x14ac:dyDescent="0.3">
      <c r="A4859" t="s">
        <v>8</v>
      </c>
      <c r="B4859" t="s">
        <v>6</v>
      </c>
      <c r="C4859">
        <v>30</v>
      </c>
      <c r="D4859" t="s">
        <v>10</v>
      </c>
      <c r="F4859" s="43">
        <v>44586.541666666664</v>
      </c>
      <c r="G4859" s="43">
        <v>44586.5625</v>
      </c>
      <c r="H4859">
        <v>13</v>
      </c>
      <c r="I4859">
        <v>0</v>
      </c>
      <c r="J4859">
        <v>13</v>
      </c>
      <c r="K4859">
        <v>30</v>
      </c>
      <c r="L4859">
        <v>2022</v>
      </c>
      <c r="O4859" t="s">
        <v>47</v>
      </c>
      <c r="P4859" t="s">
        <v>3557</v>
      </c>
    </row>
    <row r="4860" spans="1:16" x14ac:dyDescent="0.3">
      <c r="A4860" t="s">
        <v>8</v>
      </c>
      <c r="B4860" t="s">
        <v>6</v>
      </c>
      <c r="C4860">
        <v>20</v>
      </c>
      <c r="D4860" t="s">
        <v>10</v>
      </c>
      <c r="F4860" s="43">
        <v>44586.479166666664</v>
      </c>
      <c r="G4860" s="43">
        <v>44586.493055555555</v>
      </c>
      <c r="H4860">
        <v>11</v>
      </c>
      <c r="I4860">
        <v>30</v>
      </c>
      <c r="J4860">
        <v>11</v>
      </c>
      <c r="K4860">
        <v>50</v>
      </c>
      <c r="L4860">
        <v>2022</v>
      </c>
      <c r="O4860" t="s">
        <v>47</v>
      </c>
      <c r="P4860" t="s">
        <v>3561</v>
      </c>
    </row>
    <row r="4861" spans="1:16" x14ac:dyDescent="0.3">
      <c r="A4861" t="s">
        <v>8</v>
      </c>
      <c r="B4861" t="s">
        <v>6</v>
      </c>
      <c r="C4861">
        <v>60</v>
      </c>
      <c r="D4861" t="s">
        <v>10</v>
      </c>
      <c r="F4861" s="43">
        <v>44586.416666666664</v>
      </c>
      <c r="G4861" s="43">
        <v>44586.458333333336</v>
      </c>
      <c r="H4861">
        <v>10</v>
      </c>
      <c r="I4861">
        <v>0</v>
      </c>
      <c r="J4861">
        <v>11</v>
      </c>
      <c r="K4861">
        <v>0</v>
      </c>
      <c r="L4861">
        <v>2022</v>
      </c>
      <c r="O4861" t="s">
        <v>47</v>
      </c>
      <c r="P4861" t="s">
        <v>3562</v>
      </c>
    </row>
    <row r="4862" spans="1:16" x14ac:dyDescent="0.3">
      <c r="A4862" t="s">
        <v>3569</v>
      </c>
      <c r="B4862" t="s">
        <v>109</v>
      </c>
      <c r="C4862">
        <v>30</v>
      </c>
      <c r="D4862" t="s">
        <v>10</v>
      </c>
      <c r="E4862" t="s">
        <v>3540</v>
      </c>
      <c r="F4862" s="43">
        <v>44586.395833333336</v>
      </c>
      <c r="G4862" s="43">
        <v>44586.416666666664</v>
      </c>
      <c r="H4862">
        <v>9</v>
      </c>
      <c r="I4862">
        <v>30</v>
      </c>
      <c r="J4862">
        <v>10</v>
      </c>
      <c r="K4862">
        <v>0</v>
      </c>
      <c r="L4862">
        <v>2022</v>
      </c>
      <c r="N4862" t="s">
        <v>3570</v>
      </c>
      <c r="O4862" t="s">
        <v>47</v>
      </c>
      <c r="P4862" t="s">
        <v>3571</v>
      </c>
    </row>
    <row r="4863" spans="1:16" x14ac:dyDescent="0.3">
      <c r="A4863" t="s">
        <v>3669</v>
      </c>
      <c r="C4863">
        <v>30</v>
      </c>
      <c r="D4863" t="s">
        <v>10</v>
      </c>
      <c r="E4863" t="s">
        <v>5</v>
      </c>
      <c r="F4863" s="43">
        <v>44586.375</v>
      </c>
      <c r="G4863" s="43">
        <v>44586.395833333336</v>
      </c>
      <c r="H4863">
        <v>9</v>
      </c>
      <c r="I4863">
        <v>0</v>
      </c>
      <c r="J4863">
        <v>9</v>
      </c>
      <c r="K4863">
        <v>30</v>
      </c>
      <c r="L4863">
        <v>2022</v>
      </c>
      <c r="N4863" t="s">
        <v>3670</v>
      </c>
      <c r="O4863" t="s">
        <v>956</v>
      </c>
      <c r="P4863" t="s">
        <v>3671</v>
      </c>
    </row>
    <row r="4864" spans="1:16" x14ac:dyDescent="0.3">
      <c r="A4864" t="s">
        <v>8</v>
      </c>
      <c r="B4864" t="s">
        <v>6</v>
      </c>
      <c r="C4864">
        <v>30</v>
      </c>
      <c r="D4864" t="s">
        <v>10</v>
      </c>
      <c r="F4864" s="43">
        <v>44586.354166666664</v>
      </c>
      <c r="G4864" s="43">
        <v>44586.375</v>
      </c>
      <c r="H4864">
        <v>8</v>
      </c>
      <c r="I4864">
        <v>30</v>
      </c>
      <c r="J4864">
        <v>9</v>
      </c>
      <c r="K4864">
        <v>0</v>
      </c>
      <c r="L4864">
        <v>2022</v>
      </c>
      <c r="O4864" t="s">
        <v>47</v>
      </c>
      <c r="P4864" t="s">
        <v>3568</v>
      </c>
    </row>
    <row r="4865" spans="1:16" x14ac:dyDescent="0.3">
      <c r="A4865" t="s">
        <v>8</v>
      </c>
      <c r="B4865" t="s">
        <v>6</v>
      </c>
      <c r="C4865">
        <v>70</v>
      </c>
      <c r="D4865" t="s">
        <v>10</v>
      </c>
      <c r="E4865" t="s">
        <v>477</v>
      </c>
      <c r="F4865" s="43">
        <v>44586.25</v>
      </c>
      <c r="G4865" s="43">
        <v>44586.298611111109</v>
      </c>
      <c r="H4865">
        <v>6</v>
      </c>
      <c r="I4865">
        <v>0</v>
      </c>
      <c r="J4865">
        <v>7</v>
      </c>
      <c r="K4865">
        <v>10</v>
      </c>
      <c r="L4865">
        <v>2022</v>
      </c>
      <c r="O4865" t="s">
        <v>47</v>
      </c>
      <c r="P4865" t="s">
        <v>3576</v>
      </c>
    </row>
    <row r="4866" spans="1:16" x14ac:dyDescent="0.3">
      <c r="A4866" t="s">
        <v>8</v>
      </c>
      <c r="B4866" t="s">
        <v>6</v>
      </c>
      <c r="C4866">
        <v>20</v>
      </c>
      <c r="D4866" t="s">
        <v>10</v>
      </c>
      <c r="E4866" t="s">
        <v>477</v>
      </c>
      <c r="F4866" s="43">
        <v>44585.802083333336</v>
      </c>
      <c r="G4866" s="43">
        <v>44585.815972222219</v>
      </c>
      <c r="H4866">
        <v>19</v>
      </c>
      <c r="I4866">
        <v>15</v>
      </c>
      <c r="J4866">
        <v>19</v>
      </c>
      <c r="K4866">
        <v>35</v>
      </c>
      <c r="L4866">
        <v>2022</v>
      </c>
      <c r="O4866" t="s">
        <v>47</v>
      </c>
      <c r="P4866" t="s">
        <v>3580</v>
      </c>
    </row>
    <row r="4867" spans="1:16" x14ac:dyDescent="0.3">
      <c r="A4867" t="s">
        <v>8</v>
      </c>
      <c r="B4867" t="s">
        <v>6</v>
      </c>
      <c r="C4867">
        <v>30</v>
      </c>
      <c r="D4867" t="s">
        <v>10</v>
      </c>
      <c r="E4867" t="s">
        <v>477</v>
      </c>
      <c r="F4867" s="43">
        <v>44585.760416666664</v>
      </c>
      <c r="G4867" s="43">
        <v>44585.78125</v>
      </c>
      <c r="H4867">
        <v>18</v>
      </c>
      <c r="I4867">
        <v>15</v>
      </c>
      <c r="J4867">
        <v>18</v>
      </c>
      <c r="K4867">
        <v>45</v>
      </c>
      <c r="L4867">
        <v>2022</v>
      </c>
      <c r="O4867" t="s">
        <v>47</v>
      </c>
      <c r="P4867" t="s">
        <v>3581</v>
      </c>
    </row>
    <row r="4868" spans="1:16" x14ac:dyDescent="0.3">
      <c r="A4868" t="s">
        <v>3596</v>
      </c>
      <c r="B4868" t="s">
        <v>6</v>
      </c>
      <c r="C4868">
        <v>30</v>
      </c>
      <c r="D4868" t="s">
        <v>10</v>
      </c>
      <c r="E4868" t="s">
        <v>447</v>
      </c>
      <c r="F4868" s="43">
        <v>44585.708333333336</v>
      </c>
      <c r="G4868" s="43">
        <v>44585.729166666664</v>
      </c>
      <c r="H4868">
        <v>17</v>
      </c>
      <c r="I4868">
        <v>0</v>
      </c>
      <c r="J4868">
        <v>17</v>
      </c>
      <c r="K4868">
        <v>30</v>
      </c>
      <c r="L4868">
        <v>2022</v>
      </c>
      <c r="O4868" t="s">
        <v>47</v>
      </c>
      <c r="P4868" t="s">
        <v>3597</v>
      </c>
    </row>
    <row r="4869" spans="1:16" x14ac:dyDescent="0.3">
      <c r="A4869" t="s">
        <v>3600</v>
      </c>
      <c r="B4869" t="s">
        <v>20</v>
      </c>
      <c r="C4869">
        <v>60</v>
      </c>
      <c r="D4869" t="s">
        <v>10</v>
      </c>
      <c r="E4869" t="s">
        <v>3548</v>
      </c>
      <c r="F4869" s="43">
        <v>44585.666666666664</v>
      </c>
      <c r="G4869" s="43">
        <v>44585.708333333336</v>
      </c>
      <c r="H4869">
        <v>16</v>
      </c>
      <c r="I4869">
        <v>0</v>
      </c>
      <c r="J4869">
        <v>17</v>
      </c>
      <c r="K4869">
        <v>0</v>
      </c>
      <c r="L4869">
        <v>2022</v>
      </c>
      <c r="N4869" t="s">
        <v>3601</v>
      </c>
      <c r="O4869" t="s">
        <v>3602</v>
      </c>
      <c r="P4869" t="s">
        <v>3603</v>
      </c>
    </row>
    <row r="4870" spans="1:16" x14ac:dyDescent="0.3">
      <c r="A4870" t="s">
        <v>3598</v>
      </c>
      <c r="B4870" t="s">
        <v>6</v>
      </c>
      <c r="C4870">
        <v>20</v>
      </c>
      <c r="D4870" t="s">
        <v>10</v>
      </c>
      <c r="E4870" t="s">
        <v>477</v>
      </c>
      <c r="F4870" s="43">
        <v>44585.652777777781</v>
      </c>
      <c r="G4870" s="43">
        <v>44585.666666666664</v>
      </c>
      <c r="H4870">
        <v>15</v>
      </c>
      <c r="I4870">
        <v>40</v>
      </c>
      <c r="J4870">
        <v>16</v>
      </c>
      <c r="K4870">
        <v>0</v>
      </c>
      <c r="L4870">
        <v>2022</v>
      </c>
      <c r="O4870" t="s">
        <v>47</v>
      </c>
      <c r="P4870" t="s">
        <v>3599</v>
      </c>
    </row>
    <row r="4871" spans="1:16" x14ac:dyDescent="0.3">
      <c r="A4871" t="s">
        <v>3604</v>
      </c>
      <c r="B4871" t="s">
        <v>221</v>
      </c>
      <c r="C4871">
        <v>30</v>
      </c>
      <c r="D4871" t="s">
        <v>10</v>
      </c>
      <c r="E4871" t="s">
        <v>2360</v>
      </c>
      <c r="F4871" s="43">
        <v>44585.590277777781</v>
      </c>
      <c r="G4871" s="43">
        <v>44585.611111111109</v>
      </c>
      <c r="H4871">
        <v>14</v>
      </c>
      <c r="I4871">
        <v>10</v>
      </c>
      <c r="J4871">
        <v>14</v>
      </c>
      <c r="K4871">
        <v>40</v>
      </c>
      <c r="L4871">
        <v>2022</v>
      </c>
      <c r="O4871" t="s">
        <v>47</v>
      </c>
      <c r="P4871" t="s">
        <v>3605</v>
      </c>
    </row>
    <row r="4872" spans="1:16" x14ac:dyDescent="0.3">
      <c r="A4872" t="s">
        <v>3606</v>
      </c>
      <c r="B4872" t="s">
        <v>6</v>
      </c>
      <c r="C4872">
        <v>30</v>
      </c>
      <c r="D4872" t="s">
        <v>10</v>
      </c>
      <c r="E4872" t="s">
        <v>449</v>
      </c>
      <c r="F4872" s="43">
        <v>44585.541666666664</v>
      </c>
      <c r="G4872" s="43">
        <v>44585.5625</v>
      </c>
      <c r="H4872">
        <v>13</v>
      </c>
      <c r="I4872">
        <v>0</v>
      </c>
      <c r="J4872">
        <v>13</v>
      </c>
      <c r="K4872">
        <v>30</v>
      </c>
      <c r="L4872">
        <v>2022</v>
      </c>
      <c r="O4872" t="s">
        <v>47</v>
      </c>
      <c r="P4872" t="s">
        <v>3607</v>
      </c>
    </row>
    <row r="4873" spans="1:16" x14ac:dyDescent="0.3">
      <c r="A4873" t="s">
        <v>3672</v>
      </c>
      <c r="B4873" t="s">
        <v>6</v>
      </c>
      <c r="C4873">
        <v>30</v>
      </c>
      <c r="D4873" t="s">
        <v>10</v>
      </c>
      <c r="E4873" t="s">
        <v>3673</v>
      </c>
      <c r="F4873" s="43">
        <v>44585.458333333336</v>
      </c>
      <c r="G4873" s="43">
        <v>44585.479166666664</v>
      </c>
      <c r="H4873">
        <v>11</v>
      </c>
      <c r="I4873">
        <v>0</v>
      </c>
      <c r="J4873">
        <v>11</v>
      </c>
      <c r="K4873">
        <v>30</v>
      </c>
      <c r="L4873">
        <v>2022</v>
      </c>
      <c r="N4873" t="s">
        <v>3674</v>
      </c>
      <c r="O4873" t="s">
        <v>54</v>
      </c>
      <c r="P4873" t="s">
        <v>3675</v>
      </c>
    </row>
    <row r="4874" spans="1:16" x14ac:dyDescent="0.3">
      <c r="A4874" t="s">
        <v>3618</v>
      </c>
      <c r="B4874" t="s">
        <v>225</v>
      </c>
      <c r="C4874">
        <v>30</v>
      </c>
      <c r="D4874" t="s">
        <v>10</v>
      </c>
      <c r="E4874" t="s">
        <v>2807</v>
      </c>
      <c r="F4874" s="43">
        <v>44585.4375</v>
      </c>
      <c r="G4874" s="43">
        <v>44585.458333333336</v>
      </c>
      <c r="H4874">
        <v>10</v>
      </c>
      <c r="I4874">
        <v>30</v>
      </c>
      <c r="J4874">
        <v>11</v>
      </c>
      <c r="K4874">
        <v>0</v>
      </c>
      <c r="L4874">
        <v>2022</v>
      </c>
      <c r="N4874" t="s">
        <v>47</v>
      </c>
      <c r="O4874" t="s">
        <v>53</v>
      </c>
      <c r="P4874" t="s">
        <v>3619</v>
      </c>
    </row>
    <row r="4875" spans="1:16" x14ac:dyDescent="0.3">
      <c r="A4875" t="s">
        <v>3611</v>
      </c>
      <c r="B4875" t="s">
        <v>109</v>
      </c>
      <c r="C4875">
        <v>30</v>
      </c>
      <c r="D4875" t="s">
        <v>10</v>
      </c>
      <c r="E4875" t="s">
        <v>3612</v>
      </c>
      <c r="F4875" s="43">
        <v>44585.416666666664</v>
      </c>
      <c r="G4875" s="43">
        <v>44585.4375</v>
      </c>
      <c r="H4875">
        <v>10</v>
      </c>
      <c r="I4875">
        <v>0</v>
      </c>
      <c r="J4875">
        <v>10</v>
      </c>
      <c r="K4875">
        <v>30</v>
      </c>
      <c r="L4875">
        <v>2022</v>
      </c>
      <c r="O4875" t="s">
        <v>47</v>
      </c>
      <c r="P4875" t="s">
        <v>3613</v>
      </c>
    </row>
    <row r="4876" spans="1:16" x14ac:dyDescent="0.3">
      <c r="A4876" t="s">
        <v>3624</v>
      </c>
      <c r="B4876" t="s">
        <v>20</v>
      </c>
      <c r="C4876">
        <v>15</v>
      </c>
      <c r="D4876" t="s">
        <v>10</v>
      </c>
      <c r="E4876" t="s">
        <v>1048</v>
      </c>
      <c r="F4876" s="43">
        <v>44585.364583333336</v>
      </c>
      <c r="G4876" s="43">
        <v>44585.375</v>
      </c>
      <c r="H4876">
        <v>8</v>
      </c>
      <c r="I4876">
        <v>45</v>
      </c>
      <c r="J4876">
        <v>9</v>
      </c>
      <c r="K4876">
        <v>0</v>
      </c>
      <c r="L4876">
        <v>2022</v>
      </c>
      <c r="N4876" t="s">
        <v>47</v>
      </c>
      <c r="O4876" t="s">
        <v>47</v>
      </c>
      <c r="P4876" t="s">
        <v>3625</v>
      </c>
    </row>
    <row r="4877" spans="1:16" x14ac:dyDescent="0.3">
      <c r="A4877" t="s">
        <v>3626</v>
      </c>
      <c r="B4877" t="s">
        <v>20</v>
      </c>
      <c r="C4877">
        <v>30</v>
      </c>
      <c r="D4877" t="s">
        <v>10</v>
      </c>
      <c r="E4877" t="s">
        <v>1048</v>
      </c>
      <c r="F4877" s="43">
        <v>44585.333333333336</v>
      </c>
      <c r="G4877" s="43">
        <v>44585.354166666664</v>
      </c>
      <c r="H4877">
        <v>8</v>
      </c>
      <c r="I4877">
        <v>0</v>
      </c>
      <c r="J4877">
        <v>8</v>
      </c>
      <c r="K4877">
        <v>30</v>
      </c>
      <c r="L4877">
        <v>2022</v>
      </c>
      <c r="N4877" t="s">
        <v>57</v>
      </c>
      <c r="O4877" t="s">
        <v>51</v>
      </c>
      <c r="P4877" t="s">
        <v>3627</v>
      </c>
    </row>
    <row r="4878" spans="1:16" x14ac:dyDescent="0.3">
      <c r="A4878" t="s">
        <v>3586</v>
      </c>
      <c r="B4878" t="s">
        <v>6</v>
      </c>
      <c r="C4878">
        <v>30</v>
      </c>
      <c r="D4878" t="s">
        <v>10</v>
      </c>
      <c r="E4878" t="s">
        <v>477</v>
      </c>
      <c r="F4878" s="43">
        <v>44585.3125</v>
      </c>
      <c r="G4878" s="43">
        <v>44585.333333333336</v>
      </c>
      <c r="H4878">
        <v>7</v>
      </c>
      <c r="I4878">
        <v>30</v>
      </c>
      <c r="J4878">
        <v>8</v>
      </c>
      <c r="K4878">
        <v>0</v>
      </c>
      <c r="L4878">
        <v>2022</v>
      </c>
      <c r="O4878" t="s">
        <v>47</v>
      </c>
      <c r="P4878" t="s">
        <v>3587</v>
      </c>
    </row>
    <row r="4879" spans="1:16" x14ac:dyDescent="0.3">
      <c r="A4879" t="s">
        <v>3620</v>
      </c>
      <c r="B4879" t="s">
        <v>109</v>
      </c>
      <c r="C4879">
        <v>30</v>
      </c>
      <c r="D4879" t="s">
        <v>10</v>
      </c>
      <c r="E4879" t="s">
        <v>3612</v>
      </c>
      <c r="F4879" s="43">
        <v>44585.270833333336</v>
      </c>
      <c r="G4879" s="43">
        <v>44585.291666666664</v>
      </c>
      <c r="H4879">
        <v>6</v>
      </c>
      <c r="I4879">
        <v>30</v>
      </c>
      <c r="J4879">
        <v>7</v>
      </c>
      <c r="K4879">
        <v>0</v>
      </c>
      <c r="L4879">
        <v>2022</v>
      </c>
      <c r="O4879" t="s">
        <v>47</v>
      </c>
      <c r="P4879" t="s">
        <v>3621</v>
      </c>
    </row>
    <row r="4880" spans="1:16" x14ac:dyDescent="0.3">
      <c r="A4880" t="s">
        <v>3622</v>
      </c>
      <c r="B4880" t="s">
        <v>6</v>
      </c>
      <c r="C4880">
        <v>30</v>
      </c>
      <c r="D4880" t="s">
        <v>10</v>
      </c>
      <c r="E4880" t="s">
        <v>477</v>
      </c>
      <c r="F4880" s="43">
        <v>44585.25</v>
      </c>
      <c r="G4880" s="43">
        <v>44585.270833333336</v>
      </c>
      <c r="H4880">
        <v>6</v>
      </c>
      <c r="I4880">
        <v>0</v>
      </c>
      <c r="J4880">
        <v>6</v>
      </c>
      <c r="K4880">
        <v>30</v>
      </c>
      <c r="L4880">
        <v>2022</v>
      </c>
      <c r="O4880" t="s">
        <v>47</v>
      </c>
      <c r="P4880" t="s">
        <v>3623</v>
      </c>
    </row>
    <row r="4881" spans="1:16" x14ac:dyDescent="0.3">
      <c r="A4881" t="s">
        <v>3608</v>
      </c>
      <c r="B4881" t="s">
        <v>221</v>
      </c>
      <c r="C4881">
        <v>30</v>
      </c>
      <c r="D4881" t="s">
        <v>256</v>
      </c>
      <c r="E4881" t="s">
        <v>2807</v>
      </c>
      <c r="F4881" s="43">
        <v>44585</v>
      </c>
      <c r="G4881" s="43">
        <v>44753</v>
      </c>
      <c r="H4881">
        <v>12</v>
      </c>
      <c r="I4881">
        <v>30</v>
      </c>
      <c r="J4881">
        <v>13</v>
      </c>
      <c r="K4881">
        <v>0</v>
      </c>
      <c r="L4881">
        <v>2022</v>
      </c>
      <c r="N4881" t="s">
        <v>3609</v>
      </c>
      <c r="O4881" t="s">
        <v>47</v>
      </c>
      <c r="P4881" t="s">
        <v>3610</v>
      </c>
    </row>
    <row r="4882" spans="1:16" x14ac:dyDescent="0.3">
      <c r="A4882" t="s">
        <v>3721</v>
      </c>
      <c r="C4882">
        <v>60</v>
      </c>
      <c r="D4882" t="s">
        <v>10</v>
      </c>
      <c r="E4882" t="s">
        <v>3722</v>
      </c>
      <c r="F4882" s="43">
        <v>44584.375</v>
      </c>
      <c r="G4882" s="43">
        <v>44584.416666666664</v>
      </c>
      <c r="H4882">
        <v>9</v>
      </c>
      <c r="I4882">
        <v>0</v>
      </c>
      <c r="J4882">
        <v>10</v>
      </c>
      <c r="K4882">
        <v>0</v>
      </c>
      <c r="L4882">
        <v>2022</v>
      </c>
      <c r="N4882" t="s">
        <v>3723</v>
      </c>
      <c r="O4882" t="s">
        <v>3708</v>
      </c>
      <c r="P4882" t="s">
        <v>3724</v>
      </c>
    </row>
    <row r="4883" spans="1:16" x14ac:dyDescent="0.3">
      <c r="A4883" t="s">
        <v>3715</v>
      </c>
      <c r="C4883">
        <v>90</v>
      </c>
      <c r="D4883" t="s">
        <v>10</v>
      </c>
      <c r="E4883" t="s">
        <v>5</v>
      </c>
      <c r="F4883" s="43">
        <v>44582.395833333336</v>
      </c>
      <c r="G4883" s="43">
        <v>44582.458333333336</v>
      </c>
      <c r="H4883">
        <v>9</v>
      </c>
      <c r="I4883">
        <v>30</v>
      </c>
      <c r="J4883">
        <v>11</v>
      </c>
      <c r="K4883">
        <v>0</v>
      </c>
      <c r="L4883">
        <v>2022</v>
      </c>
      <c r="N4883" t="s">
        <v>3716</v>
      </c>
      <c r="O4883" t="s">
        <v>2976</v>
      </c>
      <c r="P4883" t="s">
        <v>3717</v>
      </c>
    </row>
    <row r="4884" spans="1:16" x14ac:dyDescent="0.3">
      <c r="A4884" t="s">
        <v>3718</v>
      </c>
      <c r="C4884">
        <v>30</v>
      </c>
      <c r="D4884" t="s">
        <v>10</v>
      </c>
      <c r="E4884" t="s">
        <v>21</v>
      </c>
      <c r="F4884" s="43">
        <v>44582.333333333336</v>
      </c>
      <c r="G4884" s="43">
        <v>44582.354166666664</v>
      </c>
      <c r="H4884">
        <v>8</v>
      </c>
      <c r="I4884">
        <v>0</v>
      </c>
      <c r="J4884">
        <v>8</v>
      </c>
      <c r="K4884">
        <v>30</v>
      </c>
      <c r="L4884">
        <v>2022</v>
      </c>
      <c r="N4884" t="s">
        <v>3719</v>
      </c>
      <c r="O4884" t="s">
        <v>54</v>
      </c>
      <c r="P4884" t="s">
        <v>3720</v>
      </c>
    </row>
    <row r="4885" spans="1:16" x14ac:dyDescent="0.3">
      <c r="A4885" t="s">
        <v>3638</v>
      </c>
      <c r="B4885" t="s">
        <v>20</v>
      </c>
      <c r="C4885">
        <v>30</v>
      </c>
      <c r="D4885" t="s">
        <v>256</v>
      </c>
      <c r="E4885" t="s">
        <v>3639</v>
      </c>
      <c r="F4885" s="43">
        <v>44582</v>
      </c>
      <c r="G4885" s="43">
        <v>949997.9993055556</v>
      </c>
      <c r="H4885">
        <v>11</v>
      </c>
      <c r="I4885">
        <v>30</v>
      </c>
      <c r="J4885">
        <v>12</v>
      </c>
      <c r="K4885">
        <v>0</v>
      </c>
      <c r="L4885">
        <v>2022</v>
      </c>
      <c r="N4885" t="s">
        <v>47</v>
      </c>
      <c r="O4885" t="s">
        <v>3640</v>
      </c>
      <c r="P4885" t="s">
        <v>3641</v>
      </c>
    </row>
    <row r="4886" spans="1:16" x14ac:dyDescent="0.3">
      <c r="A4886" t="s">
        <v>3713</v>
      </c>
      <c r="C4886">
        <v>45</v>
      </c>
      <c r="D4886" t="s">
        <v>10</v>
      </c>
      <c r="E4886" t="s">
        <v>5</v>
      </c>
      <c r="F4886" s="43">
        <v>44581.375</v>
      </c>
      <c r="G4886" s="43">
        <v>44581.40625</v>
      </c>
      <c r="H4886">
        <v>9</v>
      </c>
      <c r="I4886">
        <v>0</v>
      </c>
      <c r="J4886">
        <v>9</v>
      </c>
      <c r="K4886">
        <v>45</v>
      </c>
      <c r="L4886">
        <v>2022</v>
      </c>
      <c r="N4886" t="s">
        <v>53</v>
      </c>
      <c r="O4886" t="s">
        <v>51</v>
      </c>
      <c r="P4886" t="s">
        <v>3714</v>
      </c>
    </row>
    <row r="4887" spans="1:16" x14ac:dyDescent="0.3">
      <c r="A4887" t="s">
        <v>3642</v>
      </c>
      <c r="B4887" t="s">
        <v>20</v>
      </c>
      <c r="C4887">
        <v>30</v>
      </c>
      <c r="D4887" t="s">
        <v>256</v>
      </c>
      <c r="E4887" t="s">
        <v>804</v>
      </c>
      <c r="F4887" s="43">
        <v>44581</v>
      </c>
      <c r="G4887" s="43">
        <v>44749</v>
      </c>
      <c r="H4887">
        <v>11</v>
      </c>
      <c r="I4887">
        <v>0</v>
      </c>
      <c r="J4887">
        <v>11</v>
      </c>
      <c r="K4887">
        <v>30</v>
      </c>
      <c r="L4887">
        <v>2022</v>
      </c>
      <c r="N4887" t="s">
        <v>1399</v>
      </c>
      <c r="O4887" t="s">
        <v>1241</v>
      </c>
      <c r="P4887" t="s">
        <v>3643</v>
      </c>
    </row>
    <row r="4888" spans="1:16" x14ac:dyDescent="0.3">
      <c r="A4888" t="s">
        <v>3676</v>
      </c>
      <c r="C4888">
        <v>60</v>
      </c>
      <c r="D4888" t="s">
        <v>10</v>
      </c>
      <c r="E4888" t="s">
        <v>21</v>
      </c>
      <c r="F4888" s="43">
        <v>44580.458333333336</v>
      </c>
      <c r="G4888" s="43">
        <v>44580.5</v>
      </c>
      <c r="H4888">
        <v>11</v>
      </c>
      <c r="I4888">
        <v>0</v>
      </c>
      <c r="J4888">
        <v>12</v>
      </c>
      <c r="K4888">
        <v>0</v>
      </c>
      <c r="L4888">
        <v>2022</v>
      </c>
      <c r="N4888" t="s">
        <v>3677</v>
      </c>
      <c r="O4888" t="s">
        <v>54</v>
      </c>
      <c r="P4888" t="s">
        <v>3678</v>
      </c>
    </row>
    <row r="4889" spans="1:16" x14ac:dyDescent="0.3">
      <c r="A4889" t="s">
        <v>3695</v>
      </c>
      <c r="C4889">
        <v>60</v>
      </c>
      <c r="D4889" t="s">
        <v>10</v>
      </c>
      <c r="E4889" t="s">
        <v>3696</v>
      </c>
      <c r="F4889" s="43">
        <v>44580.333333333336</v>
      </c>
      <c r="G4889" s="43">
        <v>44580.375</v>
      </c>
      <c r="H4889">
        <v>8</v>
      </c>
      <c r="I4889">
        <v>0</v>
      </c>
      <c r="J4889">
        <v>9</v>
      </c>
      <c r="K4889">
        <v>0</v>
      </c>
      <c r="L4889">
        <v>2022</v>
      </c>
      <c r="N4889" t="s">
        <v>3697</v>
      </c>
      <c r="O4889" t="s">
        <v>3566</v>
      </c>
      <c r="P4889" t="s">
        <v>3698</v>
      </c>
    </row>
    <row r="4890" spans="1:16" x14ac:dyDescent="0.3">
      <c r="A4890" t="s">
        <v>3686</v>
      </c>
      <c r="C4890">
        <v>50</v>
      </c>
      <c r="D4890" t="s">
        <v>10</v>
      </c>
      <c r="E4890" t="s">
        <v>5</v>
      </c>
      <c r="F4890" s="43">
        <v>44579.541666666664</v>
      </c>
      <c r="G4890" s="43">
        <v>44579.576388888891</v>
      </c>
      <c r="H4890">
        <v>13</v>
      </c>
      <c r="I4890">
        <v>0</v>
      </c>
      <c r="J4890">
        <v>13</v>
      </c>
      <c r="K4890">
        <v>50</v>
      </c>
      <c r="L4890">
        <v>2022</v>
      </c>
      <c r="N4890" t="s">
        <v>3687</v>
      </c>
      <c r="O4890" t="s">
        <v>1272</v>
      </c>
      <c r="P4890" t="s">
        <v>3688</v>
      </c>
    </row>
    <row r="4891" spans="1:16" x14ac:dyDescent="0.3">
      <c r="A4891" t="s">
        <v>3710</v>
      </c>
      <c r="C4891">
        <v>60</v>
      </c>
      <c r="D4891" t="s">
        <v>10</v>
      </c>
      <c r="E4891" t="s">
        <v>2807</v>
      </c>
      <c r="F4891" s="43">
        <v>44579.5</v>
      </c>
      <c r="G4891" s="43">
        <v>44579.541666666664</v>
      </c>
      <c r="H4891">
        <v>12</v>
      </c>
      <c r="I4891">
        <v>0</v>
      </c>
      <c r="J4891">
        <v>13</v>
      </c>
      <c r="K4891">
        <v>0</v>
      </c>
      <c r="L4891">
        <v>2022</v>
      </c>
      <c r="N4891" t="s">
        <v>3711</v>
      </c>
      <c r="O4891" t="s">
        <v>54</v>
      </c>
      <c r="P4891" t="s">
        <v>3712</v>
      </c>
    </row>
    <row r="4892" spans="1:16" x14ac:dyDescent="0.3">
      <c r="A4892" t="s">
        <v>3679</v>
      </c>
      <c r="C4892">
        <v>60</v>
      </c>
      <c r="D4892" t="s">
        <v>10</v>
      </c>
      <c r="E4892" t="s">
        <v>3680</v>
      </c>
      <c r="F4892" s="43">
        <v>44578.541666666664</v>
      </c>
      <c r="G4892" s="43">
        <v>44578.583333333336</v>
      </c>
      <c r="H4892">
        <v>13</v>
      </c>
      <c r="I4892">
        <v>0</v>
      </c>
      <c r="J4892">
        <v>14</v>
      </c>
      <c r="K4892">
        <v>0</v>
      </c>
      <c r="L4892">
        <v>2022</v>
      </c>
      <c r="N4892" t="s">
        <v>3681</v>
      </c>
      <c r="O4892" t="s">
        <v>54</v>
      </c>
      <c r="P4892" t="s">
        <v>3682</v>
      </c>
    </row>
    <row r="4893" spans="1:16" x14ac:dyDescent="0.3">
      <c r="A4893" t="s">
        <v>3703</v>
      </c>
      <c r="C4893">
        <v>60</v>
      </c>
      <c r="D4893" t="s">
        <v>10</v>
      </c>
      <c r="E4893" t="s">
        <v>2807</v>
      </c>
      <c r="F4893" s="43">
        <v>44578.395833333336</v>
      </c>
      <c r="G4893" s="43">
        <v>44578.4375</v>
      </c>
      <c r="H4893">
        <v>9</v>
      </c>
      <c r="I4893">
        <v>30</v>
      </c>
      <c r="J4893">
        <v>10</v>
      </c>
      <c r="K4893">
        <v>30</v>
      </c>
      <c r="L4893">
        <v>2022</v>
      </c>
      <c r="N4893" t="s">
        <v>3704</v>
      </c>
      <c r="O4893" t="s">
        <v>54</v>
      </c>
      <c r="P4893" t="s">
        <v>3705</v>
      </c>
    </row>
    <row r="4894" spans="1:16" x14ac:dyDescent="0.3">
      <c r="A4894" t="s">
        <v>3691</v>
      </c>
      <c r="C4894">
        <v>30</v>
      </c>
      <c r="D4894" t="s">
        <v>10</v>
      </c>
      <c r="E4894" t="s">
        <v>5</v>
      </c>
      <c r="F4894" s="43">
        <v>44575.416666666664</v>
      </c>
      <c r="G4894" s="43">
        <v>44575.4375</v>
      </c>
      <c r="H4894">
        <v>10</v>
      </c>
      <c r="I4894">
        <v>0</v>
      </c>
      <c r="J4894">
        <v>10</v>
      </c>
      <c r="K4894">
        <v>30</v>
      </c>
      <c r="L4894">
        <v>2022</v>
      </c>
      <c r="N4894" t="s">
        <v>53</v>
      </c>
      <c r="O4894" t="s">
        <v>806</v>
      </c>
      <c r="P4894" t="s">
        <v>3692</v>
      </c>
    </row>
    <row r="4895" spans="1:16" x14ac:dyDescent="0.3">
      <c r="A4895" t="s">
        <v>3693</v>
      </c>
      <c r="C4895">
        <v>30</v>
      </c>
      <c r="D4895" t="s">
        <v>10</v>
      </c>
      <c r="E4895" t="s">
        <v>5</v>
      </c>
      <c r="F4895" s="43">
        <v>44575.291666666664</v>
      </c>
      <c r="G4895" s="43">
        <v>44575.3125</v>
      </c>
      <c r="H4895">
        <v>7</v>
      </c>
      <c r="I4895">
        <v>0</v>
      </c>
      <c r="J4895">
        <v>7</v>
      </c>
      <c r="K4895">
        <v>30</v>
      </c>
      <c r="L4895">
        <v>2022</v>
      </c>
      <c r="N4895" t="s">
        <v>53</v>
      </c>
      <c r="O4895" t="s">
        <v>1241</v>
      </c>
      <c r="P4895" t="s">
        <v>3694</v>
      </c>
    </row>
    <row r="4896" spans="1:16" x14ac:dyDescent="0.3">
      <c r="A4896" t="s">
        <v>3706</v>
      </c>
      <c r="C4896">
        <v>60</v>
      </c>
      <c r="D4896" t="s">
        <v>10</v>
      </c>
      <c r="E4896" t="s">
        <v>2807</v>
      </c>
      <c r="F4896" s="43">
        <v>44574.583333333336</v>
      </c>
      <c r="G4896" s="43">
        <v>44574.625</v>
      </c>
      <c r="H4896">
        <v>14</v>
      </c>
      <c r="I4896">
        <v>0</v>
      </c>
      <c r="J4896">
        <v>15</v>
      </c>
      <c r="K4896">
        <v>0</v>
      </c>
      <c r="L4896">
        <v>2022</v>
      </c>
      <c r="N4896" t="s">
        <v>3707</v>
      </c>
      <c r="O4896" t="s">
        <v>3708</v>
      </c>
      <c r="P4896" t="s">
        <v>3709</v>
      </c>
    </row>
    <row r="4897" spans="1:16" x14ac:dyDescent="0.3">
      <c r="A4897" t="s">
        <v>3699</v>
      </c>
      <c r="C4897">
        <v>60</v>
      </c>
      <c r="D4897" t="s">
        <v>10</v>
      </c>
      <c r="E4897" t="s">
        <v>3700</v>
      </c>
      <c r="F4897" s="43">
        <v>44574.541666666664</v>
      </c>
      <c r="G4897" s="43">
        <v>44574.583333333336</v>
      </c>
      <c r="H4897">
        <v>13</v>
      </c>
      <c r="I4897">
        <v>0</v>
      </c>
      <c r="J4897">
        <v>14</v>
      </c>
      <c r="K4897">
        <v>0</v>
      </c>
      <c r="L4897">
        <v>2022</v>
      </c>
      <c r="N4897" t="s">
        <v>3701</v>
      </c>
      <c r="O4897" t="s">
        <v>54</v>
      </c>
      <c r="P4897" t="s">
        <v>3702</v>
      </c>
    </row>
    <row r="4898" spans="1:16" x14ac:dyDescent="0.3">
      <c r="A4898" t="s">
        <v>3689</v>
      </c>
      <c r="C4898">
        <v>30</v>
      </c>
      <c r="D4898" t="s">
        <v>10</v>
      </c>
      <c r="E4898" t="s">
        <v>5</v>
      </c>
      <c r="F4898" s="43">
        <v>44574.479166666664</v>
      </c>
      <c r="G4898" s="43">
        <v>44574.5</v>
      </c>
      <c r="H4898">
        <v>11</v>
      </c>
      <c r="I4898">
        <v>30</v>
      </c>
      <c r="J4898">
        <v>12</v>
      </c>
      <c r="K4898">
        <v>0</v>
      </c>
      <c r="L4898">
        <v>2022</v>
      </c>
      <c r="N4898" t="s">
        <v>53</v>
      </c>
      <c r="O4898" t="s">
        <v>1241</v>
      </c>
      <c r="P4898" t="s">
        <v>3690</v>
      </c>
    </row>
    <row r="4899" spans="1:16" x14ac:dyDescent="0.3">
      <c r="A4899" t="s">
        <v>3683</v>
      </c>
      <c r="C4899">
        <v>30</v>
      </c>
      <c r="D4899" t="s">
        <v>10</v>
      </c>
      <c r="E4899" t="s">
        <v>1599</v>
      </c>
      <c r="F4899" s="43">
        <v>44574.395833333336</v>
      </c>
      <c r="G4899" s="43">
        <v>44574.416666666664</v>
      </c>
      <c r="H4899">
        <v>9</v>
      </c>
      <c r="I4899">
        <v>30</v>
      </c>
      <c r="J4899">
        <v>10</v>
      </c>
      <c r="K4899">
        <v>0</v>
      </c>
      <c r="L4899">
        <v>2022</v>
      </c>
      <c r="N4899" t="s">
        <v>3684</v>
      </c>
      <c r="O4899" t="s">
        <v>2353</v>
      </c>
      <c r="P4899" t="s">
        <v>3685</v>
      </c>
    </row>
    <row r="4900" spans="1:16" x14ac:dyDescent="0.3">
      <c r="A4900" t="s">
        <v>3703</v>
      </c>
      <c r="C4900">
        <v>60</v>
      </c>
      <c r="D4900" t="s">
        <v>10</v>
      </c>
      <c r="E4900" t="s">
        <v>2807</v>
      </c>
      <c r="F4900" s="43">
        <v>44573.458333333336</v>
      </c>
      <c r="G4900" s="43">
        <v>44573.5</v>
      </c>
      <c r="H4900">
        <v>11</v>
      </c>
      <c r="I4900">
        <v>0</v>
      </c>
      <c r="J4900">
        <v>12</v>
      </c>
      <c r="K4900">
        <v>0</v>
      </c>
      <c r="L4900">
        <v>2022</v>
      </c>
      <c r="N4900" t="s">
        <v>3704</v>
      </c>
      <c r="O4900" t="s">
        <v>54</v>
      </c>
      <c r="P4900" t="s">
        <v>3737</v>
      </c>
    </row>
    <row r="4901" spans="1:16" x14ac:dyDescent="0.3">
      <c r="A4901" t="s">
        <v>3748</v>
      </c>
      <c r="C4901">
        <v>60</v>
      </c>
      <c r="D4901" t="s">
        <v>10</v>
      </c>
      <c r="E4901" t="s">
        <v>1535</v>
      </c>
      <c r="F4901" s="43">
        <v>44573.375</v>
      </c>
      <c r="G4901" s="43">
        <v>44573.416666666664</v>
      </c>
      <c r="H4901">
        <v>9</v>
      </c>
      <c r="I4901">
        <v>0</v>
      </c>
      <c r="J4901">
        <v>10</v>
      </c>
      <c r="K4901">
        <v>0</v>
      </c>
      <c r="L4901">
        <v>2022</v>
      </c>
      <c r="N4901" t="s">
        <v>3749</v>
      </c>
      <c r="O4901" t="s">
        <v>1669</v>
      </c>
      <c r="P4901" t="s">
        <v>3750</v>
      </c>
    </row>
    <row r="4902" spans="1:16" x14ac:dyDescent="0.3">
      <c r="A4902" t="s">
        <v>3648</v>
      </c>
      <c r="B4902" t="s">
        <v>20</v>
      </c>
      <c r="C4902">
        <v>60</v>
      </c>
      <c r="D4902" t="s">
        <v>256</v>
      </c>
      <c r="F4902" s="43">
        <v>44573</v>
      </c>
      <c r="G4902" s="43">
        <v>44650</v>
      </c>
      <c r="H4902">
        <v>7</v>
      </c>
      <c r="I4902">
        <v>30</v>
      </c>
      <c r="J4902">
        <v>8</v>
      </c>
      <c r="K4902">
        <v>30</v>
      </c>
      <c r="L4902">
        <v>2022</v>
      </c>
      <c r="N4902" t="s">
        <v>3649</v>
      </c>
      <c r="O4902" t="s">
        <v>1895</v>
      </c>
      <c r="P4902" t="s">
        <v>3650</v>
      </c>
    </row>
    <row r="4903" spans="1:16" ht="100.8" x14ac:dyDescent="0.3">
      <c r="A4903" t="s">
        <v>3772</v>
      </c>
      <c r="C4903">
        <v>25</v>
      </c>
      <c r="D4903" t="s">
        <v>10</v>
      </c>
      <c r="E4903" s="44" t="s">
        <v>3773</v>
      </c>
      <c r="F4903" s="43">
        <v>44572.607638888891</v>
      </c>
      <c r="G4903" s="43">
        <v>44572.625</v>
      </c>
      <c r="H4903">
        <v>14</v>
      </c>
      <c r="I4903">
        <v>35</v>
      </c>
      <c r="J4903">
        <v>15</v>
      </c>
      <c r="K4903">
        <v>0</v>
      </c>
      <c r="L4903">
        <v>2022</v>
      </c>
      <c r="N4903" t="s">
        <v>53</v>
      </c>
      <c r="O4903" t="s">
        <v>3774</v>
      </c>
      <c r="P4903" t="s">
        <v>3775</v>
      </c>
    </row>
    <row r="4904" spans="1:16" x14ac:dyDescent="0.3">
      <c r="A4904" t="s">
        <v>3741</v>
      </c>
      <c r="C4904">
        <v>60</v>
      </c>
      <c r="D4904" t="s">
        <v>10</v>
      </c>
      <c r="E4904" t="s">
        <v>5</v>
      </c>
      <c r="F4904" s="43">
        <v>44572.416666666664</v>
      </c>
      <c r="G4904" s="43">
        <v>44572.458333333336</v>
      </c>
      <c r="H4904">
        <v>10</v>
      </c>
      <c r="I4904">
        <v>0</v>
      </c>
      <c r="J4904">
        <v>11</v>
      </c>
      <c r="K4904">
        <v>0</v>
      </c>
      <c r="L4904">
        <v>2022</v>
      </c>
      <c r="N4904" t="s">
        <v>3742</v>
      </c>
      <c r="O4904" t="s">
        <v>3743</v>
      </c>
      <c r="P4904" t="s">
        <v>3744</v>
      </c>
    </row>
    <row r="4905" spans="1:16" x14ac:dyDescent="0.3">
      <c r="A4905" t="s">
        <v>3769</v>
      </c>
      <c r="C4905">
        <v>60</v>
      </c>
      <c r="D4905" t="s">
        <v>10</v>
      </c>
      <c r="E4905" t="s">
        <v>5</v>
      </c>
      <c r="F4905" s="43">
        <v>44572.25</v>
      </c>
      <c r="G4905" s="43">
        <v>44572.291666666664</v>
      </c>
      <c r="H4905">
        <v>6</v>
      </c>
      <c r="I4905">
        <v>0</v>
      </c>
      <c r="J4905">
        <v>7</v>
      </c>
      <c r="K4905">
        <v>0</v>
      </c>
      <c r="L4905">
        <v>2022</v>
      </c>
      <c r="N4905" t="s">
        <v>3770</v>
      </c>
      <c r="O4905" t="s">
        <v>3659</v>
      </c>
      <c r="P4905" t="s">
        <v>3771</v>
      </c>
    </row>
    <row r="4906" spans="1:16" x14ac:dyDescent="0.3">
      <c r="A4906" t="s">
        <v>3733</v>
      </c>
      <c r="C4906">
        <v>60</v>
      </c>
      <c r="D4906" t="s">
        <v>10</v>
      </c>
      <c r="E4906" t="s">
        <v>3734</v>
      </c>
      <c r="F4906" s="43">
        <v>44571.458333333336</v>
      </c>
      <c r="G4906" s="43">
        <v>44571.5</v>
      </c>
      <c r="H4906">
        <v>11</v>
      </c>
      <c r="I4906">
        <v>0</v>
      </c>
      <c r="J4906">
        <v>12</v>
      </c>
      <c r="K4906">
        <v>0</v>
      </c>
      <c r="L4906">
        <v>2022</v>
      </c>
      <c r="N4906" t="s">
        <v>3735</v>
      </c>
      <c r="O4906" t="s">
        <v>54</v>
      </c>
      <c r="P4906" t="s">
        <v>3736</v>
      </c>
    </row>
    <row r="4907" spans="1:16" x14ac:dyDescent="0.3">
      <c r="A4907" t="s">
        <v>3745</v>
      </c>
      <c r="C4907">
        <v>15</v>
      </c>
      <c r="D4907" t="s">
        <v>10</v>
      </c>
      <c r="E4907" t="s">
        <v>5</v>
      </c>
      <c r="F4907" s="43">
        <v>44571.4375</v>
      </c>
      <c r="G4907" s="43">
        <v>44571.447916666664</v>
      </c>
      <c r="H4907">
        <v>10</v>
      </c>
      <c r="I4907">
        <v>30</v>
      </c>
      <c r="J4907">
        <v>10</v>
      </c>
      <c r="K4907">
        <v>45</v>
      </c>
      <c r="L4907">
        <v>2022</v>
      </c>
      <c r="N4907" t="s">
        <v>53</v>
      </c>
      <c r="O4907" t="s">
        <v>3746</v>
      </c>
      <c r="P4907" t="s">
        <v>3747</v>
      </c>
    </row>
    <row r="4908" spans="1:16" x14ac:dyDescent="0.3">
      <c r="A4908" t="s">
        <v>3758</v>
      </c>
      <c r="C4908">
        <v>60</v>
      </c>
      <c r="D4908" t="s">
        <v>10</v>
      </c>
      <c r="E4908" t="s">
        <v>3759</v>
      </c>
      <c r="F4908" s="43">
        <v>44571.375</v>
      </c>
      <c r="G4908" s="43">
        <v>44571.416666666664</v>
      </c>
      <c r="H4908">
        <v>9</v>
      </c>
      <c r="I4908">
        <v>0</v>
      </c>
      <c r="J4908">
        <v>10</v>
      </c>
      <c r="K4908">
        <v>0</v>
      </c>
      <c r="L4908">
        <v>2022</v>
      </c>
      <c r="N4908" t="s">
        <v>3760</v>
      </c>
      <c r="O4908" t="s">
        <v>3708</v>
      </c>
      <c r="P4908" t="s">
        <v>3761</v>
      </c>
    </row>
    <row r="4909" spans="1:16" x14ac:dyDescent="0.3">
      <c r="A4909" t="s">
        <v>2905</v>
      </c>
      <c r="C4909">
        <v>150</v>
      </c>
      <c r="D4909" t="s">
        <v>10</v>
      </c>
      <c r="F4909" s="43">
        <v>44569.729166666664</v>
      </c>
      <c r="G4909" s="43">
        <v>44569.833333333336</v>
      </c>
      <c r="H4909">
        <v>17</v>
      </c>
      <c r="I4909">
        <v>30</v>
      </c>
      <c r="J4909">
        <v>20</v>
      </c>
      <c r="K4909">
        <v>0</v>
      </c>
      <c r="L4909">
        <v>2022</v>
      </c>
      <c r="O4909" t="s">
        <v>47</v>
      </c>
      <c r="P4909" t="s">
        <v>3491</v>
      </c>
    </row>
    <row r="4910" spans="1:16" x14ac:dyDescent="0.3">
      <c r="A4910" t="s">
        <v>2905</v>
      </c>
      <c r="C4910">
        <v>150</v>
      </c>
      <c r="D4910" t="s">
        <v>10</v>
      </c>
      <c r="F4910" s="43">
        <v>44569.604166666664</v>
      </c>
      <c r="G4910" s="43">
        <v>44569.708333333336</v>
      </c>
      <c r="H4910">
        <v>14</v>
      </c>
      <c r="I4910">
        <v>30</v>
      </c>
      <c r="J4910">
        <v>17</v>
      </c>
      <c r="K4910">
        <v>0</v>
      </c>
      <c r="L4910">
        <v>2022</v>
      </c>
      <c r="O4910" t="s">
        <v>47</v>
      </c>
      <c r="P4910" t="s">
        <v>3492</v>
      </c>
    </row>
    <row r="4911" spans="1:16" x14ac:dyDescent="0.3">
      <c r="A4911" t="s">
        <v>3149</v>
      </c>
      <c r="C4911">
        <v>45</v>
      </c>
      <c r="D4911" t="s">
        <v>10</v>
      </c>
      <c r="F4911" s="43">
        <v>44569.583333333336</v>
      </c>
      <c r="G4911" s="43">
        <v>44569.614583333336</v>
      </c>
      <c r="H4911">
        <v>14</v>
      </c>
      <c r="I4911">
        <v>0</v>
      </c>
      <c r="J4911">
        <v>14</v>
      </c>
      <c r="K4911">
        <v>45</v>
      </c>
      <c r="L4911">
        <v>2022</v>
      </c>
      <c r="O4911" t="s">
        <v>47</v>
      </c>
      <c r="P4911" t="s">
        <v>3493</v>
      </c>
    </row>
    <row r="4912" spans="1:16" x14ac:dyDescent="0.3">
      <c r="A4912" t="s">
        <v>2905</v>
      </c>
      <c r="C4912">
        <v>60</v>
      </c>
      <c r="D4912" t="s">
        <v>10</v>
      </c>
      <c r="F4912" s="43">
        <v>44569.375</v>
      </c>
      <c r="G4912" s="43">
        <v>44569.416666666664</v>
      </c>
      <c r="H4912">
        <v>9</v>
      </c>
      <c r="I4912">
        <v>0</v>
      </c>
      <c r="J4912">
        <v>10</v>
      </c>
      <c r="K4912">
        <v>0</v>
      </c>
      <c r="L4912">
        <v>2022</v>
      </c>
      <c r="O4912" t="s">
        <v>47</v>
      </c>
      <c r="P4912" t="s">
        <v>3494</v>
      </c>
    </row>
    <row r="4913" spans="1:16" x14ac:dyDescent="0.3">
      <c r="A4913" t="s">
        <v>2905</v>
      </c>
      <c r="C4913">
        <v>60</v>
      </c>
      <c r="D4913" t="s">
        <v>10</v>
      </c>
      <c r="F4913" s="43">
        <v>44568.770833333336</v>
      </c>
      <c r="G4913" s="43">
        <v>44568.8125</v>
      </c>
      <c r="H4913">
        <v>18</v>
      </c>
      <c r="I4913">
        <v>30</v>
      </c>
      <c r="J4913">
        <v>19</v>
      </c>
      <c r="K4913">
        <v>30</v>
      </c>
      <c r="L4913">
        <v>2022</v>
      </c>
      <c r="O4913" t="s">
        <v>47</v>
      </c>
      <c r="P4913" t="s">
        <v>3495</v>
      </c>
    </row>
    <row r="4914" spans="1:16" x14ac:dyDescent="0.3">
      <c r="A4914" t="s">
        <v>7</v>
      </c>
      <c r="C4914">
        <v>60</v>
      </c>
      <c r="D4914" t="s">
        <v>10</v>
      </c>
      <c r="F4914" s="43">
        <v>44568.6875</v>
      </c>
      <c r="G4914" s="43">
        <v>44568.729166666664</v>
      </c>
      <c r="H4914">
        <v>16</v>
      </c>
      <c r="I4914">
        <v>30</v>
      </c>
      <c r="J4914">
        <v>17</v>
      </c>
      <c r="K4914">
        <v>30</v>
      </c>
      <c r="L4914">
        <v>2022</v>
      </c>
      <c r="O4914" t="s">
        <v>47</v>
      </c>
      <c r="P4914" t="s">
        <v>3496</v>
      </c>
    </row>
    <row r="4915" spans="1:16" x14ac:dyDescent="0.3">
      <c r="A4915" t="s">
        <v>2905</v>
      </c>
      <c r="C4915">
        <v>60</v>
      </c>
      <c r="D4915" t="s">
        <v>10</v>
      </c>
      <c r="F4915" s="43">
        <v>44568.625</v>
      </c>
      <c r="G4915" s="43">
        <v>44568.666666666664</v>
      </c>
      <c r="H4915">
        <v>15</v>
      </c>
      <c r="I4915">
        <v>0</v>
      </c>
      <c r="J4915">
        <v>16</v>
      </c>
      <c r="K4915">
        <v>0</v>
      </c>
      <c r="L4915">
        <v>2022</v>
      </c>
      <c r="O4915" t="s">
        <v>47</v>
      </c>
      <c r="P4915" t="s">
        <v>3497</v>
      </c>
    </row>
    <row r="4916" spans="1:16" x14ac:dyDescent="0.3">
      <c r="A4916" t="s">
        <v>2905</v>
      </c>
      <c r="C4916">
        <v>45</v>
      </c>
      <c r="D4916" t="s">
        <v>10</v>
      </c>
      <c r="F4916" s="43">
        <v>44568.552083333336</v>
      </c>
      <c r="G4916" s="43">
        <v>44568.583333333336</v>
      </c>
      <c r="H4916">
        <v>13</v>
      </c>
      <c r="I4916">
        <v>15</v>
      </c>
      <c r="J4916">
        <v>14</v>
      </c>
      <c r="K4916">
        <v>0</v>
      </c>
      <c r="L4916">
        <v>2022</v>
      </c>
      <c r="O4916" t="s">
        <v>47</v>
      </c>
      <c r="P4916" t="s">
        <v>3498</v>
      </c>
    </row>
    <row r="4917" spans="1:16" x14ac:dyDescent="0.3">
      <c r="A4917" t="s">
        <v>17</v>
      </c>
      <c r="C4917">
        <v>30</v>
      </c>
      <c r="D4917" t="s">
        <v>10</v>
      </c>
      <c r="F4917" s="43">
        <v>44568.479166666664</v>
      </c>
      <c r="G4917" s="43">
        <v>44568.5</v>
      </c>
      <c r="H4917">
        <v>11</v>
      </c>
      <c r="I4917">
        <v>30</v>
      </c>
      <c r="J4917">
        <v>12</v>
      </c>
      <c r="K4917">
        <v>0</v>
      </c>
      <c r="L4917">
        <v>2022</v>
      </c>
      <c r="O4917" t="s">
        <v>47</v>
      </c>
      <c r="P4917" t="s">
        <v>3499</v>
      </c>
    </row>
    <row r="4918" spans="1:16" x14ac:dyDescent="0.3">
      <c r="A4918" t="s">
        <v>3762</v>
      </c>
      <c r="C4918">
        <v>120</v>
      </c>
      <c r="D4918" t="s">
        <v>10</v>
      </c>
      <c r="E4918" t="s">
        <v>1599</v>
      </c>
      <c r="F4918" s="43">
        <v>44568.375</v>
      </c>
      <c r="G4918" s="43">
        <v>44568.458333333336</v>
      </c>
      <c r="H4918">
        <v>9</v>
      </c>
      <c r="I4918">
        <v>0</v>
      </c>
      <c r="J4918">
        <v>11</v>
      </c>
      <c r="K4918">
        <v>0</v>
      </c>
      <c r="L4918">
        <v>2022</v>
      </c>
      <c r="N4918" t="s">
        <v>3763</v>
      </c>
      <c r="O4918" t="s">
        <v>3640</v>
      </c>
      <c r="P4918" t="s">
        <v>3764</v>
      </c>
    </row>
    <row r="4919" spans="1:16" x14ac:dyDescent="0.3">
      <c r="A4919" t="s">
        <v>3751</v>
      </c>
      <c r="C4919">
        <v>30</v>
      </c>
      <c r="D4919" t="s">
        <v>10</v>
      </c>
      <c r="E4919" t="s">
        <v>5</v>
      </c>
      <c r="F4919" s="43">
        <v>44568.354166666664</v>
      </c>
      <c r="G4919" s="43">
        <v>44568.375</v>
      </c>
      <c r="H4919">
        <v>8</v>
      </c>
      <c r="I4919">
        <v>30</v>
      </c>
      <c r="J4919">
        <v>9</v>
      </c>
      <c r="K4919">
        <v>0</v>
      </c>
      <c r="L4919">
        <v>2022</v>
      </c>
      <c r="N4919" t="s">
        <v>3752</v>
      </c>
      <c r="O4919" t="s">
        <v>1241</v>
      </c>
      <c r="P4919" t="s">
        <v>3753</v>
      </c>
    </row>
    <row r="4920" spans="1:16" x14ac:dyDescent="0.3">
      <c r="A4920" t="s">
        <v>3725</v>
      </c>
      <c r="C4920">
        <v>90</v>
      </c>
      <c r="D4920" t="s">
        <v>10</v>
      </c>
      <c r="E4920" t="s">
        <v>3726</v>
      </c>
      <c r="F4920" s="43">
        <v>44568.270833333336</v>
      </c>
      <c r="G4920" s="43">
        <v>44568.333333333336</v>
      </c>
      <c r="H4920">
        <v>6</v>
      </c>
      <c r="I4920">
        <v>30</v>
      </c>
      <c r="J4920">
        <v>8</v>
      </c>
      <c r="K4920">
        <v>0</v>
      </c>
      <c r="L4920">
        <v>2022</v>
      </c>
      <c r="N4920" t="s">
        <v>3727</v>
      </c>
      <c r="O4920" t="s">
        <v>3058</v>
      </c>
      <c r="P4920" t="s">
        <v>3728</v>
      </c>
    </row>
    <row r="4921" spans="1:16" x14ac:dyDescent="0.3">
      <c r="A4921" t="s">
        <v>2905</v>
      </c>
      <c r="C4921">
        <v>60</v>
      </c>
      <c r="D4921" t="s">
        <v>10</v>
      </c>
      <c r="F4921" s="43">
        <v>44567.770833333336</v>
      </c>
      <c r="G4921" s="43">
        <v>44567.8125</v>
      </c>
      <c r="H4921">
        <v>18</v>
      </c>
      <c r="I4921">
        <v>30</v>
      </c>
      <c r="J4921">
        <v>19</v>
      </c>
      <c r="K4921">
        <v>30</v>
      </c>
      <c r="L4921">
        <v>2022</v>
      </c>
      <c r="O4921" t="s">
        <v>47</v>
      </c>
      <c r="P4921" t="s">
        <v>3500</v>
      </c>
    </row>
    <row r="4922" spans="1:16" x14ac:dyDescent="0.3">
      <c r="A4922" t="s">
        <v>2905</v>
      </c>
      <c r="C4922">
        <v>60</v>
      </c>
      <c r="D4922" t="s">
        <v>10</v>
      </c>
      <c r="F4922" s="43">
        <v>44567.708333333336</v>
      </c>
      <c r="G4922" s="43">
        <v>44567.75</v>
      </c>
      <c r="H4922">
        <v>17</v>
      </c>
      <c r="I4922">
        <v>0</v>
      </c>
      <c r="J4922">
        <v>18</v>
      </c>
      <c r="K4922">
        <v>0</v>
      </c>
      <c r="L4922">
        <v>2022</v>
      </c>
      <c r="O4922" t="s">
        <v>47</v>
      </c>
      <c r="P4922" t="s">
        <v>3501</v>
      </c>
    </row>
    <row r="4923" spans="1:16" x14ac:dyDescent="0.3">
      <c r="A4923" t="s">
        <v>2669</v>
      </c>
      <c r="C4923">
        <v>30</v>
      </c>
      <c r="D4923" t="s">
        <v>10</v>
      </c>
      <c r="F4923" s="43">
        <v>44567.6875</v>
      </c>
      <c r="G4923" s="43">
        <v>44567.708333333336</v>
      </c>
      <c r="H4923">
        <v>16</v>
      </c>
      <c r="I4923">
        <v>30</v>
      </c>
      <c r="J4923">
        <v>17</v>
      </c>
      <c r="K4923">
        <v>0</v>
      </c>
      <c r="L4923">
        <v>2022</v>
      </c>
      <c r="O4923" t="s">
        <v>47</v>
      </c>
      <c r="P4923" t="s">
        <v>3502</v>
      </c>
    </row>
    <row r="4924" spans="1:16" x14ac:dyDescent="0.3">
      <c r="A4924" t="s">
        <v>2905</v>
      </c>
      <c r="C4924">
        <v>30</v>
      </c>
      <c r="D4924" t="s">
        <v>10</v>
      </c>
      <c r="F4924" s="43">
        <v>44567.666666666664</v>
      </c>
      <c r="G4924" s="43">
        <v>44567.6875</v>
      </c>
      <c r="H4924">
        <v>16</v>
      </c>
      <c r="I4924">
        <v>0</v>
      </c>
      <c r="J4924">
        <v>16</v>
      </c>
      <c r="K4924">
        <v>30</v>
      </c>
      <c r="L4924">
        <v>2022</v>
      </c>
      <c r="O4924" t="s">
        <v>47</v>
      </c>
      <c r="P4924" t="s">
        <v>3503</v>
      </c>
    </row>
    <row r="4925" spans="1:16" x14ac:dyDescent="0.3">
      <c r="A4925" t="s">
        <v>7</v>
      </c>
      <c r="C4925">
        <v>60</v>
      </c>
      <c r="D4925" t="s">
        <v>10</v>
      </c>
      <c r="F4925" s="43">
        <v>44567.625</v>
      </c>
      <c r="G4925" s="43">
        <v>44567.666666666664</v>
      </c>
      <c r="H4925">
        <v>15</v>
      </c>
      <c r="I4925">
        <v>0</v>
      </c>
      <c r="J4925">
        <v>16</v>
      </c>
      <c r="K4925">
        <v>0</v>
      </c>
      <c r="L4925">
        <v>2022</v>
      </c>
      <c r="O4925" t="s">
        <v>47</v>
      </c>
      <c r="P4925" t="s">
        <v>3504</v>
      </c>
    </row>
    <row r="4926" spans="1:16" x14ac:dyDescent="0.3">
      <c r="A4926" t="s">
        <v>3236</v>
      </c>
      <c r="C4926">
        <v>60</v>
      </c>
      <c r="D4926" t="s">
        <v>10</v>
      </c>
      <c r="F4926" s="43">
        <v>44567.583333333336</v>
      </c>
      <c r="G4926" s="43">
        <v>44567.625</v>
      </c>
      <c r="H4926">
        <v>14</v>
      </c>
      <c r="I4926">
        <v>0</v>
      </c>
      <c r="J4926">
        <v>15</v>
      </c>
      <c r="K4926">
        <v>0</v>
      </c>
      <c r="L4926">
        <v>2022</v>
      </c>
      <c r="O4926" t="s">
        <v>47</v>
      </c>
      <c r="P4926" t="s">
        <v>3505</v>
      </c>
    </row>
    <row r="4927" spans="1:16" x14ac:dyDescent="0.3">
      <c r="A4927" t="s">
        <v>17</v>
      </c>
      <c r="C4927">
        <v>30</v>
      </c>
      <c r="D4927" t="s">
        <v>10</v>
      </c>
      <c r="F4927" s="43">
        <v>44567.520833333336</v>
      </c>
      <c r="G4927" s="43">
        <v>44567.541666666664</v>
      </c>
      <c r="H4927">
        <v>12</v>
      </c>
      <c r="I4927">
        <v>30</v>
      </c>
      <c r="J4927">
        <v>13</v>
      </c>
      <c r="K4927">
        <v>0</v>
      </c>
      <c r="L4927">
        <v>2022</v>
      </c>
      <c r="O4927" t="s">
        <v>47</v>
      </c>
      <c r="P4927" t="s">
        <v>3506</v>
      </c>
    </row>
    <row r="4928" spans="1:16" x14ac:dyDescent="0.3">
      <c r="A4928" t="s">
        <v>3754</v>
      </c>
      <c r="C4928">
        <v>60</v>
      </c>
      <c r="D4928" t="s">
        <v>10</v>
      </c>
      <c r="E4928" t="s">
        <v>3755</v>
      </c>
      <c r="F4928" s="43">
        <v>44567.416666666664</v>
      </c>
      <c r="G4928" s="43">
        <v>44567.458333333336</v>
      </c>
      <c r="H4928">
        <v>10</v>
      </c>
      <c r="I4928">
        <v>0</v>
      </c>
      <c r="J4928">
        <v>11</v>
      </c>
      <c r="K4928">
        <v>0</v>
      </c>
      <c r="L4928">
        <v>2022</v>
      </c>
      <c r="N4928" t="s">
        <v>3756</v>
      </c>
      <c r="O4928" t="s">
        <v>3058</v>
      </c>
      <c r="P4928" t="s">
        <v>3757</v>
      </c>
    </row>
    <row r="4929" spans="1:16" x14ac:dyDescent="0.3">
      <c r="A4929" t="s">
        <v>3729</v>
      </c>
      <c r="C4929">
        <v>60</v>
      </c>
      <c r="D4929" t="s">
        <v>10</v>
      </c>
      <c r="E4929" t="s">
        <v>3730</v>
      </c>
      <c r="F4929" s="43">
        <v>44567.375</v>
      </c>
      <c r="G4929" s="43">
        <v>44567.416666666664</v>
      </c>
      <c r="H4929">
        <v>9</v>
      </c>
      <c r="I4929">
        <v>0</v>
      </c>
      <c r="J4929">
        <v>10</v>
      </c>
      <c r="K4929">
        <v>0</v>
      </c>
      <c r="L4929">
        <v>2022</v>
      </c>
      <c r="N4929" t="s">
        <v>3731</v>
      </c>
      <c r="O4929" t="s">
        <v>54</v>
      </c>
      <c r="P4929" t="s">
        <v>3732</v>
      </c>
    </row>
    <row r="4930" spans="1:16" x14ac:dyDescent="0.3">
      <c r="A4930" t="s">
        <v>3738</v>
      </c>
      <c r="C4930">
        <v>60</v>
      </c>
      <c r="D4930" t="s">
        <v>10</v>
      </c>
      <c r="F4930" s="43">
        <v>44567.3125</v>
      </c>
      <c r="G4930" s="43">
        <v>44567.354166666664</v>
      </c>
      <c r="H4930">
        <v>7</v>
      </c>
      <c r="I4930">
        <v>30</v>
      </c>
      <c r="J4930">
        <v>8</v>
      </c>
      <c r="K4930">
        <v>30</v>
      </c>
      <c r="L4930">
        <v>2022</v>
      </c>
      <c r="N4930" t="s">
        <v>3739</v>
      </c>
      <c r="O4930" t="s">
        <v>1895</v>
      </c>
      <c r="P4930" t="s">
        <v>3740</v>
      </c>
    </row>
    <row r="4931" spans="1:16" x14ac:dyDescent="0.3">
      <c r="A4931" t="s">
        <v>3631</v>
      </c>
      <c r="C4931">
        <v>420</v>
      </c>
      <c r="D4931" t="s">
        <v>10</v>
      </c>
      <c r="F4931" s="43">
        <v>44566.291666666664</v>
      </c>
      <c r="G4931" s="43">
        <v>44566.583333333336</v>
      </c>
      <c r="H4931">
        <v>7</v>
      </c>
      <c r="I4931">
        <v>0</v>
      </c>
      <c r="J4931">
        <v>14</v>
      </c>
      <c r="K4931">
        <v>0</v>
      </c>
      <c r="L4931">
        <v>2022</v>
      </c>
      <c r="O4931" t="s">
        <v>53</v>
      </c>
      <c r="P4931" t="s">
        <v>3632</v>
      </c>
    </row>
    <row r="4932" spans="1:16" x14ac:dyDescent="0.3">
      <c r="A4932" t="s">
        <v>3508</v>
      </c>
      <c r="C4932">
        <v>20</v>
      </c>
      <c r="D4932" t="s">
        <v>10</v>
      </c>
      <c r="F4932" s="43">
        <v>44565.791666666664</v>
      </c>
      <c r="G4932" s="43">
        <v>44565.805555555555</v>
      </c>
      <c r="H4932">
        <v>19</v>
      </c>
      <c r="I4932">
        <v>0</v>
      </c>
      <c r="J4932">
        <v>19</v>
      </c>
      <c r="K4932">
        <v>20</v>
      </c>
      <c r="L4932">
        <v>2022</v>
      </c>
      <c r="O4932" t="s">
        <v>47</v>
      </c>
      <c r="P4932" t="s">
        <v>3509</v>
      </c>
    </row>
    <row r="4933" spans="1:16" x14ac:dyDescent="0.3">
      <c r="A4933" t="s">
        <v>3510</v>
      </c>
      <c r="C4933">
        <v>30</v>
      </c>
      <c r="D4933" t="s">
        <v>10</v>
      </c>
      <c r="F4933" s="43">
        <v>44565.770833333336</v>
      </c>
      <c r="G4933" s="43">
        <v>44565.791666666664</v>
      </c>
      <c r="H4933">
        <v>18</v>
      </c>
      <c r="I4933">
        <v>30</v>
      </c>
      <c r="J4933">
        <v>19</v>
      </c>
      <c r="K4933">
        <v>0</v>
      </c>
      <c r="L4933">
        <v>2022</v>
      </c>
      <c r="O4933" t="s">
        <v>47</v>
      </c>
      <c r="P4933" t="s">
        <v>3511</v>
      </c>
    </row>
    <row r="4934" spans="1:16" x14ac:dyDescent="0.3">
      <c r="A4934" t="s">
        <v>2905</v>
      </c>
      <c r="B4934" t="s">
        <v>109</v>
      </c>
      <c r="C4934">
        <v>30</v>
      </c>
      <c r="D4934" t="s">
        <v>10</v>
      </c>
      <c r="F4934" s="43">
        <v>44565.75</v>
      </c>
      <c r="G4934" s="43">
        <v>44565.770833333336</v>
      </c>
      <c r="H4934">
        <v>18</v>
      </c>
      <c r="I4934">
        <v>0</v>
      </c>
      <c r="J4934">
        <v>18</v>
      </c>
      <c r="K4934">
        <v>30</v>
      </c>
      <c r="L4934">
        <v>2022</v>
      </c>
      <c r="O4934" t="s">
        <v>47</v>
      </c>
      <c r="P4934" t="s">
        <v>3512</v>
      </c>
    </row>
    <row r="4935" spans="1:16" x14ac:dyDescent="0.3">
      <c r="A4935" t="s">
        <v>2905</v>
      </c>
      <c r="B4935" t="s">
        <v>109</v>
      </c>
      <c r="C4935">
        <v>30</v>
      </c>
      <c r="D4935" t="s">
        <v>10</v>
      </c>
      <c r="F4935" s="43">
        <v>44565.708333333336</v>
      </c>
      <c r="G4935" s="43">
        <v>44565.729166666664</v>
      </c>
      <c r="H4935">
        <v>17</v>
      </c>
      <c r="I4935">
        <v>0</v>
      </c>
      <c r="J4935">
        <v>17</v>
      </c>
      <c r="K4935">
        <v>30</v>
      </c>
      <c r="L4935">
        <v>2022</v>
      </c>
      <c r="O4935" t="s">
        <v>47</v>
      </c>
      <c r="P4935" t="s">
        <v>3513</v>
      </c>
    </row>
    <row r="4936" spans="1:16" x14ac:dyDescent="0.3">
      <c r="A4936" t="s">
        <v>3514</v>
      </c>
      <c r="B4936" t="s">
        <v>109</v>
      </c>
      <c r="C4936">
        <v>30</v>
      </c>
      <c r="D4936" t="s">
        <v>10</v>
      </c>
      <c r="F4936" s="43">
        <v>44565.666666666664</v>
      </c>
      <c r="G4936" s="43">
        <v>44565.6875</v>
      </c>
      <c r="H4936">
        <v>16</v>
      </c>
      <c r="I4936">
        <v>0</v>
      </c>
      <c r="J4936">
        <v>16</v>
      </c>
      <c r="K4936">
        <v>30</v>
      </c>
      <c r="L4936">
        <v>2022</v>
      </c>
      <c r="O4936" t="s">
        <v>47</v>
      </c>
      <c r="P4936" t="s">
        <v>3515</v>
      </c>
    </row>
    <row r="4937" spans="1:16" x14ac:dyDescent="0.3">
      <c r="A4937" t="s">
        <v>3514</v>
      </c>
      <c r="B4937" t="s">
        <v>109</v>
      </c>
      <c r="C4937">
        <v>30</v>
      </c>
      <c r="D4937" t="s">
        <v>10</v>
      </c>
      <c r="F4937" s="43">
        <v>44565.645833333336</v>
      </c>
      <c r="G4937" s="43">
        <v>44565.666666666664</v>
      </c>
      <c r="H4937">
        <v>15</v>
      </c>
      <c r="I4937">
        <v>30</v>
      </c>
      <c r="J4937">
        <v>16</v>
      </c>
      <c r="K4937">
        <v>0</v>
      </c>
      <c r="L4937">
        <v>2022</v>
      </c>
      <c r="O4937" t="s">
        <v>47</v>
      </c>
      <c r="P4937" t="s">
        <v>3516</v>
      </c>
    </row>
    <row r="4938" spans="1:16" x14ac:dyDescent="0.3">
      <c r="A4938" t="s">
        <v>3517</v>
      </c>
      <c r="B4938" t="s">
        <v>6</v>
      </c>
      <c r="C4938">
        <v>30</v>
      </c>
      <c r="D4938" t="s">
        <v>10</v>
      </c>
      <c r="F4938" s="43">
        <v>44565.625</v>
      </c>
      <c r="G4938" s="43">
        <v>44565.645833333336</v>
      </c>
      <c r="H4938">
        <v>15</v>
      </c>
      <c r="I4938">
        <v>0</v>
      </c>
      <c r="J4938">
        <v>15</v>
      </c>
      <c r="K4938">
        <v>30</v>
      </c>
      <c r="L4938">
        <v>2022</v>
      </c>
      <c r="O4938" t="s">
        <v>47</v>
      </c>
      <c r="P4938" t="s">
        <v>3518</v>
      </c>
    </row>
    <row r="4939" spans="1:16" x14ac:dyDescent="0.3">
      <c r="A4939" t="s">
        <v>9</v>
      </c>
      <c r="B4939" t="s">
        <v>6</v>
      </c>
      <c r="C4939">
        <v>45</v>
      </c>
      <c r="D4939" t="s">
        <v>10</v>
      </c>
      <c r="F4939" s="43">
        <v>44565.583333333336</v>
      </c>
      <c r="G4939" s="43">
        <v>44565.614583333336</v>
      </c>
      <c r="H4939">
        <v>14</v>
      </c>
      <c r="I4939">
        <v>0</v>
      </c>
      <c r="J4939">
        <v>14</v>
      </c>
      <c r="K4939">
        <v>45</v>
      </c>
      <c r="L4939">
        <v>2022</v>
      </c>
      <c r="O4939" t="s">
        <v>47</v>
      </c>
      <c r="P4939" t="s">
        <v>3519</v>
      </c>
    </row>
    <row r="4940" spans="1:16" x14ac:dyDescent="0.3">
      <c r="A4940" t="s">
        <v>3236</v>
      </c>
      <c r="B4940" t="s">
        <v>3149</v>
      </c>
      <c r="C4940">
        <v>30</v>
      </c>
      <c r="D4940" t="s">
        <v>10</v>
      </c>
      <c r="F4940" s="43">
        <v>44565.5625</v>
      </c>
      <c r="G4940" s="43">
        <v>44565.583333333336</v>
      </c>
      <c r="H4940">
        <v>13</v>
      </c>
      <c r="I4940">
        <v>30</v>
      </c>
      <c r="J4940">
        <v>14</v>
      </c>
      <c r="K4940">
        <v>0</v>
      </c>
      <c r="L4940">
        <v>2022</v>
      </c>
      <c r="O4940" t="s">
        <v>47</v>
      </c>
      <c r="P4940" t="s">
        <v>3520</v>
      </c>
    </row>
    <row r="4941" spans="1:16" x14ac:dyDescent="0.3">
      <c r="A4941" t="s">
        <v>3635</v>
      </c>
      <c r="C4941">
        <v>45</v>
      </c>
      <c r="D4941" t="s">
        <v>10</v>
      </c>
      <c r="F4941" s="43">
        <v>44565.5</v>
      </c>
      <c r="G4941" s="43">
        <v>44565.53125</v>
      </c>
      <c r="H4941">
        <v>12</v>
      </c>
      <c r="I4941">
        <v>0</v>
      </c>
      <c r="J4941">
        <v>12</v>
      </c>
      <c r="K4941">
        <v>45</v>
      </c>
      <c r="L4941">
        <v>2022</v>
      </c>
      <c r="O4941" t="s">
        <v>53</v>
      </c>
      <c r="P4941" t="s">
        <v>3636</v>
      </c>
    </row>
    <row r="4942" spans="1:16" x14ac:dyDescent="0.3">
      <c r="A4942" t="s">
        <v>3633</v>
      </c>
      <c r="C4942">
        <v>30</v>
      </c>
      <c r="D4942" t="s">
        <v>10</v>
      </c>
      <c r="F4942" s="43">
        <v>44565.479166666664</v>
      </c>
      <c r="G4942" s="43">
        <v>44565.5</v>
      </c>
      <c r="H4942">
        <v>11</v>
      </c>
      <c r="I4942">
        <v>30</v>
      </c>
      <c r="J4942">
        <v>12</v>
      </c>
      <c r="K4942">
        <v>0</v>
      </c>
      <c r="L4942">
        <v>2022</v>
      </c>
      <c r="O4942" t="s">
        <v>53</v>
      </c>
      <c r="P4942" t="s">
        <v>3634</v>
      </c>
    </row>
    <row r="4943" spans="1:16" x14ac:dyDescent="0.3">
      <c r="A4943" t="s">
        <v>3666</v>
      </c>
      <c r="C4943">
        <v>30</v>
      </c>
      <c r="D4943" t="s">
        <v>10</v>
      </c>
      <c r="E4943" t="s">
        <v>5</v>
      </c>
      <c r="F4943" s="43">
        <v>44565.458333333336</v>
      </c>
      <c r="G4943" s="43">
        <v>44565.479166666664</v>
      </c>
      <c r="H4943">
        <v>11</v>
      </c>
      <c r="I4943">
        <v>0</v>
      </c>
      <c r="J4943">
        <v>11</v>
      </c>
      <c r="K4943">
        <v>30</v>
      </c>
      <c r="L4943">
        <v>2022</v>
      </c>
      <c r="N4943" t="s">
        <v>3667</v>
      </c>
      <c r="O4943" t="s">
        <v>956</v>
      </c>
      <c r="P4943" t="s">
        <v>3668</v>
      </c>
    </row>
    <row r="4944" spans="1:16" x14ac:dyDescent="0.3">
      <c r="A4944" t="s">
        <v>2905</v>
      </c>
      <c r="C4944">
        <v>60</v>
      </c>
      <c r="D4944" t="s">
        <v>10</v>
      </c>
      <c r="F4944" s="43">
        <v>44565.416666666664</v>
      </c>
      <c r="G4944" s="43">
        <v>44565.458333333336</v>
      </c>
      <c r="H4944">
        <v>10</v>
      </c>
      <c r="I4944">
        <v>0</v>
      </c>
      <c r="J4944">
        <v>11</v>
      </c>
      <c r="K4944">
        <v>0</v>
      </c>
      <c r="L4944">
        <v>2022</v>
      </c>
      <c r="O4944" t="s">
        <v>53</v>
      </c>
      <c r="P4944" t="s">
        <v>3637</v>
      </c>
    </row>
    <row r="4945" spans="1:16" x14ac:dyDescent="0.3">
      <c r="A4945" t="s">
        <v>3521</v>
      </c>
      <c r="C4945">
        <v>30</v>
      </c>
      <c r="D4945" t="s">
        <v>10</v>
      </c>
      <c r="E4945" t="s">
        <v>2807</v>
      </c>
      <c r="F4945" s="43">
        <v>44565.375</v>
      </c>
      <c r="G4945" s="43">
        <v>44565.395833333336</v>
      </c>
      <c r="H4945">
        <v>9</v>
      </c>
      <c r="I4945">
        <v>0</v>
      </c>
      <c r="J4945">
        <v>9</v>
      </c>
      <c r="K4945">
        <v>30</v>
      </c>
      <c r="L4945">
        <v>2022</v>
      </c>
      <c r="N4945" t="s">
        <v>3522</v>
      </c>
      <c r="O4945" t="s">
        <v>53</v>
      </c>
      <c r="P4945" t="s">
        <v>3523</v>
      </c>
    </row>
    <row r="4946" spans="1:16" x14ac:dyDescent="0.3">
      <c r="A4946" t="s">
        <v>3765</v>
      </c>
      <c r="C4946">
        <v>30</v>
      </c>
      <c r="D4946" t="s">
        <v>10</v>
      </c>
      <c r="E4946" t="s">
        <v>3766</v>
      </c>
      <c r="F4946" s="43">
        <v>44565.354166666664</v>
      </c>
      <c r="G4946" s="43">
        <v>44565.375</v>
      </c>
      <c r="H4946">
        <v>8</v>
      </c>
      <c r="I4946">
        <v>30</v>
      </c>
      <c r="J4946">
        <v>9</v>
      </c>
      <c r="K4946">
        <v>0</v>
      </c>
      <c r="L4946">
        <v>2022</v>
      </c>
      <c r="N4946" t="s">
        <v>3767</v>
      </c>
      <c r="O4946" t="s">
        <v>1863</v>
      </c>
      <c r="P4946" t="s">
        <v>3768</v>
      </c>
    </row>
    <row r="4947" spans="1:16" x14ac:dyDescent="0.3">
      <c r="A4947" t="s">
        <v>3236</v>
      </c>
      <c r="B4947" t="s">
        <v>3149</v>
      </c>
      <c r="C4947">
        <v>30</v>
      </c>
      <c r="D4947" t="s">
        <v>10</v>
      </c>
      <c r="F4947" s="43">
        <v>44565.3125</v>
      </c>
      <c r="G4947" s="43">
        <v>44565.333333333336</v>
      </c>
      <c r="H4947">
        <v>7</v>
      </c>
      <c r="I4947">
        <v>30</v>
      </c>
      <c r="J4947">
        <v>8</v>
      </c>
      <c r="K4947">
        <v>0</v>
      </c>
      <c r="L4947">
        <v>2022</v>
      </c>
      <c r="O4947" t="s">
        <v>47</v>
      </c>
      <c r="P4947" t="s">
        <v>3524</v>
      </c>
    </row>
    <row r="4948" spans="1:16" x14ac:dyDescent="0.3">
      <c r="A4948" t="s">
        <v>3663</v>
      </c>
      <c r="B4948" t="s">
        <v>109</v>
      </c>
      <c r="C4948">
        <v>30</v>
      </c>
      <c r="D4948" t="s">
        <v>10</v>
      </c>
      <c r="E4948" t="s">
        <v>5</v>
      </c>
      <c r="F4948" s="43">
        <v>44565.291666666664</v>
      </c>
      <c r="G4948" s="43">
        <v>44565.3125</v>
      </c>
      <c r="H4948">
        <v>7</v>
      </c>
      <c r="I4948">
        <v>0</v>
      </c>
      <c r="J4948">
        <v>7</v>
      </c>
      <c r="K4948">
        <v>30</v>
      </c>
      <c r="L4948">
        <v>2022</v>
      </c>
      <c r="N4948" t="s">
        <v>3664</v>
      </c>
      <c r="O4948" t="s">
        <v>956</v>
      </c>
      <c r="P4948" t="s">
        <v>3665</v>
      </c>
    </row>
    <row r="4949" spans="1:16" x14ac:dyDescent="0.3">
      <c r="A4949" t="s">
        <v>8</v>
      </c>
      <c r="B4949" t="s">
        <v>6</v>
      </c>
      <c r="C4949">
        <v>30</v>
      </c>
      <c r="D4949" t="s">
        <v>10</v>
      </c>
      <c r="F4949" s="43">
        <v>44564.798611111109</v>
      </c>
      <c r="G4949" s="43">
        <v>44564.819444444445</v>
      </c>
      <c r="H4949">
        <v>19</v>
      </c>
      <c r="I4949">
        <v>10</v>
      </c>
      <c r="J4949">
        <v>19</v>
      </c>
      <c r="K4949">
        <v>40</v>
      </c>
      <c r="L4949">
        <v>2022</v>
      </c>
      <c r="O4949" t="s">
        <v>47</v>
      </c>
      <c r="P4949" t="s">
        <v>3525</v>
      </c>
    </row>
    <row r="4950" spans="1:16" x14ac:dyDescent="0.3">
      <c r="A4950" t="s">
        <v>2905</v>
      </c>
      <c r="B4950" t="s">
        <v>109</v>
      </c>
      <c r="C4950">
        <v>45</v>
      </c>
      <c r="D4950" t="s">
        <v>10</v>
      </c>
      <c r="F4950" s="43">
        <v>44564.75</v>
      </c>
      <c r="G4950" s="43">
        <v>44564.78125</v>
      </c>
      <c r="H4950">
        <v>18</v>
      </c>
      <c r="I4950">
        <v>0</v>
      </c>
      <c r="J4950">
        <v>18</v>
      </c>
      <c r="K4950">
        <v>45</v>
      </c>
      <c r="L4950">
        <v>2022</v>
      </c>
      <c r="O4950" t="s">
        <v>47</v>
      </c>
      <c r="P4950" t="s">
        <v>3526</v>
      </c>
    </row>
    <row r="4951" spans="1:16" x14ac:dyDescent="0.3">
      <c r="A4951" t="s">
        <v>2905</v>
      </c>
      <c r="B4951" t="s">
        <v>109</v>
      </c>
      <c r="C4951">
        <v>40</v>
      </c>
      <c r="D4951" t="s">
        <v>10</v>
      </c>
      <c r="F4951" s="43">
        <v>44564.6875</v>
      </c>
      <c r="G4951" s="43">
        <v>44564.715277777781</v>
      </c>
      <c r="H4951">
        <v>16</v>
      </c>
      <c r="I4951">
        <v>30</v>
      </c>
      <c r="J4951">
        <v>17</v>
      </c>
      <c r="K4951">
        <v>10</v>
      </c>
      <c r="L4951">
        <v>2022</v>
      </c>
      <c r="O4951" t="s">
        <v>47</v>
      </c>
      <c r="P4951" t="s">
        <v>3527</v>
      </c>
    </row>
    <row r="4952" spans="1:16" x14ac:dyDescent="0.3">
      <c r="A4952" t="s">
        <v>2905</v>
      </c>
      <c r="B4952" t="s">
        <v>109</v>
      </c>
      <c r="C4952">
        <v>30</v>
      </c>
      <c r="D4952" t="s">
        <v>10</v>
      </c>
      <c r="F4952" s="43">
        <v>44564.645833333336</v>
      </c>
      <c r="G4952" s="43">
        <v>44564.666666666664</v>
      </c>
      <c r="H4952">
        <v>15</v>
      </c>
      <c r="I4952">
        <v>30</v>
      </c>
      <c r="J4952">
        <v>16</v>
      </c>
      <c r="K4952">
        <v>0</v>
      </c>
      <c r="L4952">
        <v>2022</v>
      </c>
      <c r="O4952" t="s">
        <v>47</v>
      </c>
      <c r="P4952" t="s">
        <v>3528</v>
      </c>
    </row>
    <row r="4953" spans="1:16" x14ac:dyDescent="0.3">
      <c r="A4953" t="s">
        <v>2905</v>
      </c>
      <c r="B4953" t="s">
        <v>109</v>
      </c>
      <c r="C4953">
        <v>45</v>
      </c>
      <c r="D4953" t="s">
        <v>10</v>
      </c>
      <c r="F4953" s="43">
        <v>44564.583333333336</v>
      </c>
      <c r="G4953" s="43">
        <v>44564.614583333336</v>
      </c>
      <c r="H4953">
        <v>14</v>
      </c>
      <c r="I4953">
        <v>0</v>
      </c>
      <c r="J4953">
        <v>14</v>
      </c>
      <c r="K4953">
        <v>45</v>
      </c>
      <c r="L4953">
        <v>2022</v>
      </c>
      <c r="O4953" t="s">
        <v>47</v>
      </c>
      <c r="P4953" t="s">
        <v>3529</v>
      </c>
    </row>
    <row r="4954" spans="1:16" x14ac:dyDescent="0.3">
      <c r="A4954" t="s">
        <v>3149</v>
      </c>
      <c r="B4954" t="s">
        <v>3149</v>
      </c>
      <c r="C4954">
        <v>30</v>
      </c>
      <c r="D4954" t="s">
        <v>10</v>
      </c>
      <c r="F4954" s="43">
        <v>44564.5625</v>
      </c>
      <c r="G4954" s="43">
        <v>44564.583333333336</v>
      </c>
      <c r="H4954">
        <v>13</v>
      </c>
      <c r="I4954">
        <v>30</v>
      </c>
      <c r="J4954">
        <v>14</v>
      </c>
      <c r="K4954">
        <v>0</v>
      </c>
      <c r="L4954">
        <v>2022</v>
      </c>
      <c r="O4954" t="s">
        <v>47</v>
      </c>
      <c r="P4954" t="s">
        <v>3534</v>
      </c>
    </row>
    <row r="4955" spans="1:16" x14ac:dyDescent="0.3">
      <c r="A4955" t="s">
        <v>7</v>
      </c>
      <c r="B4955" t="s">
        <v>6</v>
      </c>
      <c r="C4955">
        <v>50</v>
      </c>
      <c r="D4955" t="s">
        <v>10</v>
      </c>
      <c r="F4955" s="43">
        <v>44564.458333333336</v>
      </c>
      <c r="G4955" s="43">
        <v>44564.493055555555</v>
      </c>
      <c r="H4955">
        <v>11</v>
      </c>
      <c r="I4955">
        <v>0</v>
      </c>
      <c r="J4955">
        <v>11</v>
      </c>
      <c r="K4955">
        <v>50</v>
      </c>
      <c r="L4955">
        <v>2022</v>
      </c>
      <c r="O4955" t="s">
        <v>47</v>
      </c>
      <c r="P4955" t="s">
        <v>3530</v>
      </c>
    </row>
    <row r="4956" spans="1:16" x14ac:dyDescent="0.3">
      <c r="A4956" t="s">
        <v>3531</v>
      </c>
      <c r="B4956" t="s">
        <v>6</v>
      </c>
      <c r="C4956">
        <v>60</v>
      </c>
      <c r="D4956" t="s">
        <v>10</v>
      </c>
      <c r="F4956" s="43">
        <v>44564.416666666664</v>
      </c>
      <c r="G4956" s="43">
        <v>44564.458333333336</v>
      </c>
      <c r="H4956">
        <v>10</v>
      </c>
      <c r="I4956">
        <v>0</v>
      </c>
      <c r="J4956">
        <v>11</v>
      </c>
      <c r="K4956">
        <v>0</v>
      </c>
      <c r="L4956">
        <v>2022</v>
      </c>
      <c r="O4956" t="s">
        <v>47</v>
      </c>
      <c r="P4956" t="s">
        <v>3532</v>
      </c>
    </row>
    <row r="4957" spans="1:16" x14ac:dyDescent="0.3">
      <c r="A4957" t="s">
        <v>2905</v>
      </c>
      <c r="B4957" t="s">
        <v>109</v>
      </c>
      <c r="C4957">
        <v>50</v>
      </c>
      <c r="D4957" t="s">
        <v>10</v>
      </c>
      <c r="F4957" s="43">
        <v>44564.375</v>
      </c>
      <c r="G4957" s="43">
        <v>44564.409722222219</v>
      </c>
      <c r="H4957">
        <v>9</v>
      </c>
      <c r="I4957">
        <v>0</v>
      </c>
      <c r="J4957">
        <v>9</v>
      </c>
      <c r="K4957">
        <v>50</v>
      </c>
      <c r="L4957">
        <v>2022</v>
      </c>
      <c r="O4957" t="s">
        <v>47</v>
      </c>
      <c r="P4957" t="s">
        <v>3533</v>
      </c>
    </row>
    <row r="4958" spans="1:16" x14ac:dyDescent="0.3">
      <c r="A4958" t="s">
        <v>3149</v>
      </c>
      <c r="B4958" t="s">
        <v>3149</v>
      </c>
      <c r="C4958">
        <v>60</v>
      </c>
      <c r="D4958" t="s">
        <v>10</v>
      </c>
      <c r="F4958" s="43">
        <v>44564.333333333336</v>
      </c>
      <c r="G4958" s="43">
        <v>44564.375</v>
      </c>
      <c r="H4958">
        <v>8</v>
      </c>
      <c r="I4958">
        <v>0</v>
      </c>
      <c r="J4958">
        <v>9</v>
      </c>
      <c r="K4958">
        <v>0</v>
      </c>
      <c r="L4958">
        <v>2022</v>
      </c>
      <c r="O4958" t="s">
        <v>47</v>
      </c>
      <c r="P4958" t="s">
        <v>3535</v>
      </c>
    </row>
    <row r="4959" spans="1:16" x14ac:dyDescent="0.3">
      <c r="A4959" t="s">
        <v>2923</v>
      </c>
      <c r="C4959">
        <v>90</v>
      </c>
      <c r="D4959" t="s">
        <v>10</v>
      </c>
      <c r="F4959" s="43">
        <v>44563.770833333336</v>
      </c>
      <c r="G4959" s="43">
        <v>44563.833333333336</v>
      </c>
      <c r="H4959">
        <v>18</v>
      </c>
      <c r="I4959">
        <v>30</v>
      </c>
      <c r="J4959">
        <v>20</v>
      </c>
      <c r="K4959">
        <v>0</v>
      </c>
      <c r="L4959">
        <v>2022</v>
      </c>
      <c r="O4959" t="s">
        <v>47</v>
      </c>
      <c r="P4959" t="s">
        <v>3507</v>
      </c>
    </row>
    <row r="4960" spans="1:16" x14ac:dyDescent="0.3">
      <c r="A4960" t="s">
        <v>3149</v>
      </c>
      <c r="B4960" t="s">
        <v>3149</v>
      </c>
      <c r="C4960">
        <v>50</v>
      </c>
      <c r="D4960" t="s">
        <v>10</v>
      </c>
      <c r="F4960" s="43">
        <v>44563.583333333336</v>
      </c>
      <c r="G4960" s="43">
        <v>44563.618055555555</v>
      </c>
      <c r="H4960">
        <v>14</v>
      </c>
      <c r="I4960">
        <v>0</v>
      </c>
      <c r="J4960">
        <v>14</v>
      </c>
      <c r="K4960">
        <v>50</v>
      </c>
      <c r="L4960">
        <v>2022</v>
      </c>
      <c r="O4960" t="s">
        <v>47</v>
      </c>
      <c r="P4960" t="s">
        <v>3536</v>
      </c>
    </row>
    <row r="4961" spans="1:16" x14ac:dyDescent="0.3">
      <c r="A4961" t="s">
        <v>3149</v>
      </c>
      <c r="B4961" t="s">
        <v>3149</v>
      </c>
      <c r="C4961">
        <v>60</v>
      </c>
      <c r="D4961" t="s">
        <v>10</v>
      </c>
      <c r="F4961" s="43">
        <v>44563.333333333336</v>
      </c>
      <c r="G4961" s="43">
        <v>44563.375</v>
      </c>
      <c r="H4961">
        <v>8</v>
      </c>
      <c r="I4961">
        <v>0</v>
      </c>
      <c r="J4961">
        <v>9</v>
      </c>
      <c r="K4961">
        <v>0</v>
      </c>
      <c r="L4961">
        <v>2022</v>
      </c>
      <c r="O4961" t="s">
        <v>47</v>
      </c>
      <c r="P4961" t="s">
        <v>3537</v>
      </c>
    </row>
    <row r="4962" spans="1:16" x14ac:dyDescent="0.3">
      <c r="A4962" t="s">
        <v>3644</v>
      </c>
      <c r="C4962">
        <v>60</v>
      </c>
      <c r="D4962" t="s">
        <v>256</v>
      </c>
      <c r="E4962" t="s">
        <v>3645</v>
      </c>
      <c r="F4962" s="43">
        <v>44552</v>
      </c>
      <c r="G4962" s="43">
        <v>44579</v>
      </c>
      <c r="H4962">
        <v>8</v>
      </c>
      <c r="I4962">
        <v>0</v>
      </c>
      <c r="J4962">
        <v>9</v>
      </c>
      <c r="K4962">
        <v>0</v>
      </c>
      <c r="L4962">
        <v>2021</v>
      </c>
      <c r="N4962" t="s">
        <v>3646</v>
      </c>
      <c r="O4962" t="s">
        <v>54</v>
      </c>
      <c r="P4962" t="s">
        <v>3647</v>
      </c>
    </row>
    <row r="4963" spans="1:16" x14ac:dyDescent="0.3">
      <c r="A4963" t="s">
        <v>3642</v>
      </c>
      <c r="C4963">
        <v>30</v>
      </c>
      <c r="D4963" t="s">
        <v>256</v>
      </c>
      <c r="E4963" t="s">
        <v>5</v>
      </c>
      <c r="F4963" s="43">
        <v>44399</v>
      </c>
      <c r="G4963" s="43">
        <v>44567</v>
      </c>
      <c r="H4963">
        <v>11</v>
      </c>
      <c r="I4963">
        <v>0</v>
      </c>
      <c r="J4963">
        <v>11</v>
      </c>
      <c r="K4963">
        <v>30</v>
      </c>
      <c r="L4963">
        <v>2021</v>
      </c>
      <c r="N4963" t="s">
        <v>53</v>
      </c>
      <c r="O4963" t="s">
        <v>1241</v>
      </c>
      <c r="P4963" t="s">
        <v>3780</v>
      </c>
    </row>
    <row r="4964" spans="1:16" x14ac:dyDescent="0.3">
      <c r="A4964" t="s">
        <v>3776</v>
      </c>
      <c r="C4964">
        <v>30</v>
      </c>
      <c r="D4964" t="s">
        <v>3777</v>
      </c>
      <c r="E4964" t="s">
        <v>1599</v>
      </c>
      <c r="F4964" s="43">
        <v>44389</v>
      </c>
      <c r="G4964" s="43">
        <v>44393</v>
      </c>
      <c r="H4964">
        <v>5</v>
      </c>
      <c r="I4964">
        <v>30</v>
      </c>
      <c r="J4964">
        <v>6</v>
      </c>
      <c r="K4964">
        <v>0</v>
      </c>
      <c r="L4964">
        <v>2021</v>
      </c>
      <c r="N4964" t="s">
        <v>53</v>
      </c>
      <c r="O4964" t="s">
        <v>3778</v>
      </c>
      <c r="P4964" t="s">
        <v>3779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pdateOutlookItemValues">
                <anchor moveWithCells="1" sizeWithCells="1">
                  <from>
                    <xdr:col>4</xdr:col>
                    <xdr:colOff>807720</xdr:colOff>
                    <xdr:row>0</xdr:row>
                    <xdr:rowOff>15240</xdr:rowOff>
                  </from>
                  <to>
                    <xdr:col>6</xdr:col>
                    <xdr:colOff>1097280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istAppointments">
                <anchor moveWithCells="1" sizeWithCells="1">
                  <from>
                    <xdr:col>8</xdr:col>
                    <xdr:colOff>0</xdr:colOff>
                    <xdr:row>0</xdr:row>
                    <xdr:rowOff>15240</xdr:rowOff>
                  </from>
                  <to>
                    <xdr:col>11</xdr:col>
                    <xdr:colOff>53340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9B7D78-B6AE-4426-9887-72FA30EBC855}">
          <x14:formula1>
            <xm:f>Reference!$V$7:$V$18</xm:f>
          </x14:formula1>
          <xm:sqref>Q3 Q8:Q13 Q6 Q15:Q20 Q23:Q24 Q27 Q29:Q30 Q35 Q40:Q41 Q43 Q49:Q50 Q52 Q56:Q59 Q62:Q64 Q66 Q68 Q70 Q86:Q89 Q91:Q93 Q96:Q98 Q100:Q102 Q113 Q122 Q143 Q195:Q196 Q202 Q215:Q216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576B8-1411-4AA8-A1B6-81CC84D3BF99}">
  <sheetPr codeName="Sheet2"/>
  <dimension ref="A1:R542"/>
  <sheetViews>
    <sheetView zoomScale="85" zoomScaleNormal="85" workbookViewId="0">
      <selection activeCell="Q52" sqref="Q1:Q1048576"/>
    </sheetView>
  </sheetViews>
  <sheetFormatPr defaultRowHeight="14.4" x14ac:dyDescent="0.3"/>
  <cols>
    <col min="1" max="1" width="21.77734375" customWidth="1"/>
    <col min="2" max="2" width="13.5546875" customWidth="1"/>
    <col min="4" max="4" width="14.5546875" customWidth="1"/>
    <col min="8" max="8" width="16.21875" customWidth="1"/>
    <col min="9" max="9" width="8.44140625" customWidth="1"/>
    <col min="14" max="14" width="21.77734375" customWidth="1"/>
    <col min="17" max="17" width="21.5546875" customWidth="1"/>
  </cols>
  <sheetData>
    <row r="1" spans="1:18" x14ac:dyDescent="0.3">
      <c r="P1" t="s">
        <v>61</v>
      </c>
    </row>
    <row r="2" spans="1:18" x14ac:dyDescent="0.3">
      <c r="A2" t="s">
        <v>64</v>
      </c>
      <c r="B2" s="1">
        <v>45217</v>
      </c>
      <c r="C2">
        <v>1440</v>
      </c>
      <c r="D2" t="s">
        <v>13</v>
      </c>
      <c r="E2" t="b">
        <v>0</v>
      </c>
      <c r="F2">
        <v>42</v>
      </c>
      <c r="G2">
        <v>24</v>
      </c>
      <c r="I2">
        <v>4</v>
      </c>
      <c r="J2">
        <v>0</v>
      </c>
      <c r="K2">
        <v>0</v>
      </c>
      <c r="L2">
        <v>0</v>
      </c>
      <c r="M2">
        <v>0</v>
      </c>
      <c r="N2" t="s">
        <v>5</v>
      </c>
      <c r="P2">
        <v>10</v>
      </c>
      <c r="Q2" t="s">
        <v>65</v>
      </c>
      <c r="R2" t="s">
        <v>48</v>
      </c>
    </row>
    <row r="3" spans="1:18" x14ac:dyDescent="0.3">
      <c r="A3" t="s">
        <v>140</v>
      </c>
      <c r="B3" s="1">
        <v>45118</v>
      </c>
      <c r="C3">
        <v>5760</v>
      </c>
      <c r="D3" t="s">
        <v>13</v>
      </c>
      <c r="E3" t="b">
        <v>0</v>
      </c>
      <c r="F3">
        <v>28</v>
      </c>
      <c r="G3">
        <v>96</v>
      </c>
      <c r="I3">
        <v>3</v>
      </c>
      <c r="J3">
        <v>0</v>
      </c>
      <c r="K3">
        <v>0</v>
      </c>
      <c r="L3">
        <v>0</v>
      </c>
      <c r="M3">
        <v>0</v>
      </c>
      <c r="N3" t="s">
        <v>5</v>
      </c>
      <c r="P3">
        <v>7</v>
      </c>
      <c r="Q3" t="s">
        <v>141</v>
      </c>
      <c r="R3" t="s">
        <v>52</v>
      </c>
    </row>
    <row r="4" spans="1:18" x14ac:dyDescent="0.3">
      <c r="A4" t="s">
        <v>17</v>
      </c>
      <c r="B4" s="1">
        <v>45078</v>
      </c>
      <c r="C4">
        <v>60</v>
      </c>
      <c r="D4" t="s">
        <v>13</v>
      </c>
      <c r="E4" t="b">
        <v>0</v>
      </c>
      <c r="F4">
        <v>22</v>
      </c>
      <c r="G4">
        <v>1</v>
      </c>
      <c r="I4">
        <v>5</v>
      </c>
      <c r="J4">
        <v>4</v>
      </c>
      <c r="K4">
        <v>5</v>
      </c>
      <c r="L4">
        <v>30</v>
      </c>
      <c r="M4">
        <v>30</v>
      </c>
      <c r="P4">
        <v>6</v>
      </c>
      <c r="Q4" t="s">
        <v>47</v>
      </c>
      <c r="R4" t="s">
        <v>47</v>
      </c>
    </row>
    <row r="5" spans="1:18" x14ac:dyDescent="0.3">
      <c r="A5" t="s">
        <v>159</v>
      </c>
      <c r="B5" s="1">
        <v>45086</v>
      </c>
      <c r="C5">
        <v>60</v>
      </c>
      <c r="D5" t="s">
        <v>160</v>
      </c>
      <c r="E5" t="b">
        <v>0</v>
      </c>
      <c r="F5">
        <v>23</v>
      </c>
      <c r="G5">
        <v>1</v>
      </c>
      <c r="H5">
        <v>4616945651</v>
      </c>
      <c r="I5">
        <v>6</v>
      </c>
      <c r="J5">
        <v>4</v>
      </c>
      <c r="K5">
        <v>5</v>
      </c>
      <c r="L5">
        <v>30</v>
      </c>
      <c r="M5">
        <v>30</v>
      </c>
      <c r="N5" t="s">
        <v>161</v>
      </c>
      <c r="P5">
        <v>6</v>
      </c>
      <c r="Q5" t="s">
        <v>47</v>
      </c>
      <c r="R5" t="s">
        <v>47</v>
      </c>
    </row>
    <row r="6" spans="1:18" x14ac:dyDescent="0.3">
      <c r="A6" t="s">
        <v>101</v>
      </c>
      <c r="B6" s="1">
        <v>45080</v>
      </c>
      <c r="C6">
        <v>30</v>
      </c>
      <c r="D6" t="s">
        <v>13</v>
      </c>
      <c r="E6" t="b">
        <v>0</v>
      </c>
      <c r="F6">
        <v>22</v>
      </c>
      <c r="G6">
        <v>0</v>
      </c>
      <c r="I6">
        <v>7</v>
      </c>
      <c r="J6">
        <v>5</v>
      </c>
      <c r="K6">
        <v>5</v>
      </c>
      <c r="L6">
        <v>0</v>
      </c>
      <c r="M6">
        <v>30</v>
      </c>
      <c r="P6">
        <v>6</v>
      </c>
      <c r="Q6" t="s">
        <v>47</v>
      </c>
      <c r="R6" t="s">
        <v>47</v>
      </c>
    </row>
    <row r="7" spans="1:18" x14ac:dyDescent="0.3">
      <c r="A7" t="s">
        <v>108</v>
      </c>
      <c r="B7" s="1">
        <v>45082</v>
      </c>
      <c r="C7">
        <v>60</v>
      </c>
      <c r="D7" t="s">
        <v>109</v>
      </c>
      <c r="E7" t="b">
        <v>0</v>
      </c>
      <c r="F7">
        <v>23</v>
      </c>
      <c r="G7">
        <v>1</v>
      </c>
      <c r="H7">
        <v>4587887220</v>
      </c>
      <c r="I7">
        <v>2</v>
      </c>
      <c r="J7">
        <v>5</v>
      </c>
      <c r="K7">
        <v>6</v>
      </c>
      <c r="L7">
        <v>0</v>
      </c>
      <c r="M7">
        <v>0</v>
      </c>
      <c r="N7" t="s">
        <v>110</v>
      </c>
      <c r="P7">
        <v>6</v>
      </c>
      <c r="Q7" t="s">
        <v>47</v>
      </c>
      <c r="R7" t="s">
        <v>47</v>
      </c>
    </row>
    <row r="8" spans="1:18" x14ac:dyDescent="0.3">
      <c r="A8" t="s">
        <v>151</v>
      </c>
      <c r="B8" s="1">
        <v>45085</v>
      </c>
      <c r="C8">
        <v>90</v>
      </c>
      <c r="D8" t="s">
        <v>13</v>
      </c>
      <c r="E8" t="b">
        <v>0</v>
      </c>
      <c r="F8">
        <v>23</v>
      </c>
      <c r="G8">
        <v>2</v>
      </c>
      <c r="I8">
        <v>5</v>
      </c>
      <c r="J8">
        <v>5</v>
      </c>
      <c r="K8">
        <v>6</v>
      </c>
      <c r="L8">
        <v>0</v>
      </c>
      <c r="M8">
        <v>30</v>
      </c>
      <c r="P8">
        <v>6</v>
      </c>
      <c r="R8" t="s">
        <v>47</v>
      </c>
    </row>
    <row r="9" spans="1:18" x14ac:dyDescent="0.3">
      <c r="A9" t="s">
        <v>81</v>
      </c>
      <c r="B9" s="1">
        <v>45078</v>
      </c>
      <c r="C9">
        <v>60</v>
      </c>
      <c r="D9" t="s">
        <v>13</v>
      </c>
      <c r="E9" t="b">
        <v>0</v>
      </c>
      <c r="F9">
        <v>22</v>
      </c>
      <c r="G9">
        <v>1</v>
      </c>
      <c r="I9">
        <v>5</v>
      </c>
      <c r="J9">
        <v>5</v>
      </c>
      <c r="K9">
        <v>6</v>
      </c>
      <c r="L9">
        <v>30</v>
      </c>
      <c r="M9">
        <v>30</v>
      </c>
      <c r="P9">
        <v>6</v>
      </c>
      <c r="Q9" t="s">
        <v>47</v>
      </c>
      <c r="R9" t="s">
        <v>47</v>
      </c>
    </row>
    <row r="10" spans="1:18" x14ac:dyDescent="0.3">
      <c r="A10" t="s">
        <v>102</v>
      </c>
      <c r="B10" s="1">
        <v>45080</v>
      </c>
      <c r="C10">
        <v>30</v>
      </c>
      <c r="D10" t="s">
        <v>13</v>
      </c>
      <c r="E10" t="b">
        <v>0</v>
      </c>
      <c r="F10">
        <v>22</v>
      </c>
      <c r="G10">
        <v>0</v>
      </c>
      <c r="I10">
        <v>7</v>
      </c>
      <c r="J10">
        <v>5</v>
      </c>
      <c r="K10">
        <v>6</v>
      </c>
      <c r="L10">
        <v>30</v>
      </c>
      <c r="M10">
        <v>0</v>
      </c>
      <c r="P10">
        <v>6</v>
      </c>
      <c r="Q10" t="s">
        <v>47</v>
      </c>
      <c r="R10" t="s">
        <v>47</v>
      </c>
    </row>
    <row r="11" spans="1:18" x14ac:dyDescent="0.3">
      <c r="A11" t="s">
        <v>8</v>
      </c>
      <c r="B11" s="1">
        <v>45083</v>
      </c>
      <c r="C11">
        <v>30</v>
      </c>
      <c r="D11" t="s">
        <v>13</v>
      </c>
      <c r="E11" t="b">
        <v>0</v>
      </c>
      <c r="F11">
        <v>23</v>
      </c>
      <c r="G11">
        <v>0</v>
      </c>
      <c r="I11">
        <v>3</v>
      </c>
      <c r="J11">
        <v>5</v>
      </c>
      <c r="K11">
        <v>6</v>
      </c>
      <c r="L11">
        <v>30</v>
      </c>
      <c r="M11">
        <v>0</v>
      </c>
      <c r="P11">
        <v>6</v>
      </c>
      <c r="Q11" t="s">
        <v>47</v>
      </c>
      <c r="R11" t="s">
        <v>47</v>
      </c>
    </row>
    <row r="12" spans="1:18" x14ac:dyDescent="0.3">
      <c r="A12" t="s">
        <v>139</v>
      </c>
      <c r="B12" s="1">
        <v>45084</v>
      </c>
      <c r="C12">
        <v>75</v>
      </c>
      <c r="D12" t="s">
        <v>13</v>
      </c>
      <c r="E12" t="b">
        <v>0</v>
      </c>
      <c r="F12">
        <v>23</v>
      </c>
      <c r="G12">
        <v>1</v>
      </c>
      <c r="I12">
        <v>4</v>
      </c>
      <c r="J12">
        <v>5</v>
      </c>
      <c r="K12">
        <v>6</v>
      </c>
      <c r="L12">
        <v>30</v>
      </c>
      <c r="M12">
        <v>45</v>
      </c>
      <c r="P12">
        <v>6</v>
      </c>
      <c r="Q12" t="s">
        <v>47</v>
      </c>
      <c r="R12" t="s">
        <v>47</v>
      </c>
    </row>
    <row r="13" spans="1:18" x14ac:dyDescent="0.3">
      <c r="A13" t="s">
        <v>105</v>
      </c>
      <c r="B13" s="1">
        <v>45081</v>
      </c>
      <c r="C13">
        <v>60</v>
      </c>
      <c r="D13" t="s">
        <v>13</v>
      </c>
      <c r="E13" t="b">
        <v>0</v>
      </c>
      <c r="F13">
        <v>23</v>
      </c>
      <c r="G13">
        <v>1</v>
      </c>
      <c r="I13">
        <v>1</v>
      </c>
      <c r="J13">
        <v>5</v>
      </c>
      <c r="K13">
        <v>6</v>
      </c>
      <c r="L13">
        <v>40</v>
      </c>
      <c r="M13">
        <v>40</v>
      </c>
      <c r="P13">
        <v>6</v>
      </c>
      <c r="Q13" t="s">
        <v>47</v>
      </c>
      <c r="R13" t="s">
        <v>47</v>
      </c>
    </row>
    <row r="14" spans="1:18" x14ac:dyDescent="0.3">
      <c r="A14" t="s">
        <v>92</v>
      </c>
      <c r="B14" s="1">
        <v>45079</v>
      </c>
      <c r="C14">
        <v>30</v>
      </c>
      <c r="D14" t="s">
        <v>13</v>
      </c>
      <c r="E14" t="b">
        <v>0</v>
      </c>
      <c r="F14">
        <v>22</v>
      </c>
      <c r="G14">
        <v>0</v>
      </c>
      <c r="I14">
        <v>6</v>
      </c>
      <c r="J14">
        <v>6</v>
      </c>
      <c r="K14">
        <v>6</v>
      </c>
      <c r="L14">
        <v>0</v>
      </c>
      <c r="M14">
        <v>30</v>
      </c>
      <c r="N14" t="s">
        <v>93</v>
      </c>
      <c r="P14">
        <v>6</v>
      </c>
      <c r="Q14" t="s">
        <v>94</v>
      </c>
      <c r="R14" t="s">
        <v>47</v>
      </c>
    </row>
    <row r="15" spans="1:18" x14ac:dyDescent="0.3">
      <c r="A15" t="s">
        <v>162</v>
      </c>
      <c r="B15" s="1">
        <v>45086</v>
      </c>
      <c r="C15">
        <v>45</v>
      </c>
      <c r="D15" t="s">
        <v>160</v>
      </c>
      <c r="E15" t="b">
        <v>0</v>
      </c>
      <c r="F15">
        <v>23</v>
      </c>
      <c r="G15">
        <v>1</v>
      </c>
      <c r="H15">
        <v>4593239115</v>
      </c>
      <c r="I15">
        <v>6</v>
      </c>
      <c r="J15">
        <v>6</v>
      </c>
      <c r="K15">
        <v>6</v>
      </c>
      <c r="L15">
        <v>0</v>
      </c>
      <c r="M15">
        <v>45</v>
      </c>
      <c r="N15" t="s">
        <v>163</v>
      </c>
      <c r="P15">
        <v>6</v>
      </c>
      <c r="Q15" t="s">
        <v>47</v>
      </c>
      <c r="R15" t="s">
        <v>47</v>
      </c>
    </row>
    <row r="16" spans="1:18" x14ac:dyDescent="0.3">
      <c r="A16" t="s">
        <v>149</v>
      </c>
      <c r="B16" s="1">
        <v>45085</v>
      </c>
      <c r="C16">
        <v>60</v>
      </c>
      <c r="D16" t="s">
        <v>13</v>
      </c>
      <c r="E16" t="b">
        <v>0</v>
      </c>
      <c r="F16">
        <v>23</v>
      </c>
      <c r="G16">
        <v>1</v>
      </c>
      <c r="I16">
        <v>5</v>
      </c>
      <c r="J16">
        <v>6</v>
      </c>
      <c r="K16">
        <v>7</v>
      </c>
      <c r="L16">
        <v>20</v>
      </c>
      <c r="M16">
        <v>20</v>
      </c>
      <c r="P16">
        <v>6</v>
      </c>
      <c r="Q16" t="s">
        <v>47</v>
      </c>
      <c r="R16" t="s">
        <v>47</v>
      </c>
    </row>
    <row r="17" spans="1:18" x14ac:dyDescent="0.3">
      <c r="A17" t="s">
        <v>17</v>
      </c>
      <c r="B17" s="1">
        <v>45079</v>
      </c>
      <c r="C17">
        <v>30</v>
      </c>
      <c r="D17" t="s">
        <v>13</v>
      </c>
      <c r="E17" t="b">
        <v>0</v>
      </c>
      <c r="F17">
        <v>22</v>
      </c>
      <c r="G17">
        <v>0</v>
      </c>
      <c r="I17">
        <v>6</v>
      </c>
      <c r="J17">
        <v>6</v>
      </c>
      <c r="K17">
        <v>7</v>
      </c>
      <c r="L17">
        <v>30</v>
      </c>
      <c r="M17">
        <v>0</v>
      </c>
      <c r="P17">
        <v>6</v>
      </c>
      <c r="Q17" t="s">
        <v>47</v>
      </c>
      <c r="R17" t="s">
        <v>47</v>
      </c>
    </row>
    <row r="18" spans="1:18" x14ac:dyDescent="0.3">
      <c r="A18" t="s">
        <v>108</v>
      </c>
      <c r="B18" s="1">
        <v>45082</v>
      </c>
      <c r="C18">
        <v>30</v>
      </c>
      <c r="D18" t="s">
        <v>109</v>
      </c>
      <c r="E18" t="b">
        <v>0</v>
      </c>
      <c r="F18">
        <v>23</v>
      </c>
      <c r="G18">
        <v>0</v>
      </c>
      <c r="H18">
        <v>4587887220</v>
      </c>
      <c r="I18">
        <v>2</v>
      </c>
      <c r="J18">
        <v>6</v>
      </c>
      <c r="K18">
        <v>7</v>
      </c>
      <c r="L18">
        <v>30</v>
      </c>
      <c r="M18">
        <v>0</v>
      </c>
      <c r="N18" t="s">
        <v>110</v>
      </c>
      <c r="P18">
        <v>6</v>
      </c>
      <c r="Q18" t="s">
        <v>47</v>
      </c>
      <c r="R18" t="s">
        <v>47</v>
      </c>
    </row>
    <row r="19" spans="1:18" x14ac:dyDescent="0.3">
      <c r="A19" t="s">
        <v>66</v>
      </c>
      <c r="B19" s="1">
        <v>45118</v>
      </c>
      <c r="C19">
        <v>300</v>
      </c>
      <c r="D19" t="s">
        <v>13</v>
      </c>
      <c r="E19" t="b">
        <v>0</v>
      </c>
      <c r="F19">
        <v>28</v>
      </c>
      <c r="G19">
        <v>5</v>
      </c>
      <c r="I19">
        <v>3</v>
      </c>
      <c r="J19">
        <v>7</v>
      </c>
      <c r="K19">
        <v>12</v>
      </c>
      <c r="L19">
        <v>0</v>
      </c>
      <c r="M19">
        <v>0</v>
      </c>
      <c r="N19" t="s">
        <v>67</v>
      </c>
      <c r="P19">
        <v>7</v>
      </c>
      <c r="Q19" t="s">
        <v>56</v>
      </c>
      <c r="R19" t="s">
        <v>50</v>
      </c>
    </row>
    <row r="20" spans="1:18" x14ac:dyDescent="0.3">
      <c r="A20" t="s">
        <v>99</v>
      </c>
      <c r="B20" s="1">
        <v>45083</v>
      </c>
      <c r="C20">
        <v>60</v>
      </c>
      <c r="D20" t="s">
        <v>13</v>
      </c>
      <c r="E20" t="b">
        <v>0</v>
      </c>
      <c r="F20">
        <v>23</v>
      </c>
      <c r="G20">
        <v>1</v>
      </c>
      <c r="I20">
        <v>3</v>
      </c>
      <c r="J20">
        <v>7</v>
      </c>
      <c r="K20">
        <v>8</v>
      </c>
      <c r="L20">
        <v>0</v>
      </c>
      <c r="M20">
        <v>0</v>
      </c>
      <c r="P20">
        <v>6</v>
      </c>
      <c r="Q20" t="s">
        <v>47</v>
      </c>
      <c r="R20" t="s">
        <v>47</v>
      </c>
    </row>
    <row r="21" spans="1:18" x14ac:dyDescent="0.3">
      <c r="A21" t="s">
        <v>103</v>
      </c>
      <c r="B21" s="1">
        <v>45080</v>
      </c>
      <c r="C21">
        <v>30</v>
      </c>
      <c r="D21" t="s">
        <v>13</v>
      </c>
      <c r="E21" t="b">
        <v>0</v>
      </c>
      <c r="F21">
        <v>22</v>
      </c>
      <c r="G21">
        <v>0</v>
      </c>
      <c r="I21">
        <v>7</v>
      </c>
      <c r="J21">
        <v>7</v>
      </c>
      <c r="K21">
        <v>7</v>
      </c>
      <c r="L21">
        <v>20</v>
      </c>
      <c r="M21">
        <v>50</v>
      </c>
      <c r="P21">
        <v>6</v>
      </c>
      <c r="Q21" t="s">
        <v>47</v>
      </c>
      <c r="R21" t="s">
        <v>47</v>
      </c>
    </row>
    <row r="22" spans="1:18" x14ac:dyDescent="0.3">
      <c r="A22" t="s">
        <v>76</v>
      </c>
      <c r="B22" s="1">
        <v>45085</v>
      </c>
      <c r="C22">
        <v>90</v>
      </c>
      <c r="D22" t="s">
        <v>20</v>
      </c>
      <c r="E22" t="b">
        <v>0</v>
      </c>
      <c r="F22">
        <v>23</v>
      </c>
      <c r="G22">
        <v>2</v>
      </c>
      <c r="I22">
        <v>5</v>
      </c>
      <c r="J22">
        <v>7</v>
      </c>
      <c r="K22">
        <v>9</v>
      </c>
      <c r="L22">
        <v>30</v>
      </c>
      <c r="M22">
        <v>0</v>
      </c>
      <c r="N22" t="s">
        <v>77</v>
      </c>
      <c r="P22">
        <v>6</v>
      </c>
      <c r="Q22" t="s">
        <v>57</v>
      </c>
      <c r="R22" t="s">
        <v>51</v>
      </c>
    </row>
    <row r="23" spans="1:18" x14ac:dyDescent="0.3">
      <c r="A23" t="s">
        <v>82</v>
      </c>
      <c r="B23" s="1">
        <v>45078</v>
      </c>
      <c r="C23">
        <v>30</v>
      </c>
      <c r="D23" t="s">
        <v>13</v>
      </c>
      <c r="E23" t="b">
        <v>0</v>
      </c>
      <c r="F23">
        <v>22</v>
      </c>
      <c r="G23">
        <v>0</v>
      </c>
      <c r="I23">
        <v>5</v>
      </c>
      <c r="J23">
        <v>7</v>
      </c>
      <c r="K23">
        <v>8</v>
      </c>
      <c r="L23">
        <v>30</v>
      </c>
      <c r="M23">
        <v>0</v>
      </c>
      <c r="P23">
        <v>6</v>
      </c>
      <c r="Q23" t="s">
        <v>47</v>
      </c>
      <c r="R23" t="s">
        <v>47</v>
      </c>
    </row>
    <row r="24" spans="1:18" x14ac:dyDescent="0.3">
      <c r="A24" t="s">
        <v>95</v>
      </c>
      <c r="B24" s="1">
        <v>45079</v>
      </c>
      <c r="C24">
        <v>30</v>
      </c>
      <c r="D24" t="s">
        <v>13</v>
      </c>
      <c r="E24" t="b">
        <v>0</v>
      </c>
      <c r="F24">
        <v>22</v>
      </c>
      <c r="G24">
        <v>0</v>
      </c>
      <c r="I24">
        <v>6</v>
      </c>
      <c r="J24">
        <v>7</v>
      </c>
      <c r="K24">
        <v>8</v>
      </c>
      <c r="L24">
        <v>30</v>
      </c>
      <c r="M24">
        <v>0</v>
      </c>
      <c r="P24">
        <v>6</v>
      </c>
      <c r="Q24" t="s">
        <v>47</v>
      </c>
      <c r="R24" t="s">
        <v>47</v>
      </c>
    </row>
    <row r="25" spans="1:18" x14ac:dyDescent="0.3">
      <c r="A25" t="s">
        <v>111</v>
      </c>
      <c r="B25" s="1">
        <v>45089</v>
      </c>
      <c r="C25">
        <v>60</v>
      </c>
      <c r="D25" t="s">
        <v>20</v>
      </c>
      <c r="E25" t="b">
        <v>0</v>
      </c>
      <c r="F25">
        <v>24</v>
      </c>
      <c r="G25">
        <v>1</v>
      </c>
      <c r="I25">
        <v>2</v>
      </c>
      <c r="J25">
        <v>7</v>
      </c>
      <c r="K25">
        <v>8</v>
      </c>
      <c r="L25">
        <v>30</v>
      </c>
      <c r="M25">
        <v>30</v>
      </c>
      <c r="N25" t="s">
        <v>112</v>
      </c>
      <c r="P25">
        <v>6</v>
      </c>
      <c r="Q25" t="s">
        <v>113</v>
      </c>
      <c r="R25" t="s">
        <v>73</v>
      </c>
    </row>
    <row r="26" spans="1:18" x14ac:dyDescent="0.3">
      <c r="A26" t="s">
        <v>84</v>
      </c>
      <c r="B26" s="1">
        <v>45082</v>
      </c>
      <c r="C26">
        <v>45</v>
      </c>
      <c r="D26" t="s">
        <v>13</v>
      </c>
      <c r="E26" t="b">
        <v>0</v>
      </c>
      <c r="F26">
        <v>23</v>
      </c>
      <c r="G26">
        <v>1</v>
      </c>
      <c r="I26">
        <v>2</v>
      </c>
      <c r="J26">
        <v>7</v>
      </c>
      <c r="K26">
        <v>8</v>
      </c>
      <c r="L26">
        <v>30</v>
      </c>
      <c r="M26">
        <v>15</v>
      </c>
      <c r="P26">
        <v>6</v>
      </c>
      <c r="Q26" t="s">
        <v>47</v>
      </c>
      <c r="R26" t="s">
        <v>47</v>
      </c>
    </row>
    <row r="27" spans="1:18" x14ac:dyDescent="0.3">
      <c r="A27" t="s">
        <v>118</v>
      </c>
      <c r="B27" s="1">
        <v>45091</v>
      </c>
      <c r="C27">
        <v>60</v>
      </c>
      <c r="D27" t="s">
        <v>13</v>
      </c>
      <c r="E27" t="b">
        <v>0</v>
      </c>
      <c r="F27">
        <v>24</v>
      </c>
      <c r="G27">
        <v>1</v>
      </c>
      <c r="I27">
        <v>4</v>
      </c>
      <c r="J27">
        <v>7</v>
      </c>
      <c r="K27">
        <v>8</v>
      </c>
      <c r="L27">
        <v>30</v>
      </c>
      <c r="M27">
        <v>30</v>
      </c>
      <c r="P27">
        <v>6</v>
      </c>
      <c r="R27" t="s">
        <v>47</v>
      </c>
    </row>
    <row r="28" spans="1:18" x14ac:dyDescent="0.3">
      <c r="A28" t="s">
        <v>121</v>
      </c>
      <c r="B28" s="1">
        <v>45117</v>
      </c>
      <c r="C28">
        <v>90</v>
      </c>
      <c r="D28" t="s">
        <v>13</v>
      </c>
      <c r="E28" t="b">
        <v>0</v>
      </c>
      <c r="F28">
        <v>28</v>
      </c>
      <c r="G28">
        <v>2</v>
      </c>
      <c r="I28">
        <v>2</v>
      </c>
      <c r="J28">
        <v>7</v>
      </c>
      <c r="K28">
        <v>9</v>
      </c>
      <c r="L28">
        <v>30</v>
      </c>
      <c r="M28">
        <v>0</v>
      </c>
      <c r="N28" t="s">
        <v>27</v>
      </c>
      <c r="P28">
        <v>7</v>
      </c>
      <c r="Q28" t="s">
        <v>122</v>
      </c>
      <c r="R28" t="s">
        <v>6</v>
      </c>
    </row>
    <row r="29" spans="1:18" x14ac:dyDescent="0.3">
      <c r="A29" t="s">
        <v>124</v>
      </c>
      <c r="B29" s="1">
        <v>45084</v>
      </c>
      <c r="C29">
        <v>30</v>
      </c>
      <c r="D29" t="s">
        <v>13</v>
      </c>
      <c r="E29" t="b">
        <v>0</v>
      </c>
      <c r="F29">
        <v>23</v>
      </c>
      <c r="G29">
        <v>0</v>
      </c>
      <c r="I29">
        <v>4</v>
      </c>
      <c r="J29">
        <v>7</v>
      </c>
      <c r="K29">
        <v>8</v>
      </c>
      <c r="L29">
        <v>30</v>
      </c>
      <c r="M29">
        <v>0</v>
      </c>
      <c r="N29" t="s">
        <v>21</v>
      </c>
      <c r="P29">
        <v>6</v>
      </c>
      <c r="Q29" t="s">
        <v>125</v>
      </c>
      <c r="R29" t="s">
        <v>50</v>
      </c>
    </row>
    <row r="30" spans="1:18" x14ac:dyDescent="0.3">
      <c r="A30" t="s">
        <v>164</v>
      </c>
      <c r="B30" s="1">
        <v>45086</v>
      </c>
      <c r="C30">
        <v>20</v>
      </c>
      <c r="D30" t="s">
        <v>13</v>
      </c>
      <c r="E30" t="b">
        <v>0</v>
      </c>
      <c r="F30">
        <v>23</v>
      </c>
      <c r="G30">
        <v>0</v>
      </c>
      <c r="I30">
        <v>6</v>
      </c>
      <c r="J30">
        <v>7</v>
      </c>
      <c r="K30">
        <v>8</v>
      </c>
      <c r="L30">
        <v>40</v>
      </c>
      <c r="M30">
        <v>0</v>
      </c>
      <c r="P30">
        <v>6</v>
      </c>
      <c r="Q30" t="s">
        <v>47</v>
      </c>
      <c r="R30" t="s">
        <v>47</v>
      </c>
    </row>
    <row r="31" spans="1:18" x14ac:dyDescent="0.3">
      <c r="A31" t="s">
        <v>70</v>
      </c>
      <c r="B31" s="1">
        <v>45078</v>
      </c>
      <c r="C31">
        <v>60</v>
      </c>
      <c r="D31" t="s">
        <v>20</v>
      </c>
      <c r="E31" t="b">
        <v>0</v>
      </c>
      <c r="F31">
        <v>22</v>
      </c>
      <c r="G31">
        <v>1</v>
      </c>
      <c r="I31">
        <v>5</v>
      </c>
      <c r="J31">
        <v>8</v>
      </c>
      <c r="K31">
        <v>9</v>
      </c>
      <c r="L31">
        <v>0</v>
      </c>
      <c r="M31">
        <v>0</v>
      </c>
      <c r="N31" t="s">
        <v>71</v>
      </c>
      <c r="P31">
        <v>6</v>
      </c>
      <c r="Q31" t="s">
        <v>72</v>
      </c>
      <c r="R31" t="s">
        <v>73</v>
      </c>
    </row>
    <row r="32" spans="1:18" x14ac:dyDescent="0.3">
      <c r="A32" t="s">
        <v>78</v>
      </c>
      <c r="B32" s="1">
        <v>45079</v>
      </c>
      <c r="C32">
        <v>60</v>
      </c>
      <c r="D32" t="s">
        <v>20</v>
      </c>
      <c r="E32" t="b">
        <v>0</v>
      </c>
      <c r="F32">
        <v>22</v>
      </c>
      <c r="G32">
        <v>1</v>
      </c>
      <c r="I32">
        <v>6</v>
      </c>
      <c r="J32">
        <v>8</v>
      </c>
      <c r="K32">
        <v>9</v>
      </c>
      <c r="L32">
        <v>0</v>
      </c>
      <c r="M32">
        <v>0</v>
      </c>
      <c r="N32" t="s">
        <v>79</v>
      </c>
      <c r="P32">
        <v>6</v>
      </c>
      <c r="Q32" t="s">
        <v>80</v>
      </c>
      <c r="R32" t="s">
        <v>73</v>
      </c>
    </row>
    <row r="33" spans="1:18" x14ac:dyDescent="0.3">
      <c r="A33" t="s">
        <v>142</v>
      </c>
      <c r="B33" s="1">
        <v>45084</v>
      </c>
      <c r="C33">
        <v>60</v>
      </c>
      <c r="D33" t="s">
        <v>13</v>
      </c>
      <c r="E33" t="b">
        <v>0</v>
      </c>
      <c r="F33">
        <v>23</v>
      </c>
      <c r="G33">
        <v>1</v>
      </c>
      <c r="I33">
        <v>4</v>
      </c>
      <c r="J33">
        <v>8</v>
      </c>
      <c r="K33">
        <v>9</v>
      </c>
      <c r="L33">
        <v>0</v>
      </c>
      <c r="M33">
        <v>0</v>
      </c>
      <c r="P33">
        <v>6</v>
      </c>
      <c r="Q33" t="s">
        <v>47</v>
      </c>
      <c r="R33" t="s">
        <v>47</v>
      </c>
    </row>
    <row r="34" spans="1:18" x14ac:dyDescent="0.3">
      <c r="A34" t="s">
        <v>155</v>
      </c>
      <c r="B34" s="1">
        <v>45090</v>
      </c>
      <c r="C34">
        <v>30</v>
      </c>
      <c r="D34" t="s">
        <v>13</v>
      </c>
      <c r="E34" t="b">
        <v>0</v>
      </c>
      <c r="F34">
        <v>24</v>
      </c>
      <c r="G34">
        <v>0</v>
      </c>
      <c r="I34">
        <v>3</v>
      </c>
      <c r="J34">
        <v>8</v>
      </c>
      <c r="K34">
        <v>8</v>
      </c>
      <c r="L34">
        <v>0</v>
      </c>
      <c r="M34">
        <v>30</v>
      </c>
      <c r="N34" t="s">
        <v>21</v>
      </c>
      <c r="P34">
        <v>6</v>
      </c>
      <c r="Q34" t="s">
        <v>55</v>
      </c>
      <c r="R34" t="s">
        <v>50</v>
      </c>
    </row>
    <row r="35" spans="1:18" x14ac:dyDescent="0.3">
      <c r="A35" t="s">
        <v>165</v>
      </c>
      <c r="B35" s="1">
        <v>45086</v>
      </c>
      <c r="C35">
        <v>30</v>
      </c>
      <c r="D35" t="s">
        <v>13</v>
      </c>
      <c r="E35" t="b">
        <v>0</v>
      </c>
      <c r="F35">
        <v>23</v>
      </c>
      <c r="G35">
        <v>0</v>
      </c>
      <c r="I35">
        <v>6</v>
      </c>
      <c r="J35">
        <v>8</v>
      </c>
      <c r="K35">
        <v>8</v>
      </c>
      <c r="L35">
        <v>0</v>
      </c>
      <c r="M35">
        <v>30</v>
      </c>
      <c r="P35">
        <v>6</v>
      </c>
      <c r="Q35" t="s">
        <v>47</v>
      </c>
      <c r="R35" t="s">
        <v>47</v>
      </c>
    </row>
    <row r="36" spans="1:18" x14ac:dyDescent="0.3">
      <c r="A36" t="s">
        <v>166</v>
      </c>
      <c r="B36" s="1">
        <v>45086</v>
      </c>
      <c r="C36">
        <v>20</v>
      </c>
      <c r="D36" t="s">
        <v>13</v>
      </c>
      <c r="E36" t="b">
        <v>0</v>
      </c>
      <c r="F36">
        <v>23</v>
      </c>
      <c r="G36">
        <v>0</v>
      </c>
      <c r="I36">
        <v>6</v>
      </c>
      <c r="J36">
        <v>8</v>
      </c>
      <c r="K36">
        <v>8</v>
      </c>
      <c r="L36">
        <v>30</v>
      </c>
      <c r="M36">
        <v>50</v>
      </c>
      <c r="P36">
        <v>6</v>
      </c>
      <c r="Q36" t="s">
        <v>47</v>
      </c>
      <c r="R36" t="s">
        <v>47</v>
      </c>
    </row>
    <row r="37" spans="1:18" x14ac:dyDescent="0.3">
      <c r="A37" t="s">
        <v>180</v>
      </c>
      <c r="B37" s="1">
        <v>45087</v>
      </c>
      <c r="C37">
        <v>60</v>
      </c>
      <c r="D37" t="s">
        <v>13</v>
      </c>
      <c r="E37" t="b">
        <v>0</v>
      </c>
      <c r="F37">
        <v>23</v>
      </c>
      <c r="G37">
        <v>1</v>
      </c>
      <c r="I37">
        <v>7</v>
      </c>
      <c r="J37">
        <v>8</v>
      </c>
      <c r="K37">
        <v>9</v>
      </c>
      <c r="L37">
        <v>30</v>
      </c>
      <c r="M37">
        <v>30</v>
      </c>
      <c r="P37">
        <v>6</v>
      </c>
      <c r="Q37" t="s">
        <v>47</v>
      </c>
      <c r="R37" t="s">
        <v>47</v>
      </c>
    </row>
    <row r="38" spans="1:18" x14ac:dyDescent="0.3">
      <c r="A38" t="s">
        <v>34</v>
      </c>
      <c r="B38" s="1">
        <v>45083</v>
      </c>
      <c r="C38">
        <v>60</v>
      </c>
      <c r="D38" t="s">
        <v>13</v>
      </c>
      <c r="E38" t="b">
        <v>0</v>
      </c>
      <c r="F38">
        <v>23</v>
      </c>
      <c r="G38">
        <v>1</v>
      </c>
      <c r="I38">
        <v>3</v>
      </c>
      <c r="J38">
        <v>8</v>
      </c>
      <c r="K38">
        <v>9</v>
      </c>
      <c r="L38">
        <v>45</v>
      </c>
      <c r="M38">
        <v>45</v>
      </c>
      <c r="P38">
        <v>6</v>
      </c>
      <c r="Q38" t="s">
        <v>47</v>
      </c>
      <c r="R38" t="s">
        <v>47</v>
      </c>
    </row>
    <row r="39" spans="1:18" x14ac:dyDescent="0.3">
      <c r="A39" t="s">
        <v>74</v>
      </c>
      <c r="B39" s="1">
        <v>45082</v>
      </c>
      <c r="C39">
        <v>25</v>
      </c>
      <c r="D39" t="s">
        <v>13</v>
      </c>
      <c r="E39" t="b">
        <v>0</v>
      </c>
      <c r="F39">
        <v>23</v>
      </c>
      <c r="G39">
        <v>0</v>
      </c>
      <c r="I39">
        <v>2</v>
      </c>
      <c r="J39">
        <v>9</v>
      </c>
      <c r="K39">
        <v>9</v>
      </c>
      <c r="L39">
        <v>0</v>
      </c>
      <c r="M39">
        <v>25</v>
      </c>
      <c r="P39">
        <v>6</v>
      </c>
      <c r="Q39" t="s">
        <v>75</v>
      </c>
      <c r="R39" t="s">
        <v>49</v>
      </c>
    </row>
    <row r="40" spans="1:18" x14ac:dyDescent="0.3">
      <c r="A40" t="s">
        <v>85</v>
      </c>
      <c r="B40" s="1">
        <v>45079</v>
      </c>
      <c r="C40">
        <v>30</v>
      </c>
      <c r="D40" t="s">
        <v>13</v>
      </c>
      <c r="E40" t="b">
        <v>0</v>
      </c>
      <c r="F40">
        <v>22</v>
      </c>
      <c r="G40">
        <v>0</v>
      </c>
      <c r="I40">
        <v>6</v>
      </c>
      <c r="J40">
        <v>9</v>
      </c>
      <c r="K40">
        <v>9</v>
      </c>
      <c r="L40">
        <v>0</v>
      </c>
      <c r="M40">
        <v>30</v>
      </c>
      <c r="N40" t="s">
        <v>86</v>
      </c>
      <c r="P40">
        <v>6</v>
      </c>
      <c r="Q40" t="s">
        <v>87</v>
      </c>
      <c r="R40" t="s">
        <v>73</v>
      </c>
    </row>
    <row r="41" spans="1:18" x14ac:dyDescent="0.3">
      <c r="A41" t="s">
        <v>136</v>
      </c>
      <c r="B41" s="1">
        <v>45084</v>
      </c>
      <c r="C41">
        <v>30</v>
      </c>
      <c r="D41" t="s">
        <v>13</v>
      </c>
      <c r="E41" t="b">
        <v>0</v>
      </c>
      <c r="F41">
        <v>23</v>
      </c>
      <c r="G41">
        <v>0</v>
      </c>
      <c r="I41">
        <v>4</v>
      </c>
      <c r="J41">
        <v>9</v>
      </c>
      <c r="K41">
        <v>9</v>
      </c>
      <c r="L41">
        <v>0</v>
      </c>
      <c r="M41">
        <v>30</v>
      </c>
      <c r="N41" t="s">
        <v>21</v>
      </c>
      <c r="P41">
        <v>6</v>
      </c>
      <c r="Q41" t="s">
        <v>55</v>
      </c>
      <c r="R41" t="s">
        <v>50</v>
      </c>
    </row>
    <row r="42" spans="1:18" x14ac:dyDescent="0.3">
      <c r="A42" t="s">
        <v>170</v>
      </c>
      <c r="B42" s="1">
        <v>45086</v>
      </c>
      <c r="C42">
        <v>90</v>
      </c>
      <c r="D42" t="s">
        <v>31</v>
      </c>
      <c r="E42" t="b">
        <v>0</v>
      </c>
      <c r="F42">
        <v>23</v>
      </c>
      <c r="G42">
        <v>2</v>
      </c>
      <c r="I42">
        <v>6</v>
      </c>
      <c r="J42">
        <v>9</v>
      </c>
      <c r="K42">
        <v>10</v>
      </c>
      <c r="L42">
        <v>0</v>
      </c>
      <c r="M42">
        <v>30</v>
      </c>
      <c r="P42">
        <v>6</v>
      </c>
      <c r="Q42" t="s">
        <v>47</v>
      </c>
      <c r="R42" t="s">
        <v>47</v>
      </c>
    </row>
    <row r="43" spans="1:18" x14ac:dyDescent="0.3">
      <c r="A43" t="s">
        <v>150</v>
      </c>
      <c r="B43" s="1">
        <v>45085</v>
      </c>
      <c r="C43">
        <v>40</v>
      </c>
      <c r="D43" t="s">
        <v>13</v>
      </c>
      <c r="E43" t="b">
        <v>0</v>
      </c>
      <c r="F43">
        <v>23</v>
      </c>
      <c r="G43">
        <v>1</v>
      </c>
      <c r="I43">
        <v>5</v>
      </c>
      <c r="J43">
        <v>9</v>
      </c>
      <c r="K43">
        <v>10</v>
      </c>
      <c r="L43">
        <v>20</v>
      </c>
      <c r="M43">
        <v>0</v>
      </c>
      <c r="P43">
        <v>6</v>
      </c>
      <c r="Q43" t="s">
        <v>47</v>
      </c>
      <c r="R43" t="s">
        <v>47</v>
      </c>
    </row>
    <row r="44" spans="1:18" x14ac:dyDescent="0.3">
      <c r="A44" t="s">
        <v>83</v>
      </c>
      <c r="B44" s="1">
        <v>45078</v>
      </c>
      <c r="C44">
        <v>90</v>
      </c>
      <c r="D44" t="s">
        <v>13</v>
      </c>
      <c r="E44" t="b">
        <v>0</v>
      </c>
      <c r="F44">
        <v>22</v>
      </c>
      <c r="G44">
        <v>2</v>
      </c>
      <c r="I44">
        <v>5</v>
      </c>
      <c r="J44">
        <v>9</v>
      </c>
      <c r="K44">
        <v>11</v>
      </c>
      <c r="L44">
        <v>30</v>
      </c>
      <c r="M44">
        <v>0</v>
      </c>
      <c r="P44">
        <v>6</v>
      </c>
      <c r="Q44" t="s">
        <v>47</v>
      </c>
      <c r="R44" t="s">
        <v>47</v>
      </c>
    </row>
    <row r="45" spans="1:18" x14ac:dyDescent="0.3">
      <c r="A45" t="s">
        <v>96</v>
      </c>
      <c r="B45" s="1">
        <v>45079</v>
      </c>
      <c r="C45">
        <v>30</v>
      </c>
      <c r="D45" t="s">
        <v>13</v>
      </c>
      <c r="E45" t="b">
        <v>0</v>
      </c>
      <c r="F45">
        <v>22</v>
      </c>
      <c r="G45">
        <v>0</v>
      </c>
      <c r="I45">
        <v>6</v>
      </c>
      <c r="J45">
        <v>9</v>
      </c>
      <c r="K45">
        <v>10</v>
      </c>
      <c r="L45">
        <v>30</v>
      </c>
      <c r="M45">
        <v>0</v>
      </c>
      <c r="P45">
        <v>6</v>
      </c>
      <c r="Q45" t="s">
        <v>47</v>
      </c>
      <c r="R45" t="s">
        <v>47</v>
      </c>
    </row>
    <row r="46" spans="1:18" x14ac:dyDescent="0.3">
      <c r="A46" t="s">
        <v>133</v>
      </c>
      <c r="B46" s="1">
        <v>45084</v>
      </c>
      <c r="C46">
        <v>30</v>
      </c>
      <c r="D46" t="s">
        <v>13</v>
      </c>
      <c r="E46" t="b">
        <v>0</v>
      </c>
      <c r="F46">
        <v>23</v>
      </c>
      <c r="G46">
        <v>0</v>
      </c>
      <c r="I46">
        <v>4</v>
      </c>
      <c r="J46">
        <v>9</v>
      </c>
      <c r="K46">
        <v>10</v>
      </c>
      <c r="L46">
        <v>30</v>
      </c>
      <c r="M46">
        <v>0</v>
      </c>
      <c r="N46" t="s">
        <v>134</v>
      </c>
      <c r="P46">
        <v>6</v>
      </c>
      <c r="Q46" t="s">
        <v>135</v>
      </c>
      <c r="R46" t="s">
        <v>73</v>
      </c>
    </row>
    <row r="47" spans="1:18" x14ac:dyDescent="0.3">
      <c r="A47" t="s">
        <v>175</v>
      </c>
      <c r="B47" s="1">
        <v>45089</v>
      </c>
      <c r="C47">
        <v>60</v>
      </c>
      <c r="D47" t="s">
        <v>20</v>
      </c>
      <c r="E47" t="b">
        <v>0</v>
      </c>
      <c r="F47">
        <v>24</v>
      </c>
      <c r="G47">
        <v>1</v>
      </c>
      <c r="I47">
        <v>2</v>
      </c>
      <c r="J47">
        <v>9</v>
      </c>
      <c r="K47">
        <v>10</v>
      </c>
      <c r="L47">
        <v>30</v>
      </c>
      <c r="M47">
        <v>30</v>
      </c>
      <c r="N47" t="s">
        <v>176</v>
      </c>
      <c r="P47">
        <v>6</v>
      </c>
      <c r="Q47" t="s">
        <v>177</v>
      </c>
      <c r="R47" t="s">
        <v>73</v>
      </c>
    </row>
    <row r="48" spans="1:18" x14ac:dyDescent="0.3">
      <c r="A48" t="s">
        <v>123</v>
      </c>
      <c r="B48" s="1">
        <v>45083</v>
      </c>
      <c r="C48">
        <v>45</v>
      </c>
      <c r="D48" t="s">
        <v>13</v>
      </c>
      <c r="E48" t="b">
        <v>0</v>
      </c>
      <c r="F48">
        <v>23</v>
      </c>
      <c r="G48">
        <v>1</v>
      </c>
      <c r="I48">
        <v>3</v>
      </c>
      <c r="J48">
        <v>9</v>
      </c>
      <c r="K48">
        <v>10</v>
      </c>
      <c r="L48">
        <v>45</v>
      </c>
      <c r="M48">
        <v>30</v>
      </c>
      <c r="P48">
        <v>6</v>
      </c>
      <c r="Q48" t="s">
        <v>47</v>
      </c>
      <c r="R48" t="s">
        <v>47</v>
      </c>
    </row>
    <row r="49" spans="1:18" x14ac:dyDescent="0.3">
      <c r="A49" t="s">
        <v>156</v>
      </c>
      <c r="B49" s="1">
        <v>45088</v>
      </c>
      <c r="C49">
        <v>60</v>
      </c>
      <c r="D49" t="s">
        <v>13</v>
      </c>
      <c r="E49" t="b">
        <v>0</v>
      </c>
      <c r="F49">
        <v>24</v>
      </c>
      <c r="G49">
        <v>1</v>
      </c>
      <c r="I49">
        <v>1</v>
      </c>
      <c r="J49">
        <v>10</v>
      </c>
      <c r="K49">
        <v>11</v>
      </c>
      <c r="L49">
        <v>0</v>
      </c>
      <c r="M49">
        <v>0</v>
      </c>
      <c r="N49" t="s">
        <v>171</v>
      </c>
      <c r="P49">
        <v>6</v>
      </c>
      <c r="Q49" t="s">
        <v>172</v>
      </c>
      <c r="R49" t="s">
        <v>73</v>
      </c>
    </row>
    <row r="50" spans="1:18" x14ac:dyDescent="0.3">
      <c r="A50" t="s">
        <v>96</v>
      </c>
      <c r="B50" s="1">
        <v>45079</v>
      </c>
      <c r="C50">
        <v>45</v>
      </c>
      <c r="D50" t="s">
        <v>13</v>
      </c>
      <c r="E50" t="b">
        <v>0</v>
      </c>
      <c r="F50">
        <v>22</v>
      </c>
      <c r="G50">
        <v>1</v>
      </c>
      <c r="I50">
        <v>6</v>
      </c>
      <c r="J50">
        <v>10</v>
      </c>
      <c r="K50">
        <v>11</v>
      </c>
      <c r="L50">
        <v>20</v>
      </c>
      <c r="M50">
        <v>5</v>
      </c>
      <c r="P50">
        <v>6</v>
      </c>
      <c r="Q50" t="s">
        <v>47</v>
      </c>
      <c r="R50" t="s">
        <v>47</v>
      </c>
    </row>
    <row r="51" spans="1:18" x14ac:dyDescent="0.3">
      <c r="A51" t="s">
        <v>99</v>
      </c>
      <c r="B51" s="1">
        <v>45081</v>
      </c>
      <c r="C51">
        <v>60</v>
      </c>
      <c r="D51" t="s">
        <v>13</v>
      </c>
      <c r="E51" t="b">
        <v>0</v>
      </c>
      <c r="F51">
        <v>23</v>
      </c>
      <c r="G51">
        <v>1</v>
      </c>
      <c r="I51">
        <v>1</v>
      </c>
      <c r="J51">
        <v>10</v>
      </c>
      <c r="K51">
        <v>11</v>
      </c>
      <c r="L51">
        <v>30</v>
      </c>
      <c r="M51">
        <v>30</v>
      </c>
      <c r="P51">
        <v>6</v>
      </c>
      <c r="Q51" t="s">
        <v>47</v>
      </c>
      <c r="R51" t="s">
        <v>47</v>
      </c>
    </row>
    <row r="52" spans="1:18" x14ac:dyDescent="0.3">
      <c r="A52" t="s">
        <v>145</v>
      </c>
      <c r="B52" s="1">
        <v>45085</v>
      </c>
      <c r="C52">
        <v>30</v>
      </c>
      <c r="D52" t="s">
        <v>6</v>
      </c>
      <c r="E52" t="b">
        <v>0</v>
      </c>
      <c r="F52">
        <v>23</v>
      </c>
      <c r="G52">
        <v>0</v>
      </c>
      <c r="I52">
        <v>5</v>
      </c>
      <c r="J52">
        <v>10</v>
      </c>
      <c r="K52">
        <v>11</v>
      </c>
      <c r="L52">
        <v>30</v>
      </c>
      <c r="M52">
        <v>0</v>
      </c>
      <c r="N52" t="s">
        <v>146</v>
      </c>
      <c r="P52">
        <v>6</v>
      </c>
      <c r="Q52" t="s">
        <v>147</v>
      </c>
      <c r="R52" t="s">
        <v>148</v>
      </c>
    </row>
    <row r="53" spans="1:18" x14ac:dyDescent="0.3">
      <c r="A53" t="s">
        <v>167</v>
      </c>
      <c r="B53" s="1">
        <v>45086</v>
      </c>
      <c r="C53">
        <v>45</v>
      </c>
      <c r="D53" t="s">
        <v>13</v>
      </c>
      <c r="E53" t="b">
        <v>0</v>
      </c>
      <c r="F53">
        <v>23</v>
      </c>
      <c r="G53">
        <v>1</v>
      </c>
      <c r="I53">
        <v>6</v>
      </c>
      <c r="J53">
        <v>10</v>
      </c>
      <c r="K53">
        <v>11</v>
      </c>
      <c r="L53">
        <v>30</v>
      </c>
      <c r="M53">
        <v>15</v>
      </c>
      <c r="P53">
        <v>6</v>
      </c>
      <c r="Q53" t="s">
        <v>47</v>
      </c>
      <c r="R53" t="s">
        <v>47</v>
      </c>
    </row>
    <row r="54" spans="1:18" x14ac:dyDescent="0.3">
      <c r="A54" t="s">
        <v>180</v>
      </c>
      <c r="B54" s="1">
        <v>45087</v>
      </c>
      <c r="C54">
        <v>60</v>
      </c>
      <c r="D54" t="s">
        <v>13</v>
      </c>
      <c r="E54" t="b">
        <v>0</v>
      </c>
      <c r="F54">
        <v>23</v>
      </c>
      <c r="G54">
        <v>1</v>
      </c>
      <c r="I54">
        <v>7</v>
      </c>
      <c r="J54">
        <v>10</v>
      </c>
      <c r="K54">
        <v>11</v>
      </c>
      <c r="L54">
        <v>30</v>
      </c>
      <c r="M54">
        <v>30</v>
      </c>
      <c r="P54">
        <v>6</v>
      </c>
      <c r="Q54" t="s">
        <v>47</v>
      </c>
      <c r="R54" t="s">
        <v>47</v>
      </c>
    </row>
    <row r="55" spans="1:18" x14ac:dyDescent="0.3">
      <c r="A55" t="s">
        <v>17</v>
      </c>
      <c r="B55" s="1">
        <v>45078</v>
      </c>
      <c r="C55">
        <v>30</v>
      </c>
      <c r="D55" t="s">
        <v>13</v>
      </c>
      <c r="E55" t="b">
        <v>0</v>
      </c>
      <c r="F55">
        <v>22</v>
      </c>
      <c r="G55">
        <v>0</v>
      </c>
      <c r="I55">
        <v>5</v>
      </c>
      <c r="J55">
        <v>11</v>
      </c>
      <c r="K55">
        <v>11</v>
      </c>
      <c r="L55">
        <v>0</v>
      </c>
      <c r="M55">
        <v>30</v>
      </c>
      <c r="P55">
        <v>6</v>
      </c>
      <c r="Q55" t="s">
        <v>47</v>
      </c>
      <c r="R55" t="s">
        <v>47</v>
      </c>
    </row>
    <row r="56" spans="1:18" x14ac:dyDescent="0.3">
      <c r="A56" t="s">
        <v>126</v>
      </c>
      <c r="B56" s="1">
        <v>45083</v>
      </c>
      <c r="C56">
        <v>30</v>
      </c>
      <c r="D56" t="s">
        <v>13</v>
      </c>
      <c r="E56" t="b">
        <v>0</v>
      </c>
      <c r="F56">
        <v>23</v>
      </c>
      <c r="G56">
        <v>0</v>
      </c>
      <c r="I56">
        <v>3</v>
      </c>
      <c r="J56">
        <v>11</v>
      </c>
      <c r="K56">
        <v>11</v>
      </c>
      <c r="L56">
        <v>0</v>
      </c>
      <c r="M56">
        <v>30</v>
      </c>
      <c r="P56">
        <v>6</v>
      </c>
      <c r="Q56" t="s">
        <v>47</v>
      </c>
      <c r="R56" t="s">
        <v>47</v>
      </c>
    </row>
    <row r="57" spans="1:18" x14ac:dyDescent="0.3">
      <c r="A57" t="s">
        <v>168</v>
      </c>
      <c r="B57" s="1">
        <v>45086</v>
      </c>
      <c r="C57">
        <v>15</v>
      </c>
      <c r="D57" t="s">
        <v>13</v>
      </c>
      <c r="E57" t="b">
        <v>0</v>
      </c>
      <c r="F57">
        <v>23</v>
      </c>
      <c r="G57">
        <v>0</v>
      </c>
      <c r="I57">
        <v>6</v>
      </c>
      <c r="J57">
        <v>11</v>
      </c>
      <c r="K57">
        <v>11</v>
      </c>
      <c r="L57">
        <v>0</v>
      </c>
      <c r="M57">
        <v>15</v>
      </c>
      <c r="P57">
        <v>6</v>
      </c>
      <c r="Q57" t="s">
        <v>47</v>
      </c>
      <c r="R57" t="s">
        <v>47</v>
      </c>
    </row>
    <row r="58" spans="1:18" x14ac:dyDescent="0.3">
      <c r="A58" t="s">
        <v>169</v>
      </c>
      <c r="B58" s="1">
        <v>45086</v>
      </c>
      <c r="C58">
        <v>15</v>
      </c>
      <c r="D58" t="s">
        <v>13</v>
      </c>
      <c r="E58" t="b">
        <v>0</v>
      </c>
      <c r="F58">
        <v>23</v>
      </c>
      <c r="G58">
        <v>0</v>
      </c>
      <c r="I58">
        <v>6</v>
      </c>
      <c r="J58">
        <v>11</v>
      </c>
      <c r="K58">
        <v>11</v>
      </c>
      <c r="L58">
        <v>15</v>
      </c>
      <c r="M58">
        <v>30</v>
      </c>
      <c r="P58">
        <v>6</v>
      </c>
      <c r="Q58" t="s">
        <v>47</v>
      </c>
      <c r="R58" t="s">
        <v>47</v>
      </c>
    </row>
    <row r="59" spans="1:18" x14ac:dyDescent="0.3">
      <c r="A59" t="s">
        <v>8</v>
      </c>
      <c r="B59" s="1">
        <v>45085</v>
      </c>
      <c r="C59">
        <v>30</v>
      </c>
      <c r="D59" t="s">
        <v>13</v>
      </c>
      <c r="E59" t="b">
        <v>0</v>
      </c>
      <c r="F59">
        <v>23</v>
      </c>
      <c r="G59">
        <v>0</v>
      </c>
      <c r="I59">
        <v>5</v>
      </c>
      <c r="J59">
        <v>11</v>
      </c>
      <c r="K59">
        <v>12</v>
      </c>
      <c r="L59">
        <v>30</v>
      </c>
      <c r="M59">
        <v>0</v>
      </c>
      <c r="P59">
        <v>6</v>
      </c>
      <c r="Q59" t="s">
        <v>47</v>
      </c>
      <c r="R59" t="s">
        <v>47</v>
      </c>
    </row>
    <row r="60" spans="1:18" x14ac:dyDescent="0.3">
      <c r="A60" t="s">
        <v>117</v>
      </c>
      <c r="B60" s="1">
        <v>45082</v>
      </c>
      <c r="C60">
        <v>30</v>
      </c>
      <c r="D60" t="s">
        <v>13</v>
      </c>
      <c r="E60" t="b">
        <v>0</v>
      </c>
      <c r="F60">
        <v>23</v>
      </c>
      <c r="G60">
        <v>0</v>
      </c>
      <c r="I60">
        <v>2</v>
      </c>
      <c r="J60">
        <v>11</v>
      </c>
      <c r="K60">
        <v>12</v>
      </c>
      <c r="L60">
        <v>45</v>
      </c>
      <c r="M60">
        <v>15</v>
      </c>
      <c r="P60">
        <v>6</v>
      </c>
      <c r="Q60" t="s">
        <v>47</v>
      </c>
      <c r="R60" t="s">
        <v>47</v>
      </c>
    </row>
    <row r="61" spans="1:18" x14ac:dyDescent="0.3">
      <c r="A61" t="s">
        <v>84</v>
      </c>
      <c r="B61" s="1">
        <v>45078</v>
      </c>
      <c r="C61">
        <v>30</v>
      </c>
      <c r="D61" t="s">
        <v>13</v>
      </c>
      <c r="E61" t="b">
        <v>0</v>
      </c>
      <c r="F61">
        <v>22</v>
      </c>
      <c r="G61">
        <v>0</v>
      </c>
      <c r="I61">
        <v>5</v>
      </c>
      <c r="J61">
        <v>12</v>
      </c>
      <c r="K61">
        <v>12</v>
      </c>
      <c r="L61">
        <v>0</v>
      </c>
      <c r="M61">
        <v>30</v>
      </c>
      <c r="P61">
        <v>6</v>
      </c>
      <c r="Q61" t="s">
        <v>47</v>
      </c>
      <c r="R61" t="s">
        <v>47</v>
      </c>
    </row>
    <row r="62" spans="1:18" x14ac:dyDescent="0.3">
      <c r="A62" t="s">
        <v>39</v>
      </c>
      <c r="B62" s="1">
        <v>45079</v>
      </c>
      <c r="C62">
        <v>30</v>
      </c>
      <c r="D62" t="s">
        <v>13</v>
      </c>
      <c r="E62" t="b">
        <v>0</v>
      </c>
      <c r="F62">
        <v>22</v>
      </c>
      <c r="G62">
        <v>0</v>
      </c>
      <c r="I62">
        <v>6</v>
      </c>
      <c r="J62">
        <v>12</v>
      </c>
      <c r="K62">
        <v>12</v>
      </c>
      <c r="L62">
        <v>0</v>
      </c>
      <c r="M62">
        <v>30</v>
      </c>
      <c r="P62">
        <v>6</v>
      </c>
      <c r="Q62" t="s">
        <v>47</v>
      </c>
      <c r="R62" t="s">
        <v>47</v>
      </c>
    </row>
    <row r="63" spans="1:18" x14ac:dyDescent="0.3">
      <c r="A63" t="s">
        <v>7</v>
      </c>
      <c r="B63" s="1">
        <v>45083</v>
      </c>
      <c r="C63">
        <v>30</v>
      </c>
      <c r="D63" t="s">
        <v>13</v>
      </c>
      <c r="E63" t="b">
        <v>0</v>
      </c>
      <c r="F63">
        <v>23</v>
      </c>
      <c r="G63">
        <v>0</v>
      </c>
      <c r="I63">
        <v>3</v>
      </c>
      <c r="J63">
        <v>12</v>
      </c>
      <c r="K63">
        <v>12</v>
      </c>
      <c r="L63">
        <v>0</v>
      </c>
      <c r="M63">
        <v>30</v>
      </c>
      <c r="P63">
        <v>6</v>
      </c>
      <c r="Q63" t="s">
        <v>47</v>
      </c>
      <c r="R63" t="s">
        <v>47</v>
      </c>
    </row>
    <row r="64" spans="1:18" x14ac:dyDescent="0.3">
      <c r="A64" t="s">
        <v>143</v>
      </c>
      <c r="B64" s="1">
        <v>45084</v>
      </c>
      <c r="C64">
        <v>45</v>
      </c>
      <c r="D64" t="s">
        <v>13</v>
      </c>
      <c r="E64" t="b">
        <v>0</v>
      </c>
      <c r="F64">
        <v>23</v>
      </c>
      <c r="G64">
        <v>1</v>
      </c>
      <c r="I64">
        <v>4</v>
      </c>
      <c r="J64">
        <v>12</v>
      </c>
      <c r="K64">
        <v>12</v>
      </c>
      <c r="L64">
        <v>0</v>
      </c>
      <c r="M64">
        <v>45</v>
      </c>
      <c r="P64">
        <v>6</v>
      </c>
      <c r="Q64" t="s">
        <v>47</v>
      </c>
      <c r="R64" t="s">
        <v>47</v>
      </c>
    </row>
    <row r="65" spans="1:18" x14ac:dyDescent="0.3">
      <c r="A65" t="s">
        <v>156</v>
      </c>
      <c r="B65" s="1">
        <v>45086</v>
      </c>
      <c r="C65">
        <v>60</v>
      </c>
      <c r="D65" t="s">
        <v>13</v>
      </c>
      <c r="E65" t="b">
        <v>0</v>
      </c>
      <c r="F65">
        <v>23</v>
      </c>
      <c r="G65">
        <v>1</v>
      </c>
      <c r="I65">
        <v>6</v>
      </c>
      <c r="J65">
        <v>12</v>
      </c>
      <c r="K65">
        <v>13</v>
      </c>
      <c r="L65">
        <v>0</v>
      </c>
      <c r="M65">
        <v>0</v>
      </c>
      <c r="N65" t="s">
        <v>157</v>
      </c>
      <c r="P65">
        <v>6</v>
      </c>
      <c r="Q65" t="s">
        <v>158</v>
      </c>
      <c r="R65" t="s">
        <v>73</v>
      </c>
    </row>
    <row r="66" spans="1:18" x14ac:dyDescent="0.3">
      <c r="A66" t="s">
        <v>36</v>
      </c>
      <c r="B66" s="1">
        <v>45085</v>
      </c>
      <c r="C66">
        <v>30</v>
      </c>
      <c r="D66" t="s">
        <v>13</v>
      </c>
      <c r="E66" t="b">
        <v>0</v>
      </c>
      <c r="F66">
        <v>23</v>
      </c>
      <c r="G66">
        <v>0</v>
      </c>
      <c r="I66">
        <v>5</v>
      </c>
      <c r="J66">
        <v>12</v>
      </c>
      <c r="K66">
        <v>13</v>
      </c>
      <c r="L66">
        <v>30</v>
      </c>
      <c r="M66">
        <v>0</v>
      </c>
      <c r="P66">
        <v>6</v>
      </c>
      <c r="Q66" t="s">
        <v>47</v>
      </c>
      <c r="R66" t="s">
        <v>47</v>
      </c>
    </row>
    <row r="67" spans="1:18" x14ac:dyDescent="0.3">
      <c r="A67" t="s">
        <v>114</v>
      </c>
      <c r="B67" s="1">
        <v>45082</v>
      </c>
      <c r="C67">
        <v>15</v>
      </c>
      <c r="D67" t="s">
        <v>13</v>
      </c>
      <c r="E67" t="b">
        <v>0</v>
      </c>
      <c r="F67">
        <v>23</v>
      </c>
      <c r="G67">
        <v>0</v>
      </c>
      <c r="I67">
        <v>2</v>
      </c>
      <c r="J67">
        <v>12</v>
      </c>
      <c r="K67">
        <v>13</v>
      </c>
      <c r="L67">
        <v>45</v>
      </c>
      <c r="M67">
        <v>0</v>
      </c>
      <c r="N67" t="s">
        <v>115</v>
      </c>
      <c r="P67">
        <v>6</v>
      </c>
      <c r="Q67" t="s">
        <v>116</v>
      </c>
      <c r="R67" t="s">
        <v>48</v>
      </c>
    </row>
    <row r="68" spans="1:18" x14ac:dyDescent="0.3">
      <c r="A68" t="s">
        <v>43</v>
      </c>
      <c r="B68" s="1">
        <v>45078</v>
      </c>
      <c r="C68">
        <v>60</v>
      </c>
      <c r="D68" t="s">
        <v>13</v>
      </c>
      <c r="E68" t="b">
        <v>0</v>
      </c>
      <c r="F68">
        <v>22</v>
      </c>
      <c r="G68">
        <v>1</v>
      </c>
      <c r="I68">
        <v>5</v>
      </c>
      <c r="J68">
        <v>13</v>
      </c>
      <c r="K68">
        <v>14</v>
      </c>
      <c r="L68">
        <v>0</v>
      </c>
      <c r="M68">
        <v>0</v>
      </c>
      <c r="P68">
        <v>6</v>
      </c>
      <c r="Q68" t="s">
        <v>47</v>
      </c>
      <c r="R68" t="s">
        <v>47</v>
      </c>
    </row>
    <row r="69" spans="1:18" x14ac:dyDescent="0.3">
      <c r="A69" t="s">
        <v>99</v>
      </c>
      <c r="B69" s="1">
        <v>45081</v>
      </c>
      <c r="C69">
        <v>30</v>
      </c>
      <c r="D69" t="s">
        <v>13</v>
      </c>
      <c r="E69" t="b">
        <v>0</v>
      </c>
      <c r="F69">
        <v>23</v>
      </c>
      <c r="G69">
        <v>0</v>
      </c>
      <c r="I69">
        <v>1</v>
      </c>
      <c r="J69">
        <v>13</v>
      </c>
      <c r="K69">
        <v>13</v>
      </c>
      <c r="L69">
        <v>0</v>
      </c>
      <c r="M69">
        <v>30</v>
      </c>
      <c r="P69">
        <v>6</v>
      </c>
      <c r="Q69" t="s">
        <v>47</v>
      </c>
      <c r="R69" t="s">
        <v>47</v>
      </c>
    </row>
    <row r="70" spans="1:18" x14ac:dyDescent="0.3">
      <c r="A70" t="s">
        <v>127</v>
      </c>
      <c r="B70" s="1">
        <v>45083</v>
      </c>
      <c r="C70">
        <v>30</v>
      </c>
      <c r="D70" t="s">
        <v>109</v>
      </c>
      <c r="E70" t="b">
        <v>0</v>
      </c>
      <c r="F70">
        <v>23</v>
      </c>
      <c r="G70">
        <v>0</v>
      </c>
      <c r="H70">
        <v>4047601030</v>
      </c>
      <c r="I70">
        <v>3</v>
      </c>
      <c r="J70">
        <v>13</v>
      </c>
      <c r="K70">
        <v>13</v>
      </c>
      <c r="L70">
        <v>0</v>
      </c>
      <c r="M70">
        <v>30</v>
      </c>
      <c r="N70" t="s">
        <v>128</v>
      </c>
      <c r="P70">
        <v>6</v>
      </c>
      <c r="Q70" t="s">
        <v>47</v>
      </c>
      <c r="R70" t="s">
        <v>47</v>
      </c>
    </row>
    <row r="71" spans="1:18" x14ac:dyDescent="0.3">
      <c r="A71" t="s">
        <v>24</v>
      </c>
      <c r="B71" s="1">
        <v>45125</v>
      </c>
      <c r="C71">
        <v>30</v>
      </c>
      <c r="D71" t="s">
        <v>13</v>
      </c>
      <c r="E71" t="b">
        <v>0</v>
      </c>
      <c r="F71">
        <v>29</v>
      </c>
      <c r="G71">
        <v>0</v>
      </c>
      <c r="I71">
        <v>3</v>
      </c>
      <c r="J71">
        <v>13</v>
      </c>
      <c r="K71">
        <v>13</v>
      </c>
      <c r="L71">
        <v>0</v>
      </c>
      <c r="M71">
        <v>30</v>
      </c>
      <c r="P71">
        <v>7</v>
      </c>
      <c r="Q71" t="s">
        <v>47</v>
      </c>
      <c r="R71" t="s">
        <v>47</v>
      </c>
    </row>
    <row r="72" spans="1:18" x14ac:dyDescent="0.3">
      <c r="A72" t="s">
        <v>139</v>
      </c>
      <c r="B72" s="1">
        <v>45084</v>
      </c>
      <c r="C72">
        <v>30</v>
      </c>
      <c r="D72" t="s">
        <v>13</v>
      </c>
      <c r="E72" t="b">
        <v>0</v>
      </c>
      <c r="F72">
        <v>23</v>
      </c>
      <c r="G72">
        <v>0</v>
      </c>
      <c r="I72">
        <v>4</v>
      </c>
      <c r="J72">
        <v>13</v>
      </c>
      <c r="K72">
        <v>13</v>
      </c>
      <c r="L72">
        <v>0</v>
      </c>
      <c r="M72">
        <v>30</v>
      </c>
      <c r="P72">
        <v>6</v>
      </c>
      <c r="Q72" t="s">
        <v>47</v>
      </c>
      <c r="R72" t="s">
        <v>47</v>
      </c>
    </row>
    <row r="73" spans="1:18" x14ac:dyDescent="0.3">
      <c r="A73" t="s">
        <v>152</v>
      </c>
      <c r="B73" s="1">
        <v>45085</v>
      </c>
      <c r="C73">
        <v>30</v>
      </c>
      <c r="D73" t="s">
        <v>13</v>
      </c>
      <c r="E73" t="b">
        <v>0</v>
      </c>
      <c r="F73">
        <v>23</v>
      </c>
      <c r="G73">
        <v>0</v>
      </c>
      <c r="I73">
        <v>5</v>
      </c>
      <c r="J73">
        <v>13</v>
      </c>
      <c r="K73">
        <v>13</v>
      </c>
      <c r="L73">
        <v>0</v>
      </c>
      <c r="M73">
        <v>30</v>
      </c>
      <c r="P73">
        <v>6</v>
      </c>
      <c r="Q73" t="s">
        <v>47</v>
      </c>
      <c r="R73" t="s">
        <v>47</v>
      </c>
    </row>
    <row r="74" spans="1:18" x14ac:dyDescent="0.3">
      <c r="A74" t="s">
        <v>23</v>
      </c>
      <c r="B74" s="1">
        <v>45086</v>
      </c>
      <c r="C74">
        <v>30</v>
      </c>
      <c r="D74" t="s">
        <v>13</v>
      </c>
      <c r="E74" t="b">
        <v>0</v>
      </c>
      <c r="F74">
        <v>23</v>
      </c>
      <c r="G74">
        <v>0</v>
      </c>
      <c r="I74">
        <v>6</v>
      </c>
      <c r="J74">
        <v>13</v>
      </c>
      <c r="K74">
        <v>13</v>
      </c>
      <c r="L74">
        <v>0</v>
      </c>
      <c r="M74">
        <v>30</v>
      </c>
      <c r="P74">
        <v>6</v>
      </c>
      <c r="Q74" t="s">
        <v>47</v>
      </c>
      <c r="R74" t="s">
        <v>47</v>
      </c>
    </row>
    <row r="75" spans="1:18" x14ac:dyDescent="0.3">
      <c r="A75" t="s">
        <v>97</v>
      </c>
      <c r="B75" s="1">
        <v>45079</v>
      </c>
      <c r="C75">
        <v>30</v>
      </c>
      <c r="D75" t="s">
        <v>13</v>
      </c>
      <c r="E75" t="b">
        <v>0</v>
      </c>
      <c r="F75">
        <v>22</v>
      </c>
      <c r="G75">
        <v>0</v>
      </c>
      <c r="I75">
        <v>6</v>
      </c>
      <c r="J75">
        <v>13</v>
      </c>
      <c r="K75">
        <v>13</v>
      </c>
      <c r="L75">
        <v>15</v>
      </c>
      <c r="M75">
        <v>45</v>
      </c>
      <c r="P75">
        <v>6</v>
      </c>
      <c r="Q75" t="s">
        <v>47</v>
      </c>
      <c r="R75" t="s">
        <v>47</v>
      </c>
    </row>
    <row r="76" spans="1:18" x14ac:dyDescent="0.3">
      <c r="A76" t="s">
        <v>7</v>
      </c>
      <c r="B76" s="1">
        <v>45079</v>
      </c>
      <c r="C76">
        <v>20</v>
      </c>
      <c r="D76" t="s">
        <v>13</v>
      </c>
      <c r="E76" t="b">
        <v>0</v>
      </c>
      <c r="F76">
        <v>22</v>
      </c>
      <c r="G76">
        <v>0</v>
      </c>
      <c r="I76">
        <v>6</v>
      </c>
      <c r="J76">
        <v>13</v>
      </c>
      <c r="K76">
        <v>13</v>
      </c>
      <c r="L76">
        <v>30</v>
      </c>
      <c r="M76">
        <v>50</v>
      </c>
      <c r="P76">
        <v>6</v>
      </c>
      <c r="Q76" t="s">
        <v>47</v>
      </c>
      <c r="R76" t="s">
        <v>47</v>
      </c>
    </row>
    <row r="77" spans="1:18" x14ac:dyDescent="0.3">
      <c r="A77" t="s">
        <v>8</v>
      </c>
      <c r="B77" s="1">
        <v>45082</v>
      </c>
      <c r="C77">
        <v>30</v>
      </c>
      <c r="D77" t="s">
        <v>13</v>
      </c>
      <c r="E77" t="b">
        <v>0</v>
      </c>
      <c r="F77">
        <v>23</v>
      </c>
      <c r="G77">
        <v>0</v>
      </c>
      <c r="I77">
        <v>2</v>
      </c>
      <c r="J77">
        <v>13</v>
      </c>
      <c r="K77">
        <v>14</v>
      </c>
      <c r="L77">
        <v>30</v>
      </c>
      <c r="M77">
        <v>0</v>
      </c>
      <c r="P77">
        <v>6</v>
      </c>
      <c r="Q77" t="s">
        <v>47</v>
      </c>
      <c r="R77" t="s">
        <v>47</v>
      </c>
    </row>
    <row r="78" spans="1:18" x14ac:dyDescent="0.3">
      <c r="A78" t="s">
        <v>129</v>
      </c>
      <c r="B78" s="1">
        <v>45083</v>
      </c>
      <c r="C78">
        <v>30</v>
      </c>
      <c r="D78" t="s">
        <v>109</v>
      </c>
      <c r="E78" t="b">
        <v>0</v>
      </c>
      <c r="F78">
        <v>23</v>
      </c>
      <c r="G78">
        <v>0</v>
      </c>
      <c r="H78">
        <v>4047601030</v>
      </c>
      <c r="I78">
        <v>3</v>
      </c>
      <c r="J78">
        <v>13</v>
      </c>
      <c r="K78">
        <v>14</v>
      </c>
      <c r="L78">
        <v>30</v>
      </c>
      <c r="M78">
        <v>0</v>
      </c>
      <c r="N78" t="s">
        <v>128</v>
      </c>
      <c r="P78">
        <v>6</v>
      </c>
      <c r="Q78" t="s">
        <v>47</v>
      </c>
      <c r="R78" t="s">
        <v>47</v>
      </c>
    </row>
    <row r="79" spans="1:18" x14ac:dyDescent="0.3">
      <c r="A79" t="s">
        <v>104</v>
      </c>
      <c r="B79" s="1">
        <v>45080</v>
      </c>
      <c r="C79">
        <v>75</v>
      </c>
      <c r="D79" t="s">
        <v>13</v>
      </c>
      <c r="E79" t="b">
        <v>0</v>
      </c>
      <c r="F79">
        <v>22</v>
      </c>
      <c r="G79">
        <v>1</v>
      </c>
      <c r="I79">
        <v>7</v>
      </c>
      <c r="J79">
        <v>14</v>
      </c>
      <c r="K79">
        <v>15</v>
      </c>
      <c r="L79">
        <v>0</v>
      </c>
      <c r="M79">
        <v>15</v>
      </c>
      <c r="P79">
        <v>6</v>
      </c>
      <c r="Q79" t="s">
        <v>47</v>
      </c>
      <c r="R79" t="s">
        <v>47</v>
      </c>
    </row>
    <row r="80" spans="1:18" x14ac:dyDescent="0.3">
      <c r="A80" t="s">
        <v>42</v>
      </c>
      <c r="B80" s="1">
        <v>45082</v>
      </c>
      <c r="C80">
        <v>60</v>
      </c>
      <c r="D80" t="s">
        <v>109</v>
      </c>
      <c r="E80" t="b">
        <v>0</v>
      </c>
      <c r="F80">
        <v>23</v>
      </c>
      <c r="G80">
        <v>1</v>
      </c>
      <c r="H80">
        <v>4587887220</v>
      </c>
      <c r="I80">
        <v>2</v>
      </c>
      <c r="J80">
        <v>14</v>
      </c>
      <c r="K80">
        <v>15</v>
      </c>
      <c r="L80">
        <v>0</v>
      </c>
      <c r="M80">
        <v>0</v>
      </c>
      <c r="N80" t="s">
        <v>110</v>
      </c>
      <c r="P80">
        <v>6</v>
      </c>
      <c r="Q80" t="s">
        <v>47</v>
      </c>
      <c r="R80" t="s">
        <v>47</v>
      </c>
    </row>
    <row r="81" spans="1:18" x14ac:dyDescent="0.3">
      <c r="A81" t="s">
        <v>144</v>
      </c>
      <c r="B81" s="1">
        <v>45084</v>
      </c>
      <c r="C81">
        <v>15</v>
      </c>
      <c r="D81" t="s">
        <v>13</v>
      </c>
      <c r="E81" t="b">
        <v>0</v>
      </c>
      <c r="F81">
        <v>23</v>
      </c>
      <c r="G81">
        <v>0</v>
      </c>
      <c r="I81">
        <v>4</v>
      </c>
      <c r="J81">
        <v>14</v>
      </c>
      <c r="K81">
        <v>14</v>
      </c>
      <c r="L81">
        <v>0</v>
      </c>
      <c r="M81">
        <v>15</v>
      </c>
      <c r="P81">
        <v>6</v>
      </c>
      <c r="Q81" t="s">
        <v>47</v>
      </c>
      <c r="R81" t="s">
        <v>47</v>
      </c>
    </row>
    <row r="82" spans="1:18" x14ac:dyDescent="0.3">
      <c r="A82" t="s">
        <v>99</v>
      </c>
      <c r="B82" s="1">
        <v>45085</v>
      </c>
      <c r="C82">
        <v>30</v>
      </c>
      <c r="D82" t="s">
        <v>13</v>
      </c>
      <c r="E82" t="b">
        <v>0</v>
      </c>
      <c r="F82">
        <v>23</v>
      </c>
      <c r="G82">
        <v>0</v>
      </c>
      <c r="I82">
        <v>5</v>
      </c>
      <c r="J82">
        <v>14</v>
      </c>
      <c r="K82">
        <v>14</v>
      </c>
      <c r="L82">
        <v>0</v>
      </c>
      <c r="M82">
        <v>30</v>
      </c>
      <c r="P82">
        <v>6</v>
      </c>
      <c r="Q82" t="s">
        <v>47</v>
      </c>
      <c r="R82" t="s">
        <v>47</v>
      </c>
    </row>
    <row r="83" spans="1:18" x14ac:dyDescent="0.3">
      <c r="A83" t="s">
        <v>173</v>
      </c>
      <c r="B83" s="1">
        <v>45086</v>
      </c>
      <c r="C83">
        <v>50</v>
      </c>
      <c r="D83" t="s">
        <v>13</v>
      </c>
      <c r="E83" t="b">
        <v>0</v>
      </c>
      <c r="F83">
        <v>23</v>
      </c>
      <c r="G83">
        <v>1</v>
      </c>
      <c r="I83">
        <v>6</v>
      </c>
      <c r="J83">
        <v>14</v>
      </c>
      <c r="K83">
        <v>14</v>
      </c>
      <c r="L83">
        <v>0</v>
      </c>
      <c r="M83">
        <v>50</v>
      </c>
      <c r="P83">
        <v>6</v>
      </c>
      <c r="Q83" t="s">
        <v>47</v>
      </c>
      <c r="R83" t="s">
        <v>47</v>
      </c>
    </row>
    <row r="84" spans="1:18" x14ac:dyDescent="0.3">
      <c r="A84" t="s">
        <v>98</v>
      </c>
      <c r="B84" s="1">
        <v>45079</v>
      </c>
      <c r="C84">
        <v>25</v>
      </c>
      <c r="D84" t="s">
        <v>13</v>
      </c>
      <c r="E84" t="b">
        <v>0</v>
      </c>
      <c r="F84">
        <v>22</v>
      </c>
      <c r="G84">
        <v>0</v>
      </c>
      <c r="I84">
        <v>6</v>
      </c>
      <c r="J84">
        <v>14</v>
      </c>
      <c r="K84">
        <v>14</v>
      </c>
      <c r="L84">
        <v>20</v>
      </c>
      <c r="M84">
        <v>45</v>
      </c>
      <c r="P84">
        <v>6</v>
      </c>
      <c r="Q84" t="s">
        <v>47</v>
      </c>
      <c r="R84" t="s">
        <v>47</v>
      </c>
    </row>
    <row r="85" spans="1:18" x14ac:dyDescent="0.3">
      <c r="A85" t="s">
        <v>99</v>
      </c>
      <c r="B85" s="1">
        <v>45081</v>
      </c>
      <c r="C85">
        <v>75</v>
      </c>
      <c r="D85" t="s">
        <v>13</v>
      </c>
      <c r="E85" t="b">
        <v>0</v>
      </c>
      <c r="F85">
        <v>23</v>
      </c>
      <c r="G85">
        <v>1</v>
      </c>
      <c r="I85">
        <v>1</v>
      </c>
      <c r="J85">
        <v>14</v>
      </c>
      <c r="K85">
        <v>15</v>
      </c>
      <c r="L85">
        <v>30</v>
      </c>
      <c r="M85">
        <v>45</v>
      </c>
      <c r="P85">
        <v>6</v>
      </c>
      <c r="Q85" t="s">
        <v>47</v>
      </c>
      <c r="R85" t="s">
        <v>47</v>
      </c>
    </row>
    <row r="86" spans="1:18" x14ac:dyDescent="0.3">
      <c r="A86" t="s">
        <v>24</v>
      </c>
      <c r="B86" s="1">
        <v>45083</v>
      </c>
      <c r="C86">
        <v>45</v>
      </c>
      <c r="D86" t="s">
        <v>13</v>
      </c>
      <c r="E86" t="b">
        <v>0</v>
      </c>
      <c r="F86">
        <v>23</v>
      </c>
      <c r="G86">
        <v>1</v>
      </c>
      <c r="I86">
        <v>3</v>
      </c>
      <c r="J86">
        <v>15</v>
      </c>
      <c r="K86">
        <v>15</v>
      </c>
      <c r="L86">
        <v>0</v>
      </c>
      <c r="M86">
        <v>45</v>
      </c>
      <c r="P86">
        <v>6</v>
      </c>
      <c r="Q86" t="s">
        <v>47</v>
      </c>
      <c r="R86" t="s">
        <v>47</v>
      </c>
    </row>
    <row r="87" spans="1:18" x14ac:dyDescent="0.3">
      <c r="A87" t="s">
        <v>88</v>
      </c>
      <c r="B87" s="1">
        <v>45078</v>
      </c>
      <c r="C87">
        <v>30</v>
      </c>
      <c r="D87" t="s">
        <v>13</v>
      </c>
      <c r="E87" t="b">
        <v>0</v>
      </c>
      <c r="F87">
        <v>22</v>
      </c>
      <c r="G87">
        <v>0</v>
      </c>
      <c r="I87">
        <v>5</v>
      </c>
      <c r="J87">
        <v>15</v>
      </c>
      <c r="K87">
        <v>15</v>
      </c>
      <c r="L87">
        <v>0</v>
      </c>
      <c r="M87">
        <v>30</v>
      </c>
      <c r="N87" t="s">
        <v>5</v>
      </c>
      <c r="P87">
        <v>6</v>
      </c>
      <c r="Q87" t="s">
        <v>89</v>
      </c>
      <c r="R87" t="s">
        <v>73</v>
      </c>
    </row>
    <row r="88" spans="1:18" x14ac:dyDescent="0.3">
      <c r="A88" t="s">
        <v>144</v>
      </c>
      <c r="B88" s="1">
        <v>45084</v>
      </c>
      <c r="C88">
        <v>45</v>
      </c>
      <c r="D88" t="s">
        <v>13</v>
      </c>
      <c r="E88" t="b">
        <v>0</v>
      </c>
      <c r="F88">
        <v>23</v>
      </c>
      <c r="G88">
        <v>1</v>
      </c>
      <c r="I88">
        <v>4</v>
      </c>
      <c r="J88">
        <v>15</v>
      </c>
      <c r="K88">
        <v>16</v>
      </c>
      <c r="L88">
        <v>15</v>
      </c>
      <c r="M88">
        <v>0</v>
      </c>
      <c r="P88">
        <v>6</v>
      </c>
      <c r="Q88" t="s">
        <v>47</v>
      </c>
      <c r="R88" t="s">
        <v>47</v>
      </c>
    </row>
    <row r="89" spans="1:18" x14ac:dyDescent="0.3">
      <c r="A89" t="s">
        <v>42</v>
      </c>
      <c r="B89" s="1">
        <v>45082</v>
      </c>
      <c r="C89">
        <v>90</v>
      </c>
      <c r="D89" t="s">
        <v>109</v>
      </c>
      <c r="E89" t="b">
        <v>0</v>
      </c>
      <c r="F89">
        <v>23</v>
      </c>
      <c r="G89">
        <v>2</v>
      </c>
      <c r="H89">
        <v>4587887220</v>
      </c>
      <c r="I89">
        <v>2</v>
      </c>
      <c r="J89">
        <v>15</v>
      </c>
      <c r="K89">
        <v>17</v>
      </c>
      <c r="L89">
        <v>30</v>
      </c>
      <c r="M89">
        <v>0</v>
      </c>
      <c r="N89" t="s">
        <v>110</v>
      </c>
      <c r="P89">
        <v>6</v>
      </c>
      <c r="Q89" t="s">
        <v>47</v>
      </c>
      <c r="R89" t="s">
        <v>47</v>
      </c>
    </row>
    <row r="90" spans="1:18" x14ac:dyDescent="0.3">
      <c r="A90" t="s">
        <v>7</v>
      </c>
      <c r="B90" s="1">
        <v>45085</v>
      </c>
      <c r="C90">
        <v>30</v>
      </c>
      <c r="D90" t="s">
        <v>13</v>
      </c>
      <c r="E90" t="b">
        <v>0</v>
      </c>
      <c r="F90">
        <v>23</v>
      </c>
      <c r="G90">
        <v>0</v>
      </c>
      <c r="I90">
        <v>5</v>
      </c>
      <c r="J90">
        <v>15</v>
      </c>
      <c r="K90">
        <v>16</v>
      </c>
      <c r="L90">
        <v>30</v>
      </c>
      <c r="M90">
        <v>0</v>
      </c>
      <c r="P90">
        <v>6</v>
      </c>
      <c r="Q90" t="s">
        <v>47</v>
      </c>
      <c r="R90" t="s">
        <v>47</v>
      </c>
    </row>
    <row r="91" spans="1:18" x14ac:dyDescent="0.3">
      <c r="A91" t="s">
        <v>174</v>
      </c>
      <c r="B91" s="1">
        <v>45086</v>
      </c>
      <c r="C91">
        <v>30</v>
      </c>
      <c r="D91" t="s">
        <v>13</v>
      </c>
      <c r="E91" t="b">
        <v>0</v>
      </c>
      <c r="F91">
        <v>23</v>
      </c>
      <c r="G91">
        <v>0</v>
      </c>
      <c r="I91">
        <v>6</v>
      </c>
      <c r="J91">
        <v>15</v>
      </c>
      <c r="K91">
        <v>16</v>
      </c>
      <c r="L91">
        <v>30</v>
      </c>
      <c r="M91">
        <v>0</v>
      </c>
      <c r="P91">
        <v>6</v>
      </c>
      <c r="Q91" t="s">
        <v>47</v>
      </c>
      <c r="R91" t="s">
        <v>47</v>
      </c>
    </row>
    <row r="92" spans="1:18" x14ac:dyDescent="0.3">
      <c r="A92" t="s">
        <v>130</v>
      </c>
      <c r="B92" s="1">
        <v>45083</v>
      </c>
      <c r="C92">
        <v>30</v>
      </c>
      <c r="D92" t="s">
        <v>13</v>
      </c>
      <c r="E92" t="b">
        <v>0</v>
      </c>
      <c r="F92">
        <v>23</v>
      </c>
      <c r="G92">
        <v>0</v>
      </c>
      <c r="I92">
        <v>3</v>
      </c>
      <c r="J92">
        <v>15</v>
      </c>
      <c r="K92">
        <v>16</v>
      </c>
      <c r="L92">
        <v>45</v>
      </c>
      <c r="M92">
        <v>15</v>
      </c>
      <c r="P92">
        <v>6</v>
      </c>
      <c r="Q92" t="s">
        <v>47</v>
      </c>
      <c r="R92" t="s">
        <v>47</v>
      </c>
    </row>
    <row r="93" spans="1:18" x14ac:dyDescent="0.3">
      <c r="A93" t="s">
        <v>84</v>
      </c>
      <c r="B93" s="1">
        <v>45078</v>
      </c>
      <c r="C93">
        <v>15</v>
      </c>
      <c r="D93" t="s">
        <v>13</v>
      </c>
      <c r="E93" t="b">
        <v>0</v>
      </c>
      <c r="F93">
        <v>22</v>
      </c>
      <c r="G93">
        <v>0</v>
      </c>
      <c r="I93">
        <v>5</v>
      </c>
      <c r="J93">
        <v>16</v>
      </c>
      <c r="K93">
        <v>16</v>
      </c>
      <c r="L93">
        <v>0</v>
      </c>
      <c r="M93">
        <v>15</v>
      </c>
      <c r="P93">
        <v>6</v>
      </c>
      <c r="Q93" t="s">
        <v>47</v>
      </c>
      <c r="R93" t="s">
        <v>47</v>
      </c>
    </row>
    <row r="94" spans="1:18" x14ac:dyDescent="0.3">
      <c r="A94" t="s">
        <v>99</v>
      </c>
      <c r="B94" s="1">
        <v>45079</v>
      </c>
      <c r="C94">
        <v>30</v>
      </c>
      <c r="D94" t="s">
        <v>13</v>
      </c>
      <c r="E94" t="b">
        <v>0</v>
      </c>
      <c r="F94">
        <v>22</v>
      </c>
      <c r="G94">
        <v>0</v>
      </c>
      <c r="I94">
        <v>6</v>
      </c>
      <c r="J94">
        <v>16</v>
      </c>
      <c r="K94">
        <v>16</v>
      </c>
      <c r="L94">
        <v>0</v>
      </c>
      <c r="M94">
        <v>30</v>
      </c>
      <c r="P94">
        <v>6</v>
      </c>
      <c r="Q94" t="s">
        <v>47</v>
      </c>
      <c r="R94" t="s">
        <v>47</v>
      </c>
    </row>
    <row r="95" spans="1:18" x14ac:dyDescent="0.3">
      <c r="A95" t="s">
        <v>178</v>
      </c>
      <c r="B95" s="1">
        <v>45086</v>
      </c>
      <c r="C95">
        <v>30</v>
      </c>
      <c r="D95" t="s">
        <v>13</v>
      </c>
      <c r="E95" t="b">
        <v>0</v>
      </c>
      <c r="F95">
        <v>23</v>
      </c>
      <c r="G95">
        <v>0</v>
      </c>
      <c r="I95">
        <v>6</v>
      </c>
      <c r="J95">
        <v>16</v>
      </c>
      <c r="K95">
        <v>16</v>
      </c>
      <c r="L95">
        <v>0</v>
      </c>
      <c r="M95">
        <v>30</v>
      </c>
      <c r="P95">
        <v>6</v>
      </c>
      <c r="Q95" t="s">
        <v>47</v>
      </c>
      <c r="R95" t="s">
        <v>47</v>
      </c>
    </row>
    <row r="96" spans="1:18" x14ac:dyDescent="0.3">
      <c r="A96" t="s">
        <v>144</v>
      </c>
      <c r="B96" s="1">
        <v>45084</v>
      </c>
      <c r="C96">
        <v>45</v>
      </c>
      <c r="D96" t="s">
        <v>13</v>
      </c>
      <c r="E96" t="b">
        <v>0</v>
      </c>
      <c r="F96">
        <v>23</v>
      </c>
      <c r="G96">
        <v>1</v>
      </c>
      <c r="I96">
        <v>4</v>
      </c>
      <c r="J96">
        <v>16</v>
      </c>
      <c r="K96">
        <v>17</v>
      </c>
      <c r="L96">
        <v>15</v>
      </c>
      <c r="M96">
        <v>0</v>
      </c>
      <c r="P96">
        <v>6</v>
      </c>
      <c r="Q96" t="s">
        <v>47</v>
      </c>
      <c r="R96" t="s">
        <v>47</v>
      </c>
    </row>
    <row r="97" spans="1:18" x14ac:dyDescent="0.3">
      <c r="A97" t="s">
        <v>90</v>
      </c>
      <c r="B97" s="1">
        <v>45078</v>
      </c>
      <c r="C97">
        <v>60</v>
      </c>
      <c r="D97" t="s">
        <v>13</v>
      </c>
      <c r="E97" t="b">
        <v>0</v>
      </c>
      <c r="F97">
        <v>22</v>
      </c>
      <c r="G97">
        <v>1</v>
      </c>
      <c r="I97">
        <v>5</v>
      </c>
      <c r="J97">
        <v>16</v>
      </c>
      <c r="K97">
        <v>17</v>
      </c>
      <c r="L97">
        <v>30</v>
      </c>
      <c r="M97">
        <v>30</v>
      </c>
      <c r="P97">
        <v>6</v>
      </c>
      <c r="Q97" t="s">
        <v>47</v>
      </c>
      <c r="R97" t="s">
        <v>47</v>
      </c>
    </row>
    <row r="98" spans="1:18" x14ac:dyDescent="0.3">
      <c r="A98" t="s">
        <v>104</v>
      </c>
      <c r="B98" s="1">
        <v>45080</v>
      </c>
      <c r="C98">
        <v>80</v>
      </c>
      <c r="D98" t="s">
        <v>13</v>
      </c>
      <c r="E98" t="b">
        <v>0</v>
      </c>
      <c r="F98">
        <v>22</v>
      </c>
      <c r="G98">
        <v>1</v>
      </c>
      <c r="I98">
        <v>7</v>
      </c>
      <c r="J98">
        <v>16</v>
      </c>
      <c r="K98">
        <v>17</v>
      </c>
      <c r="L98">
        <v>30</v>
      </c>
      <c r="M98">
        <v>50</v>
      </c>
      <c r="P98">
        <v>6</v>
      </c>
      <c r="Q98" t="s">
        <v>47</v>
      </c>
      <c r="R98" t="s">
        <v>47</v>
      </c>
    </row>
    <row r="99" spans="1:18" x14ac:dyDescent="0.3">
      <c r="A99" t="s">
        <v>131</v>
      </c>
      <c r="B99" s="1">
        <v>45083</v>
      </c>
      <c r="C99">
        <v>20</v>
      </c>
      <c r="D99" t="s">
        <v>6</v>
      </c>
      <c r="E99" t="b">
        <v>0</v>
      </c>
      <c r="F99">
        <v>23</v>
      </c>
      <c r="G99">
        <v>0</v>
      </c>
      <c r="H99">
        <v>4587848876</v>
      </c>
      <c r="I99">
        <v>3</v>
      </c>
      <c r="J99">
        <v>16</v>
      </c>
      <c r="K99">
        <v>16</v>
      </c>
      <c r="L99">
        <v>30</v>
      </c>
      <c r="M99">
        <v>50</v>
      </c>
      <c r="N99" t="s">
        <v>132</v>
      </c>
      <c r="P99">
        <v>6</v>
      </c>
      <c r="Q99" t="s">
        <v>47</v>
      </c>
      <c r="R99" t="s">
        <v>47</v>
      </c>
    </row>
    <row r="100" spans="1:18" x14ac:dyDescent="0.3">
      <c r="A100" t="s">
        <v>9</v>
      </c>
      <c r="B100" s="1">
        <v>45086</v>
      </c>
      <c r="C100">
        <v>45</v>
      </c>
      <c r="D100" t="s">
        <v>13</v>
      </c>
      <c r="E100" t="b">
        <v>0</v>
      </c>
      <c r="F100">
        <v>23</v>
      </c>
      <c r="G100">
        <v>1</v>
      </c>
      <c r="I100">
        <v>6</v>
      </c>
      <c r="J100">
        <v>16</v>
      </c>
      <c r="K100">
        <v>17</v>
      </c>
      <c r="L100">
        <v>30</v>
      </c>
      <c r="M100">
        <v>15</v>
      </c>
      <c r="P100">
        <v>6</v>
      </c>
      <c r="Q100" t="s">
        <v>47</v>
      </c>
      <c r="R100" t="s">
        <v>47</v>
      </c>
    </row>
    <row r="101" spans="1:18" x14ac:dyDescent="0.3">
      <c r="A101" t="s">
        <v>8</v>
      </c>
      <c r="B101" s="1">
        <v>45085</v>
      </c>
      <c r="C101">
        <v>55</v>
      </c>
      <c r="D101" t="s">
        <v>13</v>
      </c>
      <c r="E101" t="b">
        <v>0</v>
      </c>
      <c r="F101">
        <v>23</v>
      </c>
      <c r="G101">
        <v>1</v>
      </c>
      <c r="I101">
        <v>5</v>
      </c>
      <c r="J101">
        <v>16</v>
      </c>
      <c r="K101">
        <v>17</v>
      </c>
      <c r="L101">
        <v>45</v>
      </c>
      <c r="M101">
        <v>40</v>
      </c>
      <c r="P101">
        <v>6</v>
      </c>
      <c r="Q101" t="s">
        <v>47</v>
      </c>
      <c r="R101" t="s">
        <v>47</v>
      </c>
    </row>
    <row r="102" spans="1:18" x14ac:dyDescent="0.3">
      <c r="A102" t="s">
        <v>99</v>
      </c>
      <c r="B102" s="1">
        <v>45079</v>
      </c>
      <c r="C102">
        <v>30</v>
      </c>
      <c r="D102" t="s">
        <v>13</v>
      </c>
      <c r="E102" t="b">
        <v>0</v>
      </c>
      <c r="F102">
        <v>22</v>
      </c>
      <c r="G102">
        <v>0</v>
      </c>
      <c r="I102">
        <v>6</v>
      </c>
      <c r="J102">
        <v>17</v>
      </c>
      <c r="K102">
        <v>17</v>
      </c>
      <c r="L102">
        <v>0</v>
      </c>
      <c r="M102">
        <v>30</v>
      </c>
      <c r="P102">
        <v>6</v>
      </c>
      <c r="Q102" t="s">
        <v>47</v>
      </c>
      <c r="R102" t="s">
        <v>47</v>
      </c>
    </row>
    <row r="103" spans="1:18" x14ac:dyDescent="0.3">
      <c r="A103" t="s">
        <v>106</v>
      </c>
      <c r="B103" s="1">
        <v>45081</v>
      </c>
      <c r="C103">
        <v>60</v>
      </c>
      <c r="D103" t="s">
        <v>13</v>
      </c>
      <c r="E103" t="b">
        <v>0</v>
      </c>
      <c r="F103">
        <v>23</v>
      </c>
      <c r="G103">
        <v>1</v>
      </c>
      <c r="I103">
        <v>1</v>
      </c>
      <c r="J103">
        <v>17</v>
      </c>
      <c r="K103">
        <v>18</v>
      </c>
      <c r="L103">
        <v>0</v>
      </c>
      <c r="M103">
        <v>0</v>
      </c>
      <c r="P103">
        <v>6</v>
      </c>
      <c r="Q103" t="s">
        <v>47</v>
      </c>
      <c r="R103" t="s">
        <v>47</v>
      </c>
    </row>
    <row r="104" spans="1:18" x14ac:dyDescent="0.3">
      <c r="A104" t="s">
        <v>137</v>
      </c>
      <c r="B104" s="1">
        <v>45083</v>
      </c>
      <c r="C104">
        <v>60</v>
      </c>
      <c r="D104" t="s">
        <v>13</v>
      </c>
      <c r="E104" t="b">
        <v>0</v>
      </c>
      <c r="F104">
        <v>23</v>
      </c>
      <c r="G104">
        <v>1</v>
      </c>
      <c r="I104">
        <v>3</v>
      </c>
      <c r="J104">
        <v>17</v>
      </c>
      <c r="K104">
        <v>18</v>
      </c>
      <c r="L104">
        <v>0</v>
      </c>
      <c r="M104">
        <v>0</v>
      </c>
      <c r="P104">
        <v>6</v>
      </c>
      <c r="Q104" t="s">
        <v>47</v>
      </c>
      <c r="R104" t="s">
        <v>47</v>
      </c>
    </row>
    <row r="105" spans="1:18" x14ac:dyDescent="0.3">
      <c r="A105" t="s">
        <v>23</v>
      </c>
      <c r="B105" s="1">
        <v>45084</v>
      </c>
      <c r="C105">
        <v>45</v>
      </c>
      <c r="D105" t="s">
        <v>13</v>
      </c>
      <c r="E105" t="b">
        <v>0</v>
      </c>
      <c r="F105">
        <v>23</v>
      </c>
      <c r="G105">
        <v>1</v>
      </c>
      <c r="I105">
        <v>4</v>
      </c>
      <c r="J105">
        <v>17</v>
      </c>
      <c r="K105">
        <v>18</v>
      </c>
      <c r="L105">
        <v>30</v>
      </c>
      <c r="M105">
        <v>15</v>
      </c>
      <c r="P105">
        <v>6</v>
      </c>
      <c r="Q105" t="s">
        <v>47</v>
      </c>
      <c r="R105" t="s">
        <v>47</v>
      </c>
    </row>
    <row r="106" spans="1:18" x14ac:dyDescent="0.3">
      <c r="A106" t="s">
        <v>119</v>
      </c>
      <c r="B106" s="1">
        <v>45082</v>
      </c>
      <c r="C106">
        <v>20</v>
      </c>
      <c r="D106" t="s">
        <v>13</v>
      </c>
      <c r="E106" t="b">
        <v>0</v>
      </c>
      <c r="F106">
        <v>23</v>
      </c>
      <c r="G106">
        <v>0</v>
      </c>
      <c r="I106">
        <v>2</v>
      </c>
      <c r="J106">
        <v>17</v>
      </c>
      <c r="K106">
        <v>18</v>
      </c>
      <c r="L106">
        <v>45</v>
      </c>
      <c r="M106">
        <v>5</v>
      </c>
      <c r="P106">
        <v>6</v>
      </c>
      <c r="Q106" t="s">
        <v>47</v>
      </c>
      <c r="R106" t="s">
        <v>47</v>
      </c>
    </row>
    <row r="107" spans="1:18" x14ac:dyDescent="0.3">
      <c r="A107" t="s">
        <v>91</v>
      </c>
      <c r="B107" s="1">
        <v>45078</v>
      </c>
      <c r="C107">
        <v>45</v>
      </c>
      <c r="D107" t="s">
        <v>13</v>
      </c>
      <c r="E107" t="b">
        <v>0</v>
      </c>
      <c r="F107">
        <v>22</v>
      </c>
      <c r="G107">
        <v>1</v>
      </c>
      <c r="I107">
        <v>5</v>
      </c>
      <c r="J107">
        <v>18</v>
      </c>
      <c r="K107">
        <v>18</v>
      </c>
      <c r="L107">
        <v>0</v>
      </c>
      <c r="M107">
        <v>45</v>
      </c>
      <c r="P107">
        <v>6</v>
      </c>
      <c r="Q107" t="s">
        <v>47</v>
      </c>
      <c r="R107" t="s">
        <v>47</v>
      </c>
    </row>
    <row r="108" spans="1:18" x14ac:dyDescent="0.3">
      <c r="A108" t="s">
        <v>99</v>
      </c>
      <c r="B108" s="1">
        <v>45079</v>
      </c>
      <c r="C108">
        <v>30</v>
      </c>
      <c r="D108" t="s">
        <v>13</v>
      </c>
      <c r="E108" t="b">
        <v>0</v>
      </c>
      <c r="F108">
        <v>22</v>
      </c>
      <c r="G108">
        <v>0</v>
      </c>
      <c r="I108">
        <v>6</v>
      </c>
      <c r="J108">
        <v>18</v>
      </c>
      <c r="K108">
        <v>18</v>
      </c>
      <c r="L108">
        <v>0</v>
      </c>
      <c r="M108">
        <v>30</v>
      </c>
      <c r="P108">
        <v>6</v>
      </c>
      <c r="Q108" t="s">
        <v>47</v>
      </c>
      <c r="R108" t="s">
        <v>47</v>
      </c>
    </row>
    <row r="109" spans="1:18" x14ac:dyDescent="0.3">
      <c r="A109" t="s">
        <v>153</v>
      </c>
      <c r="B109" s="1">
        <v>45085</v>
      </c>
      <c r="C109">
        <v>30</v>
      </c>
      <c r="D109" t="s">
        <v>13</v>
      </c>
      <c r="E109" t="b">
        <v>0</v>
      </c>
      <c r="F109">
        <v>23</v>
      </c>
      <c r="G109">
        <v>0</v>
      </c>
      <c r="I109">
        <v>5</v>
      </c>
      <c r="J109">
        <v>18</v>
      </c>
      <c r="K109">
        <v>18</v>
      </c>
      <c r="L109">
        <v>0</v>
      </c>
      <c r="M109">
        <v>30</v>
      </c>
      <c r="P109">
        <v>6</v>
      </c>
      <c r="Q109" t="s">
        <v>47</v>
      </c>
      <c r="R109" t="s">
        <v>47</v>
      </c>
    </row>
    <row r="110" spans="1:18" x14ac:dyDescent="0.3">
      <c r="A110" t="s">
        <v>179</v>
      </c>
      <c r="B110" s="1">
        <v>45086</v>
      </c>
      <c r="C110">
        <v>60</v>
      </c>
      <c r="D110" t="s">
        <v>13</v>
      </c>
      <c r="E110" t="b">
        <v>0</v>
      </c>
      <c r="F110">
        <v>23</v>
      </c>
      <c r="G110">
        <v>1</v>
      </c>
      <c r="I110">
        <v>6</v>
      </c>
      <c r="J110">
        <v>18</v>
      </c>
      <c r="K110">
        <v>19</v>
      </c>
      <c r="L110">
        <v>0</v>
      </c>
      <c r="M110">
        <v>0</v>
      </c>
      <c r="P110">
        <v>6</v>
      </c>
      <c r="Q110" t="s">
        <v>47</v>
      </c>
      <c r="R110" t="s">
        <v>47</v>
      </c>
    </row>
    <row r="111" spans="1:18" x14ac:dyDescent="0.3">
      <c r="A111" t="s">
        <v>99</v>
      </c>
      <c r="B111" s="1">
        <v>45080</v>
      </c>
      <c r="C111">
        <v>30</v>
      </c>
      <c r="D111" t="s">
        <v>13</v>
      </c>
      <c r="E111" t="b">
        <v>0</v>
      </c>
      <c r="F111">
        <v>22</v>
      </c>
      <c r="G111">
        <v>0</v>
      </c>
      <c r="I111">
        <v>7</v>
      </c>
      <c r="J111">
        <v>18</v>
      </c>
      <c r="K111">
        <v>19</v>
      </c>
      <c r="L111">
        <v>30</v>
      </c>
      <c r="M111">
        <v>0</v>
      </c>
      <c r="P111">
        <v>6</v>
      </c>
      <c r="Q111" t="s">
        <v>47</v>
      </c>
      <c r="R111" t="s">
        <v>47</v>
      </c>
    </row>
    <row r="112" spans="1:18" x14ac:dyDescent="0.3">
      <c r="A112" t="s">
        <v>138</v>
      </c>
      <c r="B112" s="1">
        <v>45083</v>
      </c>
      <c r="C112">
        <v>60</v>
      </c>
      <c r="D112" t="s">
        <v>13</v>
      </c>
      <c r="E112" t="b">
        <v>0</v>
      </c>
      <c r="F112">
        <v>23</v>
      </c>
      <c r="G112">
        <v>1</v>
      </c>
      <c r="I112">
        <v>3</v>
      </c>
      <c r="J112">
        <v>18</v>
      </c>
      <c r="K112">
        <v>19</v>
      </c>
      <c r="L112">
        <v>30</v>
      </c>
      <c r="M112">
        <v>30</v>
      </c>
      <c r="P112">
        <v>6</v>
      </c>
      <c r="Q112" t="s">
        <v>47</v>
      </c>
      <c r="R112" t="s">
        <v>47</v>
      </c>
    </row>
    <row r="113" spans="1:18" x14ac:dyDescent="0.3">
      <c r="A113" t="s">
        <v>8</v>
      </c>
      <c r="B113" s="1">
        <v>45084</v>
      </c>
      <c r="C113">
        <v>30</v>
      </c>
      <c r="D113" t="s">
        <v>13</v>
      </c>
      <c r="E113" t="b">
        <v>0</v>
      </c>
      <c r="F113">
        <v>23</v>
      </c>
      <c r="G113">
        <v>0</v>
      </c>
      <c r="I113">
        <v>4</v>
      </c>
      <c r="J113">
        <v>18</v>
      </c>
      <c r="K113">
        <v>19</v>
      </c>
      <c r="L113">
        <v>30</v>
      </c>
      <c r="M113">
        <v>0</v>
      </c>
      <c r="P113">
        <v>6</v>
      </c>
      <c r="Q113" t="s">
        <v>47</v>
      </c>
      <c r="R113" t="s">
        <v>47</v>
      </c>
    </row>
    <row r="114" spans="1:18" x14ac:dyDescent="0.3">
      <c r="A114" t="s">
        <v>107</v>
      </c>
      <c r="B114" s="1">
        <v>45081</v>
      </c>
      <c r="C114">
        <v>45</v>
      </c>
      <c r="D114" t="s">
        <v>13</v>
      </c>
      <c r="E114" t="b">
        <v>0</v>
      </c>
      <c r="F114">
        <v>23</v>
      </c>
      <c r="G114">
        <v>1</v>
      </c>
      <c r="I114">
        <v>1</v>
      </c>
      <c r="J114">
        <v>18</v>
      </c>
      <c r="K114">
        <v>19</v>
      </c>
      <c r="L114">
        <v>45</v>
      </c>
      <c r="M114">
        <v>30</v>
      </c>
      <c r="P114">
        <v>6</v>
      </c>
      <c r="Q114" t="s">
        <v>47</v>
      </c>
      <c r="R114" t="s">
        <v>47</v>
      </c>
    </row>
    <row r="115" spans="1:18" x14ac:dyDescent="0.3">
      <c r="A115" t="s">
        <v>100</v>
      </c>
      <c r="B115" s="1">
        <v>45079</v>
      </c>
      <c r="C115">
        <v>20</v>
      </c>
      <c r="D115" t="s">
        <v>13</v>
      </c>
      <c r="E115" t="b">
        <v>0</v>
      </c>
      <c r="F115">
        <v>22</v>
      </c>
      <c r="G115">
        <v>0</v>
      </c>
      <c r="I115">
        <v>6</v>
      </c>
      <c r="J115">
        <v>18</v>
      </c>
      <c r="K115">
        <v>19</v>
      </c>
      <c r="L115">
        <v>55</v>
      </c>
      <c r="M115">
        <v>15</v>
      </c>
      <c r="P115">
        <v>6</v>
      </c>
      <c r="Q115" t="s">
        <v>47</v>
      </c>
      <c r="R115" t="s">
        <v>47</v>
      </c>
    </row>
    <row r="116" spans="1:18" x14ac:dyDescent="0.3">
      <c r="A116" t="s">
        <v>154</v>
      </c>
      <c r="B116" s="1">
        <v>45085</v>
      </c>
      <c r="C116">
        <v>20</v>
      </c>
      <c r="D116" t="s">
        <v>13</v>
      </c>
      <c r="E116" t="b">
        <v>0</v>
      </c>
      <c r="F116">
        <v>23</v>
      </c>
      <c r="G116">
        <v>0</v>
      </c>
      <c r="I116">
        <v>5</v>
      </c>
      <c r="J116">
        <v>19</v>
      </c>
      <c r="K116">
        <v>19</v>
      </c>
      <c r="L116">
        <v>10</v>
      </c>
      <c r="M116">
        <v>30</v>
      </c>
      <c r="P116">
        <v>6</v>
      </c>
      <c r="Q116" t="s">
        <v>47</v>
      </c>
      <c r="R116" t="s">
        <v>47</v>
      </c>
    </row>
    <row r="117" spans="1:18" x14ac:dyDescent="0.3">
      <c r="A117" t="s">
        <v>120</v>
      </c>
      <c r="B117" s="1">
        <v>45082</v>
      </c>
      <c r="C117">
        <v>30</v>
      </c>
      <c r="D117" t="s">
        <v>13</v>
      </c>
      <c r="E117" t="b">
        <v>0</v>
      </c>
      <c r="F117">
        <v>23</v>
      </c>
      <c r="G117">
        <v>0</v>
      </c>
      <c r="I117">
        <v>2</v>
      </c>
      <c r="J117">
        <v>19</v>
      </c>
      <c r="K117">
        <v>20</v>
      </c>
      <c r="L117">
        <v>45</v>
      </c>
      <c r="M117">
        <v>15</v>
      </c>
      <c r="P117">
        <v>6</v>
      </c>
      <c r="Q117" t="s">
        <v>47</v>
      </c>
      <c r="R117" t="s">
        <v>47</v>
      </c>
    </row>
    <row r="542" spans="1:18" s="7" customForma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</sheetData>
  <autoFilter ref="A1:S3001" xr:uid="{A37576B8-1411-4AA8-A1B6-81CC84D3BF99}"/>
  <sortState xmlns:xlrd2="http://schemas.microsoft.com/office/spreadsheetml/2017/richdata2" ref="A2:R2658">
    <sortCondition ref="J2:J1658"/>
    <sortCondition ref="L2:L165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3AB1-AA34-4D19-9B91-03A6529CC82B}">
  <sheetPr codeName="Sheet3"/>
  <dimension ref="B1:BS297"/>
  <sheetViews>
    <sheetView showZeros="0" zoomScale="55" zoomScaleNormal="55" workbookViewId="0">
      <selection activeCell="B41" sqref="B41:B44"/>
    </sheetView>
  </sheetViews>
  <sheetFormatPr defaultRowHeight="14.4" outlineLevelCol="1" x14ac:dyDescent="0.3"/>
  <cols>
    <col min="2" max="2" width="20" bestFit="1" customWidth="1"/>
    <col min="3" max="9" width="8.21875" customWidth="1" outlineLevel="1"/>
    <col min="10" max="10" width="8.21875" customWidth="1"/>
    <col min="11" max="17" width="8.21875" customWidth="1" outlineLevel="1"/>
    <col min="18" max="18" width="8.21875" customWidth="1"/>
    <col min="19" max="25" width="8.21875" customWidth="1" outlineLevel="1"/>
    <col min="26" max="26" width="8.21875" customWidth="1"/>
    <col min="27" max="33" width="8.21875" customWidth="1" outlineLevel="1"/>
    <col min="34" max="34" width="8.21875" customWidth="1"/>
    <col min="35" max="41" width="8.21875" customWidth="1" outlineLevel="1"/>
    <col min="42" max="50" width="8.21875" customWidth="1"/>
    <col min="51" max="51" width="12.21875" bestFit="1" customWidth="1"/>
    <col min="53" max="53" width="55.6640625" customWidth="1"/>
    <col min="54" max="55" width="7" customWidth="1"/>
    <col min="56" max="56" width="11" customWidth="1"/>
    <col min="58" max="58" width="8.44140625" customWidth="1"/>
    <col min="59" max="59" width="3.5546875" customWidth="1"/>
    <col min="60" max="60" width="17.5546875" customWidth="1"/>
    <col min="61" max="61" width="15.77734375" customWidth="1"/>
    <col min="65" max="65" width="15.21875" bestFit="1" customWidth="1"/>
    <col min="67" max="67" width="10.33203125" bestFit="1" customWidth="1"/>
  </cols>
  <sheetData>
    <row r="1" spans="2:71" ht="15" thickBot="1" x14ac:dyDescent="0.35">
      <c r="AQ1" s="32">
        <f ca="1">WEEKNUM(NOW())</f>
        <v>1</v>
      </c>
    </row>
    <row r="2" spans="2:71" ht="15" thickBot="1" x14ac:dyDescent="0.35">
      <c r="C2" s="25">
        <f t="shared" ref="C2:I2" ca="1" si="0">(DATE(2021,1,1)+(C4-2)*7)+C5+1</f>
        <v>44157</v>
      </c>
      <c r="D2" s="26">
        <f t="shared" ca="1" si="0"/>
        <v>44158</v>
      </c>
      <c r="E2" s="26">
        <f t="shared" ca="1" si="0"/>
        <v>44159</v>
      </c>
      <c r="F2" s="26">
        <f t="shared" ca="1" si="0"/>
        <v>44160</v>
      </c>
      <c r="G2" s="26">
        <f t="shared" ca="1" si="0"/>
        <v>44161</v>
      </c>
      <c r="H2" s="26">
        <f t="shared" ca="1" si="0"/>
        <v>44162</v>
      </c>
      <c r="I2" s="27">
        <f t="shared" ca="1" si="0"/>
        <v>44163</v>
      </c>
      <c r="K2" s="25">
        <f t="shared" ref="K2:Q2" ca="1" si="1">(DATE(2021,1,1)+(K4-2)*7)+K5+1</f>
        <v>44164</v>
      </c>
      <c r="L2" s="26">
        <f t="shared" ca="1" si="1"/>
        <v>44165</v>
      </c>
      <c r="M2" s="26">
        <f t="shared" ca="1" si="1"/>
        <v>44166</v>
      </c>
      <c r="N2" s="26">
        <f t="shared" ca="1" si="1"/>
        <v>44167</v>
      </c>
      <c r="O2" s="26">
        <f t="shared" ca="1" si="1"/>
        <v>44168</v>
      </c>
      <c r="P2" s="26">
        <f t="shared" ca="1" si="1"/>
        <v>44169</v>
      </c>
      <c r="Q2" s="27">
        <f t="shared" ca="1" si="1"/>
        <v>44170</v>
      </c>
      <c r="S2" s="25">
        <f t="shared" ref="S2:Y2" ca="1" si="2">(DATE(2021,1,1)+(S4-2)*7)+S5+1</f>
        <v>44171</v>
      </c>
      <c r="T2" s="26">
        <f t="shared" ca="1" si="2"/>
        <v>44172</v>
      </c>
      <c r="U2" s="26">
        <f t="shared" ca="1" si="2"/>
        <v>44173</v>
      </c>
      <c r="V2" s="26">
        <f t="shared" ca="1" si="2"/>
        <v>44174</v>
      </c>
      <c r="W2" s="26">
        <f t="shared" ca="1" si="2"/>
        <v>44175</v>
      </c>
      <c r="X2" s="26">
        <f t="shared" ca="1" si="2"/>
        <v>44176</v>
      </c>
      <c r="Y2" s="27">
        <f t="shared" ca="1" si="2"/>
        <v>44177</v>
      </c>
      <c r="AA2" s="25">
        <f t="shared" ref="AA2:AG2" ca="1" si="3">(DATE(2021,1,1)+(AA4-2)*7)+AA5+1</f>
        <v>44178</v>
      </c>
      <c r="AB2" s="26">
        <f t="shared" ca="1" si="3"/>
        <v>44179</v>
      </c>
      <c r="AC2" s="26">
        <f t="shared" ca="1" si="3"/>
        <v>44180</v>
      </c>
      <c r="AD2" s="26">
        <f t="shared" ca="1" si="3"/>
        <v>44181</v>
      </c>
      <c r="AE2" s="26">
        <f t="shared" ca="1" si="3"/>
        <v>44182</v>
      </c>
      <c r="AF2" s="26">
        <f t="shared" ca="1" si="3"/>
        <v>44183</v>
      </c>
      <c r="AG2" s="27">
        <f t="shared" ca="1" si="3"/>
        <v>44184</v>
      </c>
      <c r="AI2" s="25">
        <f t="shared" ref="AI2:AO2" ca="1" si="4">(DATE(2021,1,1)+(AI4-2)*7)+AI5+1</f>
        <v>44185</v>
      </c>
      <c r="AJ2" s="26">
        <f t="shared" ca="1" si="4"/>
        <v>44186</v>
      </c>
      <c r="AK2" s="26">
        <f t="shared" ca="1" si="4"/>
        <v>44187</v>
      </c>
      <c r="AL2" s="26">
        <f t="shared" ca="1" si="4"/>
        <v>44188</v>
      </c>
      <c r="AM2" s="26">
        <f t="shared" ca="1" si="4"/>
        <v>44189</v>
      </c>
      <c r="AN2" s="26">
        <f t="shared" ca="1" si="4"/>
        <v>44190</v>
      </c>
      <c r="AO2" s="27">
        <f t="shared" ca="1" si="4"/>
        <v>44191</v>
      </c>
      <c r="AQ2" s="25">
        <f t="shared" ref="AQ2:AW2" ca="1" si="5">(DATE(2021,1,1)+(AQ4-2)*7)+AQ5+1</f>
        <v>44192</v>
      </c>
      <c r="AR2" s="26">
        <f t="shared" ca="1" si="5"/>
        <v>44193</v>
      </c>
      <c r="AS2" s="26">
        <f t="shared" ca="1" si="5"/>
        <v>44194</v>
      </c>
      <c r="AT2" s="26">
        <f t="shared" ca="1" si="5"/>
        <v>44195</v>
      </c>
      <c r="AU2" s="26">
        <f t="shared" ca="1" si="5"/>
        <v>44196</v>
      </c>
      <c r="AV2" s="26">
        <f t="shared" ca="1" si="5"/>
        <v>44197</v>
      </c>
      <c r="AW2" s="27">
        <f t="shared" ca="1" si="5"/>
        <v>44198</v>
      </c>
      <c r="BA2" t="s">
        <v>45</v>
      </c>
    </row>
    <row r="3" spans="2:71" x14ac:dyDescent="0.3">
      <c r="C3" s="19">
        <f t="shared" ref="C3:I3" ca="1" si="6">DATE(2021,1,1)+((C4-2)*7)+C5</f>
        <v>44156</v>
      </c>
      <c r="D3" s="19">
        <f t="shared" ca="1" si="6"/>
        <v>44157</v>
      </c>
      <c r="E3" s="19">
        <f t="shared" ca="1" si="6"/>
        <v>44158</v>
      </c>
      <c r="F3" s="19">
        <f t="shared" ca="1" si="6"/>
        <v>44159</v>
      </c>
      <c r="G3" s="19">
        <f t="shared" ca="1" si="6"/>
        <v>44160</v>
      </c>
      <c r="H3" s="19">
        <f t="shared" ca="1" si="6"/>
        <v>44161</v>
      </c>
      <c r="I3" s="19">
        <f t="shared" ca="1" si="6"/>
        <v>44162</v>
      </c>
      <c r="J3" s="14"/>
      <c r="K3" s="19">
        <f t="shared" ref="K3:Q3" ca="1" si="7">DATE(2021,1,1)+((K4-2)*7)+K5</f>
        <v>44163</v>
      </c>
      <c r="L3" s="19">
        <f t="shared" ca="1" si="7"/>
        <v>44164</v>
      </c>
      <c r="M3" s="19">
        <f t="shared" ca="1" si="7"/>
        <v>44165</v>
      </c>
      <c r="N3" s="19">
        <f t="shared" ca="1" si="7"/>
        <v>44166</v>
      </c>
      <c r="O3" s="19">
        <f t="shared" ca="1" si="7"/>
        <v>44167</v>
      </c>
      <c r="P3" s="19">
        <f t="shared" ca="1" si="7"/>
        <v>44168</v>
      </c>
      <c r="Q3" s="19">
        <f t="shared" ca="1" si="7"/>
        <v>44169</v>
      </c>
      <c r="R3" s="14"/>
      <c r="S3" s="19">
        <f t="shared" ref="S3:Y3" ca="1" si="8">DATE(2021,1,1)+((S4-2)*7)+S5</f>
        <v>44170</v>
      </c>
      <c r="T3" s="19">
        <f t="shared" ca="1" si="8"/>
        <v>44171</v>
      </c>
      <c r="U3" s="19">
        <f t="shared" ca="1" si="8"/>
        <v>44172</v>
      </c>
      <c r="V3" s="19">
        <f t="shared" ca="1" si="8"/>
        <v>44173</v>
      </c>
      <c r="W3" s="19">
        <f t="shared" ca="1" si="8"/>
        <v>44174</v>
      </c>
      <c r="X3" s="19">
        <f t="shared" ca="1" si="8"/>
        <v>44175</v>
      </c>
      <c r="Y3" s="19">
        <f t="shared" ca="1" si="8"/>
        <v>44176</v>
      </c>
      <c r="Z3" s="14"/>
      <c r="AA3" s="19">
        <f t="shared" ref="AA3:AG3" ca="1" si="9">DATE(2021,1,1)+((AA4-2)*7)+AA5</f>
        <v>44177</v>
      </c>
      <c r="AB3" s="19">
        <f t="shared" ca="1" si="9"/>
        <v>44178</v>
      </c>
      <c r="AC3" s="19">
        <f t="shared" ca="1" si="9"/>
        <v>44179</v>
      </c>
      <c r="AD3" s="19">
        <f t="shared" ca="1" si="9"/>
        <v>44180</v>
      </c>
      <c r="AE3" s="19">
        <f t="shared" ca="1" si="9"/>
        <v>44181</v>
      </c>
      <c r="AF3" s="19">
        <f t="shared" ca="1" si="9"/>
        <v>44182</v>
      </c>
      <c r="AG3" s="19">
        <f t="shared" ca="1" si="9"/>
        <v>44183</v>
      </c>
      <c r="AH3" s="14"/>
      <c r="AI3" s="19">
        <f t="shared" ref="AI3:AO3" ca="1" si="10">DATE(2021,1,1)+((AI4-2)*7)+AI5</f>
        <v>44184</v>
      </c>
      <c r="AJ3" s="19">
        <f t="shared" ca="1" si="10"/>
        <v>44185</v>
      </c>
      <c r="AK3" s="19">
        <f t="shared" ca="1" si="10"/>
        <v>44186</v>
      </c>
      <c r="AL3" s="19">
        <f t="shared" ca="1" si="10"/>
        <v>44187</v>
      </c>
      <c r="AM3" s="19">
        <f t="shared" ca="1" si="10"/>
        <v>44188</v>
      </c>
      <c r="AN3" s="19">
        <f t="shared" ca="1" si="10"/>
        <v>44189</v>
      </c>
      <c r="AO3" s="19">
        <f t="shared" ca="1" si="10"/>
        <v>44190</v>
      </c>
      <c r="AP3" s="14"/>
      <c r="AQ3" s="19">
        <f t="shared" ref="AQ3:AW3" ca="1" si="11">DATE(2021,1,1)+((AQ4-2)*7)+AQ5</f>
        <v>44191</v>
      </c>
      <c r="AR3" s="19">
        <f t="shared" ca="1" si="11"/>
        <v>44192</v>
      </c>
      <c r="AS3" s="19">
        <f t="shared" ca="1" si="11"/>
        <v>44193</v>
      </c>
      <c r="AT3" s="19">
        <f t="shared" ca="1" si="11"/>
        <v>44194</v>
      </c>
      <c r="AU3" s="19">
        <f t="shared" ca="1" si="11"/>
        <v>44195</v>
      </c>
      <c r="AV3" s="19">
        <f t="shared" ca="1" si="11"/>
        <v>44196</v>
      </c>
      <c r="AW3" s="19">
        <f t="shared" ca="1" si="11"/>
        <v>44197</v>
      </c>
      <c r="AX3" s="14"/>
      <c r="AY3" s="4"/>
      <c r="AZ3" s="4"/>
      <c r="BA3">
        <v>7</v>
      </c>
      <c r="BE3" s="60"/>
      <c r="BF3" s="60"/>
    </row>
    <row r="4" spans="2:71" x14ac:dyDescent="0.3">
      <c r="C4" s="20">
        <f t="shared" ref="C4:AP4" ca="1" si="12">K4-1</f>
        <v>-4</v>
      </c>
      <c r="D4" s="20">
        <f t="shared" ca="1" si="12"/>
        <v>-4</v>
      </c>
      <c r="E4" s="20">
        <f t="shared" ca="1" si="12"/>
        <v>-4</v>
      </c>
      <c r="F4" s="20">
        <f t="shared" ca="1" si="12"/>
        <v>-4</v>
      </c>
      <c r="G4" s="20">
        <f t="shared" ca="1" si="12"/>
        <v>-4</v>
      </c>
      <c r="H4" s="20">
        <f t="shared" ca="1" si="12"/>
        <v>-4</v>
      </c>
      <c r="I4" s="20">
        <f t="shared" ca="1" si="12"/>
        <v>-4</v>
      </c>
      <c r="J4" s="15">
        <f t="shared" ca="1" si="12"/>
        <v>-4</v>
      </c>
      <c r="K4" s="20">
        <f t="shared" ca="1" si="12"/>
        <v>-3</v>
      </c>
      <c r="L4" s="20">
        <f t="shared" ca="1" si="12"/>
        <v>-3</v>
      </c>
      <c r="M4" s="20">
        <f t="shared" ca="1" si="12"/>
        <v>-3</v>
      </c>
      <c r="N4" s="20">
        <f t="shared" ca="1" si="12"/>
        <v>-3</v>
      </c>
      <c r="O4" s="20">
        <f t="shared" ca="1" si="12"/>
        <v>-3</v>
      </c>
      <c r="P4" s="20">
        <f t="shared" ca="1" si="12"/>
        <v>-3</v>
      </c>
      <c r="Q4" s="20">
        <f t="shared" ca="1" si="12"/>
        <v>-3</v>
      </c>
      <c r="R4" s="15">
        <f t="shared" ca="1" si="12"/>
        <v>-3</v>
      </c>
      <c r="S4" s="20">
        <f t="shared" ca="1" si="12"/>
        <v>-2</v>
      </c>
      <c r="T4" s="20">
        <f t="shared" ca="1" si="12"/>
        <v>-2</v>
      </c>
      <c r="U4" s="20">
        <f t="shared" ca="1" si="12"/>
        <v>-2</v>
      </c>
      <c r="V4" s="20">
        <f t="shared" ca="1" si="12"/>
        <v>-2</v>
      </c>
      <c r="W4" s="20">
        <f t="shared" ca="1" si="12"/>
        <v>-2</v>
      </c>
      <c r="X4" s="20">
        <f t="shared" ca="1" si="12"/>
        <v>-2</v>
      </c>
      <c r="Y4" s="20">
        <f t="shared" ca="1" si="12"/>
        <v>-2</v>
      </c>
      <c r="Z4" s="15">
        <f t="shared" ca="1" si="12"/>
        <v>-2</v>
      </c>
      <c r="AA4" s="20">
        <f t="shared" ca="1" si="12"/>
        <v>-1</v>
      </c>
      <c r="AB4" s="20">
        <f t="shared" ca="1" si="12"/>
        <v>-1</v>
      </c>
      <c r="AC4" s="20">
        <f t="shared" ca="1" si="12"/>
        <v>-1</v>
      </c>
      <c r="AD4" s="20">
        <f t="shared" ca="1" si="12"/>
        <v>-1</v>
      </c>
      <c r="AE4" s="20">
        <f t="shared" ca="1" si="12"/>
        <v>-1</v>
      </c>
      <c r="AF4" s="20">
        <f t="shared" ca="1" si="12"/>
        <v>-1</v>
      </c>
      <c r="AG4" s="20">
        <f t="shared" ca="1" si="12"/>
        <v>-1</v>
      </c>
      <c r="AH4" s="15">
        <f t="shared" ca="1" si="12"/>
        <v>-1</v>
      </c>
      <c r="AI4" s="20">
        <f t="shared" ca="1" si="12"/>
        <v>0</v>
      </c>
      <c r="AJ4" s="20">
        <f t="shared" ca="1" si="12"/>
        <v>0</v>
      </c>
      <c r="AK4" s="20">
        <f t="shared" ca="1" si="12"/>
        <v>0</v>
      </c>
      <c r="AL4" s="20">
        <f t="shared" ca="1" si="12"/>
        <v>0</v>
      </c>
      <c r="AM4" s="20">
        <f t="shared" ca="1" si="12"/>
        <v>0</v>
      </c>
      <c r="AN4" s="20">
        <f t="shared" ca="1" si="12"/>
        <v>0</v>
      </c>
      <c r="AO4" s="20">
        <f t="shared" ca="1" si="12"/>
        <v>0</v>
      </c>
      <c r="AP4" s="15">
        <f t="shared" ca="1" si="12"/>
        <v>0</v>
      </c>
      <c r="AQ4" s="33">
        <f ca="1">AQ1</f>
        <v>1</v>
      </c>
      <c r="AR4" s="20">
        <f t="shared" ref="AR4:AX4" ca="1" si="13">AQ4</f>
        <v>1</v>
      </c>
      <c r="AS4" s="20">
        <f t="shared" ca="1" si="13"/>
        <v>1</v>
      </c>
      <c r="AT4" s="20">
        <f t="shared" ca="1" si="13"/>
        <v>1</v>
      </c>
      <c r="AU4" s="20">
        <f t="shared" ca="1" si="13"/>
        <v>1</v>
      </c>
      <c r="AV4" s="20">
        <f t="shared" ca="1" si="13"/>
        <v>1</v>
      </c>
      <c r="AW4" s="20">
        <f t="shared" ca="1" si="13"/>
        <v>1</v>
      </c>
      <c r="AX4" s="15">
        <f t="shared" ca="1" si="13"/>
        <v>1</v>
      </c>
      <c r="AY4" s="4"/>
      <c r="AZ4" s="4"/>
      <c r="BE4" s="2">
        <f>SUM(BE6:BE130)/60</f>
        <v>103</v>
      </c>
    </row>
    <row r="5" spans="2:71" x14ac:dyDescent="0.3">
      <c r="B5" s="5"/>
      <c r="C5" s="21">
        <v>1</v>
      </c>
      <c r="D5" s="21">
        <v>2</v>
      </c>
      <c r="E5" s="21">
        <v>3</v>
      </c>
      <c r="F5" s="21">
        <v>4</v>
      </c>
      <c r="G5" s="21">
        <v>5</v>
      </c>
      <c r="H5" s="21">
        <v>6</v>
      </c>
      <c r="I5" s="21">
        <v>7</v>
      </c>
      <c r="J5" s="30"/>
      <c r="K5" s="21">
        <v>1</v>
      </c>
      <c r="L5" s="21">
        <v>2</v>
      </c>
      <c r="M5" s="21">
        <v>3</v>
      </c>
      <c r="N5" s="21">
        <v>4</v>
      </c>
      <c r="O5" s="21">
        <v>5</v>
      </c>
      <c r="P5" s="21">
        <v>6</v>
      </c>
      <c r="Q5" s="21">
        <v>7</v>
      </c>
      <c r="R5" s="30"/>
      <c r="S5" s="21">
        <v>1</v>
      </c>
      <c r="T5" s="21">
        <v>2</v>
      </c>
      <c r="U5" s="21">
        <v>3</v>
      </c>
      <c r="V5" s="21">
        <v>4</v>
      </c>
      <c r="W5" s="21">
        <v>5</v>
      </c>
      <c r="X5" s="21">
        <v>6</v>
      </c>
      <c r="Y5" s="21">
        <v>7</v>
      </c>
      <c r="Z5" s="30"/>
      <c r="AA5" s="21">
        <v>1</v>
      </c>
      <c r="AB5" s="21">
        <v>2</v>
      </c>
      <c r="AC5" s="21">
        <v>3</v>
      </c>
      <c r="AD5" s="21">
        <v>4</v>
      </c>
      <c r="AE5" s="21">
        <v>5</v>
      </c>
      <c r="AF5" s="21">
        <v>6</v>
      </c>
      <c r="AG5" s="21">
        <v>7</v>
      </c>
      <c r="AH5" s="30"/>
      <c r="AI5" s="21">
        <v>1</v>
      </c>
      <c r="AJ5" s="21">
        <v>2</v>
      </c>
      <c r="AK5" s="21">
        <v>3</v>
      </c>
      <c r="AL5" s="21">
        <v>4</v>
      </c>
      <c r="AM5" s="21">
        <v>5</v>
      </c>
      <c r="AN5" s="21">
        <v>6</v>
      </c>
      <c r="AO5" s="21">
        <v>7</v>
      </c>
      <c r="AP5" s="30"/>
      <c r="AQ5" s="21">
        <v>1</v>
      </c>
      <c r="AR5" s="21">
        <v>2</v>
      </c>
      <c r="AS5" s="21">
        <v>3</v>
      </c>
      <c r="AT5" s="21">
        <v>4</v>
      </c>
      <c r="AU5" s="21">
        <v>5</v>
      </c>
      <c r="AV5" s="21">
        <v>6</v>
      </c>
      <c r="AW5" s="21">
        <v>7</v>
      </c>
      <c r="AX5" s="16"/>
      <c r="AY5" s="4"/>
      <c r="AZ5" s="4"/>
      <c r="BA5" s="12" t="s">
        <v>16</v>
      </c>
      <c r="BB5" s="13"/>
      <c r="BC5" s="13"/>
      <c r="BD5" s="13"/>
      <c r="BE5" s="12" t="s">
        <v>1</v>
      </c>
      <c r="BF5" s="12" t="s">
        <v>4</v>
      </c>
      <c r="BG5" s="12"/>
      <c r="BH5" s="12" t="s">
        <v>18</v>
      </c>
      <c r="BI5" s="12" t="s">
        <v>3</v>
      </c>
    </row>
    <row r="6" spans="2:71" x14ac:dyDescent="0.3">
      <c r="B6" s="10" t="str" cm="1">
        <f t="array" ref="B6:B12">_xlfn.UNIQUE(ResultCalendar!D2:D1048576)</f>
        <v>NOTSET</v>
      </c>
      <c r="C6" s="22">
        <f t="shared" ref="C6:I13" ca="1" si="14">SUMIFS(RESULT_DURATION,WEEK,C$4,RESULT_CATEGORIES,$B6,WEEKDAY,C$5)/60</f>
        <v>0</v>
      </c>
      <c r="D6" s="22">
        <f t="shared" ca="1" si="14"/>
        <v>0</v>
      </c>
      <c r="E6" s="22">
        <f t="shared" ca="1" si="14"/>
        <v>0</v>
      </c>
      <c r="F6" s="22">
        <f t="shared" ca="1" si="14"/>
        <v>0</v>
      </c>
      <c r="G6" s="22">
        <f t="shared" ca="1" si="14"/>
        <v>0</v>
      </c>
      <c r="H6" s="22">
        <f t="shared" ca="1" si="14"/>
        <v>0</v>
      </c>
      <c r="I6" s="22">
        <f t="shared" ca="1" si="14"/>
        <v>0</v>
      </c>
      <c r="J6" s="17">
        <f t="shared" ref="J6:J13" ca="1" si="15">SUMIFS(RESULT_DURATION,WEEK,J$4,RESULT_CATEGORIES,$B6)/60</f>
        <v>0</v>
      </c>
      <c r="K6" s="22">
        <f t="shared" ref="K6:Q13" ca="1" si="16">SUMIFS(RESULT_DURATION,WEEK,K$4,RESULT_CATEGORIES,$B6,WEEKDAY,K$5)/60</f>
        <v>0</v>
      </c>
      <c r="L6" s="22">
        <f t="shared" ca="1" si="16"/>
        <v>0</v>
      </c>
      <c r="M6" s="22">
        <f t="shared" ca="1" si="16"/>
        <v>0</v>
      </c>
      <c r="N6" s="22">
        <f t="shared" ca="1" si="16"/>
        <v>0</v>
      </c>
      <c r="O6" s="22">
        <f t="shared" ca="1" si="16"/>
        <v>0</v>
      </c>
      <c r="P6" s="22">
        <f t="shared" ca="1" si="16"/>
        <v>0</v>
      </c>
      <c r="Q6" s="22">
        <f t="shared" ca="1" si="16"/>
        <v>0</v>
      </c>
      <c r="R6" s="17">
        <f t="shared" ref="R6:R13" ca="1" si="17">SUMIFS(RESULT_DURATION,WEEK,R$4,RESULT_CATEGORIES,$B6)/60</f>
        <v>0</v>
      </c>
      <c r="S6" s="22">
        <f t="shared" ref="S6:Y13" ca="1" si="18">SUMIFS(RESULT_DURATION,WEEK,S$4,RESULT_CATEGORIES,$B6,WEEKDAY,S$5)/60</f>
        <v>0</v>
      </c>
      <c r="T6" s="22">
        <f t="shared" ca="1" si="18"/>
        <v>0</v>
      </c>
      <c r="U6" s="22">
        <f t="shared" ca="1" si="18"/>
        <v>0</v>
      </c>
      <c r="V6" s="22">
        <f t="shared" ca="1" si="18"/>
        <v>0</v>
      </c>
      <c r="W6" s="22">
        <f t="shared" ca="1" si="18"/>
        <v>0</v>
      </c>
      <c r="X6" s="22">
        <f t="shared" ca="1" si="18"/>
        <v>0</v>
      </c>
      <c r="Y6" s="22">
        <f t="shared" ca="1" si="18"/>
        <v>0</v>
      </c>
      <c r="Z6" s="17">
        <f t="shared" ref="Z6:Z13" ca="1" si="19">SUMIFS(RESULT_DURATION,WEEK,Z$4,RESULT_CATEGORIES,$B6)/60</f>
        <v>0</v>
      </c>
      <c r="AA6" s="22">
        <f t="shared" ref="AA6:AG13" ca="1" si="20">SUMIFS(RESULT_DURATION,WEEK,AA$4,RESULT_CATEGORIES,$B6,WEEKDAY,AA$5)/60</f>
        <v>0</v>
      </c>
      <c r="AB6" s="22">
        <f t="shared" ca="1" si="20"/>
        <v>0</v>
      </c>
      <c r="AC6" s="22">
        <f t="shared" ca="1" si="20"/>
        <v>0</v>
      </c>
      <c r="AD6" s="22">
        <f t="shared" ca="1" si="20"/>
        <v>0</v>
      </c>
      <c r="AE6" s="22">
        <f t="shared" ca="1" si="20"/>
        <v>0</v>
      </c>
      <c r="AF6" s="22">
        <f t="shared" ca="1" si="20"/>
        <v>0</v>
      </c>
      <c r="AG6" s="22">
        <f t="shared" ca="1" si="20"/>
        <v>0</v>
      </c>
      <c r="AH6" s="17">
        <f t="shared" ref="AH6:AH13" ca="1" si="21">SUMIFS(RESULT_DURATION,WEEK,AH$4,RESULT_CATEGORIES,$B6)/60</f>
        <v>0</v>
      </c>
      <c r="AI6" s="22">
        <f t="shared" ref="AI6:AO13" ca="1" si="22">SUMIFS(RESULT_DURATION,WEEK,AI$4,RESULT_CATEGORIES,$B6,WEEKDAY,AI$5)/60</f>
        <v>0</v>
      </c>
      <c r="AJ6" s="22">
        <f t="shared" ca="1" si="22"/>
        <v>0</v>
      </c>
      <c r="AK6" s="22">
        <f t="shared" ca="1" si="22"/>
        <v>0</v>
      </c>
      <c r="AL6" s="22">
        <f t="shared" ca="1" si="22"/>
        <v>0</v>
      </c>
      <c r="AM6" s="22">
        <f t="shared" ca="1" si="22"/>
        <v>0</v>
      </c>
      <c r="AN6" s="22">
        <f t="shared" ca="1" si="22"/>
        <v>0</v>
      </c>
      <c r="AO6" s="22">
        <f t="shared" ca="1" si="22"/>
        <v>0</v>
      </c>
      <c r="AP6" s="17">
        <f t="shared" ref="AP6:AP13" ca="1" si="23">SUMIFS(RESULT_DURATION,WEEK,AP$4,RESULT_CATEGORIES,$B6)/60</f>
        <v>0</v>
      </c>
      <c r="AQ6" s="22">
        <f t="shared" ref="AQ6:AW13" ca="1" si="24">SUMIFS(RESULT_DURATION,WEEK,AQ$4,RESULT_CATEGORIES,$B6,WEEKDAY,AQ$5)/60</f>
        <v>0</v>
      </c>
      <c r="AR6" s="22">
        <f t="shared" ca="1" si="24"/>
        <v>0</v>
      </c>
      <c r="AS6" s="22">
        <f t="shared" ca="1" si="24"/>
        <v>0</v>
      </c>
      <c r="AT6" s="22">
        <f t="shared" ca="1" si="24"/>
        <v>0</v>
      </c>
      <c r="AU6" s="22">
        <f t="shared" ca="1" si="24"/>
        <v>0</v>
      </c>
      <c r="AV6" s="22">
        <f t="shared" ca="1" si="24"/>
        <v>0</v>
      </c>
      <c r="AW6" s="22">
        <f t="shared" ca="1" si="24"/>
        <v>0</v>
      </c>
      <c r="AX6" s="17">
        <f t="shared" ref="AX6:AX13" ca="1" si="25">SUMIFS(RESULT_DURATION,WEEK,AX$4,RESULT_CATEGORIES,$B6)/60</f>
        <v>0</v>
      </c>
      <c r="AY6" s="4"/>
      <c r="AZ6" s="4"/>
      <c r="BA6" t="str" cm="1">
        <f t="array" ref="BA6">IF(ISERROR(INDEX(RESULT_SUBJECT,SMALL(IF(COUNTIF($BA$3,MONTH), ROW(MONTH)-MIN(ROW(MONTH))+1),ROW(A1)),COLUMN(A1))),"",INDEX(RESULT_SUBJECT,SMALL(IF(COUNTIF($BA$3,MONTH), ROW(MONTH)-MIN(ROW(MONTH))+1),ROW(A1)),COLUMN(A1)))</f>
        <v xml:space="preserve">Fwd: Jane in New York </v>
      </c>
      <c r="BB6" cm="1">
        <f t="array" ref="BB6">IF(ISERROR(INDEX(WEEK,SMALL(IF(COUNTIF($BA$3,MONTH), ROW(MONTH)-MIN(ROW(MONTH))+1),ROW(A1)),COLUMN(A1))),"",INDEX(WEEK,SMALL(IF(COUNTIF($BA$3,MONTH), ROW(MONTH)-MIN(ROW(MONTH))+1),ROW(A1)),COLUMN(A1)))</f>
        <v>28</v>
      </c>
      <c r="BC6" cm="1">
        <f t="array" ref="BC6">IF(ISERROR(INDEX(RESULT_DAY,SMALL(IF(COUNTIF($BA$3,MONTH), ROW(MONTH)-MIN(ROW(MONTH))+1),ROW(A1)),COLUMN(A1))),"",INDEX(RESULT_DAY,SMALL(IF(COUNTIF($BA$3,MONTH), ROW(MONTH)-MIN(ROW(MONTH))+1),ROW(A1)),COLUMN(A1)))</f>
        <v>3</v>
      </c>
      <c r="BD6" s="29">
        <f>IF(ISERROR((DATE(2021,1,1)+($BA$3-2)*7)+BC6+1),"",(DATE(2021,1,1)+($BA$3-2)*7)+BC6+1)</f>
        <v>44236</v>
      </c>
      <c r="BE6" s="2" cm="1">
        <f t="array" ref="BE6">IF(ISERROR(INDEX(RESULT_DURATION,SMALL(IF(COUNTIF($BA$3,MONTH), ROW(MONTH)-MIN(ROW(MONTH))+1),ROW(A1)),COLUMN(A1))),"",INDEX(RESULT_DURATION,SMALL(IF(COUNTIF($BA$3,MONTH), ROW(MONTH)-MIN(ROW(MONTH))+1),ROW(A1)),COLUMN(A1)))</f>
        <v>5760</v>
      </c>
      <c r="BH6" t="str" cm="1">
        <f t="array" ref="BH6">IF(ISERROR(INDEX(RESULT_CATEGORIES,SMALL(IF(COUNTIF($BA$3,MONTH), ROW(MONTH)-MIN(ROW(MONTH))+1),ROW(A1)),COLUMN(A1))),"",INDEX(RESULT_CATEGORIES,SMALL(IF(COUNTIF($BA$3,MONTH), ROW(MONTH)-MIN(ROW(MONTH))+1),ROW(A1)),COLUMN(A1)))</f>
        <v>NOTSET</v>
      </c>
      <c r="BI6" cm="1">
        <f t="array" ref="BI6">IF(ISERROR(INDEX(RESULTLOCATION,SMALL(IF(COUNTIF($BA$3,MONTH), ROW(MONTH)-MIN(ROW(MONTH))+1),ROW(A1)),COLUMN(A1))),"",INDEX(RESULTLOCATION,SMALL(IF(COUNTIF($BA$3,MONTH), ROW(MONTH)-MIN(ROW(MONTH))+1),ROW(A1)),COLUMN(A1)))</f>
        <v>0</v>
      </c>
      <c r="BM6" cm="1">
        <f t="array" ref="BM6:BM9">_xlfn.UNIQUE(BI:BI)</f>
        <v>0</v>
      </c>
    </row>
    <row r="7" spans="2:71" x14ac:dyDescent="0.3">
      <c r="B7" s="7" t="str">
        <v>Sales opp support</v>
      </c>
      <c r="C7" s="22">
        <f t="shared" ca="1" si="14"/>
        <v>0</v>
      </c>
      <c r="D7" s="22">
        <f t="shared" ca="1" si="14"/>
        <v>0</v>
      </c>
      <c r="E7" s="22">
        <f t="shared" ca="1" si="14"/>
        <v>0</v>
      </c>
      <c r="F7" s="22">
        <f t="shared" ca="1" si="14"/>
        <v>0</v>
      </c>
      <c r="G7" s="22">
        <f t="shared" ca="1" si="14"/>
        <v>0</v>
      </c>
      <c r="H7" s="22">
        <f t="shared" ca="1" si="14"/>
        <v>0</v>
      </c>
      <c r="I7" s="22">
        <f t="shared" ca="1" si="14"/>
        <v>0</v>
      </c>
      <c r="J7" s="17">
        <f t="shared" ca="1" si="15"/>
        <v>0</v>
      </c>
      <c r="K7" s="22">
        <f t="shared" ca="1" si="16"/>
        <v>0</v>
      </c>
      <c r="L7" s="22">
        <f t="shared" ca="1" si="16"/>
        <v>0</v>
      </c>
      <c r="M7" s="22">
        <f t="shared" ca="1" si="16"/>
        <v>0</v>
      </c>
      <c r="N7" s="22">
        <f t="shared" ca="1" si="16"/>
        <v>0</v>
      </c>
      <c r="O7" s="22">
        <f t="shared" ca="1" si="16"/>
        <v>0</v>
      </c>
      <c r="P7" s="22">
        <f t="shared" ca="1" si="16"/>
        <v>0</v>
      </c>
      <c r="Q7" s="22">
        <f t="shared" ca="1" si="16"/>
        <v>0</v>
      </c>
      <c r="R7" s="17">
        <f t="shared" ca="1" si="17"/>
        <v>0</v>
      </c>
      <c r="S7" s="22">
        <f t="shared" ca="1" si="18"/>
        <v>0</v>
      </c>
      <c r="T7" s="22">
        <f t="shared" ca="1" si="18"/>
        <v>0</v>
      </c>
      <c r="U7" s="22">
        <f t="shared" ca="1" si="18"/>
        <v>0</v>
      </c>
      <c r="V7" s="22">
        <f t="shared" ca="1" si="18"/>
        <v>0</v>
      </c>
      <c r="W7" s="22">
        <f t="shared" ca="1" si="18"/>
        <v>0</v>
      </c>
      <c r="X7" s="22">
        <f t="shared" ca="1" si="18"/>
        <v>0</v>
      </c>
      <c r="Y7" s="22">
        <f t="shared" ca="1" si="18"/>
        <v>0</v>
      </c>
      <c r="Z7" s="17">
        <f t="shared" ca="1" si="19"/>
        <v>0</v>
      </c>
      <c r="AA7" s="22">
        <f t="shared" ca="1" si="20"/>
        <v>0</v>
      </c>
      <c r="AB7" s="22">
        <f t="shared" ca="1" si="20"/>
        <v>0</v>
      </c>
      <c r="AC7" s="22">
        <f t="shared" ca="1" si="20"/>
        <v>0</v>
      </c>
      <c r="AD7" s="22">
        <f t="shared" ca="1" si="20"/>
        <v>0</v>
      </c>
      <c r="AE7" s="22">
        <f t="shared" ca="1" si="20"/>
        <v>0</v>
      </c>
      <c r="AF7" s="22">
        <f t="shared" ca="1" si="20"/>
        <v>0</v>
      </c>
      <c r="AG7" s="22">
        <f t="shared" ca="1" si="20"/>
        <v>0</v>
      </c>
      <c r="AH7" s="17">
        <f t="shared" ca="1" si="21"/>
        <v>0</v>
      </c>
      <c r="AI7" s="22">
        <f t="shared" ca="1" si="22"/>
        <v>0</v>
      </c>
      <c r="AJ7" s="22">
        <f t="shared" ca="1" si="22"/>
        <v>0</v>
      </c>
      <c r="AK7" s="22">
        <f t="shared" ca="1" si="22"/>
        <v>0</v>
      </c>
      <c r="AL7" s="22">
        <f t="shared" ca="1" si="22"/>
        <v>0</v>
      </c>
      <c r="AM7" s="22">
        <f t="shared" ca="1" si="22"/>
        <v>0</v>
      </c>
      <c r="AN7" s="22">
        <f t="shared" ca="1" si="22"/>
        <v>0</v>
      </c>
      <c r="AO7" s="22">
        <f t="shared" ca="1" si="22"/>
        <v>0</v>
      </c>
      <c r="AP7" s="17">
        <f t="shared" ca="1" si="23"/>
        <v>0</v>
      </c>
      <c r="AQ7" s="22">
        <f t="shared" ca="1" si="24"/>
        <v>0</v>
      </c>
      <c r="AR7" s="22">
        <f t="shared" ca="1" si="24"/>
        <v>0</v>
      </c>
      <c r="AS7" s="22">
        <f t="shared" ca="1" si="24"/>
        <v>0</v>
      </c>
      <c r="AT7" s="22">
        <f t="shared" ca="1" si="24"/>
        <v>0</v>
      </c>
      <c r="AU7" s="22">
        <f t="shared" ca="1" si="24"/>
        <v>0</v>
      </c>
      <c r="AV7" s="22">
        <f t="shared" ca="1" si="24"/>
        <v>0</v>
      </c>
      <c r="AW7" s="22">
        <f t="shared" ca="1" si="24"/>
        <v>0</v>
      </c>
      <c r="AX7" s="17">
        <f t="shared" ca="1" si="25"/>
        <v>0</v>
      </c>
      <c r="AZ7" s="4"/>
      <c r="BA7" t="str" cm="1">
        <f t="array" ref="BA7">IF(ISERROR(INDEX(RESULT_SUBJECT,SMALL(IF(COUNTIF($BA$3,MONTH), ROW(MONTH)-MIN(ROW(MONTH))+1),ROW(A2)),COLUMN(A2))),"",INDEX(RESULT_SUBJECT,SMALL(IF(COUNTIF($BA$3,MONTH), ROW(MONTH)-MIN(ROW(MONTH))+1),ROW(A2)),COLUMN(A2)))</f>
        <v>HOLD FOR ETFS Quarterly update</v>
      </c>
      <c r="BB7" cm="1">
        <f t="array" ref="BB7">IF(ISERROR(INDEX(WEEK,SMALL(IF(COUNTIF($BA$3,MONTH), ROW(MONTH)-MIN(ROW(MONTH))+1),ROW(A2)),COLUMN(A2))),"",INDEX(WEEK,SMALL(IF(COUNTIF($BA$3,MONTH), ROW(MONTH)-MIN(ROW(MONTH))+1),ROW(A2)),COLUMN(A2)))</f>
        <v>28</v>
      </c>
      <c r="BC7" cm="1">
        <f t="array" ref="BC7">IF(ISERROR(INDEX(RESULT_DAY,SMALL(IF(COUNTIF($BA$3,MONTH), ROW(MONTH)-MIN(ROW(MONTH))+1),ROW(A2)),COLUMN(A2))),"",INDEX(RESULT_DAY,SMALL(IF(COUNTIF($BA$3,MONTH), ROW(MONTH)-MIN(ROW(MONTH))+1),ROW(A2)),COLUMN(A2)))</f>
        <v>3</v>
      </c>
      <c r="BD7" s="29">
        <f t="shared" ref="BD7:BD70" si="26">IF(ISERROR((DATE(2021,1,1)+($BA$3-2)*7)+BC7+1),"",(DATE(2021,1,1)+($BA$3-2)*7)+BC7+1)</f>
        <v>44236</v>
      </c>
      <c r="BE7" s="2" cm="1">
        <f t="array" ref="BE7">IF(ISERROR(INDEX(RESULT_DURATION,SMALL(IF(COUNTIF($BA$3,MONTH), ROW(MONTH)-MIN(ROW(MONTH))+1),ROW(A2)),COLUMN(A2))),"",INDEX(RESULT_DURATION,SMALL(IF(COUNTIF($BA$3,MONTH), ROW(MONTH)-MIN(ROW(MONTH))+1),ROW(A2)),COLUMN(A2)))</f>
        <v>300</v>
      </c>
      <c r="BH7" t="str" cm="1">
        <f t="array" ref="BH7">IF(ISERROR(INDEX(RESULT_CATEGORIES,SMALL(IF(COUNTIF($BA$3,MONTH), ROW(MONTH)-MIN(ROW(MONTH))+1),ROW(A2)),COLUMN(A2))),"",INDEX(RESULT_CATEGORIES,SMALL(IF(COUNTIF($BA$3,MONTH), ROW(MONTH)-MIN(ROW(MONTH))+1),ROW(A2)),COLUMN(A2)))</f>
        <v>NOTSET</v>
      </c>
      <c r="BI7" cm="1">
        <f t="array" ref="BI7">IF(ISERROR(INDEX(RESULTLOCATION,SMALL(IF(COUNTIF($BA$3,MONTH), ROW(MONTH)-MIN(ROW(MONTH))+1),ROW(A2)),COLUMN(A2))),"",INDEX(RESULTLOCATION,SMALL(IF(COUNTIF($BA$3,MONTH), ROW(MONTH)-MIN(ROW(MONTH))+1),ROW(A2)),COLUMN(A2)))</f>
        <v>0</v>
      </c>
      <c r="BM7" t="str">
        <v>Location</v>
      </c>
      <c r="BN7">
        <f t="shared" ref="BN7:BN50" si="27">SUMIF(BI:BI,BM7,BE:BE)</f>
        <v>0</v>
      </c>
      <c r="BO7" s="2">
        <f t="shared" ref="BO7:BO50" si="28">BN7/60</f>
        <v>0</v>
      </c>
    </row>
    <row r="8" spans="2:71" x14ac:dyDescent="0.3">
      <c r="B8" s="6" t="str">
        <v>Sales Proc Support</v>
      </c>
      <c r="C8" s="22">
        <f t="shared" ca="1" si="14"/>
        <v>0</v>
      </c>
      <c r="D8" s="22">
        <f t="shared" ca="1" si="14"/>
        <v>0</v>
      </c>
      <c r="E8" s="22">
        <f t="shared" ca="1" si="14"/>
        <v>0</v>
      </c>
      <c r="F8" s="22">
        <f t="shared" ca="1" si="14"/>
        <v>0</v>
      </c>
      <c r="G8" s="22">
        <f t="shared" ca="1" si="14"/>
        <v>0</v>
      </c>
      <c r="H8" s="22">
        <f t="shared" ca="1" si="14"/>
        <v>0</v>
      </c>
      <c r="I8" s="22">
        <f t="shared" ca="1" si="14"/>
        <v>0</v>
      </c>
      <c r="J8" s="17">
        <f t="shared" ca="1" si="15"/>
        <v>0</v>
      </c>
      <c r="K8" s="22">
        <f t="shared" ca="1" si="16"/>
        <v>0</v>
      </c>
      <c r="L8" s="22">
        <f t="shared" ca="1" si="16"/>
        <v>0</v>
      </c>
      <c r="M8" s="22">
        <f t="shared" ca="1" si="16"/>
        <v>0</v>
      </c>
      <c r="N8" s="22">
        <f t="shared" ca="1" si="16"/>
        <v>0</v>
      </c>
      <c r="O8" s="22">
        <f t="shared" ca="1" si="16"/>
        <v>0</v>
      </c>
      <c r="P8" s="22">
        <f t="shared" ca="1" si="16"/>
        <v>0</v>
      </c>
      <c r="Q8" s="22">
        <f t="shared" ca="1" si="16"/>
        <v>0</v>
      </c>
      <c r="R8" s="17">
        <f t="shared" ca="1" si="17"/>
        <v>0</v>
      </c>
      <c r="S8" s="22">
        <f t="shared" ca="1" si="18"/>
        <v>0</v>
      </c>
      <c r="T8" s="22">
        <f t="shared" ca="1" si="18"/>
        <v>0</v>
      </c>
      <c r="U8" s="22">
        <f t="shared" ca="1" si="18"/>
        <v>0</v>
      </c>
      <c r="V8" s="22">
        <f t="shared" ca="1" si="18"/>
        <v>0</v>
      </c>
      <c r="W8" s="22">
        <f t="shared" ca="1" si="18"/>
        <v>0</v>
      </c>
      <c r="X8" s="22">
        <f t="shared" ca="1" si="18"/>
        <v>0</v>
      </c>
      <c r="Y8" s="22">
        <f t="shared" ca="1" si="18"/>
        <v>0</v>
      </c>
      <c r="Z8" s="17">
        <f t="shared" ca="1" si="19"/>
        <v>0</v>
      </c>
      <c r="AA8" s="22">
        <f t="shared" ca="1" si="20"/>
        <v>0</v>
      </c>
      <c r="AB8" s="22">
        <f t="shared" ca="1" si="20"/>
        <v>0</v>
      </c>
      <c r="AC8" s="22">
        <f t="shared" ca="1" si="20"/>
        <v>0</v>
      </c>
      <c r="AD8" s="22">
        <f t="shared" ca="1" si="20"/>
        <v>0</v>
      </c>
      <c r="AE8" s="22">
        <f t="shared" ca="1" si="20"/>
        <v>0</v>
      </c>
      <c r="AF8" s="22">
        <f t="shared" ca="1" si="20"/>
        <v>0</v>
      </c>
      <c r="AG8" s="22">
        <f t="shared" ca="1" si="20"/>
        <v>0</v>
      </c>
      <c r="AH8" s="17">
        <f t="shared" ca="1" si="21"/>
        <v>0</v>
      </c>
      <c r="AI8" s="22">
        <f t="shared" ca="1" si="22"/>
        <v>0</v>
      </c>
      <c r="AJ8" s="22">
        <f t="shared" ca="1" si="22"/>
        <v>0</v>
      </c>
      <c r="AK8" s="22">
        <f t="shared" ca="1" si="22"/>
        <v>0</v>
      </c>
      <c r="AL8" s="22">
        <f t="shared" ca="1" si="22"/>
        <v>0</v>
      </c>
      <c r="AM8" s="22">
        <f t="shared" ca="1" si="22"/>
        <v>0</v>
      </c>
      <c r="AN8" s="22">
        <f t="shared" ca="1" si="22"/>
        <v>0</v>
      </c>
      <c r="AO8" s="22">
        <f t="shared" ca="1" si="22"/>
        <v>0</v>
      </c>
      <c r="AP8" s="17">
        <f t="shared" ca="1" si="23"/>
        <v>0</v>
      </c>
      <c r="AQ8" s="22">
        <f t="shared" ca="1" si="24"/>
        <v>0</v>
      </c>
      <c r="AR8" s="22">
        <f t="shared" ca="1" si="24"/>
        <v>0</v>
      </c>
      <c r="AS8" s="22">
        <f t="shared" ca="1" si="24"/>
        <v>0</v>
      </c>
      <c r="AT8" s="22">
        <f t="shared" ca="1" si="24"/>
        <v>0</v>
      </c>
      <c r="AU8" s="22">
        <f t="shared" ca="1" si="24"/>
        <v>0</v>
      </c>
      <c r="AV8" s="22">
        <f t="shared" ca="1" si="24"/>
        <v>0</v>
      </c>
      <c r="AW8" s="22">
        <f t="shared" ca="1" si="24"/>
        <v>0</v>
      </c>
      <c r="AX8" s="17">
        <f t="shared" ca="1" si="25"/>
        <v>0</v>
      </c>
      <c r="AY8" s="4"/>
      <c r="AZ8" s="4"/>
      <c r="BA8" t="str" cm="1">
        <f t="array" ref="BA8">IF(ISERROR(INDEX(RESULT_SUBJECT,SMALL(IF(COUNTIF($BA$3,MONTH), ROW(MONTH)-MIN(ROW(MONTH))+1),ROW(A3)),COLUMN(A3))),"",INDEX(RESULT_SUBJECT,SMALL(IF(COUNTIF($BA$3,MONTH), ROW(MONTH)-MIN(ROW(MONTH))+1),ROW(A3)),COLUMN(A3)))</f>
        <v>Velox &lt;&gt; Management Update</v>
      </c>
      <c r="BB8" cm="1">
        <f t="array" ref="BB8">IF(ISERROR(INDEX(WEEK,SMALL(IF(COUNTIF($BA$3,MONTH), ROW(MONTH)-MIN(ROW(MONTH))+1),ROW(A3)),COLUMN(A3))),"",INDEX(WEEK,SMALL(IF(COUNTIF($BA$3,MONTH), ROW(MONTH)-MIN(ROW(MONTH))+1),ROW(A3)),COLUMN(A3)))</f>
        <v>28</v>
      </c>
      <c r="BC8" cm="1">
        <f t="array" ref="BC8">IF(ISERROR(INDEX(RESULT_DAY,SMALL(IF(COUNTIF($BA$3,MONTH), ROW(MONTH)-MIN(ROW(MONTH))+1),ROW(A3)),COLUMN(A3))),"",INDEX(RESULT_DAY,SMALL(IF(COUNTIF($BA$3,MONTH), ROW(MONTH)-MIN(ROW(MONTH))+1),ROW(A3)),COLUMN(A3)))</f>
        <v>2</v>
      </c>
      <c r="BD8" s="29">
        <f t="shared" si="26"/>
        <v>44235</v>
      </c>
      <c r="BE8" s="2" cm="1">
        <f t="array" ref="BE8">IF(ISERROR(INDEX(RESULT_DURATION,SMALL(IF(COUNTIF($BA$3,MONTH), ROW(MONTH)-MIN(ROW(MONTH))+1),ROW(A3)),COLUMN(A3))),"",INDEX(RESULT_DURATION,SMALL(IF(COUNTIF($BA$3,MONTH), ROW(MONTH)-MIN(ROW(MONTH))+1),ROW(A3)),COLUMN(A3)))</f>
        <v>90</v>
      </c>
      <c r="BH8" t="str" cm="1">
        <f t="array" ref="BH8">IF(ISERROR(INDEX(RESULT_CATEGORIES,SMALL(IF(COUNTIF($BA$3,MONTH), ROW(MONTH)-MIN(ROW(MONTH))+1),ROW(A3)),COLUMN(A3))),"",INDEX(RESULT_CATEGORIES,SMALL(IF(COUNTIF($BA$3,MONTH), ROW(MONTH)-MIN(ROW(MONTH))+1),ROW(A3)),COLUMN(A3)))</f>
        <v>NOTSET</v>
      </c>
      <c r="BI8" cm="1">
        <f t="array" ref="BI8">IF(ISERROR(INDEX(RESULTLOCATION,SMALL(IF(COUNTIF($BA$3,MONTH), ROW(MONTH)-MIN(ROW(MONTH))+1),ROW(A3)),COLUMN(A3))),"",INDEX(RESULTLOCATION,SMALL(IF(COUNTIF($BA$3,MONTH), ROW(MONTH)-MIN(ROW(MONTH))+1),ROW(A3)),COLUMN(A3)))</f>
        <v>0</v>
      </c>
      <c r="BM8">
        <v>0</v>
      </c>
      <c r="BN8">
        <f t="shared" si="27"/>
        <v>6180</v>
      </c>
      <c r="BO8" s="2">
        <f t="shared" si="28"/>
        <v>103</v>
      </c>
      <c r="BP8">
        <f t="shared" ref="BP8:BP50" si="29">COUNTIF(BI:BI,BM8)</f>
        <v>4</v>
      </c>
      <c r="BQ8" t="e">
        <f>MATCH(BM8,#REF!,0)</f>
        <v>#REF!</v>
      </c>
      <c r="BR8" t="str">
        <f t="shared" ref="BR8:BR50" si="30">INDEX(BH:BH,MATCH(BM8,BI:BI,0))</f>
        <v>NOTSET</v>
      </c>
      <c r="BS8" t="e" cm="1">
        <f t="array" ref="BS8">INDEX(#REF!,HistoryResultStats!BQ8)</f>
        <v>#REF!</v>
      </c>
    </row>
    <row r="9" spans="2:71" x14ac:dyDescent="0.3">
      <c r="B9" t="str">
        <v>Client</v>
      </c>
      <c r="C9" s="22">
        <f t="shared" ca="1" si="14"/>
        <v>0</v>
      </c>
      <c r="D9" s="22">
        <f t="shared" ca="1" si="14"/>
        <v>0</v>
      </c>
      <c r="E9" s="22">
        <f t="shared" ca="1" si="14"/>
        <v>0</v>
      </c>
      <c r="F9" s="22">
        <f t="shared" ca="1" si="14"/>
        <v>0</v>
      </c>
      <c r="G9" s="22">
        <f t="shared" ca="1" si="14"/>
        <v>0</v>
      </c>
      <c r="H9" s="22">
        <f t="shared" ca="1" si="14"/>
        <v>0</v>
      </c>
      <c r="I9" s="22">
        <f t="shared" ca="1" si="14"/>
        <v>0</v>
      </c>
      <c r="J9" s="17">
        <f t="shared" ca="1" si="15"/>
        <v>0</v>
      </c>
      <c r="K9" s="22">
        <f t="shared" ca="1" si="16"/>
        <v>0</v>
      </c>
      <c r="L9" s="22">
        <f t="shared" ca="1" si="16"/>
        <v>0</v>
      </c>
      <c r="M9" s="22">
        <f t="shared" ca="1" si="16"/>
        <v>0</v>
      </c>
      <c r="N9" s="22">
        <f t="shared" ca="1" si="16"/>
        <v>0</v>
      </c>
      <c r="O9" s="22">
        <f t="shared" ca="1" si="16"/>
        <v>0</v>
      </c>
      <c r="P9" s="22">
        <f t="shared" ca="1" si="16"/>
        <v>0</v>
      </c>
      <c r="Q9" s="22">
        <f t="shared" ca="1" si="16"/>
        <v>0</v>
      </c>
      <c r="R9" s="17">
        <f t="shared" ca="1" si="17"/>
        <v>0</v>
      </c>
      <c r="S9" s="22">
        <f t="shared" ca="1" si="18"/>
        <v>0</v>
      </c>
      <c r="T9" s="22">
        <f t="shared" ca="1" si="18"/>
        <v>0</v>
      </c>
      <c r="U9" s="22">
        <f t="shared" ca="1" si="18"/>
        <v>0</v>
      </c>
      <c r="V9" s="22">
        <f t="shared" ca="1" si="18"/>
        <v>0</v>
      </c>
      <c r="W9" s="22">
        <f t="shared" ca="1" si="18"/>
        <v>0</v>
      </c>
      <c r="X9" s="22">
        <f t="shared" ca="1" si="18"/>
        <v>0</v>
      </c>
      <c r="Y9" s="22">
        <f t="shared" ca="1" si="18"/>
        <v>0</v>
      </c>
      <c r="Z9" s="17">
        <f t="shared" ca="1" si="19"/>
        <v>0</v>
      </c>
      <c r="AA9" s="22">
        <f t="shared" ca="1" si="20"/>
        <v>0</v>
      </c>
      <c r="AB9" s="22">
        <f t="shared" ca="1" si="20"/>
        <v>0</v>
      </c>
      <c r="AC9" s="22">
        <f t="shared" ca="1" si="20"/>
        <v>0</v>
      </c>
      <c r="AD9" s="22">
        <f t="shared" ca="1" si="20"/>
        <v>0</v>
      </c>
      <c r="AE9" s="22">
        <f t="shared" ca="1" si="20"/>
        <v>0</v>
      </c>
      <c r="AF9" s="22">
        <f t="shared" ca="1" si="20"/>
        <v>0</v>
      </c>
      <c r="AG9" s="22">
        <f t="shared" ca="1" si="20"/>
        <v>0</v>
      </c>
      <c r="AH9" s="17">
        <f t="shared" ca="1" si="21"/>
        <v>0</v>
      </c>
      <c r="AI9" s="22">
        <f t="shared" ca="1" si="22"/>
        <v>0</v>
      </c>
      <c r="AJ9" s="22">
        <f t="shared" ca="1" si="22"/>
        <v>0</v>
      </c>
      <c r="AK9" s="22">
        <f t="shared" ca="1" si="22"/>
        <v>0</v>
      </c>
      <c r="AL9" s="22">
        <f t="shared" ca="1" si="22"/>
        <v>0</v>
      </c>
      <c r="AM9" s="22">
        <f t="shared" ca="1" si="22"/>
        <v>0</v>
      </c>
      <c r="AN9" s="22">
        <f t="shared" ca="1" si="22"/>
        <v>0</v>
      </c>
      <c r="AO9" s="22">
        <f t="shared" ca="1" si="22"/>
        <v>0</v>
      </c>
      <c r="AP9" s="17">
        <f t="shared" ca="1" si="23"/>
        <v>0</v>
      </c>
      <c r="AQ9" s="22">
        <f t="shared" ca="1" si="24"/>
        <v>0</v>
      </c>
      <c r="AR9" s="22">
        <f t="shared" ca="1" si="24"/>
        <v>0</v>
      </c>
      <c r="AS9" s="22">
        <f t="shared" ca="1" si="24"/>
        <v>0</v>
      </c>
      <c r="AT9" s="22">
        <f t="shared" ca="1" si="24"/>
        <v>0</v>
      </c>
      <c r="AU9" s="22">
        <f t="shared" ca="1" si="24"/>
        <v>0</v>
      </c>
      <c r="AV9" s="22">
        <f t="shared" ca="1" si="24"/>
        <v>0</v>
      </c>
      <c r="AW9" s="22">
        <f t="shared" ca="1" si="24"/>
        <v>0</v>
      </c>
      <c r="AX9" s="17">
        <f t="shared" ca="1" si="25"/>
        <v>0</v>
      </c>
      <c r="AY9" s="4"/>
      <c r="AZ9" s="4"/>
      <c r="BA9" t="str" cm="1">
        <f t="array" ref="BA9">IF(ISERROR(INDEX(RESULT_SUBJECT,SMALL(IF(COUNTIF($BA$3,MONTH), ROW(MONTH)-MIN(ROW(MONTH))+1),ROW(A4)),COLUMN(A4))),"",INDEX(RESULT_SUBJECT,SMALL(IF(COUNTIF($BA$3,MONTH), ROW(MONTH)-MIN(ROW(MONTH))+1),ROW(A4)),COLUMN(A4)))</f>
        <v>Janna</v>
      </c>
      <c r="BB9" cm="1">
        <f t="array" ref="BB9">IF(ISERROR(INDEX(WEEK,SMALL(IF(COUNTIF($BA$3,MONTH), ROW(MONTH)-MIN(ROW(MONTH))+1),ROW(A4)),COLUMN(A4))),"",INDEX(WEEK,SMALL(IF(COUNTIF($BA$3,MONTH), ROW(MONTH)-MIN(ROW(MONTH))+1),ROW(A4)),COLUMN(A4)))</f>
        <v>29</v>
      </c>
      <c r="BC9" cm="1">
        <f t="array" ref="BC9">IF(ISERROR(INDEX(RESULT_DAY,SMALL(IF(COUNTIF($BA$3,MONTH), ROW(MONTH)-MIN(ROW(MONTH))+1),ROW(A4)),COLUMN(A4))),"",INDEX(RESULT_DAY,SMALL(IF(COUNTIF($BA$3,MONTH), ROW(MONTH)-MIN(ROW(MONTH))+1),ROW(A4)),COLUMN(A4)))</f>
        <v>3</v>
      </c>
      <c r="BD9" s="29">
        <f t="shared" si="26"/>
        <v>44236</v>
      </c>
      <c r="BE9" s="2" cm="1">
        <f t="array" ref="BE9">IF(ISERROR(INDEX(RESULT_DURATION,SMALL(IF(COUNTIF($BA$3,MONTH), ROW(MONTH)-MIN(ROW(MONTH))+1),ROW(A4)),COLUMN(A4))),"",INDEX(RESULT_DURATION,SMALL(IF(COUNTIF($BA$3,MONTH), ROW(MONTH)-MIN(ROW(MONTH))+1),ROW(A4)),COLUMN(A4)))</f>
        <v>30</v>
      </c>
      <c r="BH9" t="str" cm="1">
        <f t="array" ref="BH9">IF(ISERROR(INDEX(RESULT_CATEGORIES,SMALL(IF(COUNTIF($BA$3,MONTH), ROW(MONTH)-MIN(ROW(MONTH))+1),ROW(A4)),COLUMN(A4))),"",INDEX(RESULT_CATEGORIES,SMALL(IF(COUNTIF($BA$3,MONTH), ROW(MONTH)-MIN(ROW(MONTH))+1),ROW(A4)),COLUMN(A4)))</f>
        <v>NOTSET</v>
      </c>
      <c r="BI9" cm="1">
        <f t="array" ref="BI9">IF(ISERROR(INDEX(RESULTLOCATION,SMALL(IF(COUNTIF($BA$3,MONTH), ROW(MONTH)-MIN(ROW(MONTH))+1),ROW(A4)),COLUMN(A4))),"",INDEX(RESULTLOCATION,SMALL(IF(COUNTIF($BA$3,MONTH), ROW(MONTH)-MIN(ROW(MONTH))+1),ROW(A4)),COLUMN(A4)))</f>
        <v>0</v>
      </c>
      <c r="BM9" t="str">
        <v/>
      </c>
      <c r="BN9">
        <f t="shared" si="27"/>
        <v>103</v>
      </c>
      <c r="BO9" s="2">
        <f t="shared" si="28"/>
        <v>1.7166666666666666</v>
      </c>
      <c r="BP9">
        <f t="shared" si="29"/>
        <v>1048571</v>
      </c>
      <c r="BQ9" t="e">
        <f>MATCH(BM9,#REF!,0)</f>
        <v>#REF!</v>
      </c>
      <c r="BR9" t="str">
        <f t="shared" si="30"/>
        <v/>
      </c>
      <c r="BS9" t="e" cm="1">
        <f t="array" ref="BS9">INDEX(#REF!,HistoryResultStats!BQ9)</f>
        <v>#REF!</v>
      </c>
    </row>
    <row r="10" spans="2:71" x14ac:dyDescent="0.3">
      <c r="B10" s="8" t="str">
        <v>Personal</v>
      </c>
      <c r="C10" s="22">
        <f t="shared" ca="1" si="14"/>
        <v>0</v>
      </c>
      <c r="D10" s="22">
        <f t="shared" ca="1" si="14"/>
        <v>0</v>
      </c>
      <c r="E10" s="22">
        <f t="shared" ca="1" si="14"/>
        <v>0</v>
      </c>
      <c r="F10" s="22">
        <f t="shared" ca="1" si="14"/>
        <v>0</v>
      </c>
      <c r="G10" s="22">
        <f t="shared" ca="1" si="14"/>
        <v>0</v>
      </c>
      <c r="H10" s="22">
        <f t="shared" ca="1" si="14"/>
        <v>0</v>
      </c>
      <c r="I10" s="22">
        <f t="shared" ca="1" si="14"/>
        <v>0</v>
      </c>
      <c r="J10" s="17">
        <f t="shared" ca="1" si="15"/>
        <v>0</v>
      </c>
      <c r="K10" s="22">
        <f t="shared" ca="1" si="16"/>
        <v>0</v>
      </c>
      <c r="L10" s="22">
        <f t="shared" ca="1" si="16"/>
        <v>0</v>
      </c>
      <c r="M10" s="22">
        <f t="shared" ca="1" si="16"/>
        <v>0</v>
      </c>
      <c r="N10" s="22">
        <f t="shared" ca="1" si="16"/>
        <v>0</v>
      </c>
      <c r="O10" s="22">
        <f t="shared" ca="1" si="16"/>
        <v>0</v>
      </c>
      <c r="P10" s="22">
        <f t="shared" ca="1" si="16"/>
        <v>0</v>
      </c>
      <c r="Q10" s="22">
        <f t="shared" ca="1" si="16"/>
        <v>0</v>
      </c>
      <c r="R10" s="17">
        <f t="shared" ca="1" si="17"/>
        <v>0</v>
      </c>
      <c r="S10" s="22">
        <f t="shared" ca="1" si="18"/>
        <v>0</v>
      </c>
      <c r="T10" s="22">
        <f t="shared" ca="1" si="18"/>
        <v>0</v>
      </c>
      <c r="U10" s="22">
        <f t="shared" ca="1" si="18"/>
        <v>0</v>
      </c>
      <c r="V10" s="22">
        <f t="shared" ca="1" si="18"/>
        <v>0</v>
      </c>
      <c r="W10" s="22">
        <f t="shared" ca="1" si="18"/>
        <v>0</v>
      </c>
      <c r="X10" s="22">
        <f t="shared" ca="1" si="18"/>
        <v>0</v>
      </c>
      <c r="Y10" s="22">
        <f t="shared" ca="1" si="18"/>
        <v>0</v>
      </c>
      <c r="Z10" s="17">
        <f t="shared" ca="1" si="19"/>
        <v>0</v>
      </c>
      <c r="AA10" s="22">
        <f t="shared" ca="1" si="20"/>
        <v>0</v>
      </c>
      <c r="AB10" s="22">
        <f t="shared" ca="1" si="20"/>
        <v>0</v>
      </c>
      <c r="AC10" s="22">
        <f t="shared" ca="1" si="20"/>
        <v>0</v>
      </c>
      <c r="AD10" s="22">
        <f t="shared" ca="1" si="20"/>
        <v>0</v>
      </c>
      <c r="AE10" s="22">
        <f t="shared" ca="1" si="20"/>
        <v>0</v>
      </c>
      <c r="AF10" s="22">
        <f t="shared" ca="1" si="20"/>
        <v>0</v>
      </c>
      <c r="AG10" s="22">
        <f t="shared" ca="1" si="20"/>
        <v>0</v>
      </c>
      <c r="AH10" s="17">
        <f t="shared" ca="1" si="21"/>
        <v>0</v>
      </c>
      <c r="AI10" s="22">
        <f t="shared" ca="1" si="22"/>
        <v>0</v>
      </c>
      <c r="AJ10" s="22">
        <f t="shared" ca="1" si="22"/>
        <v>0</v>
      </c>
      <c r="AK10" s="22">
        <f t="shared" ca="1" si="22"/>
        <v>0</v>
      </c>
      <c r="AL10" s="22">
        <f t="shared" ca="1" si="22"/>
        <v>0</v>
      </c>
      <c r="AM10" s="22">
        <f t="shared" ca="1" si="22"/>
        <v>0</v>
      </c>
      <c r="AN10" s="22">
        <f t="shared" ca="1" si="22"/>
        <v>0</v>
      </c>
      <c r="AO10" s="22">
        <f t="shared" ca="1" si="22"/>
        <v>0</v>
      </c>
      <c r="AP10" s="17">
        <f t="shared" ca="1" si="23"/>
        <v>0</v>
      </c>
      <c r="AQ10" s="22">
        <f t="shared" ca="1" si="24"/>
        <v>0</v>
      </c>
      <c r="AR10" s="22">
        <f t="shared" ca="1" si="24"/>
        <v>0</v>
      </c>
      <c r="AS10" s="22">
        <f t="shared" ca="1" si="24"/>
        <v>0</v>
      </c>
      <c r="AT10" s="22">
        <f t="shared" ca="1" si="24"/>
        <v>0</v>
      </c>
      <c r="AU10" s="22">
        <f t="shared" ca="1" si="24"/>
        <v>0</v>
      </c>
      <c r="AV10" s="22">
        <f t="shared" ca="1" si="24"/>
        <v>0</v>
      </c>
      <c r="AW10" s="22">
        <f t="shared" ca="1" si="24"/>
        <v>0</v>
      </c>
      <c r="AX10" s="17">
        <f t="shared" ca="1" si="25"/>
        <v>0</v>
      </c>
      <c r="AY10" s="4"/>
      <c r="AZ10" s="4"/>
      <c r="BA10" t="str" cm="1">
        <f t="array" ref="BA10">IF(ISERROR(INDEX(RESULT_SUBJECT,SMALL(IF(COUNTIF($BA$3,MONTH), ROW(MONTH)-MIN(ROW(MONTH))+1),ROW(A5)),COLUMN(A5))),"",INDEX(RESULT_SUBJECT,SMALL(IF(COUNTIF($BA$3,MONTH), ROW(MONTH)-MIN(ROW(MONTH))+1),ROW(A5)),COLUMN(A5)))</f>
        <v/>
      </c>
      <c r="BB10" t="str" cm="1">
        <f t="array" ref="BB10">IF(ISERROR(INDEX(WEEK,SMALL(IF(COUNTIF($BA$3,MONTH), ROW(MONTH)-MIN(ROW(MONTH))+1),ROW(A5)),COLUMN(A5))),"",INDEX(WEEK,SMALL(IF(COUNTIF($BA$3,MONTH), ROW(MONTH)-MIN(ROW(MONTH))+1),ROW(A5)),COLUMN(A5)))</f>
        <v/>
      </c>
      <c r="BC10" t="str" cm="1">
        <f t="array" ref="BC10">IF(ISERROR(INDEX(RESULT_DAY,SMALL(IF(COUNTIF($BA$3,MONTH), ROW(MONTH)-MIN(ROW(MONTH))+1),ROW(A5)),COLUMN(A5))),"",INDEX(RESULT_DAY,SMALL(IF(COUNTIF($BA$3,MONTH), ROW(MONTH)-MIN(ROW(MONTH))+1),ROW(A5)),COLUMN(A5)))</f>
        <v/>
      </c>
      <c r="BD10" s="29" t="str">
        <f t="shared" si="26"/>
        <v/>
      </c>
      <c r="BE10" s="2" t="str" cm="1">
        <f t="array" ref="BE10">IF(ISERROR(INDEX(RESULT_DURATION,SMALL(IF(COUNTIF($BA$3,MONTH), ROW(MONTH)-MIN(ROW(MONTH))+1),ROW(A5)),COLUMN(A5))),"",INDEX(RESULT_DURATION,SMALL(IF(COUNTIF($BA$3,MONTH), ROW(MONTH)-MIN(ROW(MONTH))+1),ROW(A5)),COLUMN(A5)))</f>
        <v/>
      </c>
      <c r="BH10" t="str" cm="1">
        <f t="array" ref="BH10">IF(ISERROR(INDEX(RESULT_CATEGORIES,SMALL(IF(COUNTIF($BA$3,MONTH), ROW(MONTH)-MIN(ROW(MONTH))+1),ROW(A5)),COLUMN(A5))),"",INDEX(RESULT_CATEGORIES,SMALL(IF(COUNTIF($BA$3,MONTH), ROW(MONTH)-MIN(ROW(MONTH))+1),ROW(A5)),COLUMN(A5)))</f>
        <v/>
      </c>
      <c r="BI10" t="str" cm="1">
        <f t="array" ref="BI10">IF(ISERROR(INDEX(RESULTLOCATION,SMALL(IF(COUNTIF($BA$3,MONTH), ROW(MONTH)-MIN(ROW(MONTH))+1),ROW(A5)),COLUMN(A5))),"",INDEX(RESULTLOCATION,SMALL(IF(COUNTIF($BA$3,MONTH), ROW(MONTH)-MIN(ROW(MONTH))+1),ROW(A5)),COLUMN(A5)))</f>
        <v/>
      </c>
      <c r="BN10">
        <f t="shared" si="27"/>
        <v>6180</v>
      </c>
      <c r="BO10" s="2">
        <f t="shared" si="28"/>
        <v>103</v>
      </c>
      <c r="BP10">
        <f t="shared" si="29"/>
        <v>4</v>
      </c>
      <c r="BQ10" t="e">
        <f>MATCH(BM10,#REF!,0)</f>
        <v>#REF!</v>
      </c>
      <c r="BR10" t="str">
        <f t="shared" si="30"/>
        <v>NOTSET</v>
      </c>
      <c r="BS10" t="e" cm="1">
        <f t="array" ref="BS10">INDEX(#REF!,HistoryResultStats!BQ10)</f>
        <v>#REF!</v>
      </c>
    </row>
    <row r="11" spans="2:71" x14ac:dyDescent="0.3">
      <c r="B11" t="str">
        <v>Admin</v>
      </c>
      <c r="C11" s="22">
        <f t="shared" ca="1" si="14"/>
        <v>0</v>
      </c>
      <c r="D11" s="22">
        <f t="shared" ca="1" si="14"/>
        <v>0</v>
      </c>
      <c r="E11" s="22">
        <f t="shared" ca="1" si="14"/>
        <v>0</v>
      </c>
      <c r="F11" s="22">
        <f t="shared" ca="1" si="14"/>
        <v>0</v>
      </c>
      <c r="G11" s="22">
        <f t="shared" ca="1" si="14"/>
        <v>0</v>
      </c>
      <c r="H11" s="22">
        <f t="shared" ca="1" si="14"/>
        <v>0</v>
      </c>
      <c r="I11" s="22">
        <f t="shared" ca="1" si="14"/>
        <v>0</v>
      </c>
      <c r="J11" s="17">
        <f t="shared" ca="1" si="15"/>
        <v>0</v>
      </c>
      <c r="K11" s="22">
        <f t="shared" ca="1" si="16"/>
        <v>0</v>
      </c>
      <c r="L11" s="22">
        <f t="shared" ca="1" si="16"/>
        <v>0</v>
      </c>
      <c r="M11" s="22">
        <f t="shared" ca="1" si="16"/>
        <v>0</v>
      </c>
      <c r="N11" s="22">
        <f t="shared" ca="1" si="16"/>
        <v>0</v>
      </c>
      <c r="O11" s="22">
        <f t="shared" ca="1" si="16"/>
        <v>0</v>
      </c>
      <c r="P11" s="22">
        <f t="shared" ca="1" si="16"/>
        <v>0</v>
      </c>
      <c r="Q11" s="22">
        <f t="shared" ca="1" si="16"/>
        <v>0</v>
      </c>
      <c r="R11" s="17">
        <f t="shared" ca="1" si="17"/>
        <v>0</v>
      </c>
      <c r="S11" s="22">
        <f t="shared" ca="1" si="18"/>
        <v>0</v>
      </c>
      <c r="T11" s="22">
        <f t="shared" ca="1" si="18"/>
        <v>0</v>
      </c>
      <c r="U11" s="22">
        <f t="shared" ca="1" si="18"/>
        <v>0</v>
      </c>
      <c r="V11" s="22">
        <f t="shared" ca="1" si="18"/>
        <v>0</v>
      </c>
      <c r="W11" s="22">
        <f t="shared" ca="1" si="18"/>
        <v>0</v>
      </c>
      <c r="X11" s="22">
        <f t="shared" ca="1" si="18"/>
        <v>0</v>
      </c>
      <c r="Y11" s="22">
        <f t="shared" ca="1" si="18"/>
        <v>0</v>
      </c>
      <c r="Z11" s="17">
        <f t="shared" ca="1" si="19"/>
        <v>0</v>
      </c>
      <c r="AA11" s="22">
        <f t="shared" ca="1" si="20"/>
        <v>0</v>
      </c>
      <c r="AB11" s="22">
        <f t="shared" ca="1" si="20"/>
        <v>0</v>
      </c>
      <c r="AC11" s="22">
        <f t="shared" ca="1" si="20"/>
        <v>0</v>
      </c>
      <c r="AD11" s="22">
        <f t="shared" ca="1" si="20"/>
        <v>0</v>
      </c>
      <c r="AE11" s="22">
        <f t="shared" ca="1" si="20"/>
        <v>0</v>
      </c>
      <c r="AF11" s="22">
        <f t="shared" ca="1" si="20"/>
        <v>0</v>
      </c>
      <c r="AG11" s="22">
        <f t="shared" ca="1" si="20"/>
        <v>0</v>
      </c>
      <c r="AH11" s="17">
        <f t="shared" ca="1" si="21"/>
        <v>0</v>
      </c>
      <c r="AI11" s="22">
        <f t="shared" ca="1" si="22"/>
        <v>0</v>
      </c>
      <c r="AJ11" s="22">
        <f t="shared" ca="1" si="22"/>
        <v>0</v>
      </c>
      <c r="AK11" s="22">
        <f t="shared" ca="1" si="22"/>
        <v>0</v>
      </c>
      <c r="AL11" s="22">
        <f t="shared" ca="1" si="22"/>
        <v>0</v>
      </c>
      <c r="AM11" s="22">
        <f t="shared" ca="1" si="22"/>
        <v>0</v>
      </c>
      <c r="AN11" s="22">
        <f t="shared" ca="1" si="22"/>
        <v>0</v>
      </c>
      <c r="AO11" s="22">
        <f t="shared" ca="1" si="22"/>
        <v>0</v>
      </c>
      <c r="AP11" s="17">
        <f t="shared" ca="1" si="23"/>
        <v>0</v>
      </c>
      <c r="AQ11" s="22">
        <f t="shared" ca="1" si="24"/>
        <v>0</v>
      </c>
      <c r="AR11" s="22">
        <f t="shared" ca="1" si="24"/>
        <v>0</v>
      </c>
      <c r="AS11" s="22">
        <f t="shared" ca="1" si="24"/>
        <v>0</v>
      </c>
      <c r="AT11" s="22">
        <f t="shared" ca="1" si="24"/>
        <v>0</v>
      </c>
      <c r="AU11" s="22">
        <f t="shared" ca="1" si="24"/>
        <v>0</v>
      </c>
      <c r="AV11" s="22">
        <f t="shared" ca="1" si="24"/>
        <v>0</v>
      </c>
      <c r="AW11" s="22">
        <f t="shared" ca="1" si="24"/>
        <v>0</v>
      </c>
      <c r="AX11" s="17">
        <f t="shared" ca="1" si="25"/>
        <v>0</v>
      </c>
      <c r="AY11" s="4"/>
      <c r="AZ11" s="4"/>
      <c r="BA11" t="str" cm="1">
        <f t="array" ref="BA11">IF(ISERROR(INDEX(RESULT_SUBJECT,SMALL(IF(COUNTIF($BA$3,MONTH), ROW(MONTH)-MIN(ROW(MONTH))+1),ROW(A6)),COLUMN(A6))),"",INDEX(RESULT_SUBJECT,SMALL(IF(COUNTIF($BA$3,MONTH), ROW(MONTH)-MIN(ROW(MONTH))+1),ROW(A6)),COLUMN(A6)))</f>
        <v/>
      </c>
      <c r="BB11" t="str" cm="1">
        <f t="array" ref="BB11">IF(ISERROR(INDEX(WEEK,SMALL(IF(COUNTIF($BA$3,MONTH), ROW(MONTH)-MIN(ROW(MONTH))+1),ROW(A6)),COLUMN(A6))),"",INDEX(WEEK,SMALL(IF(COUNTIF($BA$3,MONTH), ROW(MONTH)-MIN(ROW(MONTH))+1),ROW(A6)),COLUMN(A6)))</f>
        <v/>
      </c>
      <c r="BC11" t="str" cm="1">
        <f t="array" ref="BC11">IF(ISERROR(INDEX(RESULT_DAY,SMALL(IF(COUNTIF($BA$3,MONTH), ROW(MONTH)-MIN(ROW(MONTH))+1),ROW(A6)),COLUMN(A6))),"",INDEX(RESULT_DAY,SMALL(IF(COUNTIF($BA$3,MONTH), ROW(MONTH)-MIN(ROW(MONTH))+1),ROW(A6)),COLUMN(A6)))</f>
        <v/>
      </c>
      <c r="BD11" s="29" t="str">
        <f t="shared" si="26"/>
        <v/>
      </c>
      <c r="BE11" s="2" t="str" cm="1">
        <f t="array" ref="BE11">IF(ISERROR(INDEX(RESULT_DURATION,SMALL(IF(COUNTIF($BA$3,MONTH), ROW(MONTH)-MIN(ROW(MONTH))+1),ROW(A6)),COLUMN(A6))),"",INDEX(RESULT_DURATION,SMALL(IF(COUNTIF($BA$3,MONTH), ROW(MONTH)-MIN(ROW(MONTH))+1),ROW(A6)),COLUMN(A6)))</f>
        <v/>
      </c>
      <c r="BH11" t="str" cm="1">
        <f t="array" ref="BH11">IF(ISERROR(INDEX(RESULT_CATEGORIES,SMALL(IF(COUNTIF($BA$3,MONTH), ROW(MONTH)-MIN(ROW(MONTH))+1),ROW(A6)),COLUMN(A6))),"",INDEX(RESULT_CATEGORIES,SMALL(IF(COUNTIF($BA$3,MONTH), ROW(MONTH)-MIN(ROW(MONTH))+1),ROW(A6)),COLUMN(A6)))</f>
        <v/>
      </c>
      <c r="BI11" t="str" cm="1">
        <f t="array" ref="BI11">IF(ISERROR(INDEX(RESULTLOCATION,SMALL(IF(COUNTIF($BA$3,MONTH), ROW(MONTH)-MIN(ROW(MONTH))+1),ROW(A6)),COLUMN(A6))),"",INDEX(RESULTLOCATION,SMALL(IF(COUNTIF($BA$3,MONTH), ROW(MONTH)-MIN(ROW(MONTH))+1),ROW(A6)),COLUMN(A6)))</f>
        <v/>
      </c>
      <c r="BN11">
        <f t="shared" si="27"/>
        <v>6180</v>
      </c>
      <c r="BO11" s="2">
        <f t="shared" si="28"/>
        <v>103</v>
      </c>
      <c r="BP11">
        <f t="shared" si="29"/>
        <v>4</v>
      </c>
      <c r="BQ11" t="e">
        <f>MATCH(BM11,#REF!,0)</f>
        <v>#REF!</v>
      </c>
      <c r="BR11" t="str">
        <f t="shared" si="30"/>
        <v>NOTSET</v>
      </c>
      <c r="BS11" t="e" cm="1">
        <f t="array" ref="BS11">INDEX(#REF!,HistoryResultStats!BQ11)</f>
        <v>#REF!</v>
      </c>
    </row>
    <row r="12" spans="2:71" x14ac:dyDescent="0.3">
      <c r="B12" s="11">
        <v>0</v>
      </c>
      <c r="C12" s="22">
        <f t="shared" ca="1" si="14"/>
        <v>0</v>
      </c>
      <c r="D12" s="22">
        <f t="shared" ca="1" si="14"/>
        <v>0</v>
      </c>
      <c r="E12" s="22">
        <f t="shared" ca="1" si="14"/>
        <v>0</v>
      </c>
      <c r="F12" s="22">
        <f t="shared" ca="1" si="14"/>
        <v>0</v>
      </c>
      <c r="G12" s="22">
        <f t="shared" ca="1" si="14"/>
        <v>0</v>
      </c>
      <c r="H12" s="22">
        <f t="shared" ca="1" si="14"/>
        <v>0</v>
      </c>
      <c r="I12" s="22">
        <f t="shared" ca="1" si="14"/>
        <v>0</v>
      </c>
      <c r="J12" s="17">
        <f t="shared" ca="1" si="15"/>
        <v>0</v>
      </c>
      <c r="K12" s="22">
        <f t="shared" ca="1" si="16"/>
        <v>0</v>
      </c>
      <c r="L12" s="22">
        <f t="shared" ca="1" si="16"/>
        <v>0</v>
      </c>
      <c r="M12" s="22">
        <f t="shared" ca="1" si="16"/>
        <v>0</v>
      </c>
      <c r="N12" s="22">
        <f t="shared" ca="1" si="16"/>
        <v>0</v>
      </c>
      <c r="O12" s="22">
        <f t="shared" ca="1" si="16"/>
        <v>0</v>
      </c>
      <c r="P12" s="22">
        <f t="shared" ca="1" si="16"/>
        <v>0</v>
      </c>
      <c r="Q12" s="22">
        <f t="shared" ca="1" si="16"/>
        <v>0</v>
      </c>
      <c r="R12" s="17">
        <f t="shared" ca="1" si="17"/>
        <v>0</v>
      </c>
      <c r="S12" s="22">
        <f t="shared" ca="1" si="18"/>
        <v>0</v>
      </c>
      <c r="T12" s="22">
        <f t="shared" ca="1" si="18"/>
        <v>0</v>
      </c>
      <c r="U12" s="22">
        <f t="shared" ca="1" si="18"/>
        <v>0</v>
      </c>
      <c r="V12" s="22">
        <f t="shared" ca="1" si="18"/>
        <v>0</v>
      </c>
      <c r="W12" s="22">
        <f t="shared" ca="1" si="18"/>
        <v>0</v>
      </c>
      <c r="X12" s="22">
        <f t="shared" ca="1" si="18"/>
        <v>0</v>
      </c>
      <c r="Y12" s="22">
        <f t="shared" ca="1" si="18"/>
        <v>0</v>
      </c>
      <c r="Z12" s="17">
        <f t="shared" ca="1" si="19"/>
        <v>0</v>
      </c>
      <c r="AA12" s="22">
        <f t="shared" ca="1" si="20"/>
        <v>0</v>
      </c>
      <c r="AB12" s="22">
        <f t="shared" ca="1" si="20"/>
        <v>0</v>
      </c>
      <c r="AC12" s="22">
        <f t="shared" ca="1" si="20"/>
        <v>0</v>
      </c>
      <c r="AD12" s="22">
        <f t="shared" ca="1" si="20"/>
        <v>0</v>
      </c>
      <c r="AE12" s="22">
        <f t="shared" ca="1" si="20"/>
        <v>0</v>
      </c>
      <c r="AF12" s="22">
        <f t="shared" ca="1" si="20"/>
        <v>0</v>
      </c>
      <c r="AG12" s="22">
        <f t="shared" ca="1" si="20"/>
        <v>0</v>
      </c>
      <c r="AH12" s="17">
        <f t="shared" ca="1" si="21"/>
        <v>0</v>
      </c>
      <c r="AI12" s="22">
        <f t="shared" ca="1" si="22"/>
        <v>0</v>
      </c>
      <c r="AJ12" s="22">
        <f t="shared" ca="1" si="22"/>
        <v>0</v>
      </c>
      <c r="AK12" s="22">
        <f t="shared" ca="1" si="22"/>
        <v>0</v>
      </c>
      <c r="AL12" s="22">
        <f t="shared" ca="1" si="22"/>
        <v>0</v>
      </c>
      <c r="AM12" s="22">
        <f t="shared" ca="1" si="22"/>
        <v>0</v>
      </c>
      <c r="AN12" s="22">
        <f t="shared" ca="1" si="22"/>
        <v>0</v>
      </c>
      <c r="AO12" s="22">
        <f t="shared" ca="1" si="22"/>
        <v>0</v>
      </c>
      <c r="AP12" s="17">
        <f t="shared" ca="1" si="23"/>
        <v>0</v>
      </c>
      <c r="AQ12" s="22">
        <f t="shared" ca="1" si="24"/>
        <v>0</v>
      </c>
      <c r="AR12" s="22">
        <f t="shared" ca="1" si="24"/>
        <v>0</v>
      </c>
      <c r="AS12" s="22">
        <f t="shared" ca="1" si="24"/>
        <v>0</v>
      </c>
      <c r="AT12" s="22">
        <f t="shared" ca="1" si="24"/>
        <v>0</v>
      </c>
      <c r="AU12" s="22">
        <f t="shared" ca="1" si="24"/>
        <v>0</v>
      </c>
      <c r="AV12" s="22">
        <f t="shared" ca="1" si="24"/>
        <v>0</v>
      </c>
      <c r="AW12" s="22">
        <f t="shared" ca="1" si="24"/>
        <v>0</v>
      </c>
      <c r="AX12" s="17">
        <f t="shared" ca="1" si="25"/>
        <v>0</v>
      </c>
      <c r="AY12" s="4"/>
      <c r="AZ12" s="4"/>
      <c r="BA12" t="str" cm="1">
        <f t="array" ref="BA12">IF(ISERROR(INDEX(RESULT_SUBJECT,SMALL(IF(COUNTIF($BA$3,MONTH), ROW(MONTH)-MIN(ROW(MONTH))+1),ROW(A7)),COLUMN(A7))),"",INDEX(RESULT_SUBJECT,SMALL(IF(COUNTIF($BA$3,MONTH), ROW(MONTH)-MIN(ROW(MONTH))+1),ROW(A7)),COLUMN(A7)))</f>
        <v/>
      </c>
      <c r="BB12" t="str" cm="1">
        <f t="array" ref="BB12">IF(ISERROR(INDEX(WEEK,SMALL(IF(COUNTIF($BA$3,MONTH), ROW(MONTH)-MIN(ROW(MONTH))+1),ROW(A7)),COLUMN(A7))),"",INDEX(WEEK,SMALL(IF(COUNTIF($BA$3,MONTH), ROW(MONTH)-MIN(ROW(MONTH))+1),ROW(A7)),COLUMN(A7)))</f>
        <v/>
      </c>
      <c r="BC12" t="str" cm="1">
        <f t="array" ref="BC12">IF(ISERROR(INDEX(RESULT_DAY,SMALL(IF(COUNTIF($BA$3,MONTH), ROW(MONTH)-MIN(ROW(MONTH))+1),ROW(A7)),COLUMN(A7))),"",INDEX(RESULT_DAY,SMALL(IF(COUNTIF($BA$3,MONTH), ROW(MONTH)-MIN(ROW(MONTH))+1),ROW(A7)),COLUMN(A7)))</f>
        <v/>
      </c>
      <c r="BD12" s="29" t="str">
        <f t="shared" si="26"/>
        <v/>
      </c>
      <c r="BE12" s="2" t="str" cm="1">
        <f t="array" ref="BE12">IF(ISERROR(INDEX(RESULT_DURATION,SMALL(IF(COUNTIF($BA$3,MONTH), ROW(MONTH)-MIN(ROW(MONTH))+1),ROW(A7)),COLUMN(A7))),"",INDEX(RESULT_DURATION,SMALL(IF(COUNTIF($BA$3,MONTH), ROW(MONTH)-MIN(ROW(MONTH))+1),ROW(A7)),COLUMN(A7)))</f>
        <v/>
      </c>
      <c r="BH12" t="str" cm="1">
        <f t="array" ref="BH12">IF(ISERROR(INDEX(RESULT_CATEGORIES,SMALL(IF(COUNTIF($BA$3,MONTH), ROW(MONTH)-MIN(ROW(MONTH))+1),ROW(A7)),COLUMN(A7))),"",INDEX(RESULT_CATEGORIES,SMALL(IF(COUNTIF($BA$3,MONTH), ROW(MONTH)-MIN(ROW(MONTH))+1),ROW(A7)),COLUMN(A7)))</f>
        <v/>
      </c>
      <c r="BI12" t="str" cm="1">
        <f t="array" ref="BI12">IF(ISERROR(INDEX(RESULTLOCATION,SMALL(IF(COUNTIF($BA$3,MONTH), ROW(MONTH)-MIN(ROW(MONTH))+1),ROW(A7)),COLUMN(A7))),"",INDEX(RESULTLOCATION,SMALL(IF(COUNTIF($BA$3,MONTH), ROW(MONTH)-MIN(ROW(MONTH))+1),ROW(A7)),COLUMN(A7)))</f>
        <v/>
      </c>
      <c r="BN12">
        <f t="shared" si="27"/>
        <v>6180</v>
      </c>
      <c r="BO12" s="2">
        <f t="shared" si="28"/>
        <v>103</v>
      </c>
      <c r="BP12">
        <f t="shared" si="29"/>
        <v>4</v>
      </c>
      <c r="BQ12" t="e">
        <f>MATCH(BM12,#REF!,0)</f>
        <v>#REF!</v>
      </c>
      <c r="BR12" t="str">
        <f t="shared" si="30"/>
        <v>NOTSET</v>
      </c>
      <c r="BS12" t="e" cm="1">
        <f t="array" ref="BS12">INDEX(#REF!,HistoryResultStats!BQ12)</f>
        <v>#REF!</v>
      </c>
    </row>
    <row r="13" spans="2:71" x14ac:dyDescent="0.3">
      <c r="B13" s="9"/>
      <c r="C13" s="22">
        <f t="shared" ca="1" si="14"/>
        <v>0</v>
      </c>
      <c r="D13" s="22">
        <f t="shared" ca="1" si="14"/>
        <v>0</v>
      </c>
      <c r="E13" s="22">
        <f t="shared" ca="1" si="14"/>
        <v>0</v>
      </c>
      <c r="F13" s="22">
        <f t="shared" ca="1" si="14"/>
        <v>0</v>
      </c>
      <c r="G13" s="22">
        <f t="shared" ca="1" si="14"/>
        <v>0</v>
      </c>
      <c r="H13" s="22">
        <f t="shared" ca="1" si="14"/>
        <v>0</v>
      </c>
      <c r="I13" s="22">
        <f t="shared" ca="1" si="14"/>
        <v>0</v>
      </c>
      <c r="J13" s="17">
        <f t="shared" ca="1" si="15"/>
        <v>0</v>
      </c>
      <c r="K13" s="22">
        <f t="shared" ca="1" si="16"/>
        <v>0</v>
      </c>
      <c r="L13" s="22">
        <f t="shared" ca="1" si="16"/>
        <v>0</v>
      </c>
      <c r="M13" s="22">
        <f t="shared" ca="1" si="16"/>
        <v>0</v>
      </c>
      <c r="N13" s="22">
        <f t="shared" ca="1" si="16"/>
        <v>0</v>
      </c>
      <c r="O13" s="22">
        <f t="shared" ca="1" si="16"/>
        <v>0</v>
      </c>
      <c r="P13" s="22">
        <f t="shared" ca="1" si="16"/>
        <v>0</v>
      </c>
      <c r="Q13" s="22">
        <f t="shared" ca="1" si="16"/>
        <v>0</v>
      </c>
      <c r="R13" s="17">
        <f t="shared" ca="1" si="17"/>
        <v>0</v>
      </c>
      <c r="S13" s="22">
        <f t="shared" ca="1" si="18"/>
        <v>0</v>
      </c>
      <c r="T13" s="22">
        <f t="shared" ca="1" si="18"/>
        <v>0</v>
      </c>
      <c r="U13" s="22">
        <f t="shared" ca="1" si="18"/>
        <v>0</v>
      </c>
      <c r="V13" s="22">
        <f t="shared" ca="1" si="18"/>
        <v>0</v>
      </c>
      <c r="W13" s="22">
        <f t="shared" ca="1" si="18"/>
        <v>0</v>
      </c>
      <c r="X13" s="22">
        <f t="shared" ca="1" si="18"/>
        <v>0</v>
      </c>
      <c r="Y13" s="22">
        <f t="shared" ca="1" si="18"/>
        <v>0</v>
      </c>
      <c r="Z13" s="17">
        <f t="shared" ca="1" si="19"/>
        <v>0</v>
      </c>
      <c r="AA13" s="22">
        <f t="shared" ca="1" si="20"/>
        <v>0</v>
      </c>
      <c r="AB13" s="22">
        <f t="shared" ca="1" si="20"/>
        <v>0</v>
      </c>
      <c r="AC13" s="22">
        <f t="shared" ca="1" si="20"/>
        <v>0</v>
      </c>
      <c r="AD13" s="22">
        <f t="shared" ca="1" si="20"/>
        <v>0</v>
      </c>
      <c r="AE13" s="22">
        <f t="shared" ca="1" si="20"/>
        <v>0</v>
      </c>
      <c r="AF13" s="22">
        <f t="shared" ca="1" si="20"/>
        <v>0</v>
      </c>
      <c r="AG13" s="22">
        <f t="shared" ca="1" si="20"/>
        <v>0</v>
      </c>
      <c r="AH13" s="17">
        <f t="shared" ca="1" si="21"/>
        <v>0</v>
      </c>
      <c r="AI13" s="22">
        <f t="shared" ca="1" si="22"/>
        <v>0</v>
      </c>
      <c r="AJ13" s="22">
        <f t="shared" ca="1" si="22"/>
        <v>0</v>
      </c>
      <c r="AK13" s="22">
        <f t="shared" ca="1" si="22"/>
        <v>0</v>
      </c>
      <c r="AL13" s="22">
        <f t="shared" ca="1" si="22"/>
        <v>0</v>
      </c>
      <c r="AM13" s="22">
        <f t="shared" ca="1" si="22"/>
        <v>0</v>
      </c>
      <c r="AN13" s="22">
        <f t="shared" ca="1" si="22"/>
        <v>0</v>
      </c>
      <c r="AO13" s="22">
        <f t="shared" ca="1" si="22"/>
        <v>0</v>
      </c>
      <c r="AP13" s="17">
        <f t="shared" ca="1" si="23"/>
        <v>0</v>
      </c>
      <c r="AQ13" s="22">
        <f t="shared" ca="1" si="24"/>
        <v>0</v>
      </c>
      <c r="AR13" s="22">
        <f t="shared" ca="1" si="24"/>
        <v>0</v>
      </c>
      <c r="AS13" s="22">
        <f t="shared" ca="1" si="24"/>
        <v>0</v>
      </c>
      <c r="AT13" s="22">
        <f t="shared" ca="1" si="24"/>
        <v>0</v>
      </c>
      <c r="AU13" s="22">
        <f t="shared" ca="1" si="24"/>
        <v>0</v>
      </c>
      <c r="AV13" s="22">
        <f t="shared" ca="1" si="24"/>
        <v>0</v>
      </c>
      <c r="AW13" s="22">
        <f t="shared" ca="1" si="24"/>
        <v>0</v>
      </c>
      <c r="AX13" s="17">
        <f t="shared" ca="1" si="25"/>
        <v>0</v>
      </c>
      <c r="AY13" s="4"/>
      <c r="AZ13" s="4"/>
      <c r="BA13" t="str" cm="1">
        <f t="array" ref="BA13">IF(ISERROR(INDEX(RESULT_SUBJECT,SMALL(IF(COUNTIF($BA$3,MONTH), ROW(MONTH)-MIN(ROW(MONTH))+1),ROW(A8)),COLUMN(A8))),"",INDEX(RESULT_SUBJECT,SMALL(IF(COUNTIF($BA$3,MONTH), ROW(MONTH)-MIN(ROW(MONTH))+1),ROW(A8)),COLUMN(A8)))</f>
        <v/>
      </c>
      <c r="BB13" t="str" cm="1">
        <f t="array" ref="BB13">IF(ISERROR(INDEX(WEEK,SMALL(IF(COUNTIF($BA$3,MONTH), ROW(MONTH)-MIN(ROW(MONTH))+1),ROW(A8)),COLUMN(A8))),"",INDEX(WEEK,SMALL(IF(COUNTIF($BA$3,MONTH), ROW(MONTH)-MIN(ROW(MONTH))+1),ROW(A8)),COLUMN(A8)))</f>
        <v/>
      </c>
      <c r="BC13" t="str" cm="1">
        <f t="array" ref="BC13">IF(ISERROR(INDEX(RESULT_DAY,SMALL(IF(COUNTIF($BA$3,MONTH), ROW(MONTH)-MIN(ROW(MONTH))+1),ROW(A8)),COLUMN(A8))),"",INDEX(RESULT_DAY,SMALL(IF(COUNTIF($BA$3,MONTH), ROW(MONTH)-MIN(ROW(MONTH))+1),ROW(A8)),COLUMN(A8)))</f>
        <v/>
      </c>
      <c r="BD13" s="29" t="str">
        <f t="shared" si="26"/>
        <v/>
      </c>
      <c r="BE13" s="2" t="str" cm="1">
        <f t="array" ref="BE13">IF(ISERROR(INDEX(RESULT_DURATION,SMALL(IF(COUNTIF($BA$3,MONTH), ROW(MONTH)-MIN(ROW(MONTH))+1),ROW(A8)),COLUMN(A8))),"",INDEX(RESULT_DURATION,SMALL(IF(COUNTIF($BA$3,MONTH), ROW(MONTH)-MIN(ROW(MONTH))+1),ROW(A8)),COLUMN(A8)))</f>
        <v/>
      </c>
      <c r="BH13" t="str" cm="1">
        <f t="array" ref="BH13">IF(ISERROR(INDEX(RESULT_CATEGORIES,SMALL(IF(COUNTIF($BA$3,MONTH), ROW(MONTH)-MIN(ROW(MONTH))+1),ROW(A8)),COLUMN(A8))),"",INDEX(RESULT_CATEGORIES,SMALL(IF(COUNTIF($BA$3,MONTH), ROW(MONTH)-MIN(ROW(MONTH))+1),ROW(A8)),COLUMN(A8)))</f>
        <v/>
      </c>
      <c r="BI13" t="str" cm="1">
        <f t="array" ref="BI13">IF(ISERROR(INDEX(RESULTLOCATION,SMALL(IF(COUNTIF($BA$3,MONTH), ROW(MONTH)-MIN(ROW(MONTH))+1),ROW(A8)),COLUMN(A8))),"",INDEX(RESULTLOCATION,SMALL(IF(COUNTIF($BA$3,MONTH), ROW(MONTH)-MIN(ROW(MONTH))+1),ROW(A8)),COLUMN(A8)))</f>
        <v/>
      </c>
      <c r="BN13">
        <f t="shared" si="27"/>
        <v>6180</v>
      </c>
      <c r="BO13" s="2">
        <f t="shared" si="28"/>
        <v>103</v>
      </c>
      <c r="BP13">
        <f t="shared" si="29"/>
        <v>4</v>
      </c>
      <c r="BQ13" t="e">
        <f>MATCH(BM13,#REF!,0)</f>
        <v>#REF!</v>
      </c>
      <c r="BR13" t="str">
        <f t="shared" si="30"/>
        <v>NOTSET</v>
      </c>
      <c r="BS13" t="e" cm="1">
        <f t="array" ref="BS13">INDEX(#REF!,HistoryResultStats!BQ13)</f>
        <v>#REF!</v>
      </c>
    </row>
    <row r="14" spans="2:71" x14ac:dyDescent="0.3">
      <c r="B14" s="9"/>
      <c r="C14" s="22"/>
      <c r="D14" s="22"/>
      <c r="E14" s="22"/>
      <c r="F14" s="22"/>
      <c r="G14" s="22"/>
      <c r="H14" s="22"/>
      <c r="I14" s="22"/>
      <c r="J14" s="17"/>
      <c r="K14" s="22"/>
      <c r="L14" s="22"/>
      <c r="M14" s="22"/>
      <c r="N14" s="22"/>
      <c r="O14" s="22"/>
      <c r="P14" s="22"/>
      <c r="Q14" s="22"/>
      <c r="R14" s="17"/>
      <c r="S14" s="22"/>
      <c r="T14" s="22"/>
      <c r="U14" s="22"/>
      <c r="V14" s="22"/>
      <c r="W14" s="22"/>
      <c r="X14" s="22"/>
      <c r="Y14" s="22"/>
      <c r="Z14" s="17"/>
      <c r="AA14" s="22"/>
      <c r="AB14" s="22"/>
      <c r="AC14" s="22"/>
      <c r="AD14" s="22"/>
      <c r="AE14" s="22"/>
      <c r="AF14" s="22"/>
      <c r="AG14" s="22"/>
      <c r="AH14" s="17"/>
      <c r="AI14" s="22"/>
      <c r="AJ14" s="22"/>
      <c r="AK14" s="22"/>
      <c r="AL14" s="22"/>
      <c r="AM14" s="22"/>
      <c r="AN14" s="22"/>
      <c r="AO14" s="22"/>
      <c r="AP14" s="17"/>
      <c r="AQ14" s="22"/>
      <c r="AR14" s="22"/>
      <c r="AS14" s="22"/>
      <c r="AT14" s="22"/>
      <c r="AU14" s="22"/>
      <c r="AV14" s="22"/>
      <c r="AW14" s="22"/>
      <c r="AX14" s="17"/>
      <c r="AY14" s="4"/>
      <c r="AZ14" s="4"/>
      <c r="BA14" t="str" cm="1">
        <f t="array" ref="BA14">IF(ISERROR(INDEX(RESULT_SUBJECT,SMALL(IF(COUNTIF($BA$3,MONTH), ROW(MONTH)-MIN(ROW(MONTH))+1),ROW(A9)),COLUMN(A9))),"",INDEX(RESULT_SUBJECT,SMALL(IF(COUNTIF($BA$3,MONTH), ROW(MONTH)-MIN(ROW(MONTH))+1),ROW(A9)),COLUMN(A9)))</f>
        <v/>
      </c>
      <c r="BB14" t="str" cm="1">
        <f t="array" ref="BB14">IF(ISERROR(INDEX(WEEK,SMALL(IF(COUNTIF($BA$3,MONTH), ROW(MONTH)-MIN(ROW(MONTH))+1),ROW(A9)),COLUMN(A9))),"",INDEX(WEEK,SMALL(IF(COUNTIF($BA$3,MONTH), ROW(MONTH)-MIN(ROW(MONTH))+1),ROW(A9)),COLUMN(A9)))</f>
        <v/>
      </c>
      <c r="BC14" t="str" cm="1">
        <f t="array" ref="BC14">IF(ISERROR(INDEX(RESULT_DAY,SMALL(IF(COUNTIF($BA$3,MONTH), ROW(MONTH)-MIN(ROW(MONTH))+1),ROW(A9)),COLUMN(A9))),"",INDEX(RESULT_DAY,SMALL(IF(COUNTIF($BA$3,MONTH), ROW(MONTH)-MIN(ROW(MONTH))+1),ROW(A9)),COLUMN(A9)))</f>
        <v/>
      </c>
      <c r="BD14" s="29" t="str">
        <f t="shared" si="26"/>
        <v/>
      </c>
      <c r="BE14" s="2" t="str" cm="1">
        <f t="array" ref="BE14">IF(ISERROR(INDEX(RESULT_DURATION,SMALL(IF(COUNTIF($BA$3,MONTH), ROW(MONTH)-MIN(ROW(MONTH))+1),ROW(A9)),COLUMN(A9))),"",INDEX(RESULT_DURATION,SMALL(IF(COUNTIF($BA$3,MONTH), ROW(MONTH)-MIN(ROW(MONTH))+1),ROW(A9)),COLUMN(A9)))</f>
        <v/>
      </c>
      <c r="BH14" t="str" cm="1">
        <f t="array" ref="BH14">IF(ISERROR(INDEX(RESULT_CATEGORIES,SMALL(IF(COUNTIF($BA$3,MONTH), ROW(MONTH)-MIN(ROW(MONTH))+1),ROW(A9)),COLUMN(A9))),"",INDEX(RESULT_CATEGORIES,SMALL(IF(COUNTIF($BA$3,MONTH), ROW(MONTH)-MIN(ROW(MONTH))+1),ROW(A9)),COLUMN(A9)))</f>
        <v/>
      </c>
      <c r="BI14" t="str" cm="1">
        <f t="array" ref="BI14">IF(ISERROR(INDEX(RESULTLOCATION,SMALL(IF(COUNTIF($BA$3,MONTH), ROW(MONTH)-MIN(ROW(MONTH))+1),ROW(A9)),COLUMN(A9))),"",INDEX(RESULTLOCATION,SMALL(IF(COUNTIF($BA$3,MONTH), ROW(MONTH)-MIN(ROW(MONTH))+1),ROW(A9)),COLUMN(A9)))</f>
        <v/>
      </c>
      <c r="BN14">
        <f t="shared" si="27"/>
        <v>6180</v>
      </c>
      <c r="BO14" s="2">
        <f t="shared" si="28"/>
        <v>103</v>
      </c>
      <c r="BP14">
        <f t="shared" si="29"/>
        <v>4</v>
      </c>
      <c r="BQ14" t="e">
        <f>MATCH(BM14,#REF!,0)</f>
        <v>#REF!</v>
      </c>
      <c r="BR14" t="str">
        <f t="shared" si="30"/>
        <v>NOTSET</v>
      </c>
      <c r="BS14" t="e" cm="1">
        <f t="array" ref="BS14">INDEX(#REF!,HistoryResultStats!BQ14)</f>
        <v>#REF!</v>
      </c>
    </row>
    <row r="15" spans="2:71" x14ac:dyDescent="0.3">
      <c r="B15" s="9"/>
      <c r="C15" s="22"/>
      <c r="D15" s="22"/>
      <c r="E15" s="22"/>
      <c r="F15" s="22"/>
      <c r="G15" s="22"/>
      <c r="H15" s="22"/>
      <c r="I15" s="22"/>
      <c r="J15" s="17"/>
      <c r="K15" s="22"/>
      <c r="L15" s="22"/>
      <c r="M15" s="22"/>
      <c r="N15" s="22"/>
      <c r="O15" s="22"/>
      <c r="P15" s="22"/>
      <c r="Q15" s="22"/>
      <c r="R15" s="17"/>
      <c r="S15" s="22"/>
      <c r="T15" s="22"/>
      <c r="U15" s="22"/>
      <c r="V15" s="22"/>
      <c r="W15" s="22"/>
      <c r="X15" s="22"/>
      <c r="Y15" s="22"/>
      <c r="Z15" s="17"/>
      <c r="AA15" s="22"/>
      <c r="AB15" s="22"/>
      <c r="AC15" s="22"/>
      <c r="AD15" s="22"/>
      <c r="AE15" s="22"/>
      <c r="AF15" s="22"/>
      <c r="AG15" s="22"/>
      <c r="AH15" s="17"/>
      <c r="AI15" s="22"/>
      <c r="AJ15" s="22"/>
      <c r="AK15" s="22"/>
      <c r="AL15" s="22"/>
      <c r="AM15" s="22"/>
      <c r="AN15" s="22"/>
      <c r="AO15" s="22"/>
      <c r="AP15" s="17"/>
      <c r="AQ15" s="22"/>
      <c r="AR15" s="22"/>
      <c r="AS15" s="22"/>
      <c r="AT15" s="22"/>
      <c r="AU15" s="22"/>
      <c r="AV15" s="22"/>
      <c r="AW15" s="22"/>
      <c r="AX15" s="17"/>
      <c r="AY15" s="4"/>
      <c r="AZ15" s="4"/>
      <c r="BA15" t="str" cm="1">
        <f t="array" ref="BA15">IF(ISERROR(INDEX(RESULT_SUBJECT,SMALL(IF(COUNTIF($BA$3,MONTH), ROW(MONTH)-MIN(ROW(MONTH))+1),ROW(A10)),COLUMN(A10))),"",INDEX(RESULT_SUBJECT,SMALL(IF(COUNTIF($BA$3,MONTH), ROW(MONTH)-MIN(ROW(MONTH))+1),ROW(A10)),COLUMN(A10)))</f>
        <v/>
      </c>
      <c r="BB15" t="str" cm="1">
        <f t="array" ref="BB15">IF(ISERROR(INDEX(WEEK,SMALL(IF(COUNTIF($BA$3,MONTH), ROW(MONTH)-MIN(ROW(MONTH))+1),ROW(A10)),COLUMN(A10))),"",INDEX(WEEK,SMALL(IF(COUNTIF($BA$3,MONTH), ROW(MONTH)-MIN(ROW(MONTH))+1),ROW(A10)),COLUMN(A10)))</f>
        <v/>
      </c>
      <c r="BC15" t="str" cm="1">
        <f t="array" ref="BC15">IF(ISERROR(INDEX(RESULT_DAY,SMALL(IF(COUNTIF($BA$3,MONTH), ROW(MONTH)-MIN(ROW(MONTH))+1),ROW(A10)),COLUMN(A10))),"",INDEX(RESULT_DAY,SMALL(IF(COUNTIF($BA$3,MONTH), ROW(MONTH)-MIN(ROW(MONTH))+1),ROW(A10)),COLUMN(A10)))</f>
        <v/>
      </c>
      <c r="BD15" s="29" t="str">
        <f t="shared" si="26"/>
        <v/>
      </c>
      <c r="BE15" s="2" t="str" cm="1">
        <f t="array" ref="BE15">IF(ISERROR(INDEX(RESULT_DURATION,SMALL(IF(COUNTIF($BA$3,MONTH), ROW(MONTH)-MIN(ROW(MONTH))+1),ROW(A10)),COLUMN(A10))),"",INDEX(RESULT_DURATION,SMALL(IF(COUNTIF($BA$3,MONTH), ROW(MONTH)-MIN(ROW(MONTH))+1),ROW(A10)),COLUMN(A10)))</f>
        <v/>
      </c>
      <c r="BH15" t="str" cm="1">
        <f t="array" ref="BH15">IF(ISERROR(INDEX(RESULT_CATEGORIES,SMALL(IF(COUNTIF($BA$3,MONTH), ROW(MONTH)-MIN(ROW(MONTH))+1),ROW(A10)),COLUMN(A10))),"",INDEX(RESULT_CATEGORIES,SMALL(IF(COUNTIF($BA$3,MONTH), ROW(MONTH)-MIN(ROW(MONTH))+1),ROW(A10)),COLUMN(A10)))</f>
        <v/>
      </c>
      <c r="BI15" t="str" cm="1">
        <f t="array" ref="BI15">IF(ISERROR(INDEX(RESULTLOCATION,SMALL(IF(COUNTIF($BA$3,MONTH), ROW(MONTH)-MIN(ROW(MONTH))+1),ROW(A10)),COLUMN(A10))),"",INDEX(RESULTLOCATION,SMALL(IF(COUNTIF($BA$3,MONTH), ROW(MONTH)-MIN(ROW(MONTH))+1),ROW(A10)),COLUMN(A10)))</f>
        <v/>
      </c>
      <c r="BN15">
        <f t="shared" si="27"/>
        <v>6180</v>
      </c>
      <c r="BO15" s="2">
        <f t="shared" si="28"/>
        <v>103</v>
      </c>
      <c r="BP15">
        <f t="shared" si="29"/>
        <v>4</v>
      </c>
      <c r="BQ15" t="e">
        <f>MATCH(BM15,#REF!,0)</f>
        <v>#REF!</v>
      </c>
      <c r="BR15" t="str">
        <f t="shared" si="30"/>
        <v>NOTSET</v>
      </c>
      <c r="BS15" t="e" cm="1">
        <f t="array" ref="BS15">INDEX(#REF!,HistoryResultStats!BQ15)</f>
        <v>#REF!</v>
      </c>
    </row>
    <row r="16" spans="2:71" x14ac:dyDescent="0.3">
      <c r="B16" s="9"/>
      <c r="C16" s="22"/>
      <c r="D16" s="22"/>
      <c r="E16" s="22"/>
      <c r="F16" s="22"/>
      <c r="G16" s="22"/>
      <c r="H16" s="22"/>
      <c r="I16" s="22"/>
      <c r="J16" s="17"/>
      <c r="K16" s="22"/>
      <c r="L16" s="22"/>
      <c r="M16" s="22"/>
      <c r="N16" s="22"/>
      <c r="O16" s="22"/>
      <c r="P16" s="22"/>
      <c r="Q16" s="22"/>
      <c r="R16" s="17"/>
      <c r="S16" s="22"/>
      <c r="T16" s="22"/>
      <c r="U16" s="22"/>
      <c r="V16" s="22"/>
      <c r="W16" s="22"/>
      <c r="X16" s="22"/>
      <c r="Y16" s="22"/>
      <c r="Z16" s="17"/>
      <c r="AA16" s="22"/>
      <c r="AB16" s="22"/>
      <c r="AC16" s="22"/>
      <c r="AD16" s="22"/>
      <c r="AE16" s="22"/>
      <c r="AF16" s="22"/>
      <c r="AG16" s="22"/>
      <c r="AH16" s="17"/>
      <c r="AI16" s="22"/>
      <c r="AJ16" s="22"/>
      <c r="AK16" s="22"/>
      <c r="AL16" s="22"/>
      <c r="AM16" s="22"/>
      <c r="AN16" s="22"/>
      <c r="AO16" s="22"/>
      <c r="AP16" s="17"/>
      <c r="AQ16" s="22"/>
      <c r="AR16" s="22"/>
      <c r="AS16" s="22"/>
      <c r="AT16" s="22"/>
      <c r="AU16" s="22"/>
      <c r="AV16" s="22"/>
      <c r="AW16" s="22"/>
      <c r="AX16" s="17"/>
      <c r="AY16" s="4"/>
      <c r="AZ16" s="4"/>
      <c r="BA16" t="str" cm="1">
        <f t="array" ref="BA16">IF(ISERROR(INDEX(RESULT_SUBJECT,SMALL(IF(COUNTIF($BA$3,MONTH), ROW(MONTH)-MIN(ROW(MONTH))+1),ROW(A11)),COLUMN(A11))),"",INDEX(RESULT_SUBJECT,SMALL(IF(COUNTIF($BA$3,MONTH), ROW(MONTH)-MIN(ROW(MONTH))+1),ROW(A11)),COLUMN(A11)))</f>
        <v/>
      </c>
      <c r="BB16" t="str" cm="1">
        <f t="array" ref="BB16">IF(ISERROR(INDEX(WEEK,SMALL(IF(COUNTIF($BA$3,MONTH), ROW(MONTH)-MIN(ROW(MONTH))+1),ROW(A11)),COLUMN(A11))),"",INDEX(WEEK,SMALL(IF(COUNTIF($BA$3,MONTH), ROW(MONTH)-MIN(ROW(MONTH))+1),ROW(A11)),COLUMN(A11)))</f>
        <v/>
      </c>
      <c r="BC16" t="str" cm="1">
        <f t="array" ref="BC16">IF(ISERROR(INDEX(RESULT_DAY,SMALL(IF(COUNTIF($BA$3,MONTH), ROW(MONTH)-MIN(ROW(MONTH))+1),ROW(A11)),COLUMN(A11))),"",INDEX(RESULT_DAY,SMALL(IF(COUNTIF($BA$3,MONTH), ROW(MONTH)-MIN(ROW(MONTH))+1),ROW(A11)),COLUMN(A11)))</f>
        <v/>
      </c>
      <c r="BD16" s="29" t="str">
        <f t="shared" si="26"/>
        <v/>
      </c>
      <c r="BE16" s="2" t="str" cm="1">
        <f t="array" ref="BE16">IF(ISERROR(INDEX(RESULT_DURATION,SMALL(IF(COUNTIF($BA$3,MONTH), ROW(MONTH)-MIN(ROW(MONTH))+1),ROW(A11)),COLUMN(A11))),"",INDEX(RESULT_DURATION,SMALL(IF(COUNTIF($BA$3,MONTH), ROW(MONTH)-MIN(ROW(MONTH))+1),ROW(A11)),COLUMN(A11)))</f>
        <v/>
      </c>
      <c r="BH16" t="str" cm="1">
        <f t="array" ref="BH16">IF(ISERROR(INDEX(RESULT_CATEGORIES,SMALL(IF(COUNTIF($BA$3,MONTH), ROW(MONTH)-MIN(ROW(MONTH))+1),ROW(A11)),COLUMN(A11))),"",INDEX(RESULT_CATEGORIES,SMALL(IF(COUNTIF($BA$3,MONTH), ROW(MONTH)-MIN(ROW(MONTH))+1),ROW(A11)),COLUMN(A11)))</f>
        <v/>
      </c>
      <c r="BI16" t="str" cm="1">
        <f t="array" ref="BI16">IF(ISERROR(INDEX(RESULTLOCATION,SMALL(IF(COUNTIF($BA$3,MONTH), ROW(MONTH)-MIN(ROW(MONTH))+1),ROW(A11)),COLUMN(A11))),"",INDEX(RESULTLOCATION,SMALL(IF(COUNTIF($BA$3,MONTH), ROW(MONTH)-MIN(ROW(MONTH))+1),ROW(A11)),COLUMN(A11)))</f>
        <v/>
      </c>
      <c r="BN16">
        <f t="shared" si="27"/>
        <v>6180</v>
      </c>
      <c r="BO16" s="2">
        <f t="shared" si="28"/>
        <v>103</v>
      </c>
      <c r="BP16">
        <f t="shared" si="29"/>
        <v>4</v>
      </c>
      <c r="BQ16" t="e">
        <f>MATCH(BM16,#REF!,0)</f>
        <v>#REF!</v>
      </c>
      <c r="BR16" t="str">
        <f t="shared" si="30"/>
        <v>NOTSET</v>
      </c>
      <c r="BS16" t="e" cm="1">
        <f t="array" ref="BS16">INDEX(#REF!,HistoryResultStats!BQ16)</f>
        <v>#REF!</v>
      </c>
    </row>
    <row r="17" spans="2:71" x14ac:dyDescent="0.3">
      <c r="B17" s="9"/>
      <c r="C17" s="22"/>
      <c r="D17" s="22"/>
      <c r="E17" s="22"/>
      <c r="F17" s="22"/>
      <c r="G17" s="22"/>
      <c r="H17" s="22"/>
      <c r="I17" s="22"/>
      <c r="J17" s="17"/>
      <c r="K17" s="22"/>
      <c r="L17" s="22"/>
      <c r="M17" s="22"/>
      <c r="N17" s="22"/>
      <c r="O17" s="22"/>
      <c r="P17" s="22"/>
      <c r="Q17" s="22"/>
      <c r="R17" s="17"/>
      <c r="S17" s="22"/>
      <c r="T17" s="22"/>
      <c r="U17" s="22"/>
      <c r="V17" s="22"/>
      <c r="W17" s="22"/>
      <c r="X17" s="22"/>
      <c r="Y17" s="22"/>
      <c r="Z17" s="17"/>
      <c r="AA17" s="22"/>
      <c r="AB17" s="22"/>
      <c r="AC17" s="22"/>
      <c r="AD17" s="22"/>
      <c r="AE17" s="22"/>
      <c r="AF17" s="22"/>
      <c r="AG17" s="22"/>
      <c r="AH17" s="17"/>
      <c r="AI17" s="22"/>
      <c r="AJ17" s="22"/>
      <c r="AK17" s="22"/>
      <c r="AL17" s="22"/>
      <c r="AM17" s="22"/>
      <c r="AN17" s="22"/>
      <c r="AO17" s="22"/>
      <c r="AP17" s="17"/>
      <c r="AQ17" s="22"/>
      <c r="AR17" s="22"/>
      <c r="AS17" s="22"/>
      <c r="AT17" s="22"/>
      <c r="AU17" s="22"/>
      <c r="AV17" s="22"/>
      <c r="AW17" s="22"/>
      <c r="AX17" s="17"/>
      <c r="AY17" s="4"/>
      <c r="AZ17" s="4"/>
      <c r="BA17" t="str" cm="1">
        <f t="array" ref="BA17">IF(ISERROR(INDEX(RESULT_SUBJECT,SMALL(IF(COUNTIF($BA$3,MONTH), ROW(MONTH)-MIN(ROW(MONTH))+1),ROW(A12)),COLUMN(A12))),"",INDEX(RESULT_SUBJECT,SMALL(IF(COUNTIF($BA$3,MONTH), ROW(MONTH)-MIN(ROW(MONTH))+1),ROW(A12)),COLUMN(A12)))</f>
        <v/>
      </c>
      <c r="BB17" t="str" cm="1">
        <f t="array" ref="BB17">IF(ISERROR(INDEX(WEEK,SMALL(IF(COUNTIF($BA$3,MONTH), ROW(MONTH)-MIN(ROW(MONTH))+1),ROW(A12)),COLUMN(A12))),"",INDEX(WEEK,SMALL(IF(COUNTIF($BA$3,MONTH), ROW(MONTH)-MIN(ROW(MONTH))+1),ROW(A12)),COLUMN(A12)))</f>
        <v/>
      </c>
      <c r="BC17" t="str" cm="1">
        <f t="array" ref="BC17">IF(ISERROR(INDEX(RESULT_DAY,SMALL(IF(COUNTIF($BA$3,MONTH), ROW(MONTH)-MIN(ROW(MONTH))+1),ROW(A12)),COLUMN(A12))),"",INDEX(RESULT_DAY,SMALL(IF(COUNTIF($BA$3,MONTH), ROW(MONTH)-MIN(ROW(MONTH))+1),ROW(A12)),COLUMN(A12)))</f>
        <v/>
      </c>
      <c r="BD17" s="29" t="str">
        <f t="shared" si="26"/>
        <v/>
      </c>
      <c r="BE17" s="2" t="str" cm="1">
        <f t="array" ref="BE17">IF(ISERROR(INDEX(RESULT_DURATION,SMALL(IF(COUNTIF($BA$3,MONTH), ROW(MONTH)-MIN(ROW(MONTH))+1),ROW(A12)),COLUMN(A12))),"",INDEX(RESULT_DURATION,SMALL(IF(COUNTIF($BA$3,MONTH), ROW(MONTH)-MIN(ROW(MONTH))+1),ROW(A12)),COLUMN(A12)))</f>
        <v/>
      </c>
      <c r="BH17" t="str" cm="1">
        <f t="array" ref="BH17">IF(ISERROR(INDEX(RESULT_CATEGORIES,SMALL(IF(COUNTIF($BA$3,MONTH), ROW(MONTH)-MIN(ROW(MONTH))+1),ROW(A12)),COLUMN(A12))),"",INDEX(RESULT_CATEGORIES,SMALL(IF(COUNTIF($BA$3,MONTH), ROW(MONTH)-MIN(ROW(MONTH))+1),ROW(A12)),COLUMN(A12)))</f>
        <v/>
      </c>
      <c r="BI17" t="str" cm="1">
        <f t="array" ref="BI17">IF(ISERROR(INDEX(RESULTLOCATION,SMALL(IF(COUNTIF($BA$3,MONTH), ROW(MONTH)-MIN(ROW(MONTH))+1),ROW(A12)),COLUMN(A12))),"",INDEX(RESULTLOCATION,SMALL(IF(COUNTIF($BA$3,MONTH), ROW(MONTH)-MIN(ROW(MONTH))+1),ROW(A12)),COLUMN(A12)))</f>
        <v/>
      </c>
      <c r="BN17">
        <f t="shared" si="27"/>
        <v>6180</v>
      </c>
      <c r="BO17" s="2">
        <f t="shared" si="28"/>
        <v>103</v>
      </c>
      <c r="BP17">
        <f t="shared" si="29"/>
        <v>4</v>
      </c>
      <c r="BQ17" t="e">
        <f>MATCH(BM17,#REF!,0)</f>
        <v>#REF!</v>
      </c>
      <c r="BR17" t="str">
        <f t="shared" si="30"/>
        <v>NOTSET</v>
      </c>
      <c r="BS17" t="e" cm="1">
        <f t="array" ref="BS17">INDEX(#REF!,HistoryResultStats!BQ17)</f>
        <v>#REF!</v>
      </c>
    </row>
    <row r="18" spans="2:71" x14ac:dyDescent="0.3">
      <c r="B18" s="9"/>
      <c r="C18" s="22"/>
      <c r="D18" s="22"/>
      <c r="E18" s="22"/>
      <c r="F18" s="22"/>
      <c r="G18" s="22"/>
      <c r="H18" s="22"/>
      <c r="I18" s="22"/>
      <c r="J18" s="17"/>
      <c r="K18" s="22"/>
      <c r="L18" s="22"/>
      <c r="M18" s="22"/>
      <c r="N18" s="22"/>
      <c r="O18" s="22"/>
      <c r="P18" s="22"/>
      <c r="Q18" s="22"/>
      <c r="R18" s="17"/>
      <c r="S18" s="22"/>
      <c r="T18" s="22"/>
      <c r="U18" s="22"/>
      <c r="V18" s="22"/>
      <c r="W18" s="22"/>
      <c r="X18" s="22"/>
      <c r="Y18" s="22"/>
      <c r="Z18" s="17"/>
      <c r="AA18" s="22"/>
      <c r="AB18" s="22"/>
      <c r="AC18" s="22"/>
      <c r="AD18" s="22"/>
      <c r="AE18" s="22"/>
      <c r="AF18" s="22"/>
      <c r="AG18" s="22"/>
      <c r="AH18" s="17"/>
      <c r="AI18" s="22"/>
      <c r="AJ18" s="22"/>
      <c r="AK18" s="22"/>
      <c r="AL18" s="22"/>
      <c r="AM18" s="22"/>
      <c r="AN18" s="22"/>
      <c r="AO18" s="22"/>
      <c r="AP18" s="17"/>
      <c r="AQ18" s="22"/>
      <c r="AR18" s="22"/>
      <c r="AS18" s="22"/>
      <c r="AT18" s="22"/>
      <c r="AU18" s="22"/>
      <c r="AV18" s="22"/>
      <c r="AW18" s="22"/>
      <c r="AX18" s="17"/>
      <c r="AY18" s="4"/>
      <c r="AZ18" s="4"/>
      <c r="BA18" t="str" cm="1">
        <f t="array" ref="BA18">IF(ISERROR(INDEX(RESULT_SUBJECT,SMALL(IF(COUNTIF($BA$3,MONTH), ROW(MONTH)-MIN(ROW(MONTH))+1),ROW(A13)),COLUMN(A13))),"",INDEX(RESULT_SUBJECT,SMALL(IF(COUNTIF($BA$3,MONTH), ROW(MONTH)-MIN(ROW(MONTH))+1),ROW(A13)),COLUMN(A13)))</f>
        <v/>
      </c>
      <c r="BB18" t="str" cm="1">
        <f t="array" ref="BB18">IF(ISERROR(INDEX(WEEK,SMALL(IF(COUNTIF($BA$3,MONTH), ROW(MONTH)-MIN(ROW(MONTH))+1),ROW(A13)),COLUMN(A13))),"",INDEX(WEEK,SMALL(IF(COUNTIF($BA$3,MONTH), ROW(MONTH)-MIN(ROW(MONTH))+1),ROW(A13)),COLUMN(A13)))</f>
        <v/>
      </c>
      <c r="BC18" t="str" cm="1">
        <f t="array" ref="BC18">IF(ISERROR(INDEX(RESULT_DAY,SMALL(IF(COUNTIF($BA$3,MONTH), ROW(MONTH)-MIN(ROW(MONTH))+1),ROW(A13)),COLUMN(A13))),"",INDEX(RESULT_DAY,SMALL(IF(COUNTIF($BA$3,MONTH), ROW(MONTH)-MIN(ROW(MONTH))+1),ROW(A13)),COLUMN(A13)))</f>
        <v/>
      </c>
      <c r="BD18" s="29" t="str">
        <f t="shared" si="26"/>
        <v/>
      </c>
      <c r="BE18" s="2" t="str" cm="1">
        <f t="array" ref="BE18">IF(ISERROR(INDEX(RESULT_DURATION,SMALL(IF(COUNTIF($BA$3,MONTH), ROW(MONTH)-MIN(ROW(MONTH))+1),ROW(A13)),COLUMN(A13))),"",INDEX(RESULT_DURATION,SMALL(IF(COUNTIF($BA$3,MONTH), ROW(MONTH)-MIN(ROW(MONTH))+1),ROW(A13)),COLUMN(A13)))</f>
        <v/>
      </c>
      <c r="BH18" t="str" cm="1">
        <f t="array" ref="BH18">IF(ISERROR(INDEX(RESULT_CATEGORIES,SMALL(IF(COUNTIF($BA$3,MONTH), ROW(MONTH)-MIN(ROW(MONTH))+1),ROW(A13)),COLUMN(A13))),"",INDEX(RESULT_CATEGORIES,SMALL(IF(COUNTIF($BA$3,MONTH), ROW(MONTH)-MIN(ROW(MONTH))+1),ROW(A13)),COLUMN(A13)))</f>
        <v/>
      </c>
      <c r="BI18" t="str" cm="1">
        <f t="array" ref="BI18">IF(ISERROR(INDEX(RESULTLOCATION,SMALL(IF(COUNTIF($BA$3,MONTH), ROW(MONTH)-MIN(ROW(MONTH))+1),ROW(A13)),COLUMN(A13))),"",INDEX(RESULTLOCATION,SMALL(IF(COUNTIF($BA$3,MONTH), ROW(MONTH)-MIN(ROW(MONTH))+1),ROW(A13)),COLUMN(A13)))</f>
        <v/>
      </c>
      <c r="BN18">
        <f t="shared" si="27"/>
        <v>6180</v>
      </c>
      <c r="BO18" s="2">
        <f t="shared" si="28"/>
        <v>103</v>
      </c>
      <c r="BP18">
        <f t="shared" si="29"/>
        <v>4</v>
      </c>
      <c r="BQ18" t="e">
        <f>MATCH(BM18,#REF!,0)</f>
        <v>#REF!</v>
      </c>
      <c r="BR18" t="str">
        <f t="shared" si="30"/>
        <v>NOTSET</v>
      </c>
      <c r="BS18" t="e" cm="1">
        <f t="array" ref="BS18">INDEX(#REF!,HistoryResultStats!BQ18)</f>
        <v>#REF!</v>
      </c>
    </row>
    <row r="19" spans="2:71" x14ac:dyDescent="0.3">
      <c r="B19" s="9"/>
      <c r="C19" s="22"/>
      <c r="D19" s="22"/>
      <c r="E19" s="22"/>
      <c r="F19" s="22"/>
      <c r="G19" s="22"/>
      <c r="H19" s="22"/>
      <c r="I19" s="22"/>
      <c r="J19" s="17"/>
      <c r="K19" s="22"/>
      <c r="L19" s="22"/>
      <c r="M19" s="22"/>
      <c r="N19" s="22"/>
      <c r="O19" s="22"/>
      <c r="P19" s="22"/>
      <c r="Q19" s="22"/>
      <c r="R19" s="17"/>
      <c r="S19" s="22"/>
      <c r="T19" s="22"/>
      <c r="U19" s="22"/>
      <c r="V19" s="22"/>
      <c r="W19" s="22"/>
      <c r="X19" s="22"/>
      <c r="Y19" s="22"/>
      <c r="Z19" s="17"/>
      <c r="AA19" s="22"/>
      <c r="AB19" s="22"/>
      <c r="AC19" s="22"/>
      <c r="AD19" s="22"/>
      <c r="AE19" s="22"/>
      <c r="AF19" s="22"/>
      <c r="AG19" s="22"/>
      <c r="AH19" s="17"/>
      <c r="AI19" s="22"/>
      <c r="AJ19" s="22"/>
      <c r="AK19" s="22"/>
      <c r="AL19" s="22"/>
      <c r="AM19" s="22"/>
      <c r="AN19" s="22"/>
      <c r="AO19" s="22"/>
      <c r="AP19" s="17"/>
      <c r="AQ19" s="22"/>
      <c r="AR19" s="22"/>
      <c r="AS19" s="22"/>
      <c r="AT19" s="22"/>
      <c r="AU19" s="22"/>
      <c r="AV19" s="22"/>
      <c r="AW19" s="22"/>
      <c r="AX19" s="17"/>
      <c r="AY19" s="4"/>
      <c r="AZ19" s="4"/>
      <c r="BA19" t="str" cm="1">
        <f t="array" ref="BA19">IF(ISERROR(INDEX(RESULT_SUBJECT,SMALL(IF(COUNTIF($BA$3,MONTH), ROW(MONTH)-MIN(ROW(MONTH))+1),ROW(A14)),COLUMN(A14))),"",INDEX(RESULT_SUBJECT,SMALL(IF(COUNTIF($BA$3,MONTH), ROW(MONTH)-MIN(ROW(MONTH))+1),ROW(A14)),COLUMN(A14)))</f>
        <v/>
      </c>
      <c r="BB19" t="str" cm="1">
        <f t="array" ref="BB19">IF(ISERROR(INDEX(WEEK,SMALL(IF(COUNTIF($BA$3,MONTH), ROW(MONTH)-MIN(ROW(MONTH))+1),ROW(A14)),COLUMN(A14))),"",INDEX(WEEK,SMALL(IF(COUNTIF($BA$3,MONTH), ROW(MONTH)-MIN(ROW(MONTH))+1),ROW(A14)),COLUMN(A14)))</f>
        <v/>
      </c>
      <c r="BC19" t="str" cm="1">
        <f t="array" ref="BC19">IF(ISERROR(INDEX(RESULT_DAY,SMALL(IF(COUNTIF($BA$3,MONTH), ROW(MONTH)-MIN(ROW(MONTH))+1),ROW(A14)),COLUMN(A14))),"",INDEX(RESULT_DAY,SMALL(IF(COUNTIF($BA$3,MONTH), ROW(MONTH)-MIN(ROW(MONTH))+1),ROW(A14)),COLUMN(A14)))</f>
        <v/>
      </c>
      <c r="BD19" s="29" t="str">
        <f t="shared" si="26"/>
        <v/>
      </c>
      <c r="BE19" s="2" t="str" cm="1">
        <f t="array" ref="BE19">IF(ISERROR(INDEX(RESULT_DURATION,SMALL(IF(COUNTIF($BA$3,MONTH), ROW(MONTH)-MIN(ROW(MONTH))+1),ROW(A14)),COLUMN(A14))),"",INDEX(RESULT_DURATION,SMALL(IF(COUNTIF($BA$3,MONTH), ROW(MONTH)-MIN(ROW(MONTH))+1),ROW(A14)),COLUMN(A14)))</f>
        <v/>
      </c>
      <c r="BH19" t="str" cm="1">
        <f t="array" ref="BH19">IF(ISERROR(INDEX(RESULT_CATEGORIES,SMALL(IF(COUNTIF($BA$3,MONTH), ROW(MONTH)-MIN(ROW(MONTH))+1),ROW(A14)),COLUMN(A14))),"",INDEX(RESULT_CATEGORIES,SMALL(IF(COUNTIF($BA$3,MONTH), ROW(MONTH)-MIN(ROW(MONTH))+1),ROW(A14)),COLUMN(A14)))</f>
        <v/>
      </c>
      <c r="BI19" t="str" cm="1">
        <f t="array" ref="BI19">IF(ISERROR(INDEX(RESULTLOCATION,SMALL(IF(COUNTIF($BA$3,MONTH), ROW(MONTH)-MIN(ROW(MONTH))+1),ROW(A14)),COLUMN(A14))),"",INDEX(RESULTLOCATION,SMALL(IF(COUNTIF($BA$3,MONTH), ROW(MONTH)-MIN(ROW(MONTH))+1),ROW(A14)),COLUMN(A14)))</f>
        <v/>
      </c>
      <c r="BN19">
        <f t="shared" si="27"/>
        <v>6180</v>
      </c>
      <c r="BO19" s="2">
        <f t="shared" si="28"/>
        <v>103</v>
      </c>
      <c r="BP19">
        <f t="shared" si="29"/>
        <v>4</v>
      </c>
      <c r="BQ19" t="e">
        <f>MATCH(BM19,#REF!,0)</f>
        <v>#REF!</v>
      </c>
      <c r="BR19" t="str">
        <f t="shared" si="30"/>
        <v>NOTSET</v>
      </c>
      <c r="BS19" t="e" cm="1">
        <f t="array" ref="BS19">INDEX(#REF!,HistoryResultStats!BQ19)</f>
        <v>#REF!</v>
      </c>
    </row>
    <row r="20" spans="2:71" x14ac:dyDescent="0.3">
      <c r="C20" s="22">
        <f t="shared" ref="C20:I20" ca="1" si="31">SUMIFS(RESULT_DURATION,WEEK,C$4,RESULT_CATEGORIES,$B20,WEEKDAY,C$5)/60</f>
        <v>0</v>
      </c>
      <c r="D20" s="22">
        <f t="shared" ca="1" si="31"/>
        <v>0</v>
      </c>
      <c r="E20" s="22">
        <f t="shared" ca="1" si="31"/>
        <v>0</v>
      </c>
      <c r="F20" s="22">
        <f t="shared" ca="1" si="31"/>
        <v>0</v>
      </c>
      <c r="G20" s="22">
        <f t="shared" ca="1" si="31"/>
        <v>0</v>
      </c>
      <c r="H20" s="22">
        <f t="shared" ca="1" si="31"/>
        <v>0</v>
      </c>
      <c r="I20" s="22">
        <f t="shared" ca="1" si="31"/>
        <v>0</v>
      </c>
      <c r="J20" s="17">
        <f ca="1">SUMIFS(RESULT_DURATION,WEEK,J$4,RESULT_CATEGORIES,$B20)/60</f>
        <v>0</v>
      </c>
      <c r="K20" s="22">
        <f t="shared" ref="K20:Q20" ca="1" si="32">SUMIFS(RESULT_DURATION,WEEK,K$4,RESULT_CATEGORIES,$B20,WEEKDAY,K$5)/60</f>
        <v>0</v>
      </c>
      <c r="L20" s="22">
        <f t="shared" ca="1" si="32"/>
        <v>0</v>
      </c>
      <c r="M20" s="22">
        <f t="shared" ca="1" si="32"/>
        <v>0</v>
      </c>
      <c r="N20" s="22">
        <f t="shared" ca="1" si="32"/>
        <v>0</v>
      </c>
      <c r="O20" s="22">
        <f t="shared" ca="1" si="32"/>
        <v>0</v>
      </c>
      <c r="P20" s="22">
        <f t="shared" ca="1" si="32"/>
        <v>0</v>
      </c>
      <c r="Q20" s="22">
        <f t="shared" ca="1" si="32"/>
        <v>0</v>
      </c>
      <c r="R20" s="17">
        <f ca="1">SUMIFS(RESULT_DURATION,WEEK,R$4,RESULT_CATEGORIES,$B20)/60</f>
        <v>0</v>
      </c>
      <c r="S20" s="22">
        <f t="shared" ref="S20:Y20" ca="1" si="33">SUMIFS(RESULT_DURATION,WEEK,S$4,RESULT_CATEGORIES,$B20,WEEKDAY,S$5)/60</f>
        <v>0</v>
      </c>
      <c r="T20" s="22">
        <f t="shared" ca="1" si="33"/>
        <v>0</v>
      </c>
      <c r="U20" s="22">
        <f t="shared" ca="1" si="33"/>
        <v>0</v>
      </c>
      <c r="V20" s="22">
        <f t="shared" ca="1" si="33"/>
        <v>0</v>
      </c>
      <c r="W20" s="22">
        <f t="shared" ca="1" si="33"/>
        <v>0</v>
      </c>
      <c r="X20" s="22">
        <f t="shared" ca="1" si="33"/>
        <v>0</v>
      </c>
      <c r="Y20" s="22">
        <f t="shared" ca="1" si="33"/>
        <v>0</v>
      </c>
      <c r="Z20" s="17">
        <f ca="1">SUMIFS(RESULT_DURATION,WEEK,Z$4,RESULT_CATEGORIES,$B20)/60</f>
        <v>0</v>
      </c>
      <c r="AA20" s="22">
        <f t="shared" ref="AA20:AG20" ca="1" si="34">SUMIFS(RESULT_DURATION,WEEK,AA$4,RESULT_CATEGORIES,$B20,WEEKDAY,AA$5)/60</f>
        <v>0</v>
      </c>
      <c r="AB20" s="22">
        <f t="shared" ca="1" si="34"/>
        <v>0</v>
      </c>
      <c r="AC20" s="22">
        <f t="shared" ca="1" si="34"/>
        <v>0</v>
      </c>
      <c r="AD20" s="22">
        <f t="shared" ca="1" si="34"/>
        <v>0</v>
      </c>
      <c r="AE20" s="22">
        <f t="shared" ca="1" si="34"/>
        <v>0</v>
      </c>
      <c r="AF20" s="22">
        <f t="shared" ca="1" si="34"/>
        <v>0</v>
      </c>
      <c r="AG20" s="22">
        <f t="shared" ca="1" si="34"/>
        <v>0</v>
      </c>
      <c r="AH20" s="17">
        <f ca="1">SUMIFS(RESULT_DURATION,WEEK,AH$4,RESULT_CATEGORIES,$B20)/60</f>
        <v>0</v>
      </c>
      <c r="AI20" s="22">
        <f t="shared" ref="AI20:AO20" ca="1" si="35">SUMIFS(RESULT_DURATION,WEEK,AI$4,RESULT_CATEGORIES,$B20,WEEKDAY,AI$5)/60</f>
        <v>0</v>
      </c>
      <c r="AJ20" s="22">
        <f t="shared" ca="1" si="35"/>
        <v>0</v>
      </c>
      <c r="AK20" s="22">
        <f t="shared" ca="1" si="35"/>
        <v>0</v>
      </c>
      <c r="AL20" s="22">
        <f t="shared" ca="1" si="35"/>
        <v>0</v>
      </c>
      <c r="AM20" s="22">
        <f t="shared" ca="1" si="35"/>
        <v>0</v>
      </c>
      <c r="AN20" s="22">
        <f t="shared" ca="1" si="35"/>
        <v>0</v>
      </c>
      <c r="AO20" s="22">
        <f t="shared" ca="1" si="35"/>
        <v>0</v>
      </c>
      <c r="AP20" s="17">
        <f ca="1">SUMIFS(RESULT_DURATION,WEEK,AP$4,RESULT_CATEGORIES,$B20)/60</f>
        <v>0</v>
      </c>
      <c r="AQ20" s="22">
        <f t="shared" ref="AQ20:AW20" ca="1" si="36">SUMIFS(RESULT_DURATION,WEEK,AQ$4,RESULT_CATEGORIES,$B20,WEEKDAY,AQ$5)/60</f>
        <v>0</v>
      </c>
      <c r="AR20" s="22">
        <f t="shared" ca="1" si="36"/>
        <v>0</v>
      </c>
      <c r="AS20" s="22">
        <f t="shared" ca="1" si="36"/>
        <v>0</v>
      </c>
      <c r="AT20" s="22">
        <f t="shared" ca="1" si="36"/>
        <v>0</v>
      </c>
      <c r="AU20" s="22">
        <f t="shared" ca="1" si="36"/>
        <v>0</v>
      </c>
      <c r="AV20" s="22">
        <f t="shared" ca="1" si="36"/>
        <v>0</v>
      </c>
      <c r="AW20" s="22">
        <f t="shared" ca="1" si="36"/>
        <v>0</v>
      </c>
      <c r="AX20" s="17">
        <f ca="1">SUMIFS(RESULT_DURATION,WEEK,AX$4,RESULT_CATEGORIES,$B20)/60</f>
        <v>0</v>
      </c>
      <c r="AY20" s="4"/>
      <c r="AZ20" s="4"/>
      <c r="BA20" t="str" cm="1">
        <f t="array" ref="BA20">IF(ISERROR(INDEX(RESULT_SUBJECT,SMALL(IF(COUNTIF($BA$3,MONTH), ROW(MONTH)-MIN(ROW(MONTH))+1),ROW(A15)),COLUMN(A15))),"",INDEX(RESULT_SUBJECT,SMALL(IF(COUNTIF($BA$3,MONTH), ROW(MONTH)-MIN(ROW(MONTH))+1),ROW(A15)),COLUMN(A15)))</f>
        <v/>
      </c>
      <c r="BB20" t="str" cm="1">
        <f t="array" ref="BB20">IF(ISERROR(INDEX(WEEK,SMALL(IF(COUNTIF($BA$3,MONTH), ROW(MONTH)-MIN(ROW(MONTH))+1),ROW(A15)),COLUMN(A15))),"",INDEX(WEEK,SMALL(IF(COUNTIF($BA$3,MONTH), ROW(MONTH)-MIN(ROW(MONTH))+1),ROW(A15)),COLUMN(A15)))</f>
        <v/>
      </c>
      <c r="BC20" t="str" cm="1">
        <f t="array" ref="BC20">IF(ISERROR(INDEX(RESULT_DAY,SMALL(IF(COUNTIF($BA$3,MONTH), ROW(MONTH)-MIN(ROW(MONTH))+1),ROW(A15)),COLUMN(A15))),"",INDEX(RESULT_DAY,SMALL(IF(COUNTIF($BA$3,MONTH), ROW(MONTH)-MIN(ROW(MONTH))+1),ROW(A15)),COLUMN(A15)))</f>
        <v/>
      </c>
      <c r="BD20" s="29" t="str">
        <f t="shared" si="26"/>
        <v/>
      </c>
      <c r="BE20" s="2" t="str" cm="1">
        <f t="array" ref="BE20">IF(ISERROR(INDEX(RESULT_DURATION,SMALL(IF(COUNTIF($BA$3,MONTH), ROW(MONTH)-MIN(ROW(MONTH))+1),ROW(A15)),COLUMN(A15))),"",INDEX(RESULT_DURATION,SMALL(IF(COUNTIF($BA$3,MONTH), ROW(MONTH)-MIN(ROW(MONTH))+1),ROW(A15)),COLUMN(A15)))</f>
        <v/>
      </c>
      <c r="BH20" t="str" cm="1">
        <f t="array" ref="BH20">IF(ISERROR(INDEX(RESULT_CATEGORIES,SMALL(IF(COUNTIF($BA$3,MONTH), ROW(MONTH)-MIN(ROW(MONTH))+1),ROW(A15)),COLUMN(A15))),"",INDEX(RESULT_CATEGORIES,SMALL(IF(COUNTIF($BA$3,MONTH), ROW(MONTH)-MIN(ROW(MONTH))+1),ROW(A15)),COLUMN(A15)))</f>
        <v/>
      </c>
      <c r="BI20" t="str" cm="1">
        <f t="array" ref="BI20">IF(ISERROR(INDEX(RESULTLOCATION,SMALL(IF(COUNTIF($BA$3,MONTH), ROW(MONTH)-MIN(ROW(MONTH))+1),ROW(A15)),COLUMN(A15))),"",INDEX(RESULTLOCATION,SMALL(IF(COUNTIF($BA$3,MONTH), ROW(MONTH)-MIN(ROW(MONTH))+1),ROW(A15)),COLUMN(A15)))</f>
        <v/>
      </c>
      <c r="BN20">
        <f t="shared" si="27"/>
        <v>6180</v>
      </c>
      <c r="BO20" s="2">
        <f t="shared" si="28"/>
        <v>103</v>
      </c>
      <c r="BP20">
        <f t="shared" si="29"/>
        <v>4</v>
      </c>
      <c r="BQ20" t="e">
        <f>MATCH(BM20,#REF!,0)</f>
        <v>#REF!</v>
      </c>
      <c r="BR20" t="str">
        <f t="shared" si="30"/>
        <v>NOTSET</v>
      </c>
      <c r="BS20" t="e" cm="1">
        <f t="array" ref="BS20">INDEX(#REF!,HistoryResultStats!BQ20)</f>
        <v>#REF!</v>
      </c>
    </row>
    <row r="21" spans="2:71" x14ac:dyDescent="0.3">
      <c r="C21" s="22"/>
      <c r="D21" s="22"/>
      <c r="E21" s="22"/>
      <c r="F21" s="22"/>
      <c r="G21" s="22"/>
      <c r="H21" s="22"/>
      <c r="I21" s="22"/>
      <c r="J21" s="17"/>
      <c r="K21" s="22"/>
      <c r="L21" s="22"/>
      <c r="M21" s="22"/>
      <c r="N21" s="22"/>
      <c r="O21" s="22"/>
      <c r="P21" s="22"/>
      <c r="Q21" s="22"/>
      <c r="R21" s="17"/>
      <c r="S21" s="22"/>
      <c r="T21" s="22"/>
      <c r="U21" s="22"/>
      <c r="V21" s="22"/>
      <c r="W21" s="22"/>
      <c r="X21" s="22"/>
      <c r="Y21" s="22"/>
      <c r="Z21" s="17"/>
      <c r="AA21" s="22"/>
      <c r="AB21" s="22"/>
      <c r="AC21" s="22"/>
      <c r="AD21" s="22"/>
      <c r="AE21" s="22"/>
      <c r="AF21" s="22"/>
      <c r="AG21" s="22"/>
      <c r="AH21" s="17"/>
      <c r="AI21" s="22"/>
      <c r="AJ21" s="22"/>
      <c r="AK21" s="22"/>
      <c r="AL21" s="22"/>
      <c r="AM21" s="22"/>
      <c r="AN21" s="22"/>
      <c r="AO21" s="22"/>
      <c r="AP21" s="17"/>
      <c r="AQ21" s="22"/>
      <c r="AR21" s="22"/>
      <c r="AS21" s="22"/>
      <c r="AT21" s="22"/>
      <c r="AU21" s="22"/>
      <c r="AV21" s="22"/>
      <c r="AW21" s="22"/>
      <c r="AX21" s="17"/>
      <c r="AY21" s="4"/>
      <c r="AZ21" s="4"/>
      <c r="BA21" t="str" cm="1">
        <f t="array" ref="BA21">IF(ISERROR(INDEX(RESULT_SUBJECT,SMALL(IF(COUNTIF($BA$3,MONTH), ROW(MONTH)-MIN(ROW(MONTH))+1),ROW(A16)),COLUMN(A16))),"",INDEX(RESULT_SUBJECT,SMALL(IF(COUNTIF($BA$3,MONTH), ROW(MONTH)-MIN(ROW(MONTH))+1),ROW(A16)),COLUMN(A16)))</f>
        <v/>
      </c>
      <c r="BB21" t="str" cm="1">
        <f t="array" ref="BB21">IF(ISERROR(INDEX(WEEK,SMALL(IF(COUNTIF($BA$3,MONTH), ROW(MONTH)-MIN(ROW(MONTH))+1),ROW(A16)),COLUMN(A16))),"",INDEX(WEEK,SMALL(IF(COUNTIF($BA$3,MONTH), ROW(MONTH)-MIN(ROW(MONTH))+1),ROW(A16)),COLUMN(A16)))</f>
        <v/>
      </c>
      <c r="BC21" t="str" cm="1">
        <f t="array" ref="BC21">IF(ISERROR(INDEX(RESULT_DAY,SMALL(IF(COUNTIF($BA$3,MONTH), ROW(MONTH)-MIN(ROW(MONTH))+1),ROW(A16)),COLUMN(A16))),"",INDEX(RESULT_DAY,SMALL(IF(COUNTIF($BA$3,MONTH), ROW(MONTH)-MIN(ROW(MONTH))+1),ROW(A16)),COLUMN(A16)))</f>
        <v/>
      </c>
      <c r="BD21" s="29" t="str">
        <f t="shared" si="26"/>
        <v/>
      </c>
      <c r="BE21" s="2" t="str" cm="1">
        <f t="array" ref="BE21">IF(ISERROR(INDEX(RESULT_DURATION,SMALL(IF(COUNTIF($BA$3,MONTH), ROW(MONTH)-MIN(ROW(MONTH))+1),ROW(A16)),COLUMN(A16))),"",INDEX(RESULT_DURATION,SMALL(IF(COUNTIF($BA$3,MONTH), ROW(MONTH)-MIN(ROW(MONTH))+1),ROW(A16)),COLUMN(A16)))</f>
        <v/>
      </c>
      <c r="BH21" t="str" cm="1">
        <f t="array" ref="BH21">IF(ISERROR(INDEX(RESULT_CATEGORIES,SMALL(IF(COUNTIF($BA$3,MONTH), ROW(MONTH)-MIN(ROW(MONTH))+1),ROW(A16)),COLUMN(A16))),"",INDEX(RESULT_CATEGORIES,SMALL(IF(COUNTIF($BA$3,MONTH), ROW(MONTH)-MIN(ROW(MONTH))+1),ROW(A16)),COLUMN(A16)))</f>
        <v/>
      </c>
      <c r="BI21" t="str" cm="1">
        <f t="array" ref="BI21">IF(ISERROR(INDEX(RESULTLOCATION,SMALL(IF(COUNTIF($BA$3,MONTH), ROW(MONTH)-MIN(ROW(MONTH))+1),ROW(A16)),COLUMN(A16))),"",INDEX(RESULTLOCATION,SMALL(IF(COUNTIF($BA$3,MONTH), ROW(MONTH)-MIN(ROW(MONTH))+1),ROW(A16)),COLUMN(A16)))</f>
        <v/>
      </c>
      <c r="BN21">
        <f t="shared" si="27"/>
        <v>6180</v>
      </c>
      <c r="BO21" s="2">
        <f t="shared" si="28"/>
        <v>103</v>
      </c>
      <c r="BP21">
        <f t="shared" si="29"/>
        <v>4</v>
      </c>
      <c r="BQ21" t="e">
        <f>MATCH(BM21,#REF!,0)</f>
        <v>#REF!</v>
      </c>
      <c r="BR21" t="str">
        <f t="shared" si="30"/>
        <v>NOTSET</v>
      </c>
      <c r="BS21" t="e" cm="1">
        <f t="array" ref="BS21">INDEX(#REF!,HistoryResultStats!BQ21)</f>
        <v>#REF!</v>
      </c>
    </row>
    <row r="22" spans="2:71" x14ac:dyDescent="0.3">
      <c r="C22" s="22"/>
      <c r="D22" s="22"/>
      <c r="E22" s="22"/>
      <c r="F22" s="22"/>
      <c r="G22" s="22"/>
      <c r="H22" s="22"/>
      <c r="I22" s="22"/>
      <c r="J22" s="17"/>
      <c r="K22" s="22"/>
      <c r="L22" s="22"/>
      <c r="M22" s="22"/>
      <c r="N22" s="22"/>
      <c r="O22" s="22"/>
      <c r="P22" s="22"/>
      <c r="Q22" s="22"/>
      <c r="R22" s="17"/>
      <c r="S22" s="22"/>
      <c r="T22" s="22"/>
      <c r="U22" s="22"/>
      <c r="V22" s="22"/>
      <c r="W22" s="22"/>
      <c r="X22" s="22"/>
      <c r="Y22" s="22"/>
      <c r="Z22" s="17"/>
      <c r="AA22" s="22"/>
      <c r="AB22" s="22"/>
      <c r="AC22" s="22"/>
      <c r="AD22" s="22"/>
      <c r="AE22" s="22"/>
      <c r="AF22" s="22"/>
      <c r="AG22" s="22"/>
      <c r="AH22" s="17"/>
      <c r="AI22" s="22"/>
      <c r="AJ22" s="22"/>
      <c r="AK22" s="22"/>
      <c r="AL22" s="22"/>
      <c r="AM22" s="22"/>
      <c r="AN22" s="22"/>
      <c r="AO22" s="22"/>
      <c r="AP22" s="17"/>
      <c r="AQ22" s="22"/>
      <c r="AR22" s="22"/>
      <c r="AS22" s="22"/>
      <c r="AT22" s="22"/>
      <c r="AU22" s="22"/>
      <c r="AV22" s="22"/>
      <c r="AW22" s="22"/>
      <c r="AX22" s="17"/>
      <c r="AY22" s="4"/>
      <c r="AZ22" s="4"/>
      <c r="BA22" t="str" cm="1">
        <f t="array" ref="BA22">IF(ISERROR(INDEX(RESULT_SUBJECT,SMALL(IF(COUNTIF($BA$3,MONTH), ROW(MONTH)-MIN(ROW(MONTH))+1),ROW(A17)),COLUMN(A17))),"",INDEX(RESULT_SUBJECT,SMALL(IF(COUNTIF($BA$3,MONTH), ROW(MONTH)-MIN(ROW(MONTH))+1),ROW(A17)),COLUMN(A17)))</f>
        <v/>
      </c>
      <c r="BB22" t="str" cm="1">
        <f t="array" ref="BB22">IF(ISERROR(INDEX(WEEK,SMALL(IF(COUNTIF($BA$3,MONTH), ROW(MONTH)-MIN(ROW(MONTH))+1),ROW(A17)),COLUMN(A17))),"",INDEX(WEEK,SMALL(IF(COUNTIF($BA$3,MONTH), ROW(MONTH)-MIN(ROW(MONTH))+1),ROW(A17)),COLUMN(A17)))</f>
        <v/>
      </c>
      <c r="BC22" t="str" cm="1">
        <f t="array" ref="BC22">IF(ISERROR(INDEX(RESULT_DAY,SMALL(IF(COUNTIF($BA$3,MONTH), ROW(MONTH)-MIN(ROW(MONTH))+1),ROW(A17)),COLUMN(A17))),"",INDEX(RESULT_DAY,SMALL(IF(COUNTIF($BA$3,MONTH), ROW(MONTH)-MIN(ROW(MONTH))+1),ROW(A17)),COLUMN(A17)))</f>
        <v/>
      </c>
      <c r="BD22" s="29" t="str">
        <f t="shared" si="26"/>
        <v/>
      </c>
      <c r="BE22" s="2" t="str" cm="1">
        <f t="array" ref="BE22">IF(ISERROR(INDEX(RESULT_DURATION,SMALL(IF(COUNTIF($BA$3,MONTH), ROW(MONTH)-MIN(ROW(MONTH))+1),ROW(A17)),COLUMN(A17))),"",INDEX(RESULT_DURATION,SMALL(IF(COUNTIF($BA$3,MONTH), ROW(MONTH)-MIN(ROW(MONTH))+1),ROW(A17)),COLUMN(A17)))</f>
        <v/>
      </c>
      <c r="BH22" t="str" cm="1">
        <f t="array" ref="BH22">IF(ISERROR(INDEX(RESULT_CATEGORIES,SMALL(IF(COUNTIF($BA$3,MONTH), ROW(MONTH)-MIN(ROW(MONTH))+1),ROW(A17)),COLUMN(A17))),"",INDEX(RESULT_CATEGORIES,SMALL(IF(COUNTIF($BA$3,MONTH), ROW(MONTH)-MIN(ROW(MONTH))+1),ROW(A17)),COLUMN(A17)))</f>
        <v/>
      </c>
      <c r="BI22" t="str" cm="1">
        <f t="array" ref="BI22">IF(ISERROR(INDEX(RESULTLOCATION,SMALL(IF(COUNTIF($BA$3,MONTH), ROW(MONTH)-MIN(ROW(MONTH))+1),ROW(A17)),COLUMN(A17))),"",INDEX(RESULTLOCATION,SMALL(IF(COUNTIF($BA$3,MONTH), ROW(MONTH)-MIN(ROW(MONTH))+1),ROW(A17)),COLUMN(A17)))</f>
        <v/>
      </c>
      <c r="BN22">
        <f t="shared" si="27"/>
        <v>6180</v>
      </c>
      <c r="BO22" s="2">
        <f t="shared" si="28"/>
        <v>103</v>
      </c>
      <c r="BP22">
        <f t="shared" si="29"/>
        <v>4</v>
      </c>
      <c r="BQ22" t="e">
        <f>MATCH(BM22,#REF!,0)</f>
        <v>#REF!</v>
      </c>
      <c r="BR22" t="str">
        <f t="shared" si="30"/>
        <v>NOTSET</v>
      </c>
      <c r="BS22" t="e" cm="1">
        <f t="array" ref="BS22">INDEX(#REF!,HistoryResultStats!BQ22)</f>
        <v>#REF!</v>
      </c>
    </row>
    <row r="23" spans="2:71" x14ac:dyDescent="0.3">
      <c r="C23" s="22"/>
      <c r="D23" s="22"/>
      <c r="E23" s="22"/>
      <c r="F23" s="22"/>
      <c r="G23" s="22"/>
      <c r="H23" s="22"/>
      <c r="I23" s="22"/>
      <c r="J23" s="17"/>
      <c r="K23" s="22"/>
      <c r="L23" s="22"/>
      <c r="M23" s="22"/>
      <c r="N23" s="22"/>
      <c r="O23" s="22"/>
      <c r="P23" s="22"/>
      <c r="Q23" s="22"/>
      <c r="R23" s="17"/>
      <c r="S23" s="22"/>
      <c r="T23" s="22"/>
      <c r="U23" s="22"/>
      <c r="V23" s="22"/>
      <c r="W23" s="22"/>
      <c r="X23" s="22"/>
      <c r="Y23" s="22"/>
      <c r="Z23" s="17"/>
      <c r="AA23" s="22"/>
      <c r="AB23" s="22"/>
      <c r="AC23" s="22"/>
      <c r="AD23" s="22"/>
      <c r="AE23" s="22"/>
      <c r="AF23" s="22"/>
      <c r="AG23" s="22"/>
      <c r="AH23" s="17"/>
      <c r="AI23" s="22"/>
      <c r="AJ23" s="22"/>
      <c r="AK23" s="22"/>
      <c r="AL23" s="22"/>
      <c r="AM23" s="22"/>
      <c r="AN23" s="22"/>
      <c r="AO23" s="22"/>
      <c r="AP23" s="17"/>
      <c r="AQ23" s="22"/>
      <c r="AR23" s="22"/>
      <c r="AS23" s="22"/>
      <c r="AT23" s="22"/>
      <c r="AU23" s="22"/>
      <c r="AV23" s="22"/>
      <c r="AW23" s="22"/>
      <c r="AX23" s="17"/>
      <c r="AY23" s="4"/>
      <c r="AZ23" s="4"/>
      <c r="BA23" t="str" cm="1">
        <f t="array" ref="BA23">IF(ISERROR(INDEX(RESULT_SUBJECT,SMALL(IF(COUNTIF($BA$3,MONTH), ROW(MONTH)-MIN(ROW(MONTH))+1),ROW(A18)),COLUMN(A18))),"",INDEX(RESULT_SUBJECT,SMALL(IF(COUNTIF($BA$3,MONTH), ROW(MONTH)-MIN(ROW(MONTH))+1),ROW(A18)),COLUMN(A18)))</f>
        <v/>
      </c>
      <c r="BB23" t="str" cm="1">
        <f t="array" ref="BB23">IF(ISERROR(INDEX(WEEK,SMALL(IF(COUNTIF($BA$3,MONTH), ROW(MONTH)-MIN(ROW(MONTH))+1),ROW(A18)),COLUMN(A18))),"",INDEX(WEEK,SMALL(IF(COUNTIF($BA$3,MONTH), ROW(MONTH)-MIN(ROW(MONTH))+1),ROW(A18)),COLUMN(A18)))</f>
        <v/>
      </c>
      <c r="BC23" t="str" cm="1">
        <f t="array" ref="BC23">IF(ISERROR(INDEX(RESULT_DAY,SMALL(IF(COUNTIF($BA$3,MONTH), ROW(MONTH)-MIN(ROW(MONTH))+1),ROW(A18)),COLUMN(A18))),"",INDEX(RESULT_DAY,SMALL(IF(COUNTIF($BA$3,MONTH), ROW(MONTH)-MIN(ROW(MONTH))+1),ROW(A18)),COLUMN(A18)))</f>
        <v/>
      </c>
      <c r="BD23" s="29" t="str">
        <f t="shared" si="26"/>
        <v/>
      </c>
      <c r="BE23" s="2" t="str" cm="1">
        <f t="array" ref="BE23">IF(ISERROR(INDEX(RESULT_DURATION,SMALL(IF(COUNTIF($BA$3,MONTH), ROW(MONTH)-MIN(ROW(MONTH))+1),ROW(A18)),COLUMN(A18))),"",INDEX(RESULT_DURATION,SMALL(IF(COUNTIF($BA$3,MONTH), ROW(MONTH)-MIN(ROW(MONTH))+1),ROW(A18)),COLUMN(A18)))</f>
        <v/>
      </c>
      <c r="BH23" t="str" cm="1">
        <f t="array" ref="BH23">IF(ISERROR(INDEX(RESULT_CATEGORIES,SMALL(IF(COUNTIF($BA$3,MONTH), ROW(MONTH)-MIN(ROW(MONTH))+1),ROW(A18)),COLUMN(A18))),"",INDEX(RESULT_CATEGORIES,SMALL(IF(COUNTIF($BA$3,MONTH), ROW(MONTH)-MIN(ROW(MONTH))+1),ROW(A18)),COLUMN(A18)))</f>
        <v/>
      </c>
      <c r="BI23" t="str" cm="1">
        <f t="array" ref="BI23">IF(ISERROR(INDEX(RESULTLOCATION,SMALL(IF(COUNTIF($BA$3,MONTH), ROW(MONTH)-MIN(ROW(MONTH))+1),ROW(A18)),COLUMN(A18))),"",INDEX(RESULTLOCATION,SMALL(IF(COUNTIF($BA$3,MONTH), ROW(MONTH)-MIN(ROW(MONTH))+1),ROW(A18)),COLUMN(A18)))</f>
        <v/>
      </c>
      <c r="BN23">
        <f t="shared" si="27"/>
        <v>6180</v>
      </c>
      <c r="BO23" s="2">
        <f t="shared" si="28"/>
        <v>103</v>
      </c>
      <c r="BP23">
        <f t="shared" si="29"/>
        <v>4</v>
      </c>
      <c r="BQ23" t="e">
        <f>MATCH(BM23,#REF!,0)</f>
        <v>#REF!</v>
      </c>
      <c r="BR23" t="str">
        <f t="shared" si="30"/>
        <v>NOTSET</v>
      </c>
      <c r="BS23" t="e" cm="1">
        <f t="array" ref="BS23">INDEX(#REF!,HistoryResultStats!BQ23)</f>
        <v>#REF!</v>
      </c>
    </row>
    <row r="24" spans="2:71" x14ac:dyDescent="0.3">
      <c r="C24" s="22"/>
      <c r="D24" s="22"/>
      <c r="E24" s="22"/>
      <c r="F24" s="22"/>
      <c r="G24" s="22"/>
      <c r="H24" s="22"/>
      <c r="I24" s="22"/>
      <c r="J24" s="17"/>
      <c r="K24" s="22"/>
      <c r="L24" s="22"/>
      <c r="M24" s="22"/>
      <c r="N24" s="22"/>
      <c r="O24" s="22"/>
      <c r="P24" s="22"/>
      <c r="Q24" s="22"/>
      <c r="R24" s="17"/>
      <c r="S24" s="22"/>
      <c r="T24" s="22"/>
      <c r="U24" s="22"/>
      <c r="V24" s="22"/>
      <c r="W24" s="22"/>
      <c r="X24" s="22"/>
      <c r="Y24" s="22"/>
      <c r="Z24" s="17"/>
      <c r="AA24" s="22"/>
      <c r="AB24" s="22"/>
      <c r="AC24" s="22"/>
      <c r="AD24" s="22"/>
      <c r="AE24" s="22"/>
      <c r="AF24" s="22"/>
      <c r="AG24" s="22"/>
      <c r="AH24" s="17"/>
      <c r="AI24" s="22"/>
      <c r="AJ24" s="22"/>
      <c r="AK24" s="22"/>
      <c r="AL24" s="22"/>
      <c r="AM24" s="22"/>
      <c r="AN24" s="22"/>
      <c r="AO24" s="22"/>
      <c r="AP24" s="17"/>
      <c r="AQ24" s="22"/>
      <c r="AR24" s="22"/>
      <c r="AS24" s="22"/>
      <c r="AT24" s="22"/>
      <c r="AU24" s="22"/>
      <c r="AV24" s="22"/>
      <c r="AW24" s="22"/>
      <c r="AX24" s="17"/>
      <c r="AY24" s="4"/>
      <c r="AZ24" s="4"/>
      <c r="BA24" t="str" cm="1">
        <f t="array" ref="BA24">IF(ISERROR(INDEX(RESULT_SUBJECT,SMALL(IF(COUNTIF($BA$3,MONTH), ROW(MONTH)-MIN(ROW(MONTH))+1),ROW(A19)),COLUMN(A19))),"",INDEX(RESULT_SUBJECT,SMALL(IF(COUNTIF($BA$3,MONTH), ROW(MONTH)-MIN(ROW(MONTH))+1),ROW(A19)),COLUMN(A19)))</f>
        <v/>
      </c>
      <c r="BB24" t="str" cm="1">
        <f t="array" ref="BB24">IF(ISERROR(INDEX(WEEK,SMALL(IF(COUNTIF($BA$3,MONTH), ROW(MONTH)-MIN(ROW(MONTH))+1),ROW(A19)),COLUMN(A19))),"",INDEX(WEEK,SMALL(IF(COUNTIF($BA$3,MONTH), ROW(MONTH)-MIN(ROW(MONTH))+1),ROW(A19)),COLUMN(A19)))</f>
        <v/>
      </c>
      <c r="BC24" t="str" cm="1">
        <f t="array" ref="BC24">IF(ISERROR(INDEX(RESULT_DAY,SMALL(IF(COUNTIF($BA$3,MONTH), ROW(MONTH)-MIN(ROW(MONTH))+1),ROW(A19)),COLUMN(A19))),"",INDEX(RESULT_DAY,SMALL(IF(COUNTIF($BA$3,MONTH), ROW(MONTH)-MIN(ROW(MONTH))+1),ROW(A19)),COLUMN(A19)))</f>
        <v/>
      </c>
      <c r="BD24" s="29" t="str">
        <f t="shared" si="26"/>
        <v/>
      </c>
      <c r="BE24" s="2" t="str" cm="1">
        <f t="array" ref="BE24">IF(ISERROR(INDEX(RESULT_DURATION,SMALL(IF(COUNTIF($BA$3,MONTH), ROW(MONTH)-MIN(ROW(MONTH))+1),ROW(A19)),COLUMN(A19))),"",INDEX(RESULT_DURATION,SMALL(IF(COUNTIF($BA$3,MONTH), ROW(MONTH)-MIN(ROW(MONTH))+1),ROW(A19)),COLUMN(A19)))</f>
        <v/>
      </c>
      <c r="BH24" t="str" cm="1">
        <f t="array" ref="BH24">IF(ISERROR(INDEX(RESULT_CATEGORIES,SMALL(IF(COUNTIF($BA$3,MONTH), ROW(MONTH)-MIN(ROW(MONTH))+1),ROW(A19)),COLUMN(A19))),"",INDEX(RESULT_CATEGORIES,SMALL(IF(COUNTIF($BA$3,MONTH), ROW(MONTH)-MIN(ROW(MONTH))+1),ROW(A19)),COLUMN(A19)))</f>
        <v/>
      </c>
      <c r="BI24" t="str" cm="1">
        <f t="array" ref="BI24">IF(ISERROR(INDEX(RESULTLOCATION,SMALL(IF(COUNTIF($BA$3,MONTH), ROW(MONTH)-MIN(ROW(MONTH))+1),ROW(A19)),COLUMN(A19))),"",INDEX(RESULTLOCATION,SMALL(IF(COUNTIF($BA$3,MONTH), ROW(MONTH)-MIN(ROW(MONTH))+1),ROW(A19)),COLUMN(A19)))</f>
        <v/>
      </c>
      <c r="BN24">
        <f t="shared" si="27"/>
        <v>6180</v>
      </c>
      <c r="BO24" s="2">
        <f t="shared" si="28"/>
        <v>103</v>
      </c>
      <c r="BP24">
        <f t="shared" si="29"/>
        <v>4</v>
      </c>
      <c r="BQ24" t="e">
        <f>MATCH(BM24,#REF!,0)</f>
        <v>#REF!</v>
      </c>
      <c r="BR24" t="str">
        <f t="shared" si="30"/>
        <v>NOTSET</v>
      </c>
      <c r="BS24" t="e" cm="1">
        <f t="array" ref="BS24">INDEX(#REF!,HistoryResultStats!BQ24)</f>
        <v>#REF!</v>
      </c>
    </row>
    <row r="25" spans="2:71" x14ac:dyDescent="0.3">
      <c r="C25" s="22"/>
      <c r="D25" s="22"/>
      <c r="E25" s="22"/>
      <c r="F25" s="22"/>
      <c r="G25" s="22"/>
      <c r="H25" s="22"/>
      <c r="I25" s="22"/>
      <c r="J25" s="17"/>
      <c r="K25" s="22"/>
      <c r="L25" s="22"/>
      <c r="M25" s="22"/>
      <c r="N25" s="22"/>
      <c r="O25" s="22"/>
      <c r="P25" s="22"/>
      <c r="Q25" s="22"/>
      <c r="R25" s="17"/>
      <c r="S25" s="22"/>
      <c r="T25" s="22"/>
      <c r="U25" s="22"/>
      <c r="V25" s="22"/>
      <c r="W25" s="22"/>
      <c r="X25" s="22"/>
      <c r="Y25" s="22"/>
      <c r="Z25" s="17"/>
      <c r="AA25" s="22"/>
      <c r="AB25" s="22"/>
      <c r="AC25" s="22"/>
      <c r="AD25" s="22"/>
      <c r="AE25" s="22"/>
      <c r="AF25" s="22"/>
      <c r="AG25" s="22"/>
      <c r="AH25" s="17"/>
      <c r="AI25" s="22"/>
      <c r="AJ25" s="22"/>
      <c r="AK25" s="22"/>
      <c r="AL25" s="22"/>
      <c r="AM25" s="22"/>
      <c r="AN25" s="22"/>
      <c r="AO25" s="22"/>
      <c r="AP25" s="17"/>
      <c r="AQ25" s="22"/>
      <c r="AR25" s="22"/>
      <c r="AS25" s="22"/>
      <c r="AT25" s="22"/>
      <c r="AU25" s="22"/>
      <c r="AV25" s="22"/>
      <c r="AW25" s="22"/>
      <c r="AX25" s="17"/>
      <c r="AY25" s="4"/>
      <c r="AZ25" s="4"/>
      <c r="BA25" t="str" cm="1">
        <f t="array" ref="BA25">IF(ISERROR(INDEX(RESULT_SUBJECT,SMALL(IF(COUNTIF($BA$3,MONTH), ROW(MONTH)-MIN(ROW(MONTH))+1),ROW(A20)),COLUMN(A20))),"",INDEX(RESULT_SUBJECT,SMALL(IF(COUNTIF($BA$3,MONTH), ROW(MONTH)-MIN(ROW(MONTH))+1),ROW(A20)),COLUMN(A20)))</f>
        <v/>
      </c>
      <c r="BB25" t="str" cm="1">
        <f t="array" ref="BB25">IF(ISERROR(INDEX(WEEK,SMALL(IF(COUNTIF($BA$3,MONTH), ROW(MONTH)-MIN(ROW(MONTH))+1),ROW(A20)),COLUMN(A20))),"",INDEX(WEEK,SMALL(IF(COUNTIF($BA$3,MONTH), ROW(MONTH)-MIN(ROW(MONTH))+1),ROW(A20)),COLUMN(A20)))</f>
        <v/>
      </c>
      <c r="BC25" t="str" cm="1">
        <f t="array" ref="BC25">IF(ISERROR(INDEX(RESULT_DAY,SMALL(IF(COUNTIF($BA$3,MONTH), ROW(MONTH)-MIN(ROW(MONTH))+1),ROW(A20)),COLUMN(A20))),"",INDEX(RESULT_DAY,SMALL(IF(COUNTIF($BA$3,MONTH), ROW(MONTH)-MIN(ROW(MONTH))+1),ROW(A20)),COLUMN(A20)))</f>
        <v/>
      </c>
      <c r="BD25" s="29" t="str">
        <f t="shared" si="26"/>
        <v/>
      </c>
      <c r="BE25" s="2" t="str" cm="1">
        <f t="array" ref="BE25">IF(ISERROR(INDEX(RESULT_DURATION,SMALL(IF(COUNTIF($BA$3,MONTH), ROW(MONTH)-MIN(ROW(MONTH))+1),ROW(A20)),COLUMN(A20))),"",INDEX(RESULT_DURATION,SMALL(IF(COUNTIF($BA$3,MONTH), ROW(MONTH)-MIN(ROW(MONTH))+1),ROW(A20)),COLUMN(A20)))</f>
        <v/>
      </c>
      <c r="BH25" t="str" cm="1">
        <f t="array" ref="BH25">IF(ISERROR(INDEX(RESULT_CATEGORIES,SMALL(IF(COUNTIF($BA$3,MONTH), ROW(MONTH)-MIN(ROW(MONTH))+1),ROW(A20)),COLUMN(A20))),"",INDEX(RESULT_CATEGORIES,SMALL(IF(COUNTIF($BA$3,MONTH), ROW(MONTH)-MIN(ROW(MONTH))+1),ROW(A20)),COLUMN(A20)))</f>
        <v/>
      </c>
      <c r="BI25" t="str" cm="1">
        <f t="array" ref="BI25">IF(ISERROR(INDEX(RESULTLOCATION,SMALL(IF(COUNTIF($BA$3,MONTH), ROW(MONTH)-MIN(ROW(MONTH))+1),ROW(A20)),COLUMN(A20))),"",INDEX(RESULTLOCATION,SMALL(IF(COUNTIF($BA$3,MONTH), ROW(MONTH)-MIN(ROW(MONTH))+1),ROW(A20)),COLUMN(A20)))</f>
        <v/>
      </c>
      <c r="BJ25" s="31"/>
      <c r="BN25">
        <f t="shared" si="27"/>
        <v>6180</v>
      </c>
      <c r="BO25" s="2">
        <f t="shared" si="28"/>
        <v>103</v>
      </c>
      <c r="BP25">
        <f t="shared" si="29"/>
        <v>4</v>
      </c>
      <c r="BQ25" t="e">
        <f>MATCH(BM25,#REF!,0)</f>
        <v>#REF!</v>
      </c>
      <c r="BR25" t="str">
        <f t="shared" si="30"/>
        <v>NOTSET</v>
      </c>
      <c r="BS25" t="e" cm="1">
        <f t="array" ref="BS25">INDEX(#REF!,HistoryResultStats!BQ25)</f>
        <v>#REF!</v>
      </c>
    </row>
    <row r="26" spans="2:71" x14ac:dyDescent="0.3">
      <c r="C26" s="22">
        <f t="shared" ref="C26:I27" ca="1" si="37">SUMIFS(RESULT_DURATION,WEEK,C$4,RESULT_CATEGORIES,$B26,WEEKDAY,C$5)/60</f>
        <v>0</v>
      </c>
      <c r="D26" s="22">
        <f t="shared" ca="1" si="37"/>
        <v>0</v>
      </c>
      <c r="E26" s="22">
        <f t="shared" ca="1" si="37"/>
        <v>0</v>
      </c>
      <c r="F26" s="22">
        <f t="shared" ca="1" si="37"/>
        <v>0</v>
      </c>
      <c r="G26" s="22">
        <f t="shared" ca="1" si="37"/>
        <v>0</v>
      </c>
      <c r="H26" s="22">
        <f t="shared" ca="1" si="37"/>
        <v>0</v>
      </c>
      <c r="I26" s="22">
        <f t="shared" ca="1" si="37"/>
        <v>0</v>
      </c>
      <c r="J26" s="17">
        <f ca="1">SUMIFS(RESULT_DURATION,WEEK,J$4,RESULT_CATEGORIES,$B26)/60</f>
        <v>0</v>
      </c>
      <c r="K26" s="22">
        <f t="shared" ref="K26:Q27" ca="1" si="38">SUMIFS(RESULT_DURATION,WEEK,K$4,RESULT_CATEGORIES,$B26,WEEKDAY,K$5)/60</f>
        <v>0</v>
      </c>
      <c r="L26" s="22">
        <f t="shared" ca="1" si="38"/>
        <v>0</v>
      </c>
      <c r="M26" s="22">
        <f t="shared" ca="1" si="38"/>
        <v>0</v>
      </c>
      <c r="N26" s="22">
        <f t="shared" ca="1" si="38"/>
        <v>0</v>
      </c>
      <c r="O26" s="22">
        <f t="shared" ca="1" si="38"/>
        <v>0</v>
      </c>
      <c r="P26" s="22">
        <f t="shared" ca="1" si="38"/>
        <v>0</v>
      </c>
      <c r="Q26" s="22">
        <f t="shared" ca="1" si="38"/>
        <v>0</v>
      </c>
      <c r="R26" s="17">
        <f ca="1">SUMIFS(RESULT_DURATION,WEEK,R$4,RESULT_CATEGORIES,$B26)/60</f>
        <v>0</v>
      </c>
      <c r="S26" s="22">
        <f t="shared" ref="S26:Y27" ca="1" si="39">SUMIFS(RESULT_DURATION,WEEK,S$4,RESULT_CATEGORIES,$B26,WEEKDAY,S$5)/60</f>
        <v>0</v>
      </c>
      <c r="T26" s="22">
        <f t="shared" ca="1" si="39"/>
        <v>0</v>
      </c>
      <c r="U26" s="22">
        <f t="shared" ca="1" si="39"/>
        <v>0</v>
      </c>
      <c r="V26" s="22">
        <f t="shared" ca="1" si="39"/>
        <v>0</v>
      </c>
      <c r="W26" s="22">
        <f t="shared" ca="1" si="39"/>
        <v>0</v>
      </c>
      <c r="X26" s="22">
        <f t="shared" ca="1" si="39"/>
        <v>0</v>
      </c>
      <c r="Y26" s="22">
        <f t="shared" ca="1" si="39"/>
        <v>0</v>
      </c>
      <c r="Z26" s="17">
        <f ca="1">SUMIFS(RESULT_DURATION,WEEK,Z$4,RESULT_CATEGORIES,$B26)/60</f>
        <v>0</v>
      </c>
      <c r="AA26" s="22">
        <f t="shared" ref="AA26:AG27" ca="1" si="40">SUMIFS(RESULT_DURATION,WEEK,AA$4,RESULT_CATEGORIES,$B26,WEEKDAY,AA$5)/60</f>
        <v>0</v>
      </c>
      <c r="AB26" s="22">
        <f t="shared" ca="1" si="40"/>
        <v>0</v>
      </c>
      <c r="AC26" s="22">
        <f t="shared" ca="1" si="40"/>
        <v>0</v>
      </c>
      <c r="AD26" s="22">
        <f t="shared" ca="1" si="40"/>
        <v>0</v>
      </c>
      <c r="AE26" s="22">
        <f t="shared" ca="1" si="40"/>
        <v>0</v>
      </c>
      <c r="AF26" s="22">
        <f t="shared" ca="1" si="40"/>
        <v>0</v>
      </c>
      <c r="AG26" s="22">
        <f t="shared" ca="1" si="40"/>
        <v>0</v>
      </c>
      <c r="AH26" s="17">
        <f ca="1">SUMIFS(RESULT_DURATION,WEEK,AH$4,RESULT_CATEGORIES,$B26)/60</f>
        <v>0</v>
      </c>
      <c r="AI26" s="22">
        <f t="shared" ref="AI26:AO27" ca="1" si="41">SUMIFS(RESULT_DURATION,WEEK,AI$4,RESULT_CATEGORIES,$B26,WEEKDAY,AI$5)/60</f>
        <v>0</v>
      </c>
      <c r="AJ26" s="22">
        <f t="shared" ca="1" si="41"/>
        <v>0</v>
      </c>
      <c r="AK26" s="22">
        <f t="shared" ca="1" si="41"/>
        <v>0</v>
      </c>
      <c r="AL26" s="22">
        <f t="shared" ca="1" si="41"/>
        <v>0</v>
      </c>
      <c r="AM26" s="22">
        <f t="shared" ca="1" si="41"/>
        <v>0</v>
      </c>
      <c r="AN26" s="22">
        <f t="shared" ca="1" si="41"/>
        <v>0</v>
      </c>
      <c r="AO26" s="22">
        <f t="shared" ca="1" si="41"/>
        <v>0</v>
      </c>
      <c r="AP26" s="17">
        <f ca="1">SUMIFS(RESULT_DURATION,WEEK,AP$4,RESULT_CATEGORIES,$B26)/60</f>
        <v>0</v>
      </c>
      <c r="AQ26" s="22">
        <f t="shared" ref="AQ26:AW27" ca="1" si="42">SUMIFS(RESULT_DURATION,WEEK,AQ$4,RESULT_CATEGORIES,$B26,WEEKDAY,AQ$5)/60</f>
        <v>0</v>
      </c>
      <c r="AR26" s="22">
        <f t="shared" ca="1" si="42"/>
        <v>0</v>
      </c>
      <c r="AS26" s="22">
        <f t="shared" ca="1" si="42"/>
        <v>0</v>
      </c>
      <c r="AT26" s="22">
        <f t="shared" ca="1" si="42"/>
        <v>0</v>
      </c>
      <c r="AU26" s="22">
        <f t="shared" ca="1" si="42"/>
        <v>0</v>
      </c>
      <c r="AV26" s="22">
        <f t="shared" ca="1" si="42"/>
        <v>0</v>
      </c>
      <c r="AW26" s="22">
        <f t="shared" ca="1" si="42"/>
        <v>0</v>
      </c>
      <c r="AX26" s="17">
        <f ca="1">SUMIFS(RESULT_DURATION,WEEK,AX$4,RESULT_CATEGORIES,$B26)/60</f>
        <v>0</v>
      </c>
      <c r="AY26" s="4"/>
      <c r="AZ26" s="4"/>
      <c r="BA26" t="str" cm="1">
        <f t="array" ref="BA26">IF(ISERROR(INDEX(RESULT_SUBJECT,SMALL(IF(COUNTIF($BA$3,MONTH), ROW(MONTH)-MIN(ROW(MONTH))+1),ROW(A21)),COLUMN(A21))),"",INDEX(RESULT_SUBJECT,SMALL(IF(COUNTIF($BA$3,MONTH), ROW(MONTH)-MIN(ROW(MONTH))+1),ROW(A21)),COLUMN(A21)))</f>
        <v/>
      </c>
      <c r="BB26" t="str" cm="1">
        <f t="array" ref="BB26">IF(ISERROR(INDEX(WEEK,SMALL(IF(COUNTIF($BA$3,MONTH), ROW(MONTH)-MIN(ROW(MONTH))+1),ROW(A21)),COLUMN(A21))),"",INDEX(WEEK,SMALL(IF(COUNTIF($BA$3,MONTH), ROW(MONTH)-MIN(ROW(MONTH))+1),ROW(A21)),COLUMN(A21)))</f>
        <v/>
      </c>
      <c r="BC26" t="str" cm="1">
        <f t="array" ref="BC26">IF(ISERROR(INDEX(RESULT_DAY,SMALL(IF(COUNTIF($BA$3,MONTH), ROW(MONTH)-MIN(ROW(MONTH))+1),ROW(A21)),COLUMN(A21))),"",INDEX(RESULT_DAY,SMALL(IF(COUNTIF($BA$3,MONTH), ROW(MONTH)-MIN(ROW(MONTH))+1),ROW(A21)),COLUMN(A21)))</f>
        <v/>
      </c>
      <c r="BD26" s="29" t="str">
        <f t="shared" si="26"/>
        <v/>
      </c>
      <c r="BE26" s="2" t="str" cm="1">
        <f t="array" ref="BE26">IF(ISERROR(INDEX(RESULT_DURATION,SMALL(IF(COUNTIF($BA$3,MONTH), ROW(MONTH)-MIN(ROW(MONTH))+1),ROW(A21)),COLUMN(A21))),"",INDEX(RESULT_DURATION,SMALL(IF(COUNTIF($BA$3,MONTH), ROW(MONTH)-MIN(ROW(MONTH))+1),ROW(A21)),COLUMN(A21)))</f>
        <v/>
      </c>
      <c r="BH26" t="str" cm="1">
        <f t="array" ref="BH26">IF(ISERROR(INDEX(RESULT_CATEGORIES,SMALL(IF(COUNTIF($BA$3,MONTH), ROW(MONTH)-MIN(ROW(MONTH))+1),ROW(A21)),COLUMN(A21))),"",INDEX(RESULT_CATEGORIES,SMALL(IF(COUNTIF($BA$3,MONTH), ROW(MONTH)-MIN(ROW(MONTH))+1),ROW(A21)),COLUMN(A21)))</f>
        <v/>
      </c>
      <c r="BI26" t="str" cm="1">
        <f t="array" ref="BI26">IF(ISERROR(INDEX(RESULTLOCATION,SMALL(IF(COUNTIF($BA$3,MONTH), ROW(MONTH)-MIN(ROW(MONTH))+1),ROW(A21)),COLUMN(A21))),"",INDEX(RESULTLOCATION,SMALL(IF(COUNTIF($BA$3,MONTH), ROW(MONTH)-MIN(ROW(MONTH))+1),ROW(A21)),COLUMN(A21)))</f>
        <v/>
      </c>
      <c r="BJ26" s="31"/>
      <c r="BN26">
        <f t="shared" si="27"/>
        <v>6180</v>
      </c>
      <c r="BO26" s="2">
        <f t="shared" si="28"/>
        <v>103</v>
      </c>
      <c r="BP26">
        <f t="shared" si="29"/>
        <v>4</v>
      </c>
      <c r="BQ26" t="e">
        <f>MATCH(BM26,#REF!,0)</f>
        <v>#REF!</v>
      </c>
      <c r="BR26" t="str">
        <f t="shared" si="30"/>
        <v>NOTSET</v>
      </c>
      <c r="BS26" t="e" cm="1">
        <f t="array" ref="BS26">INDEX(#REF!,HistoryResultStats!BQ26)</f>
        <v>#REF!</v>
      </c>
    </row>
    <row r="27" spans="2:71" x14ac:dyDescent="0.3">
      <c r="C27" s="22">
        <f t="shared" ca="1" si="37"/>
        <v>0</v>
      </c>
      <c r="D27" s="22">
        <f t="shared" ca="1" si="37"/>
        <v>0</v>
      </c>
      <c r="E27" s="22">
        <f t="shared" ca="1" si="37"/>
        <v>0</v>
      </c>
      <c r="F27" s="22">
        <f t="shared" ca="1" si="37"/>
        <v>0</v>
      </c>
      <c r="G27" s="22">
        <f t="shared" ca="1" si="37"/>
        <v>0</v>
      </c>
      <c r="H27" s="22">
        <f t="shared" ca="1" si="37"/>
        <v>0</v>
      </c>
      <c r="I27" s="22">
        <f t="shared" ca="1" si="37"/>
        <v>0</v>
      </c>
      <c r="J27" s="17">
        <f ca="1">SUMIFS(RESULT_DURATION,WEEK,J$4,RESULT_CATEGORIES,$B27)/60</f>
        <v>0</v>
      </c>
      <c r="K27" s="22">
        <f t="shared" ca="1" si="38"/>
        <v>0</v>
      </c>
      <c r="L27" s="22">
        <f t="shared" ca="1" si="38"/>
        <v>0</v>
      </c>
      <c r="M27" s="22">
        <f t="shared" ca="1" si="38"/>
        <v>0</v>
      </c>
      <c r="N27" s="22">
        <f t="shared" ca="1" si="38"/>
        <v>0</v>
      </c>
      <c r="O27" s="22">
        <f t="shared" ca="1" si="38"/>
        <v>0</v>
      </c>
      <c r="P27" s="22">
        <f t="shared" ca="1" si="38"/>
        <v>0</v>
      </c>
      <c r="Q27" s="22">
        <f t="shared" ca="1" si="38"/>
        <v>0</v>
      </c>
      <c r="R27" s="17">
        <f ca="1">SUMIFS(RESULT_DURATION,WEEK,R$4,RESULT_CATEGORIES,$B27)/60</f>
        <v>0</v>
      </c>
      <c r="S27" s="22">
        <f t="shared" ca="1" si="39"/>
        <v>0</v>
      </c>
      <c r="T27" s="22">
        <f t="shared" ca="1" si="39"/>
        <v>0</v>
      </c>
      <c r="U27" s="22">
        <f t="shared" ca="1" si="39"/>
        <v>0</v>
      </c>
      <c r="V27" s="22">
        <f t="shared" ca="1" si="39"/>
        <v>0</v>
      </c>
      <c r="W27" s="22">
        <f t="shared" ca="1" si="39"/>
        <v>0</v>
      </c>
      <c r="X27" s="22">
        <f t="shared" ca="1" si="39"/>
        <v>0</v>
      </c>
      <c r="Y27" s="22">
        <f t="shared" ca="1" si="39"/>
        <v>0</v>
      </c>
      <c r="Z27" s="17">
        <f ca="1">SUMIFS(RESULT_DURATION,WEEK,Z$4,RESULT_CATEGORIES,$B27)/60</f>
        <v>0</v>
      </c>
      <c r="AA27" s="22">
        <f t="shared" ca="1" si="40"/>
        <v>0</v>
      </c>
      <c r="AB27" s="22">
        <f t="shared" ca="1" si="40"/>
        <v>0</v>
      </c>
      <c r="AC27" s="22">
        <f t="shared" ca="1" si="40"/>
        <v>0</v>
      </c>
      <c r="AD27" s="22">
        <f t="shared" ca="1" si="40"/>
        <v>0</v>
      </c>
      <c r="AE27" s="22">
        <f t="shared" ca="1" si="40"/>
        <v>0</v>
      </c>
      <c r="AF27" s="22">
        <f t="shared" ca="1" si="40"/>
        <v>0</v>
      </c>
      <c r="AG27" s="22">
        <f t="shared" ca="1" si="40"/>
        <v>0</v>
      </c>
      <c r="AH27" s="17">
        <f ca="1">SUMIFS(RESULT_DURATION,WEEK,AH$4,RESULT_CATEGORIES,$B27)/60</f>
        <v>0</v>
      </c>
      <c r="AI27" s="22">
        <f t="shared" ca="1" si="41"/>
        <v>0</v>
      </c>
      <c r="AJ27" s="22">
        <f t="shared" ca="1" si="41"/>
        <v>0</v>
      </c>
      <c r="AK27" s="22">
        <f t="shared" ca="1" si="41"/>
        <v>0</v>
      </c>
      <c r="AL27" s="22">
        <f t="shared" ca="1" si="41"/>
        <v>0</v>
      </c>
      <c r="AM27" s="22">
        <f t="shared" ca="1" si="41"/>
        <v>0</v>
      </c>
      <c r="AN27" s="22">
        <f t="shared" ca="1" si="41"/>
        <v>0</v>
      </c>
      <c r="AO27" s="22">
        <f t="shared" ca="1" si="41"/>
        <v>0</v>
      </c>
      <c r="AP27" s="17">
        <f ca="1">SUMIFS(RESULT_DURATION,WEEK,AP$4,RESULT_CATEGORIES,$B27)/60</f>
        <v>0</v>
      </c>
      <c r="AQ27" s="22">
        <f t="shared" ca="1" si="42"/>
        <v>0</v>
      </c>
      <c r="AR27" s="22">
        <f t="shared" ca="1" si="42"/>
        <v>0</v>
      </c>
      <c r="AS27" s="22">
        <f t="shared" ca="1" si="42"/>
        <v>0</v>
      </c>
      <c r="AT27" s="22">
        <f t="shared" ca="1" si="42"/>
        <v>0</v>
      </c>
      <c r="AU27" s="22">
        <f t="shared" ca="1" si="42"/>
        <v>0</v>
      </c>
      <c r="AV27" s="22">
        <f t="shared" ca="1" si="42"/>
        <v>0</v>
      </c>
      <c r="AW27" s="22">
        <f t="shared" ca="1" si="42"/>
        <v>0</v>
      </c>
      <c r="AX27" s="17">
        <f ca="1">SUMIFS(RESULT_DURATION,WEEK,AX$4,RESULT_CATEGORIES,$B27)/60</f>
        <v>0</v>
      </c>
      <c r="AY27" s="4"/>
      <c r="AZ27" s="4"/>
      <c r="BA27" t="str" cm="1">
        <f t="array" ref="BA27">IF(ISERROR(INDEX(RESULT_SUBJECT,SMALL(IF(COUNTIF($BA$3,MONTH), ROW(MONTH)-MIN(ROW(MONTH))+1),ROW(A22)),COLUMN(A22))),"",INDEX(RESULT_SUBJECT,SMALL(IF(COUNTIF($BA$3,MONTH), ROW(MONTH)-MIN(ROW(MONTH))+1),ROW(A22)),COLUMN(A22)))</f>
        <v/>
      </c>
      <c r="BB27" t="str" cm="1">
        <f t="array" ref="BB27">IF(ISERROR(INDEX(WEEK,SMALL(IF(COUNTIF($BA$3,MONTH), ROW(MONTH)-MIN(ROW(MONTH))+1),ROW(A22)),COLUMN(A22))),"",INDEX(WEEK,SMALL(IF(COUNTIF($BA$3,MONTH), ROW(MONTH)-MIN(ROW(MONTH))+1),ROW(A22)),COLUMN(A22)))</f>
        <v/>
      </c>
      <c r="BC27" t="str" cm="1">
        <f t="array" ref="BC27">IF(ISERROR(INDEX(RESULT_DAY,SMALL(IF(COUNTIF($BA$3,MONTH), ROW(MONTH)-MIN(ROW(MONTH))+1),ROW(A22)),COLUMN(A22))),"",INDEX(RESULT_DAY,SMALL(IF(COUNTIF($BA$3,MONTH), ROW(MONTH)-MIN(ROW(MONTH))+1),ROW(A22)),COLUMN(A22)))</f>
        <v/>
      </c>
      <c r="BD27" s="29" t="str">
        <f t="shared" si="26"/>
        <v/>
      </c>
      <c r="BE27" s="2" t="str" cm="1">
        <f t="array" ref="BE27">IF(ISERROR(INDEX(RESULT_DURATION,SMALL(IF(COUNTIF($BA$3,MONTH), ROW(MONTH)-MIN(ROW(MONTH))+1),ROW(A22)),COLUMN(A22))),"",INDEX(RESULT_DURATION,SMALL(IF(COUNTIF($BA$3,MONTH), ROW(MONTH)-MIN(ROW(MONTH))+1),ROW(A22)),COLUMN(A22)))</f>
        <v/>
      </c>
      <c r="BH27" t="str" cm="1">
        <f t="array" ref="BH27">IF(ISERROR(INDEX(RESULT_CATEGORIES,SMALL(IF(COUNTIF($BA$3,MONTH), ROW(MONTH)-MIN(ROW(MONTH))+1),ROW(A22)),COLUMN(A22))),"",INDEX(RESULT_CATEGORIES,SMALL(IF(COUNTIF($BA$3,MONTH), ROW(MONTH)-MIN(ROW(MONTH))+1),ROW(A22)),COLUMN(A22)))</f>
        <v/>
      </c>
      <c r="BI27" t="str" cm="1">
        <f t="array" ref="BI27">IF(ISERROR(INDEX(RESULTLOCATION,SMALL(IF(COUNTIF($BA$3,MONTH), ROW(MONTH)-MIN(ROW(MONTH))+1),ROW(A22)),COLUMN(A22))),"",INDEX(RESULTLOCATION,SMALL(IF(COUNTIF($BA$3,MONTH), ROW(MONTH)-MIN(ROW(MONTH))+1),ROW(A22)),COLUMN(A22)))</f>
        <v/>
      </c>
      <c r="BN27">
        <f t="shared" si="27"/>
        <v>6180</v>
      </c>
      <c r="BO27" s="2">
        <f t="shared" si="28"/>
        <v>103</v>
      </c>
      <c r="BP27">
        <f t="shared" si="29"/>
        <v>4</v>
      </c>
      <c r="BQ27" t="e">
        <f>MATCH(BM27,#REF!,0)</f>
        <v>#REF!</v>
      </c>
      <c r="BR27" t="str">
        <f t="shared" si="30"/>
        <v>NOTSET</v>
      </c>
      <c r="BS27" t="e" cm="1">
        <f t="array" ref="BS27">INDEX(#REF!,HistoryResultStats!BQ27)</f>
        <v>#REF!</v>
      </c>
    </row>
    <row r="28" spans="2:71" x14ac:dyDescent="0.3">
      <c r="C28" s="22"/>
      <c r="D28" s="22"/>
      <c r="E28" s="22"/>
      <c r="F28" s="22"/>
      <c r="G28" s="22"/>
      <c r="H28" s="22"/>
      <c r="I28" s="22"/>
      <c r="J28" s="17">
        <f ca="1">SUMIFS(RESULT_DURATION,WEEK,J$4,RESULT_CATEGORIES,$B28)/60</f>
        <v>0</v>
      </c>
      <c r="K28" s="22"/>
      <c r="L28" s="22"/>
      <c r="M28" s="22"/>
      <c r="N28" s="22"/>
      <c r="O28" s="22"/>
      <c r="P28" s="22"/>
      <c r="Q28" s="22"/>
      <c r="R28" s="17">
        <f ca="1">SUMIFS(RESULT_DURATION,WEEK,R$4,RESULT_CATEGORIES,$B28)/60</f>
        <v>0</v>
      </c>
      <c r="S28" s="22"/>
      <c r="T28" s="22"/>
      <c r="U28" s="22"/>
      <c r="V28" s="22"/>
      <c r="W28" s="22"/>
      <c r="X28" s="22"/>
      <c r="Y28" s="22"/>
      <c r="Z28" s="17">
        <f ca="1">SUMIFS(RESULT_DURATION,WEEK,Z$4,RESULT_CATEGORIES,$B28)/60</f>
        <v>0</v>
      </c>
      <c r="AA28" s="22"/>
      <c r="AB28" s="22"/>
      <c r="AC28" s="22"/>
      <c r="AD28" s="22"/>
      <c r="AE28" s="22"/>
      <c r="AF28" s="22"/>
      <c r="AG28" s="22"/>
      <c r="AH28" s="17">
        <f ca="1">SUMIFS(RESULT_DURATION,WEEK,AH$4,RESULT_CATEGORIES,$B28)/60</f>
        <v>0</v>
      </c>
      <c r="AI28" s="22"/>
      <c r="AJ28" s="22"/>
      <c r="AK28" s="22"/>
      <c r="AL28" s="22"/>
      <c r="AM28" s="22"/>
      <c r="AN28" s="22"/>
      <c r="AO28" s="22"/>
      <c r="AP28" s="17">
        <f ca="1">SUMIFS(RESULT_DURATION,WEEK,AP$4,RESULT_CATEGORIES,$B28)/60</f>
        <v>0</v>
      </c>
      <c r="AQ28" s="22"/>
      <c r="AR28" s="22"/>
      <c r="AS28" s="22"/>
      <c r="AT28" s="22"/>
      <c r="AU28" s="22"/>
      <c r="AV28" s="22"/>
      <c r="AW28" s="22"/>
      <c r="AX28" s="17"/>
      <c r="AY28" s="4"/>
      <c r="AZ28" s="4"/>
      <c r="BA28" t="str" cm="1">
        <f t="array" ref="BA28">IF(ISERROR(INDEX(RESULT_SUBJECT,SMALL(IF(COUNTIF($BA$3,MONTH), ROW(MONTH)-MIN(ROW(MONTH))+1),ROW(A23)),COLUMN(A23))),"",INDEX(RESULT_SUBJECT,SMALL(IF(COUNTIF($BA$3,MONTH), ROW(MONTH)-MIN(ROW(MONTH))+1),ROW(A23)),COLUMN(A23)))</f>
        <v/>
      </c>
      <c r="BB28" t="str" cm="1">
        <f t="array" ref="BB28">IF(ISERROR(INDEX(WEEK,SMALL(IF(COUNTIF($BA$3,MONTH), ROW(MONTH)-MIN(ROW(MONTH))+1),ROW(A23)),COLUMN(A23))),"",INDEX(WEEK,SMALL(IF(COUNTIF($BA$3,MONTH), ROW(MONTH)-MIN(ROW(MONTH))+1),ROW(A23)),COLUMN(A23)))</f>
        <v/>
      </c>
      <c r="BC28" t="str" cm="1">
        <f t="array" ref="BC28">IF(ISERROR(INDEX(RESULT_DAY,SMALL(IF(COUNTIF($BA$3,MONTH), ROW(MONTH)-MIN(ROW(MONTH))+1),ROW(A23)),COLUMN(A23))),"",INDEX(RESULT_DAY,SMALL(IF(COUNTIF($BA$3,MONTH), ROW(MONTH)-MIN(ROW(MONTH))+1),ROW(A23)),COLUMN(A23)))</f>
        <v/>
      </c>
      <c r="BD28" s="29" t="str">
        <f t="shared" si="26"/>
        <v/>
      </c>
      <c r="BE28" s="2" t="str" cm="1">
        <f t="array" ref="BE28">IF(ISERROR(INDEX(RESULT_DURATION,SMALL(IF(COUNTIF($BA$3,MONTH), ROW(MONTH)-MIN(ROW(MONTH))+1),ROW(A23)),COLUMN(A23))),"",INDEX(RESULT_DURATION,SMALL(IF(COUNTIF($BA$3,MONTH), ROW(MONTH)-MIN(ROW(MONTH))+1),ROW(A23)),COLUMN(A23)))</f>
        <v/>
      </c>
      <c r="BH28" t="str" cm="1">
        <f t="array" ref="BH28">IF(ISERROR(INDEX(RESULT_CATEGORIES,SMALL(IF(COUNTIF($BA$3,MONTH), ROW(MONTH)-MIN(ROW(MONTH))+1),ROW(A23)),COLUMN(A23))),"",INDEX(RESULT_CATEGORIES,SMALL(IF(COUNTIF($BA$3,MONTH), ROW(MONTH)-MIN(ROW(MONTH))+1),ROW(A23)),COLUMN(A23)))</f>
        <v/>
      </c>
      <c r="BI28" t="str" cm="1">
        <f t="array" ref="BI28">IF(ISERROR(INDEX(RESULTLOCATION,SMALL(IF(COUNTIF($BA$3,MONTH), ROW(MONTH)-MIN(ROW(MONTH))+1),ROW(A23)),COLUMN(A23))),"",INDEX(RESULTLOCATION,SMALL(IF(COUNTIF($BA$3,MONTH), ROW(MONTH)-MIN(ROW(MONTH))+1),ROW(A23)),COLUMN(A23)))</f>
        <v/>
      </c>
      <c r="BN28">
        <f t="shared" si="27"/>
        <v>6180</v>
      </c>
      <c r="BO28" s="2">
        <f t="shared" si="28"/>
        <v>103</v>
      </c>
      <c r="BP28">
        <f t="shared" si="29"/>
        <v>4</v>
      </c>
      <c r="BQ28" t="e">
        <f>MATCH(BM28,#REF!,0)</f>
        <v>#REF!</v>
      </c>
      <c r="BR28" t="str">
        <f t="shared" si="30"/>
        <v>NOTSET</v>
      </c>
      <c r="BS28" t="e" cm="1">
        <f t="array" ref="BS28">INDEX(#REF!,HistoryResultStats!BQ28)</f>
        <v>#REF!</v>
      </c>
    </row>
    <row r="29" spans="2:71" x14ac:dyDescent="0.3">
      <c r="C29" s="22"/>
      <c r="D29" s="22"/>
      <c r="E29" s="22"/>
      <c r="F29" s="22"/>
      <c r="G29" s="22"/>
      <c r="H29" s="22"/>
      <c r="I29" s="22"/>
      <c r="J29" s="17"/>
      <c r="K29" s="22"/>
      <c r="L29" s="22"/>
      <c r="M29" s="22"/>
      <c r="N29" s="22"/>
      <c r="O29" s="22"/>
      <c r="P29" s="22"/>
      <c r="Q29" s="22"/>
      <c r="R29" s="17"/>
      <c r="S29" s="22"/>
      <c r="T29" s="22"/>
      <c r="U29" s="22"/>
      <c r="V29" s="22"/>
      <c r="W29" s="22"/>
      <c r="X29" s="22"/>
      <c r="Y29" s="22"/>
      <c r="Z29" s="17"/>
      <c r="AA29" s="22"/>
      <c r="AB29" s="22"/>
      <c r="AC29" s="22"/>
      <c r="AD29" s="22"/>
      <c r="AE29" s="22"/>
      <c r="AF29" s="22"/>
      <c r="AG29" s="22"/>
      <c r="AH29" s="17"/>
      <c r="AI29" s="22"/>
      <c r="AJ29" s="22"/>
      <c r="AK29" s="22"/>
      <c r="AL29" s="22"/>
      <c r="AM29" s="22"/>
      <c r="AN29" s="22"/>
      <c r="AO29" s="22"/>
      <c r="AP29" s="17"/>
      <c r="AQ29" s="22"/>
      <c r="AR29" s="22"/>
      <c r="AS29" s="22"/>
      <c r="AT29" s="22"/>
      <c r="AU29" s="22"/>
      <c r="AV29" s="22"/>
      <c r="AW29" s="22"/>
      <c r="AX29" s="17"/>
      <c r="AY29" s="4"/>
      <c r="BA29" t="str" cm="1">
        <f t="array" ref="BA29">IF(ISERROR(INDEX(RESULT_SUBJECT,SMALL(IF(COUNTIF($BA$3,MONTH), ROW(MONTH)-MIN(ROW(MONTH))+1),ROW(A24)),COLUMN(A24))),"",INDEX(RESULT_SUBJECT,SMALL(IF(COUNTIF($BA$3,MONTH), ROW(MONTH)-MIN(ROW(MONTH))+1),ROW(A24)),COLUMN(A24)))</f>
        <v/>
      </c>
      <c r="BB29" t="str" cm="1">
        <f t="array" ref="BB29">IF(ISERROR(INDEX(WEEK,SMALL(IF(COUNTIF($BA$3,MONTH), ROW(MONTH)-MIN(ROW(MONTH))+1),ROW(A24)),COLUMN(A24))),"",INDEX(WEEK,SMALL(IF(COUNTIF($BA$3,MONTH), ROW(MONTH)-MIN(ROW(MONTH))+1),ROW(A24)),COLUMN(A24)))</f>
        <v/>
      </c>
      <c r="BC29" t="str" cm="1">
        <f t="array" ref="BC29">IF(ISERROR(INDEX(RESULT_DAY,SMALL(IF(COUNTIF($BA$3,MONTH), ROW(MONTH)-MIN(ROW(MONTH))+1),ROW(A24)),COLUMN(A24))),"",INDEX(RESULT_DAY,SMALL(IF(COUNTIF($BA$3,MONTH), ROW(MONTH)-MIN(ROW(MONTH))+1),ROW(A24)),COLUMN(A24)))</f>
        <v/>
      </c>
      <c r="BD29" s="29" t="str">
        <f t="shared" si="26"/>
        <v/>
      </c>
      <c r="BE29" s="2" t="str" cm="1">
        <f t="array" ref="BE29">IF(ISERROR(INDEX(RESULT_DURATION,SMALL(IF(COUNTIF($BA$3,MONTH), ROW(MONTH)-MIN(ROW(MONTH))+1),ROW(A24)),COLUMN(A24))),"",INDEX(RESULT_DURATION,SMALL(IF(COUNTIF($BA$3,MONTH), ROW(MONTH)-MIN(ROW(MONTH))+1),ROW(A24)),COLUMN(A24)))</f>
        <v/>
      </c>
      <c r="BH29" t="str" cm="1">
        <f t="array" ref="BH29">IF(ISERROR(INDEX(RESULT_CATEGORIES,SMALL(IF(COUNTIF($BA$3,MONTH), ROW(MONTH)-MIN(ROW(MONTH))+1),ROW(A24)),COLUMN(A24))),"",INDEX(RESULT_CATEGORIES,SMALL(IF(COUNTIF($BA$3,MONTH), ROW(MONTH)-MIN(ROW(MONTH))+1),ROW(A24)),COLUMN(A24)))</f>
        <v/>
      </c>
      <c r="BI29" t="str" cm="1">
        <f t="array" ref="BI29">IF(ISERROR(INDEX(RESULTLOCATION,SMALL(IF(COUNTIF($BA$3,MONTH), ROW(MONTH)-MIN(ROW(MONTH))+1),ROW(A24)),COLUMN(A24))),"",INDEX(RESULTLOCATION,SMALL(IF(COUNTIF($BA$3,MONTH), ROW(MONTH)-MIN(ROW(MONTH))+1),ROW(A24)),COLUMN(A24)))</f>
        <v/>
      </c>
      <c r="BN29">
        <f t="shared" si="27"/>
        <v>6180</v>
      </c>
      <c r="BO29" s="2">
        <f t="shared" si="28"/>
        <v>103</v>
      </c>
      <c r="BP29">
        <f t="shared" si="29"/>
        <v>4</v>
      </c>
      <c r="BQ29" t="e">
        <f>MATCH(BM29,#REF!,0)</f>
        <v>#REF!</v>
      </c>
      <c r="BR29" t="str">
        <f t="shared" si="30"/>
        <v>NOTSET</v>
      </c>
      <c r="BS29" t="e" cm="1">
        <f t="array" ref="BS29">INDEX(#REF!,HistoryResultStats!BQ29)</f>
        <v>#REF!</v>
      </c>
    </row>
    <row r="30" spans="2:71" x14ac:dyDescent="0.3">
      <c r="C30" s="22">
        <f t="shared" ref="C30:I30" ca="1" si="43">SUMIFS(RESULT_DURATION,WEEK,C$4,RESULT_CATEGORIES,$B30,WEEKDAY,C$5)/60</f>
        <v>0</v>
      </c>
      <c r="D30" s="22">
        <f t="shared" ca="1" si="43"/>
        <v>0</v>
      </c>
      <c r="E30" s="22">
        <f t="shared" ca="1" si="43"/>
        <v>0</v>
      </c>
      <c r="F30" s="22">
        <f t="shared" ca="1" si="43"/>
        <v>0</v>
      </c>
      <c r="G30" s="22">
        <f t="shared" ca="1" si="43"/>
        <v>0</v>
      </c>
      <c r="H30" s="22">
        <f t="shared" ca="1" si="43"/>
        <v>0</v>
      </c>
      <c r="I30" s="22">
        <f t="shared" ca="1" si="43"/>
        <v>0</v>
      </c>
      <c r="J30" s="17">
        <f ca="1">SUMIFS(RESULT_DURATION,WEEK,J$4,RESULT_CATEGORIES,$B30)/60</f>
        <v>0</v>
      </c>
      <c r="K30" s="22">
        <f t="shared" ref="K30:Q30" ca="1" si="44">SUMIFS(RESULT_DURATION,WEEK,K$4,RESULT_CATEGORIES,$B30,WEEKDAY,K$5)/60</f>
        <v>0</v>
      </c>
      <c r="L30" s="22">
        <f t="shared" ca="1" si="44"/>
        <v>0</v>
      </c>
      <c r="M30" s="22">
        <f t="shared" ca="1" si="44"/>
        <v>0</v>
      </c>
      <c r="N30" s="22">
        <f t="shared" ca="1" si="44"/>
        <v>0</v>
      </c>
      <c r="O30" s="22">
        <f t="shared" ca="1" si="44"/>
        <v>0</v>
      </c>
      <c r="P30" s="22">
        <f t="shared" ca="1" si="44"/>
        <v>0</v>
      </c>
      <c r="Q30" s="22">
        <f t="shared" ca="1" si="44"/>
        <v>0</v>
      </c>
      <c r="R30" s="17">
        <f ca="1">SUMIFS(RESULT_DURATION,WEEK,R$4,RESULT_CATEGORIES,$B30)/60</f>
        <v>0</v>
      </c>
      <c r="S30" s="22">
        <f t="shared" ref="S30:Y30" ca="1" si="45">SUMIFS(RESULT_DURATION,WEEK,S$4,RESULT_CATEGORIES,$B30,WEEKDAY,S$5)/60</f>
        <v>0</v>
      </c>
      <c r="T30" s="22">
        <f t="shared" ca="1" si="45"/>
        <v>0</v>
      </c>
      <c r="U30" s="22">
        <f t="shared" ca="1" si="45"/>
        <v>0</v>
      </c>
      <c r="V30" s="22">
        <f t="shared" ca="1" si="45"/>
        <v>0</v>
      </c>
      <c r="W30" s="22">
        <f t="shared" ca="1" si="45"/>
        <v>0</v>
      </c>
      <c r="X30" s="22">
        <f t="shared" ca="1" si="45"/>
        <v>0</v>
      </c>
      <c r="Y30" s="22">
        <f t="shared" ca="1" si="45"/>
        <v>0</v>
      </c>
      <c r="Z30" s="17">
        <f ca="1">SUMIFS(RESULT_DURATION,WEEK,Z$4,RESULT_CATEGORIES,$B30)/60</f>
        <v>0</v>
      </c>
      <c r="AA30" s="22">
        <f t="shared" ref="AA30:AG30" ca="1" si="46">SUMIFS(RESULT_DURATION,WEEK,AA$4,RESULT_CATEGORIES,$B30,WEEKDAY,AA$5)/60</f>
        <v>0</v>
      </c>
      <c r="AB30" s="22">
        <f t="shared" ca="1" si="46"/>
        <v>0</v>
      </c>
      <c r="AC30" s="22">
        <f t="shared" ca="1" si="46"/>
        <v>0</v>
      </c>
      <c r="AD30" s="22">
        <f t="shared" ca="1" si="46"/>
        <v>0</v>
      </c>
      <c r="AE30" s="22">
        <f t="shared" ca="1" si="46"/>
        <v>0</v>
      </c>
      <c r="AF30" s="22">
        <f t="shared" ca="1" si="46"/>
        <v>0</v>
      </c>
      <c r="AG30" s="22">
        <f t="shared" ca="1" si="46"/>
        <v>0</v>
      </c>
      <c r="AH30" s="17">
        <f ca="1">SUMIFS(RESULT_DURATION,WEEK,AH$4,RESULT_CATEGORIES,$B30)/60</f>
        <v>0</v>
      </c>
      <c r="AI30" s="22">
        <f t="shared" ref="AI30:AO30" ca="1" si="47">SUMIFS(RESULT_DURATION,WEEK,AI$4,RESULT_CATEGORIES,$B30,WEEKDAY,AI$5)/60</f>
        <v>0</v>
      </c>
      <c r="AJ30" s="22">
        <f t="shared" ca="1" si="47"/>
        <v>0</v>
      </c>
      <c r="AK30" s="22">
        <f t="shared" ca="1" si="47"/>
        <v>0</v>
      </c>
      <c r="AL30" s="22">
        <f t="shared" ca="1" si="47"/>
        <v>0</v>
      </c>
      <c r="AM30" s="22">
        <f t="shared" ca="1" si="47"/>
        <v>0</v>
      </c>
      <c r="AN30" s="22">
        <f t="shared" ca="1" si="47"/>
        <v>0</v>
      </c>
      <c r="AO30" s="22">
        <f t="shared" ca="1" si="47"/>
        <v>0</v>
      </c>
      <c r="AP30" s="17">
        <f ca="1">SUMIFS(RESULT_DURATION,WEEK,AP$4,RESULT_CATEGORIES,$B30)/60</f>
        <v>0</v>
      </c>
      <c r="AQ30" s="22">
        <f t="shared" ref="AQ30:AW30" ca="1" si="48">SUMIFS(RESULT_DURATION,WEEK,AQ$4,RESULT_CATEGORIES,$B30,WEEKDAY,AQ$5)/60</f>
        <v>0</v>
      </c>
      <c r="AR30" s="22">
        <f t="shared" ca="1" si="48"/>
        <v>0</v>
      </c>
      <c r="AS30" s="22">
        <f t="shared" ca="1" si="48"/>
        <v>0</v>
      </c>
      <c r="AT30" s="22">
        <f t="shared" ca="1" si="48"/>
        <v>0</v>
      </c>
      <c r="AU30" s="22">
        <f t="shared" ca="1" si="48"/>
        <v>0</v>
      </c>
      <c r="AV30" s="22">
        <f t="shared" ca="1" si="48"/>
        <v>0</v>
      </c>
      <c r="AW30" s="22">
        <f t="shared" ca="1" si="48"/>
        <v>0</v>
      </c>
      <c r="AX30" s="17">
        <f ca="1">SUMIFS(RESULT_DURATION,WEEK,AX$4,RESULT_CATEGORIES,$B30)/60</f>
        <v>0</v>
      </c>
      <c r="AY30" s="4"/>
      <c r="AZ30" s="2"/>
      <c r="BA30" t="str" cm="1">
        <f t="array" ref="BA30">IF(ISERROR(INDEX(RESULT_SUBJECT,SMALL(IF(COUNTIF($BA$3,MONTH), ROW(MONTH)-MIN(ROW(MONTH))+1),ROW(A25)),COLUMN(A25))),"",INDEX(RESULT_SUBJECT,SMALL(IF(COUNTIF($BA$3,MONTH), ROW(MONTH)-MIN(ROW(MONTH))+1),ROW(A25)),COLUMN(A25)))</f>
        <v/>
      </c>
      <c r="BB30" t="str" cm="1">
        <f t="array" ref="BB30">IF(ISERROR(INDEX(WEEK,SMALL(IF(COUNTIF($BA$3,MONTH), ROW(MONTH)-MIN(ROW(MONTH))+1),ROW(A25)),COLUMN(A25))),"",INDEX(WEEK,SMALL(IF(COUNTIF($BA$3,MONTH), ROW(MONTH)-MIN(ROW(MONTH))+1),ROW(A25)),COLUMN(A25)))</f>
        <v/>
      </c>
      <c r="BC30" t="str" cm="1">
        <f t="array" ref="BC30">IF(ISERROR(INDEX(RESULT_DAY,SMALL(IF(COUNTIF($BA$3,MONTH), ROW(MONTH)-MIN(ROW(MONTH))+1),ROW(A25)),COLUMN(A25))),"",INDEX(RESULT_DAY,SMALL(IF(COUNTIF($BA$3,MONTH), ROW(MONTH)-MIN(ROW(MONTH))+1),ROW(A25)),COLUMN(A25)))</f>
        <v/>
      </c>
      <c r="BD30" s="29" t="str">
        <f t="shared" si="26"/>
        <v/>
      </c>
      <c r="BE30" s="2" t="str" cm="1">
        <f t="array" ref="BE30">IF(ISERROR(INDEX(RESULT_DURATION,SMALL(IF(COUNTIF($BA$3,MONTH), ROW(MONTH)-MIN(ROW(MONTH))+1),ROW(A25)),COLUMN(A25))),"",INDEX(RESULT_DURATION,SMALL(IF(COUNTIF($BA$3,MONTH), ROW(MONTH)-MIN(ROW(MONTH))+1),ROW(A25)),COLUMN(A25)))</f>
        <v/>
      </c>
      <c r="BH30" t="str" cm="1">
        <f t="array" ref="BH30">IF(ISERROR(INDEX(RESULT_CATEGORIES,SMALL(IF(COUNTIF($BA$3,MONTH), ROW(MONTH)-MIN(ROW(MONTH))+1),ROW(A25)),COLUMN(A25))),"",INDEX(RESULT_CATEGORIES,SMALL(IF(COUNTIF($BA$3,MONTH), ROW(MONTH)-MIN(ROW(MONTH))+1),ROW(A25)),COLUMN(A25)))</f>
        <v/>
      </c>
      <c r="BI30" t="str" cm="1">
        <f t="array" ref="BI30">IF(ISERROR(INDEX(RESULTLOCATION,SMALL(IF(COUNTIF($BA$3,MONTH), ROW(MONTH)-MIN(ROW(MONTH))+1),ROW(A25)),COLUMN(A25))),"",INDEX(RESULTLOCATION,SMALL(IF(COUNTIF($BA$3,MONTH), ROW(MONTH)-MIN(ROW(MONTH))+1),ROW(A25)),COLUMN(A25)))</f>
        <v/>
      </c>
      <c r="BN30">
        <f t="shared" si="27"/>
        <v>6180</v>
      </c>
      <c r="BO30" s="2">
        <f t="shared" si="28"/>
        <v>103</v>
      </c>
      <c r="BP30">
        <f t="shared" si="29"/>
        <v>4</v>
      </c>
      <c r="BQ30" t="e">
        <f>MATCH(BM30,#REF!,0)</f>
        <v>#REF!</v>
      </c>
      <c r="BR30" t="str">
        <f t="shared" si="30"/>
        <v>NOTSET</v>
      </c>
      <c r="BS30" t="e" cm="1">
        <f t="array" ref="BS30">INDEX(#REF!,HistoryResultStats!BQ30)</f>
        <v>#REF!</v>
      </c>
    </row>
    <row r="31" spans="2:71" x14ac:dyDescent="0.3">
      <c r="C31" s="22"/>
      <c r="D31" s="22"/>
      <c r="E31" s="22"/>
      <c r="F31" s="22"/>
      <c r="G31" s="22"/>
      <c r="H31" s="22"/>
      <c r="I31" s="22"/>
      <c r="J31" s="17">
        <f ca="1">SUMIFS(RESULT_DURATION,WEEK,J$4,RESULT_CATEGORIES,$B31)/60</f>
        <v>0</v>
      </c>
      <c r="K31" s="22"/>
      <c r="L31" s="22"/>
      <c r="M31" s="22"/>
      <c r="N31" s="22"/>
      <c r="O31" s="22"/>
      <c r="P31" s="22"/>
      <c r="Q31" s="22"/>
      <c r="R31" s="17">
        <f ca="1">SUMIFS(RESULT_DURATION,WEEK,R$4,RESULT_CATEGORIES,$B31)/60</f>
        <v>0</v>
      </c>
      <c r="S31" s="22"/>
      <c r="T31" s="22"/>
      <c r="U31" s="22"/>
      <c r="V31" s="22"/>
      <c r="W31" s="22"/>
      <c r="X31" s="22"/>
      <c r="Y31" s="22"/>
      <c r="Z31" s="17">
        <f ca="1">SUMIFS(RESULT_DURATION,WEEK,Z$4,RESULT_CATEGORIES,$B31)/60</f>
        <v>0</v>
      </c>
      <c r="AA31" s="22"/>
      <c r="AB31" s="22"/>
      <c r="AC31" s="22"/>
      <c r="AD31" s="22"/>
      <c r="AE31" s="22"/>
      <c r="AF31" s="22"/>
      <c r="AG31" s="22"/>
      <c r="AH31" s="17">
        <f ca="1">SUMIFS(RESULT_DURATION,WEEK,AH$4,RESULT_CATEGORIES,$B31)/60</f>
        <v>0</v>
      </c>
      <c r="AI31" s="22"/>
      <c r="AJ31" s="22"/>
      <c r="AK31" s="22"/>
      <c r="AL31" s="22"/>
      <c r="AM31" s="22"/>
      <c r="AN31" s="22"/>
      <c r="AO31" s="22"/>
      <c r="AP31" s="17">
        <f ca="1">SUMIFS(RESULT_DURATION,WEEK,AP$4,RESULT_CATEGORIES,$B31)/60</f>
        <v>0</v>
      </c>
      <c r="AQ31" s="22"/>
      <c r="AR31" s="22"/>
      <c r="AS31" s="22"/>
      <c r="AT31" s="22"/>
      <c r="AU31" s="22"/>
      <c r="AV31" s="22"/>
      <c r="AW31" s="22"/>
      <c r="AX31" s="17"/>
      <c r="AY31" s="4"/>
      <c r="BA31" t="str" cm="1">
        <f t="array" ref="BA31">IF(ISERROR(INDEX(RESULT_SUBJECT,SMALL(IF(COUNTIF($BA$3,MONTH), ROW(MONTH)-MIN(ROW(MONTH))+1),ROW(A26)),COLUMN(A26))),"",INDEX(RESULT_SUBJECT,SMALL(IF(COUNTIF($BA$3,MONTH), ROW(MONTH)-MIN(ROW(MONTH))+1),ROW(A26)),COLUMN(A26)))</f>
        <v/>
      </c>
      <c r="BB31" t="str" cm="1">
        <f t="array" ref="BB31">IF(ISERROR(INDEX(WEEK,SMALL(IF(COUNTIF($BA$3,MONTH), ROW(MONTH)-MIN(ROW(MONTH))+1),ROW(A26)),COLUMN(A26))),"",INDEX(WEEK,SMALL(IF(COUNTIF($BA$3,MONTH), ROW(MONTH)-MIN(ROW(MONTH))+1),ROW(A26)),COLUMN(A26)))</f>
        <v/>
      </c>
      <c r="BC31" t="str" cm="1">
        <f t="array" ref="BC31">IF(ISERROR(INDEX(RESULT_DAY,SMALL(IF(COUNTIF($BA$3,MONTH), ROW(MONTH)-MIN(ROW(MONTH))+1),ROW(A26)),COLUMN(A26))),"",INDEX(RESULT_DAY,SMALL(IF(COUNTIF($BA$3,MONTH), ROW(MONTH)-MIN(ROW(MONTH))+1),ROW(A26)),COLUMN(A26)))</f>
        <v/>
      </c>
      <c r="BD31" s="29" t="str">
        <f t="shared" si="26"/>
        <v/>
      </c>
      <c r="BE31" s="2" t="str" cm="1">
        <f t="array" ref="BE31">IF(ISERROR(INDEX(RESULT_DURATION,SMALL(IF(COUNTIF($BA$3,MONTH), ROW(MONTH)-MIN(ROW(MONTH))+1),ROW(A26)),COLUMN(A26))),"",INDEX(RESULT_DURATION,SMALL(IF(COUNTIF($BA$3,MONTH), ROW(MONTH)-MIN(ROW(MONTH))+1),ROW(A26)),COLUMN(A26)))</f>
        <v/>
      </c>
      <c r="BH31" t="str" cm="1">
        <f t="array" ref="BH31">IF(ISERROR(INDEX(RESULT_CATEGORIES,SMALL(IF(COUNTIF($BA$3,MONTH), ROW(MONTH)-MIN(ROW(MONTH))+1),ROW(A26)),COLUMN(A26))),"",INDEX(RESULT_CATEGORIES,SMALL(IF(COUNTIF($BA$3,MONTH), ROW(MONTH)-MIN(ROW(MONTH))+1),ROW(A26)),COLUMN(A26)))</f>
        <v/>
      </c>
      <c r="BI31" t="str" cm="1">
        <f t="array" ref="BI31">IF(ISERROR(INDEX(RESULTLOCATION,SMALL(IF(COUNTIF($BA$3,MONTH), ROW(MONTH)-MIN(ROW(MONTH))+1),ROW(A26)),COLUMN(A26))),"",INDEX(RESULTLOCATION,SMALL(IF(COUNTIF($BA$3,MONTH), ROW(MONTH)-MIN(ROW(MONTH))+1),ROW(A26)),COLUMN(A26)))</f>
        <v/>
      </c>
      <c r="BN31">
        <f t="shared" si="27"/>
        <v>6180</v>
      </c>
      <c r="BO31" s="2">
        <f t="shared" si="28"/>
        <v>103</v>
      </c>
      <c r="BP31">
        <f t="shared" si="29"/>
        <v>4</v>
      </c>
      <c r="BQ31" t="e">
        <f>MATCH(BM31,#REF!,0)</f>
        <v>#REF!</v>
      </c>
      <c r="BR31" t="str">
        <f t="shared" si="30"/>
        <v>NOTSET</v>
      </c>
      <c r="BS31" t="e" cm="1">
        <f t="array" ref="BS31">INDEX(#REF!,HistoryResultStats!BQ31)</f>
        <v>#REF!</v>
      </c>
    </row>
    <row r="32" spans="2:71" x14ac:dyDescent="0.3">
      <c r="B32" s="3" t="s">
        <v>12</v>
      </c>
      <c r="C32" s="23">
        <f t="shared" ref="C32:AW32" ca="1" si="49">SUM(C6:C31)</f>
        <v>0</v>
      </c>
      <c r="D32" s="23">
        <f t="shared" ca="1" si="49"/>
        <v>0</v>
      </c>
      <c r="E32" s="23">
        <f t="shared" ca="1" si="49"/>
        <v>0</v>
      </c>
      <c r="F32" s="23">
        <f t="shared" ca="1" si="49"/>
        <v>0</v>
      </c>
      <c r="G32" s="23">
        <f t="shared" ca="1" si="49"/>
        <v>0</v>
      </c>
      <c r="H32" s="23">
        <f t="shared" ca="1" si="49"/>
        <v>0</v>
      </c>
      <c r="I32" s="23">
        <f t="shared" ca="1" si="49"/>
        <v>0</v>
      </c>
      <c r="J32" s="18">
        <f t="shared" ca="1" si="49"/>
        <v>0</v>
      </c>
      <c r="K32" s="23">
        <f t="shared" ca="1" si="49"/>
        <v>0</v>
      </c>
      <c r="L32" s="23">
        <f t="shared" ca="1" si="49"/>
        <v>0</v>
      </c>
      <c r="M32" s="23">
        <f t="shared" ca="1" si="49"/>
        <v>0</v>
      </c>
      <c r="N32" s="23">
        <f t="shared" ca="1" si="49"/>
        <v>0</v>
      </c>
      <c r="O32" s="23">
        <f t="shared" ca="1" si="49"/>
        <v>0</v>
      </c>
      <c r="P32" s="23">
        <f t="shared" ca="1" si="49"/>
        <v>0</v>
      </c>
      <c r="Q32" s="23">
        <f t="shared" ca="1" si="49"/>
        <v>0</v>
      </c>
      <c r="R32" s="18">
        <f t="shared" ca="1" si="49"/>
        <v>0</v>
      </c>
      <c r="S32" s="23">
        <f t="shared" ca="1" si="49"/>
        <v>0</v>
      </c>
      <c r="T32" s="23">
        <f t="shared" ca="1" si="49"/>
        <v>0</v>
      </c>
      <c r="U32" s="23">
        <f t="shared" ca="1" si="49"/>
        <v>0</v>
      </c>
      <c r="V32" s="23">
        <f t="shared" ca="1" si="49"/>
        <v>0</v>
      </c>
      <c r="W32" s="23">
        <f t="shared" ca="1" si="49"/>
        <v>0</v>
      </c>
      <c r="X32" s="23">
        <f t="shared" ca="1" si="49"/>
        <v>0</v>
      </c>
      <c r="Y32" s="23">
        <f t="shared" ca="1" si="49"/>
        <v>0</v>
      </c>
      <c r="Z32" s="18">
        <f t="shared" ca="1" si="49"/>
        <v>0</v>
      </c>
      <c r="AA32" s="23">
        <f t="shared" ca="1" si="49"/>
        <v>0</v>
      </c>
      <c r="AB32" s="23">
        <f t="shared" ca="1" si="49"/>
        <v>0</v>
      </c>
      <c r="AC32" s="23">
        <f t="shared" ca="1" si="49"/>
        <v>0</v>
      </c>
      <c r="AD32" s="23">
        <f t="shared" ca="1" si="49"/>
        <v>0</v>
      </c>
      <c r="AE32" s="23">
        <f t="shared" ca="1" si="49"/>
        <v>0</v>
      </c>
      <c r="AF32" s="23">
        <f t="shared" ca="1" si="49"/>
        <v>0</v>
      </c>
      <c r="AG32" s="23">
        <f t="shared" ca="1" si="49"/>
        <v>0</v>
      </c>
      <c r="AH32" s="18">
        <f t="shared" ca="1" si="49"/>
        <v>0</v>
      </c>
      <c r="AI32" s="23">
        <f t="shared" ca="1" si="49"/>
        <v>0</v>
      </c>
      <c r="AJ32" s="23">
        <f t="shared" ca="1" si="49"/>
        <v>0</v>
      </c>
      <c r="AK32" s="23">
        <f t="shared" ca="1" si="49"/>
        <v>0</v>
      </c>
      <c r="AL32" s="23">
        <f t="shared" ca="1" si="49"/>
        <v>0</v>
      </c>
      <c r="AM32" s="23">
        <f t="shared" ca="1" si="49"/>
        <v>0</v>
      </c>
      <c r="AN32" s="23">
        <f t="shared" ca="1" si="49"/>
        <v>0</v>
      </c>
      <c r="AO32" s="23">
        <f t="shared" ca="1" si="49"/>
        <v>0</v>
      </c>
      <c r="AP32" s="18">
        <f t="shared" ca="1" si="49"/>
        <v>0</v>
      </c>
      <c r="AQ32" s="23">
        <f t="shared" ca="1" si="49"/>
        <v>0</v>
      </c>
      <c r="AR32" s="23">
        <f t="shared" ca="1" si="49"/>
        <v>0</v>
      </c>
      <c r="AS32" s="23">
        <f t="shared" ca="1" si="49"/>
        <v>0</v>
      </c>
      <c r="AT32" s="23">
        <f t="shared" ca="1" si="49"/>
        <v>0</v>
      </c>
      <c r="AU32" s="23">
        <f t="shared" ca="1" si="49"/>
        <v>0</v>
      </c>
      <c r="AV32" s="23">
        <f t="shared" ca="1" si="49"/>
        <v>0</v>
      </c>
      <c r="AW32" s="23">
        <f t="shared" ca="1" si="49"/>
        <v>0</v>
      </c>
      <c r="AX32" s="18">
        <f ca="1">SUM(AX6:AX28)</f>
        <v>0</v>
      </c>
      <c r="AY32" s="4"/>
      <c r="BA32" t="str" cm="1">
        <f t="array" ref="BA32">IF(ISERROR(INDEX(RESULT_SUBJECT,SMALL(IF(COUNTIF($BA$3,MONTH), ROW(MONTH)-MIN(ROW(MONTH))+1),ROW(A27)),COLUMN(A27))),"",INDEX(RESULT_SUBJECT,SMALL(IF(COUNTIF($BA$3,MONTH), ROW(MONTH)-MIN(ROW(MONTH))+1),ROW(A27)),COLUMN(A27)))</f>
        <v/>
      </c>
      <c r="BB32" t="str" cm="1">
        <f t="array" ref="BB32">IF(ISERROR(INDEX(WEEK,SMALL(IF(COUNTIF($BA$3,MONTH), ROW(MONTH)-MIN(ROW(MONTH))+1),ROW(A27)),COLUMN(A27))),"",INDEX(WEEK,SMALL(IF(COUNTIF($BA$3,MONTH), ROW(MONTH)-MIN(ROW(MONTH))+1),ROW(A27)),COLUMN(A27)))</f>
        <v/>
      </c>
      <c r="BC32" t="str" cm="1">
        <f t="array" ref="BC32">IF(ISERROR(INDEX(RESULT_DAY,SMALL(IF(COUNTIF($BA$3,MONTH), ROW(MONTH)-MIN(ROW(MONTH))+1),ROW(A27)),COLUMN(A27))),"",INDEX(RESULT_DAY,SMALL(IF(COUNTIF($BA$3,MONTH), ROW(MONTH)-MIN(ROW(MONTH))+1),ROW(A27)),COLUMN(A27)))</f>
        <v/>
      </c>
      <c r="BD32" s="29" t="str">
        <f t="shared" si="26"/>
        <v/>
      </c>
      <c r="BE32" s="2" t="str" cm="1">
        <f t="array" ref="BE32">IF(ISERROR(INDEX(RESULT_DURATION,SMALL(IF(COUNTIF($BA$3,MONTH), ROW(MONTH)-MIN(ROW(MONTH))+1),ROW(A27)),COLUMN(A27))),"",INDEX(RESULT_DURATION,SMALL(IF(COUNTIF($BA$3,MONTH), ROW(MONTH)-MIN(ROW(MONTH))+1),ROW(A27)),COLUMN(A27)))</f>
        <v/>
      </c>
      <c r="BH32" t="str" cm="1">
        <f t="array" ref="BH32">IF(ISERROR(INDEX(RESULT_CATEGORIES,SMALL(IF(COUNTIF($BA$3,MONTH), ROW(MONTH)-MIN(ROW(MONTH))+1),ROW(A27)),COLUMN(A27))),"",INDEX(RESULT_CATEGORIES,SMALL(IF(COUNTIF($BA$3,MONTH), ROW(MONTH)-MIN(ROW(MONTH))+1),ROW(A27)),COLUMN(A27)))</f>
        <v/>
      </c>
      <c r="BI32" t="str" cm="1">
        <f t="array" ref="BI32">IF(ISERROR(INDEX(RESULTLOCATION,SMALL(IF(COUNTIF($BA$3,MONTH), ROW(MONTH)-MIN(ROW(MONTH))+1),ROW(A27)),COLUMN(A27))),"",INDEX(RESULTLOCATION,SMALL(IF(COUNTIF($BA$3,MONTH), ROW(MONTH)-MIN(ROW(MONTH))+1),ROW(A27)),COLUMN(A27)))</f>
        <v/>
      </c>
      <c r="BN32">
        <f t="shared" si="27"/>
        <v>6180</v>
      </c>
      <c r="BO32" s="2">
        <f t="shared" si="28"/>
        <v>103</v>
      </c>
      <c r="BP32">
        <f t="shared" si="29"/>
        <v>4</v>
      </c>
      <c r="BQ32" t="e">
        <f>MATCH(BM32,#REF!,0)</f>
        <v>#REF!</v>
      </c>
      <c r="BR32" t="str">
        <f t="shared" si="30"/>
        <v>NOTSET</v>
      </c>
      <c r="BS32" t="e" cm="1">
        <f t="array" ref="BS32">INDEX(#REF!,HistoryResultStats!BQ32)</f>
        <v>#REF!</v>
      </c>
    </row>
    <row r="33" spans="2:71" x14ac:dyDescent="0.3">
      <c r="C33" s="20"/>
      <c r="D33" s="20"/>
      <c r="E33" s="20"/>
      <c r="F33" s="20"/>
      <c r="G33" s="20"/>
      <c r="H33" s="20"/>
      <c r="I33" s="20"/>
      <c r="J33" s="15"/>
      <c r="K33" s="20"/>
      <c r="L33" s="20"/>
      <c r="M33" s="20"/>
      <c r="N33" s="20"/>
      <c r="O33" s="20"/>
      <c r="P33" s="20"/>
      <c r="Q33" s="20"/>
      <c r="R33" s="15"/>
      <c r="S33" s="20"/>
      <c r="T33" s="20"/>
      <c r="U33" s="20"/>
      <c r="V33" s="20"/>
      <c r="W33" s="20"/>
      <c r="X33" s="20"/>
      <c r="Y33" s="20"/>
      <c r="Z33" s="15"/>
      <c r="AA33" s="20"/>
      <c r="AB33" s="20"/>
      <c r="AC33" s="20"/>
      <c r="AD33" s="20"/>
      <c r="AE33" s="20"/>
      <c r="AF33" s="20"/>
      <c r="AG33" s="20"/>
      <c r="AH33" s="15"/>
      <c r="AI33" s="20"/>
      <c r="AJ33" s="20"/>
      <c r="AK33" s="20"/>
      <c r="AL33" s="20"/>
      <c r="AM33" s="20"/>
      <c r="AN33" s="20"/>
      <c r="AO33" s="20"/>
      <c r="AP33" s="15"/>
      <c r="AQ33" s="20"/>
      <c r="AR33" s="20"/>
      <c r="AS33" s="20"/>
      <c r="AT33" s="20"/>
      <c r="AU33" s="20"/>
      <c r="AV33" s="20"/>
      <c r="AW33" s="20"/>
      <c r="AX33" s="15"/>
      <c r="BA33" t="str" cm="1">
        <f t="array" ref="BA33">IF(ISERROR(INDEX(RESULT_SUBJECT,SMALL(IF(COUNTIF($BA$3,MONTH), ROW(MONTH)-MIN(ROW(MONTH))+1),ROW(A28)),COLUMN(A28))),"",INDEX(RESULT_SUBJECT,SMALL(IF(COUNTIF($BA$3,MONTH), ROW(MONTH)-MIN(ROW(MONTH))+1),ROW(A28)),COLUMN(A28)))</f>
        <v/>
      </c>
      <c r="BB33" t="str" cm="1">
        <f t="array" ref="BB33">IF(ISERROR(INDEX(WEEK,SMALL(IF(COUNTIF($BA$3,MONTH), ROW(MONTH)-MIN(ROW(MONTH))+1),ROW(A28)),COLUMN(A28))),"",INDEX(WEEK,SMALL(IF(COUNTIF($BA$3,MONTH), ROW(MONTH)-MIN(ROW(MONTH))+1),ROW(A28)),COLUMN(A28)))</f>
        <v/>
      </c>
      <c r="BC33" t="str" cm="1">
        <f t="array" ref="BC33">IF(ISERROR(INDEX(RESULT_DAY,SMALL(IF(COUNTIF($BA$3,MONTH), ROW(MONTH)-MIN(ROW(MONTH))+1),ROW(A28)),COLUMN(A28))),"",INDEX(RESULT_DAY,SMALL(IF(COUNTIF($BA$3,MONTH), ROW(MONTH)-MIN(ROW(MONTH))+1),ROW(A28)),COLUMN(A28)))</f>
        <v/>
      </c>
      <c r="BD33" s="29" t="str">
        <f t="shared" si="26"/>
        <v/>
      </c>
      <c r="BE33" s="2" t="str" cm="1">
        <f t="array" ref="BE33">IF(ISERROR(INDEX(RESULT_DURATION,SMALL(IF(COUNTIF($BA$3,MONTH), ROW(MONTH)-MIN(ROW(MONTH))+1),ROW(A28)),COLUMN(A28))),"",INDEX(RESULT_DURATION,SMALL(IF(COUNTIF($BA$3,MONTH), ROW(MONTH)-MIN(ROW(MONTH))+1),ROW(A28)),COLUMN(A28)))</f>
        <v/>
      </c>
      <c r="BH33" t="str" cm="1">
        <f t="array" ref="BH33">IF(ISERROR(INDEX(RESULT_CATEGORIES,SMALL(IF(COUNTIF($BA$3,MONTH), ROW(MONTH)-MIN(ROW(MONTH))+1),ROW(A28)),COLUMN(A28))),"",INDEX(RESULT_CATEGORIES,SMALL(IF(COUNTIF($BA$3,MONTH), ROW(MONTH)-MIN(ROW(MONTH))+1),ROW(A28)),COLUMN(A28)))</f>
        <v/>
      </c>
      <c r="BI33" t="str" cm="1">
        <f t="array" ref="BI33">IF(ISERROR(INDEX(RESULTLOCATION,SMALL(IF(COUNTIF($BA$3,MONTH), ROW(MONTH)-MIN(ROW(MONTH))+1),ROW(A28)),COLUMN(A28))),"",INDEX(RESULTLOCATION,SMALL(IF(COUNTIF($BA$3,MONTH), ROW(MONTH)-MIN(ROW(MONTH))+1),ROW(A28)),COLUMN(A28)))</f>
        <v/>
      </c>
      <c r="BN33">
        <f t="shared" si="27"/>
        <v>6180</v>
      </c>
      <c r="BO33" s="2">
        <f t="shared" si="28"/>
        <v>103</v>
      </c>
      <c r="BP33">
        <f t="shared" si="29"/>
        <v>4</v>
      </c>
      <c r="BQ33" t="e">
        <f>MATCH(BM33,#REF!,0)</f>
        <v>#REF!</v>
      </c>
      <c r="BR33" t="str">
        <f t="shared" si="30"/>
        <v>NOTSET</v>
      </c>
      <c r="BS33" t="e" cm="1">
        <f t="array" ref="BS33">INDEX(#REF!,HistoryResultStats!BQ33)</f>
        <v>#REF!</v>
      </c>
    </row>
    <row r="34" spans="2:71" ht="15" thickBot="1" x14ac:dyDescent="0.35">
      <c r="B34" t="s">
        <v>14</v>
      </c>
      <c r="C34" s="24">
        <f t="shared" ref="C34:AX34" ca="1" si="50">C32-C12</f>
        <v>0</v>
      </c>
      <c r="D34" s="24">
        <f t="shared" ca="1" si="50"/>
        <v>0</v>
      </c>
      <c r="E34" s="24">
        <f t="shared" ca="1" si="50"/>
        <v>0</v>
      </c>
      <c r="F34" s="24">
        <f t="shared" ca="1" si="50"/>
        <v>0</v>
      </c>
      <c r="G34" s="24">
        <f t="shared" ca="1" si="50"/>
        <v>0</v>
      </c>
      <c r="H34" s="24">
        <f t="shared" ca="1" si="50"/>
        <v>0</v>
      </c>
      <c r="I34" s="24">
        <f t="shared" ca="1" si="50"/>
        <v>0</v>
      </c>
      <c r="J34" s="28">
        <f t="shared" ca="1" si="50"/>
        <v>0</v>
      </c>
      <c r="K34" s="24">
        <f t="shared" ca="1" si="50"/>
        <v>0</v>
      </c>
      <c r="L34" s="24">
        <f t="shared" ca="1" si="50"/>
        <v>0</v>
      </c>
      <c r="M34" s="24">
        <f t="shared" ca="1" si="50"/>
        <v>0</v>
      </c>
      <c r="N34" s="24">
        <f t="shared" ca="1" si="50"/>
        <v>0</v>
      </c>
      <c r="O34" s="24">
        <f t="shared" ca="1" si="50"/>
        <v>0</v>
      </c>
      <c r="P34" s="24">
        <f t="shared" ca="1" si="50"/>
        <v>0</v>
      </c>
      <c r="Q34" s="24">
        <f t="shared" ca="1" si="50"/>
        <v>0</v>
      </c>
      <c r="R34" s="28">
        <f t="shared" ca="1" si="50"/>
        <v>0</v>
      </c>
      <c r="S34" s="24">
        <f t="shared" ca="1" si="50"/>
        <v>0</v>
      </c>
      <c r="T34" s="24">
        <f t="shared" ca="1" si="50"/>
        <v>0</v>
      </c>
      <c r="U34" s="24">
        <f t="shared" ca="1" si="50"/>
        <v>0</v>
      </c>
      <c r="V34" s="24">
        <f t="shared" ca="1" si="50"/>
        <v>0</v>
      </c>
      <c r="W34" s="24">
        <f t="shared" ca="1" si="50"/>
        <v>0</v>
      </c>
      <c r="X34" s="24">
        <f t="shared" ca="1" si="50"/>
        <v>0</v>
      </c>
      <c r="Y34" s="24">
        <f t="shared" ca="1" si="50"/>
        <v>0</v>
      </c>
      <c r="Z34" s="28">
        <f t="shared" ca="1" si="50"/>
        <v>0</v>
      </c>
      <c r="AA34" s="24">
        <f t="shared" ca="1" si="50"/>
        <v>0</v>
      </c>
      <c r="AB34" s="24">
        <f t="shared" ca="1" si="50"/>
        <v>0</v>
      </c>
      <c r="AC34" s="24">
        <f t="shared" ca="1" si="50"/>
        <v>0</v>
      </c>
      <c r="AD34" s="24">
        <f t="shared" ca="1" si="50"/>
        <v>0</v>
      </c>
      <c r="AE34" s="24">
        <f t="shared" ca="1" si="50"/>
        <v>0</v>
      </c>
      <c r="AF34" s="24">
        <f t="shared" ca="1" si="50"/>
        <v>0</v>
      </c>
      <c r="AG34" s="24">
        <f t="shared" ca="1" si="50"/>
        <v>0</v>
      </c>
      <c r="AH34" s="28">
        <f t="shared" ca="1" si="50"/>
        <v>0</v>
      </c>
      <c r="AI34" s="24">
        <f t="shared" ca="1" si="50"/>
        <v>0</v>
      </c>
      <c r="AJ34" s="24">
        <f t="shared" ca="1" si="50"/>
        <v>0</v>
      </c>
      <c r="AK34" s="24">
        <f t="shared" ca="1" si="50"/>
        <v>0</v>
      </c>
      <c r="AL34" s="24">
        <f t="shared" ca="1" si="50"/>
        <v>0</v>
      </c>
      <c r="AM34" s="24">
        <f t="shared" ca="1" si="50"/>
        <v>0</v>
      </c>
      <c r="AN34" s="24">
        <f t="shared" ca="1" si="50"/>
        <v>0</v>
      </c>
      <c r="AO34" s="24">
        <f t="shared" ca="1" si="50"/>
        <v>0</v>
      </c>
      <c r="AP34" s="28">
        <f t="shared" ca="1" si="50"/>
        <v>0</v>
      </c>
      <c r="AQ34" s="24">
        <f t="shared" ca="1" si="50"/>
        <v>0</v>
      </c>
      <c r="AR34" s="24">
        <f t="shared" ca="1" si="50"/>
        <v>0</v>
      </c>
      <c r="AS34" s="24">
        <f t="shared" ca="1" si="50"/>
        <v>0</v>
      </c>
      <c r="AT34" s="24">
        <f t="shared" ca="1" si="50"/>
        <v>0</v>
      </c>
      <c r="AU34" s="24">
        <f t="shared" ca="1" si="50"/>
        <v>0</v>
      </c>
      <c r="AV34" s="24">
        <f t="shared" ca="1" si="50"/>
        <v>0</v>
      </c>
      <c r="AW34" s="24">
        <f t="shared" ca="1" si="50"/>
        <v>0</v>
      </c>
      <c r="AX34" s="28">
        <f t="shared" ca="1" si="50"/>
        <v>0</v>
      </c>
      <c r="AY34" s="2"/>
      <c r="BA34" t="str" cm="1">
        <f t="array" ref="BA34">IF(ISERROR(INDEX(RESULT_SUBJECT,SMALL(IF(COUNTIF($BA$3,MONTH), ROW(MONTH)-MIN(ROW(MONTH))+1),ROW(A29)),COLUMN(A29))),"",INDEX(RESULT_SUBJECT,SMALL(IF(COUNTIF($BA$3,MONTH), ROW(MONTH)-MIN(ROW(MONTH))+1),ROW(A29)),COLUMN(A29)))</f>
        <v/>
      </c>
      <c r="BB34" t="str" cm="1">
        <f t="array" ref="BB34">IF(ISERROR(INDEX(WEEK,SMALL(IF(COUNTIF($BA$3,MONTH), ROW(MONTH)-MIN(ROW(MONTH))+1),ROW(A29)),COLUMN(A29))),"",INDEX(WEEK,SMALL(IF(COUNTIF($BA$3,MONTH), ROW(MONTH)-MIN(ROW(MONTH))+1),ROW(A29)),COLUMN(A29)))</f>
        <v/>
      </c>
      <c r="BC34" t="str" cm="1">
        <f t="array" ref="BC34">IF(ISERROR(INDEX(RESULT_DAY,SMALL(IF(COUNTIF($BA$3,MONTH), ROW(MONTH)-MIN(ROW(MONTH))+1),ROW(A29)),COLUMN(A29))),"",INDEX(RESULT_DAY,SMALL(IF(COUNTIF($BA$3,MONTH), ROW(MONTH)-MIN(ROW(MONTH))+1),ROW(A29)),COLUMN(A29)))</f>
        <v/>
      </c>
      <c r="BD34" s="29" t="str">
        <f t="shared" si="26"/>
        <v/>
      </c>
      <c r="BE34" s="2" t="str" cm="1">
        <f t="array" ref="BE34">IF(ISERROR(INDEX(RESULT_DURATION,SMALL(IF(COUNTIF($BA$3,MONTH), ROW(MONTH)-MIN(ROW(MONTH))+1),ROW(A29)),COLUMN(A29))),"",INDEX(RESULT_DURATION,SMALL(IF(COUNTIF($BA$3,MONTH), ROW(MONTH)-MIN(ROW(MONTH))+1),ROW(A29)),COLUMN(A29)))</f>
        <v/>
      </c>
      <c r="BH34" t="str" cm="1">
        <f t="array" ref="BH34">IF(ISERROR(INDEX(RESULT_CATEGORIES,SMALL(IF(COUNTIF($BA$3,MONTH), ROW(MONTH)-MIN(ROW(MONTH))+1),ROW(A29)),COLUMN(A29))),"",INDEX(RESULT_CATEGORIES,SMALL(IF(COUNTIF($BA$3,MONTH), ROW(MONTH)-MIN(ROW(MONTH))+1),ROW(A29)),COLUMN(A29)))</f>
        <v/>
      </c>
      <c r="BI34" t="str" cm="1">
        <f t="array" ref="BI34">IF(ISERROR(INDEX(RESULTLOCATION,SMALL(IF(COUNTIF($BA$3,MONTH), ROW(MONTH)-MIN(ROW(MONTH))+1),ROW(A29)),COLUMN(A29))),"",INDEX(RESULTLOCATION,SMALL(IF(COUNTIF($BA$3,MONTH), ROW(MONTH)-MIN(ROW(MONTH))+1),ROW(A29)),COLUMN(A29)))</f>
        <v/>
      </c>
      <c r="BN34">
        <f t="shared" si="27"/>
        <v>6180</v>
      </c>
      <c r="BO34" s="2">
        <f t="shared" si="28"/>
        <v>103</v>
      </c>
      <c r="BP34">
        <f t="shared" si="29"/>
        <v>4</v>
      </c>
      <c r="BQ34" t="e">
        <f>MATCH(BM34,#REF!,0)</f>
        <v>#REF!</v>
      </c>
      <c r="BR34" t="str">
        <f t="shared" si="30"/>
        <v>NOTSET</v>
      </c>
      <c r="BS34" t="e" cm="1">
        <f t="array" ref="BS34">INDEX(#REF!,HistoryResultStats!BQ34)</f>
        <v>#REF!</v>
      </c>
    </row>
    <row r="35" spans="2:71" x14ac:dyDescent="0.3">
      <c r="AU35" s="2"/>
      <c r="BA35" t="str" cm="1">
        <f t="array" ref="BA35">IF(ISERROR(INDEX(RESULT_SUBJECT,SMALL(IF(COUNTIF($BA$3,MONTH), ROW(MONTH)-MIN(ROW(MONTH))+1),ROW(A30)),COLUMN(A30))),"",INDEX(RESULT_SUBJECT,SMALL(IF(COUNTIF($BA$3,MONTH), ROW(MONTH)-MIN(ROW(MONTH))+1),ROW(A30)),COLUMN(A30)))</f>
        <v/>
      </c>
      <c r="BB35" t="str" cm="1">
        <f t="array" ref="BB35">IF(ISERROR(INDEX(WEEK,SMALL(IF(COUNTIF($BA$3,MONTH), ROW(MONTH)-MIN(ROW(MONTH))+1),ROW(A30)),COLUMN(A30))),"",INDEX(WEEK,SMALL(IF(COUNTIF($BA$3,MONTH), ROW(MONTH)-MIN(ROW(MONTH))+1),ROW(A30)),COLUMN(A30)))</f>
        <v/>
      </c>
      <c r="BC35" t="str" cm="1">
        <f t="array" ref="BC35">IF(ISERROR(INDEX(RESULT_DAY,SMALL(IF(COUNTIF($BA$3,MONTH), ROW(MONTH)-MIN(ROW(MONTH))+1),ROW(A30)),COLUMN(A30))),"",INDEX(RESULT_DAY,SMALL(IF(COUNTIF($BA$3,MONTH), ROW(MONTH)-MIN(ROW(MONTH))+1),ROW(A30)),COLUMN(A30)))</f>
        <v/>
      </c>
      <c r="BD35" s="29" t="str">
        <f t="shared" si="26"/>
        <v/>
      </c>
      <c r="BE35" s="2" t="str" cm="1">
        <f t="array" ref="BE35">IF(ISERROR(INDEX(RESULT_DURATION,SMALL(IF(COUNTIF($BA$3,MONTH), ROW(MONTH)-MIN(ROW(MONTH))+1),ROW(A30)),COLUMN(A30))),"",INDEX(RESULT_DURATION,SMALL(IF(COUNTIF($BA$3,MONTH), ROW(MONTH)-MIN(ROW(MONTH))+1),ROW(A30)),COLUMN(A30)))</f>
        <v/>
      </c>
      <c r="BH35" t="str" cm="1">
        <f t="array" ref="BH35">IF(ISERROR(INDEX(RESULT_CATEGORIES,SMALL(IF(COUNTIF($BA$3,MONTH), ROW(MONTH)-MIN(ROW(MONTH))+1),ROW(A30)),COLUMN(A30))),"",INDEX(RESULT_CATEGORIES,SMALL(IF(COUNTIF($BA$3,MONTH), ROW(MONTH)-MIN(ROW(MONTH))+1),ROW(A30)),COLUMN(A30)))</f>
        <v/>
      </c>
      <c r="BI35" t="str" cm="1">
        <f t="array" ref="BI35">IF(ISERROR(INDEX(RESULTLOCATION,SMALL(IF(COUNTIF($BA$3,MONTH), ROW(MONTH)-MIN(ROW(MONTH))+1),ROW(A30)),COLUMN(A30))),"",INDEX(RESULTLOCATION,SMALL(IF(COUNTIF($BA$3,MONTH), ROW(MONTH)-MIN(ROW(MONTH))+1),ROW(A30)),COLUMN(A30)))</f>
        <v/>
      </c>
      <c r="BN35">
        <f t="shared" si="27"/>
        <v>6180</v>
      </c>
      <c r="BO35" s="2">
        <f t="shared" si="28"/>
        <v>103</v>
      </c>
      <c r="BP35">
        <f t="shared" si="29"/>
        <v>4</v>
      </c>
      <c r="BQ35" t="e">
        <f>MATCH(BM35,#REF!,0)</f>
        <v>#REF!</v>
      </c>
      <c r="BR35" t="str">
        <f t="shared" si="30"/>
        <v>NOTSET</v>
      </c>
      <c r="BS35" t="e" cm="1">
        <f t="array" ref="BS35">INDEX(#REF!,HistoryResultStats!BQ35)</f>
        <v>#REF!</v>
      </c>
    </row>
    <row r="36" spans="2:71" x14ac:dyDescent="0.3">
      <c r="BA36" t="str" cm="1">
        <f t="array" ref="BA36">IF(ISERROR(INDEX(RESULT_SUBJECT,SMALL(IF(COUNTIF($BA$3,MONTH), ROW(MONTH)-MIN(ROW(MONTH))+1),ROW(A31)),COLUMN(A31))),"",INDEX(RESULT_SUBJECT,SMALL(IF(COUNTIF($BA$3,MONTH), ROW(MONTH)-MIN(ROW(MONTH))+1),ROW(A31)),COLUMN(A31)))</f>
        <v/>
      </c>
      <c r="BB36" t="str" cm="1">
        <f t="array" ref="BB36">IF(ISERROR(INDEX(WEEK,SMALL(IF(COUNTIF($BA$3,MONTH), ROW(MONTH)-MIN(ROW(MONTH))+1),ROW(A31)),COLUMN(A31))),"",INDEX(WEEK,SMALL(IF(COUNTIF($BA$3,MONTH), ROW(MONTH)-MIN(ROW(MONTH))+1),ROW(A31)),COLUMN(A31)))</f>
        <v/>
      </c>
      <c r="BC36" t="str" cm="1">
        <f t="array" ref="BC36">IF(ISERROR(INDEX(RESULT_DAY,SMALL(IF(COUNTIF($BA$3,MONTH), ROW(MONTH)-MIN(ROW(MONTH))+1),ROW(A31)),COLUMN(A31))),"",INDEX(RESULT_DAY,SMALL(IF(COUNTIF($BA$3,MONTH), ROW(MONTH)-MIN(ROW(MONTH))+1),ROW(A31)),COLUMN(A31)))</f>
        <v/>
      </c>
      <c r="BD36" s="29" t="str">
        <f t="shared" si="26"/>
        <v/>
      </c>
      <c r="BE36" s="2" t="str" cm="1">
        <f t="array" ref="BE36">IF(ISERROR(INDEX(RESULT_DURATION,SMALL(IF(COUNTIF($BA$3,MONTH), ROW(MONTH)-MIN(ROW(MONTH))+1),ROW(A31)),COLUMN(A31))),"",INDEX(RESULT_DURATION,SMALL(IF(COUNTIF($BA$3,MONTH), ROW(MONTH)-MIN(ROW(MONTH))+1),ROW(A31)),COLUMN(A31)))</f>
        <v/>
      </c>
      <c r="BH36" t="str" cm="1">
        <f t="array" ref="BH36">IF(ISERROR(INDEX(RESULT_CATEGORIES,SMALL(IF(COUNTIF($BA$3,MONTH), ROW(MONTH)-MIN(ROW(MONTH))+1),ROW(A31)),COLUMN(A31))),"",INDEX(RESULT_CATEGORIES,SMALL(IF(COUNTIF($BA$3,MONTH), ROW(MONTH)-MIN(ROW(MONTH))+1),ROW(A31)),COLUMN(A31)))</f>
        <v/>
      </c>
      <c r="BI36" t="str" cm="1">
        <f t="array" ref="BI36">IF(ISERROR(INDEX(RESULTLOCATION,SMALL(IF(COUNTIF($BA$3,MONTH), ROW(MONTH)-MIN(ROW(MONTH))+1),ROW(A31)),COLUMN(A31))),"",INDEX(RESULTLOCATION,SMALL(IF(COUNTIF($BA$3,MONTH), ROW(MONTH)-MIN(ROW(MONTH))+1),ROW(A31)),COLUMN(A31)))</f>
        <v/>
      </c>
      <c r="BN36">
        <f t="shared" si="27"/>
        <v>6180</v>
      </c>
      <c r="BO36" s="2">
        <f t="shared" si="28"/>
        <v>103</v>
      </c>
      <c r="BP36">
        <f t="shared" si="29"/>
        <v>4</v>
      </c>
      <c r="BQ36" t="e">
        <f>MATCH(BM36,#REF!,0)</f>
        <v>#REF!</v>
      </c>
      <c r="BR36" t="str">
        <f t="shared" si="30"/>
        <v>NOTSET</v>
      </c>
      <c r="BS36" t="e" cm="1">
        <f t="array" ref="BS36">INDEX(#REF!,HistoryResultStats!BQ36)</f>
        <v>#REF!</v>
      </c>
    </row>
    <row r="37" spans="2:71" x14ac:dyDescent="0.3">
      <c r="BA37" t="str" cm="1">
        <f t="array" ref="BA37">IF(ISERROR(INDEX(RESULT_SUBJECT,SMALL(IF(COUNTIF($BA$3,MONTH), ROW(MONTH)-MIN(ROW(MONTH))+1),ROW(A32)),COLUMN(A32))),"",INDEX(RESULT_SUBJECT,SMALL(IF(COUNTIF($BA$3,MONTH), ROW(MONTH)-MIN(ROW(MONTH))+1),ROW(A32)),COLUMN(A32)))</f>
        <v/>
      </c>
      <c r="BB37" t="str" cm="1">
        <f t="array" ref="BB37">IF(ISERROR(INDEX(WEEK,SMALL(IF(COUNTIF($BA$3,MONTH), ROW(MONTH)-MIN(ROW(MONTH))+1),ROW(A32)),COLUMN(A32))),"",INDEX(WEEK,SMALL(IF(COUNTIF($BA$3,MONTH), ROW(MONTH)-MIN(ROW(MONTH))+1),ROW(A32)),COLUMN(A32)))</f>
        <v/>
      </c>
      <c r="BC37" t="str" cm="1">
        <f t="array" ref="BC37">IF(ISERROR(INDEX(RESULT_DAY,SMALL(IF(COUNTIF($BA$3,MONTH), ROW(MONTH)-MIN(ROW(MONTH))+1),ROW(A32)),COLUMN(A32))),"",INDEX(RESULT_DAY,SMALL(IF(COUNTIF($BA$3,MONTH), ROW(MONTH)-MIN(ROW(MONTH))+1),ROW(A32)),COLUMN(A32)))</f>
        <v/>
      </c>
      <c r="BD37" s="29" t="str">
        <f t="shared" si="26"/>
        <v/>
      </c>
      <c r="BE37" s="2" t="str" cm="1">
        <f t="array" ref="BE37">IF(ISERROR(INDEX(RESULT_DURATION,SMALL(IF(COUNTIF($BA$3,MONTH), ROW(MONTH)-MIN(ROW(MONTH))+1),ROW(A32)),COLUMN(A32))),"",INDEX(RESULT_DURATION,SMALL(IF(COUNTIF($BA$3,MONTH), ROW(MONTH)-MIN(ROW(MONTH))+1),ROW(A32)),COLUMN(A32)))</f>
        <v/>
      </c>
      <c r="BH37" t="str" cm="1">
        <f t="array" ref="BH37">IF(ISERROR(INDEX(RESULT_CATEGORIES,SMALL(IF(COUNTIF($BA$3,MONTH), ROW(MONTH)-MIN(ROW(MONTH))+1),ROW(A32)),COLUMN(A32))),"",INDEX(RESULT_CATEGORIES,SMALL(IF(COUNTIF($BA$3,MONTH), ROW(MONTH)-MIN(ROW(MONTH))+1),ROW(A32)),COLUMN(A32)))</f>
        <v/>
      </c>
      <c r="BI37" t="str" cm="1">
        <f t="array" ref="BI37">IF(ISERROR(INDEX(RESULTLOCATION,SMALL(IF(COUNTIF($BA$3,MONTH), ROW(MONTH)-MIN(ROW(MONTH))+1),ROW(A32)),COLUMN(A32))),"",INDEX(RESULTLOCATION,SMALL(IF(COUNTIF($BA$3,MONTH), ROW(MONTH)-MIN(ROW(MONTH))+1),ROW(A32)),COLUMN(A32)))</f>
        <v/>
      </c>
      <c r="BN37">
        <f t="shared" si="27"/>
        <v>6180</v>
      </c>
      <c r="BO37" s="2">
        <f t="shared" si="28"/>
        <v>103</v>
      </c>
      <c r="BP37">
        <f t="shared" si="29"/>
        <v>4</v>
      </c>
      <c r="BQ37" t="e">
        <f>MATCH(BM37,#REF!,0)</f>
        <v>#REF!</v>
      </c>
      <c r="BR37" t="str">
        <f t="shared" si="30"/>
        <v>NOTSET</v>
      </c>
      <c r="BS37" t="e" cm="1">
        <f t="array" ref="BS37">INDEX(#REF!,HistoryResultStats!BQ37)</f>
        <v>#REF!</v>
      </c>
    </row>
    <row r="38" spans="2:71" x14ac:dyDescent="0.3">
      <c r="AQ38" t="s">
        <v>11</v>
      </c>
      <c r="AR38" t="s">
        <v>15</v>
      </c>
      <c r="AT38" t="s">
        <v>19</v>
      </c>
      <c r="AV38" t="s">
        <v>22</v>
      </c>
      <c r="BA38" t="str" cm="1">
        <f t="array" ref="BA38">IF(ISERROR(INDEX(RESULT_SUBJECT,SMALL(IF(COUNTIF($BA$3,MONTH), ROW(MONTH)-MIN(ROW(MONTH))+1),ROW(A33)),COLUMN(A33))),"",INDEX(RESULT_SUBJECT,SMALL(IF(COUNTIF($BA$3,MONTH), ROW(MONTH)-MIN(ROW(MONTH))+1),ROW(A33)),COLUMN(A33)))</f>
        <v/>
      </c>
      <c r="BB38" t="str" cm="1">
        <f t="array" ref="BB38">IF(ISERROR(INDEX(WEEK,SMALL(IF(COUNTIF($BA$3,MONTH), ROW(MONTH)-MIN(ROW(MONTH))+1),ROW(A33)),COLUMN(A33))),"",INDEX(WEEK,SMALL(IF(COUNTIF($BA$3,MONTH), ROW(MONTH)-MIN(ROW(MONTH))+1),ROW(A33)),COLUMN(A33)))</f>
        <v/>
      </c>
      <c r="BC38" t="str" cm="1">
        <f t="array" ref="BC38">IF(ISERROR(INDEX(RESULT_DAY,SMALL(IF(COUNTIF($BA$3,MONTH), ROW(MONTH)-MIN(ROW(MONTH))+1),ROW(A33)),COLUMN(A33))),"",INDEX(RESULT_DAY,SMALL(IF(COUNTIF($BA$3,MONTH), ROW(MONTH)-MIN(ROW(MONTH))+1),ROW(A33)),COLUMN(A33)))</f>
        <v/>
      </c>
      <c r="BD38" s="29" t="str">
        <f t="shared" si="26"/>
        <v/>
      </c>
      <c r="BE38" s="2" t="str" cm="1">
        <f t="array" ref="BE38">IF(ISERROR(INDEX(RESULT_DURATION,SMALL(IF(COUNTIF($BA$3,MONTH), ROW(MONTH)-MIN(ROW(MONTH))+1),ROW(A33)),COLUMN(A33))),"",INDEX(RESULT_DURATION,SMALL(IF(COUNTIF($BA$3,MONTH), ROW(MONTH)-MIN(ROW(MONTH))+1),ROW(A33)),COLUMN(A33)))</f>
        <v/>
      </c>
      <c r="BH38" t="str" cm="1">
        <f t="array" ref="BH38">IF(ISERROR(INDEX(RESULT_CATEGORIES,SMALL(IF(COUNTIF($BA$3,MONTH), ROW(MONTH)-MIN(ROW(MONTH))+1),ROW(A33)),COLUMN(A33))),"",INDEX(RESULT_CATEGORIES,SMALL(IF(COUNTIF($BA$3,MONTH), ROW(MONTH)-MIN(ROW(MONTH))+1),ROW(A33)),COLUMN(A33)))</f>
        <v/>
      </c>
      <c r="BI38" t="str" cm="1">
        <f t="array" ref="BI38">IF(ISERROR(INDEX(RESULTLOCATION,SMALL(IF(COUNTIF($BA$3,MONTH), ROW(MONTH)-MIN(ROW(MONTH))+1),ROW(A33)),COLUMN(A33))),"",INDEX(RESULTLOCATION,SMALL(IF(COUNTIF($BA$3,MONTH), ROW(MONTH)-MIN(ROW(MONTH))+1),ROW(A33)),COLUMN(A33)))</f>
        <v/>
      </c>
      <c r="BN38">
        <f t="shared" si="27"/>
        <v>6180</v>
      </c>
      <c r="BO38" s="2">
        <f t="shared" si="28"/>
        <v>103</v>
      </c>
      <c r="BP38">
        <f t="shared" si="29"/>
        <v>4</v>
      </c>
      <c r="BQ38" t="e">
        <f>MATCH(BM38,#REF!,0)</f>
        <v>#REF!</v>
      </c>
      <c r="BR38" t="str">
        <f t="shared" si="30"/>
        <v>NOTSET</v>
      </c>
      <c r="BS38" t="e" cm="1">
        <f t="array" ref="BS38">INDEX(#REF!,HistoryResultStats!BQ38)</f>
        <v>#REF!</v>
      </c>
    </row>
    <row r="39" spans="2:71" x14ac:dyDescent="0.3">
      <c r="AQ39">
        <f ca="1">WEEKNUM(TODAY())</f>
        <v>1</v>
      </c>
      <c r="AR39">
        <f ca="1">WEEKDAY(TODAY())</f>
        <v>4</v>
      </c>
      <c r="AT39" s="60">
        <f ca="1">(DATE(2021,1,1)+(AQ39-2)*7)+AR39+1</f>
        <v>44195</v>
      </c>
      <c r="AU39" s="60"/>
      <c r="AV39" s="2">
        <f ca="1">SUM(AT42:AT57)/60</f>
        <v>0</v>
      </c>
      <c r="BA39" t="str" cm="1">
        <f t="array" ref="BA39">IF(ISERROR(INDEX(RESULT_SUBJECT,SMALL(IF(COUNTIF($BA$3,MONTH), ROW(MONTH)-MIN(ROW(MONTH))+1),ROW(A34)),COLUMN(A34))),"",INDEX(RESULT_SUBJECT,SMALL(IF(COUNTIF($BA$3,MONTH), ROW(MONTH)-MIN(ROW(MONTH))+1),ROW(A34)),COLUMN(A34)))</f>
        <v/>
      </c>
      <c r="BB39" t="str" cm="1">
        <f t="array" ref="BB39">IF(ISERROR(INDEX(WEEK,SMALL(IF(COUNTIF($BA$3,MONTH), ROW(MONTH)-MIN(ROW(MONTH))+1),ROW(A34)),COLUMN(A34))),"",INDEX(WEEK,SMALL(IF(COUNTIF($BA$3,MONTH), ROW(MONTH)-MIN(ROW(MONTH))+1),ROW(A34)),COLUMN(A34)))</f>
        <v/>
      </c>
      <c r="BC39" t="str" cm="1">
        <f t="array" ref="BC39">IF(ISERROR(INDEX(RESULT_DAY,SMALL(IF(COUNTIF($BA$3,MONTH), ROW(MONTH)-MIN(ROW(MONTH))+1),ROW(A34)),COLUMN(A34))),"",INDEX(RESULT_DAY,SMALL(IF(COUNTIF($BA$3,MONTH), ROW(MONTH)-MIN(ROW(MONTH))+1),ROW(A34)),COLUMN(A34)))</f>
        <v/>
      </c>
      <c r="BD39" s="29" t="str">
        <f t="shared" si="26"/>
        <v/>
      </c>
      <c r="BE39" s="2" t="str" cm="1">
        <f t="array" ref="BE39">IF(ISERROR(INDEX(RESULT_DURATION,SMALL(IF(COUNTIF($BA$3,MONTH), ROW(MONTH)-MIN(ROW(MONTH))+1),ROW(A34)),COLUMN(A34))),"",INDEX(RESULT_DURATION,SMALL(IF(COUNTIF($BA$3,MONTH), ROW(MONTH)-MIN(ROW(MONTH))+1),ROW(A34)),COLUMN(A34)))</f>
        <v/>
      </c>
      <c r="BH39" t="str" cm="1">
        <f t="array" ref="BH39">IF(ISERROR(INDEX(RESULT_CATEGORIES,SMALL(IF(COUNTIF($BA$3,MONTH), ROW(MONTH)-MIN(ROW(MONTH))+1),ROW(A34)),COLUMN(A34))),"",INDEX(RESULT_CATEGORIES,SMALL(IF(COUNTIF($BA$3,MONTH), ROW(MONTH)-MIN(ROW(MONTH))+1),ROW(A34)),COLUMN(A34)))</f>
        <v/>
      </c>
      <c r="BI39" t="str" cm="1">
        <f t="array" ref="BI39">IF(ISERROR(INDEX(RESULTLOCATION,SMALL(IF(COUNTIF($BA$3,MONTH), ROW(MONTH)-MIN(ROW(MONTH))+1),ROW(A34)),COLUMN(A34))),"",INDEX(RESULTLOCATION,SMALL(IF(COUNTIF($BA$3,MONTH), ROW(MONTH)-MIN(ROW(MONTH))+1),ROW(A34)),COLUMN(A34)))</f>
        <v/>
      </c>
      <c r="BN39">
        <f t="shared" si="27"/>
        <v>6180</v>
      </c>
      <c r="BO39" s="2">
        <f t="shared" si="28"/>
        <v>103</v>
      </c>
      <c r="BP39">
        <f t="shared" si="29"/>
        <v>4</v>
      </c>
      <c r="BQ39" t="e">
        <f>MATCH(BM39,#REF!,0)</f>
        <v>#REF!</v>
      </c>
      <c r="BR39" t="str">
        <f t="shared" si="30"/>
        <v>NOTSET</v>
      </c>
      <c r="BS39" t="e" cm="1">
        <f t="array" ref="BS39">INDEX(#REF!,HistoryResultStats!BQ39)</f>
        <v>#REF!</v>
      </c>
    </row>
    <row r="40" spans="2:71" x14ac:dyDescent="0.3">
      <c r="BA40" t="str" cm="1">
        <f t="array" ref="BA40">IF(ISERROR(INDEX(RESULT_SUBJECT,SMALL(IF(COUNTIF($BA$3,MONTH), ROW(MONTH)-MIN(ROW(MONTH))+1),ROW(A35)),COLUMN(A35))),"",INDEX(RESULT_SUBJECT,SMALL(IF(COUNTIF($BA$3,MONTH), ROW(MONTH)-MIN(ROW(MONTH))+1),ROW(A35)),COLUMN(A35)))</f>
        <v/>
      </c>
      <c r="BB40" t="str" cm="1">
        <f t="array" ref="BB40">IF(ISERROR(INDEX(WEEK,SMALL(IF(COUNTIF($BA$3,MONTH), ROW(MONTH)-MIN(ROW(MONTH))+1),ROW(A35)),COLUMN(A35))),"",INDEX(WEEK,SMALL(IF(COUNTIF($BA$3,MONTH), ROW(MONTH)-MIN(ROW(MONTH))+1),ROW(A35)),COLUMN(A35)))</f>
        <v/>
      </c>
      <c r="BC40" t="str" cm="1">
        <f t="array" ref="BC40">IF(ISERROR(INDEX(RESULT_DAY,SMALL(IF(COUNTIF($BA$3,MONTH), ROW(MONTH)-MIN(ROW(MONTH))+1),ROW(A35)),COLUMN(A35))),"",INDEX(RESULT_DAY,SMALL(IF(COUNTIF($BA$3,MONTH), ROW(MONTH)-MIN(ROW(MONTH))+1),ROW(A35)),COLUMN(A35)))</f>
        <v/>
      </c>
      <c r="BD40" s="29" t="str">
        <f t="shared" si="26"/>
        <v/>
      </c>
      <c r="BE40" s="2" t="str" cm="1">
        <f t="array" ref="BE40">IF(ISERROR(INDEX(RESULT_DURATION,SMALL(IF(COUNTIF($BA$3,MONTH), ROW(MONTH)-MIN(ROW(MONTH))+1),ROW(A35)),COLUMN(A35))),"",INDEX(RESULT_DURATION,SMALL(IF(COUNTIF($BA$3,MONTH), ROW(MONTH)-MIN(ROW(MONTH))+1),ROW(A35)),COLUMN(A35)))</f>
        <v/>
      </c>
      <c r="BH40" t="str" cm="1">
        <f t="array" ref="BH40">IF(ISERROR(INDEX(RESULT_CATEGORIES,SMALL(IF(COUNTIF($BA$3,MONTH), ROW(MONTH)-MIN(ROW(MONTH))+1),ROW(A35)),COLUMN(A35))),"",INDEX(RESULT_CATEGORIES,SMALL(IF(COUNTIF($BA$3,MONTH), ROW(MONTH)-MIN(ROW(MONTH))+1),ROW(A35)),COLUMN(A35)))</f>
        <v/>
      </c>
      <c r="BI40" t="str" cm="1">
        <f t="array" ref="BI40">IF(ISERROR(INDEX(RESULTLOCATION,SMALL(IF(COUNTIF($BA$3,MONTH), ROW(MONTH)-MIN(ROW(MONTH))+1),ROW(A35)),COLUMN(A35))),"",INDEX(RESULTLOCATION,SMALL(IF(COUNTIF($BA$3,MONTH), ROW(MONTH)-MIN(ROW(MONTH))+1),ROW(A35)),COLUMN(A35)))</f>
        <v/>
      </c>
      <c r="BN40">
        <f t="shared" si="27"/>
        <v>6180</v>
      </c>
      <c r="BO40" s="2">
        <f t="shared" si="28"/>
        <v>103</v>
      </c>
      <c r="BP40">
        <f t="shared" si="29"/>
        <v>4</v>
      </c>
      <c r="BQ40" t="e">
        <f>MATCH(BM40,#REF!,0)</f>
        <v>#REF!</v>
      </c>
      <c r="BR40" t="str">
        <f t="shared" si="30"/>
        <v>NOTSET</v>
      </c>
      <c r="BS40" t="e" cm="1">
        <f t="array" ref="BS40">INDEX(#REF!,HistoryResultStats!BQ40)</f>
        <v>#REF!</v>
      </c>
    </row>
    <row r="41" spans="2:71" x14ac:dyDescent="0.3">
      <c r="AQ41" s="12" t="s">
        <v>16</v>
      </c>
      <c r="AR41" s="13"/>
      <c r="AT41" s="12" t="s">
        <v>1</v>
      </c>
      <c r="AU41" s="12" t="s">
        <v>4</v>
      </c>
      <c r="AV41" s="12"/>
      <c r="AW41" s="12" t="s">
        <v>18</v>
      </c>
      <c r="AY41" s="12" t="s">
        <v>3</v>
      </c>
      <c r="BA41" t="str" cm="1">
        <f t="array" ref="BA41">IF(ISERROR(INDEX(RESULT_SUBJECT,SMALL(IF(COUNTIF($BA$3,MONTH), ROW(MONTH)-MIN(ROW(MONTH))+1),ROW(A36)),COLUMN(A36))),"",INDEX(RESULT_SUBJECT,SMALL(IF(COUNTIF($BA$3,MONTH), ROW(MONTH)-MIN(ROW(MONTH))+1),ROW(A36)),COLUMN(A36)))</f>
        <v/>
      </c>
      <c r="BB41" t="str" cm="1">
        <f t="array" ref="BB41">IF(ISERROR(INDEX(WEEK,SMALL(IF(COUNTIF($BA$3,MONTH), ROW(MONTH)-MIN(ROW(MONTH))+1),ROW(A36)),COLUMN(A36))),"",INDEX(WEEK,SMALL(IF(COUNTIF($BA$3,MONTH), ROW(MONTH)-MIN(ROW(MONTH))+1),ROW(A36)),COLUMN(A36)))</f>
        <v/>
      </c>
      <c r="BC41" t="str" cm="1">
        <f t="array" ref="BC41">IF(ISERROR(INDEX(RESULT_DAY,SMALL(IF(COUNTIF($BA$3,MONTH), ROW(MONTH)-MIN(ROW(MONTH))+1),ROW(A36)),COLUMN(A36))),"",INDEX(RESULT_DAY,SMALL(IF(COUNTIF($BA$3,MONTH), ROW(MONTH)-MIN(ROW(MONTH))+1),ROW(A36)),COLUMN(A36)))</f>
        <v/>
      </c>
      <c r="BD41" s="29" t="str">
        <f t="shared" si="26"/>
        <v/>
      </c>
      <c r="BE41" s="2" t="str" cm="1">
        <f t="array" ref="BE41">IF(ISERROR(INDEX(RESULT_DURATION,SMALL(IF(COUNTIF($BA$3,MONTH), ROW(MONTH)-MIN(ROW(MONTH))+1),ROW(A36)),COLUMN(A36))),"",INDEX(RESULT_DURATION,SMALL(IF(COUNTIF($BA$3,MONTH), ROW(MONTH)-MIN(ROW(MONTH))+1),ROW(A36)),COLUMN(A36)))</f>
        <v/>
      </c>
      <c r="BH41" t="str" cm="1">
        <f t="array" ref="BH41">IF(ISERROR(INDEX(RESULT_CATEGORIES,SMALL(IF(COUNTIF($BA$3,MONTH), ROW(MONTH)-MIN(ROW(MONTH))+1),ROW(A36)),COLUMN(A36))),"",INDEX(RESULT_CATEGORIES,SMALL(IF(COUNTIF($BA$3,MONTH), ROW(MONTH)-MIN(ROW(MONTH))+1),ROW(A36)),COLUMN(A36)))</f>
        <v/>
      </c>
      <c r="BI41" t="str" cm="1">
        <f t="array" ref="BI41">IF(ISERROR(INDEX(RESULTLOCATION,SMALL(IF(COUNTIF($BA$3,MONTH), ROW(MONTH)-MIN(ROW(MONTH))+1),ROW(A36)),COLUMN(A36))),"",INDEX(RESULTLOCATION,SMALL(IF(COUNTIF($BA$3,MONTH), ROW(MONTH)-MIN(ROW(MONTH))+1),ROW(A36)),COLUMN(A36)))</f>
        <v/>
      </c>
      <c r="BN41">
        <f t="shared" si="27"/>
        <v>6180</v>
      </c>
      <c r="BO41" s="2">
        <f t="shared" si="28"/>
        <v>103</v>
      </c>
      <c r="BP41">
        <f t="shared" si="29"/>
        <v>4</v>
      </c>
      <c r="BQ41" t="e">
        <f>MATCH(BM41,#REF!,0)</f>
        <v>#REF!</v>
      </c>
      <c r="BR41" t="str">
        <f t="shared" si="30"/>
        <v>NOTSET</v>
      </c>
      <c r="BS41" t="e" cm="1">
        <f t="array" ref="BS41">INDEX(#REF!,HistoryResultStats!BQ41)</f>
        <v>#REF!</v>
      </c>
    </row>
    <row r="42" spans="2:71" x14ac:dyDescent="0.3"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t="str" cm="1">
        <f t="array" aca="1" ref="AQ42" ca="1">IF(ISERROR(INDEX(RESULT_SUBJECT,SMALL(IF(COUNTIF($AQ$39,WEEK)*COUNTIF($AR$39,WEEKDAY), ROW(WEEK)-MIN(ROW(WEEK))+1),ROW(A1)),COLUMN(A1))),"",INDEX(RESULT_SUBJECT,SMALL(IF(COUNTIF($AQ$39,WEEK)*COUNTIF($AR$39,WEEKDAY), ROW(WEEK)-MIN(ROW(WEEK))+1),ROW(A1)),COLUMN(A1)))</f>
        <v/>
      </c>
      <c r="AT42" s="2" cm="1">
        <f t="array" aca="1" ref="AT42" ca="1">IF(ISERROR(INDEX(RESULT_DURATION,SMALL(IF(COUNTIF($AQ$39,WEEK)*COUNTIF($AR$39,WEEKDAY), ROW(WEEK)-MIN(ROW(WEEK))+1),ROW(A1)),COLUMN(A1))),0,INDEX(RESULT_DURATION,SMALL(IF(COUNTIF($AQ$39,WEEK)*COUNTIF($AR$39,WEEKDAY), ROW(WEEK)-MIN(ROW(WEEK))+1),ROW(A1)),COLUMN(A1)))</f>
        <v>0</v>
      </c>
      <c r="AU42" cm="1">
        <f t="array" aca="1" ref="AU42" ca="1">IF(ISERROR(INDEX(RESULT_START,SMALL(IF(COUNTIF($AQ$39,WEEK)*COUNTIF($AR$39,WEEKDAY), ROW(WEEK)-MIN(ROW(WEEK))+1),ROW(A1)),COLUMN(A1))),0,INDEX(RESULT_START,SMALL(IF(COUNTIF($AQ$39,WEEK)*COUNTIF($AR$39,WEEKDAY), ROW(WEEK)-MIN(ROW(WEEK))+1),ROW(A1)),COLUMN(A1)))</f>
        <v>0</v>
      </c>
      <c r="AV42" cm="1">
        <f t="array" ref="AV4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42" cm="1">
        <f t="array" aca="1" ref="AW42" ca="1">IF(ISERROR(INDEX(RESULT_CATEGORIES,SMALL(IF(COUNTIF($AQ$39,WEEK)*COUNTIF($AR$39,WEEKDAY), ROW(WEEK)-MIN(ROW(WEEK))+1),ROW(A1)),COLUMN(A1))),0,INDEX(RESULT_CATEGORIES,SMALL(IF(COUNTIF($AQ$39,WEEK)*COUNTIF($AR$39,WEEKDAY), ROW(WEEK)-MIN(ROW(WEEK))+1),ROW(A1)),COLUMN(A1)))</f>
        <v>0</v>
      </c>
      <c r="AY42" cm="1">
        <f t="array" aca="1" ref="AY42" ca="1">IF(ISERROR(INDEX(RESULTLOCATION,SMALL(IF(COUNTIF($AQ$39,WEEK)*COUNTIF($AR$39,WEEKDAY), ROW(WEEK)-MIN(ROW(WEEK))+1),ROW(A1)),COLUMN(A1))),0,INDEX(RESULTLOCATION,SMALL(IF(COUNTIF($AQ$39,WEEK)*COUNTIF($AR$39,WEEKDAY), ROW(WEEK)-MIN(ROW(WEEK))+1),ROW(A1)),COLUMN(A1)))</f>
        <v>0</v>
      </c>
      <c r="BA42" t="str" cm="1">
        <f t="array" ref="BA42">IF(ISERROR(INDEX(RESULT_SUBJECT,SMALL(IF(COUNTIF($BA$3,MONTH), ROW(MONTH)-MIN(ROW(MONTH))+1),ROW(A37)),COLUMN(A37))),"",INDEX(RESULT_SUBJECT,SMALL(IF(COUNTIF($BA$3,MONTH), ROW(MONTH)-MIN(ROW(MONTH))+1),ROW(A37)),COLUMN(A37)))</f>
        <v/>
      </c>
      <c r="BB42" t="str" cm="1">
        <f t="array" ref="BB42">IF(ISERROR(INDEX(WEEK,SMALL(IF(COUNTIF($BA$3,MONTH), ROW(MONTH)-MIN(ROW(MONTH))+1),ROW(A37)),COLUMN(A37))),"",INDEX(WEEK,SMALL(IF(COUNTIF($BA$3,MONTH), ROW(MONTH)-MIN(ROW(MONTH))+1),ROW(A37)),COLUMN(A37)))</f>
        <v/>
      </c>
      <c r="BC42" t="str" cm="1">
        <f t="array" ref="BC42">IF(ISERROR(INDEX(RESULT_DAY,SMALL(IF(COUNTIF($BA$3,MONTH), ROW(MONTH)-MIN(ROW(MONTH))+1),ROW(A37)),COLUMN(A37))),"",INDEX(RESULT_DAY,SMALL(IF(COUNTIF($BA$3,MONTH), ROW(MONTH)-MIN(ROW(MONTH))+1),ROW(A37)),COLUMN(A37)))</f>
        <v/>
      </c>
      <c r="BD42" s="29" t="str">
        <f t="shared" si="26"/>
        <v/>
      </c>
      <c r="BE42" s="2" t="str" cm="1">
        <f t="array" ref="BE42">IF(ISERROR(INDEX(RESULT_DURATION,SMALL(IF(COUNTIF($BA$3,MONTH), ROW(MONTH)-MIN(ROW(MONTH))+1),ROW(A37)),COLUMN(A37))),"",INDEX(RESULT_DURATION,SMALL(IF(COUNTIF($BA$3,MONTH), ROW(MONTH)-MIN(ROW(MONTH))+1),ROW(A37)),COLUMN(A37)))</f>
        <v/>
      </c>
      <c r="BH42" t="str" cm="1">
        <f t="array" ref="BH42">IF(ISERROR(INDEX(RESULT_CATEGORIES,SMALL(IF(COUNTIF($BA$3,MONTH), ROW(MONTH)-MIN(ROW(MONTH))+1),ROW(A37)),COLUMN(A37))),"",INDEX(RESULT_CATEGORIES,SMALL(IF(COUNTIF($BA$3,MONTH), ROW(MONTH)-MIN(ROW(MONTH))+1),ROW(A37)),COLUMN(A37)))</f>
        <v/>
      </c>
      <c r="BI42" t="str" cm="1">
        <f t="array" ref="BI42">IF(ISERROR(INDEX(RESULTLOCATION,SMALL(IF(COUNTIF($BA$3,MONTH), ROW(MONTH)-MIN(ROW(MONTH))+1),ROW(A37)),COLUMN(A37))),"",INDEX(RESULTLOCATION,SMALL(IF(COUNTIF($BA$3,MONTH), ROW(MONTH)-MIN(ROW(MONTH))+1),ROW(A37)),COLUMN(A37)))</f>
        <v/>
      </c>
      <c r="BN42">
        <f t="shared" si="27"/>
        <v>6180</v>
      </c>
      <c r="BO42" s="2">
        <f t="shared" si="28"/>
        <v>103</v>
      </c>
      <c r="BP42">
        <f t="shared" si="29"/>
        <v>4</v>
      </c>
      <c r="BQ42" t="e">
        <f>MATCH(BM42,#REF!,0)</f>
        <v>#REF!</v>
      </c>
      <c r="BR42" t="str">
        <f t="shared" si="30"/>
        <v>NOTSET</v>
      </c>
      <c r="BS42" t="e" cm="1">
        <f t="array" ref="BS42">INDEX(#REF!,HistoryResultStats!BQ42)</f>
        <v>#REF!</v>
      </c>
    </row>
    <row r="43" spans="2:71" x14ac:dyDescent="0.3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t="str" cm="1">
        <f t="array" aca="1" ref="AQ43" ca="1">IF(ISERROR(INDEX(RESULT_SUBJECT,SMALL(IF(COUNTIF($AQ$39,WEEK)*COUNTIF($AR$39,WEEKDAY), ROW(WEEK)-MIN(ROW(WEEK))+1),ROW(A2)),COLUMN(A2))),"",INDEX(RESULT_SUBJECT,SMALL(IF(COUNTIF($AQ$39,WEEK)*COUNTIF($AR$39,WEEKDAY), ROW(WEEK)-MIN(ROW(WEEK))+1),ROW(A2)),COLUMN(A2)))</f>
        <v/>
      </c>
      <c r="AT43" s="2" cm="1">
        <f t="array" aca="1" ref="AT43" ca="1">IF(ISERROR(INDEX(RESULT_DURATION,SMALL(IF(COUNTIF($AQ$39,WEEK)*COUNTIF($AR$39,WEEKDAY), ROW(WEEK)-MIN(ROW(WEEK))+1),ROW(A2)),COLUMN(A2))),0,INDEX(RESULT_DURATION,SMALL(IF(COUNTIF($AQ$39,WEEK)*COUNTIF($AR$39,WEEKDAY), ROW(WEEK)-MIN(ROW(WEEK))+1),ROW(A2)),COLUMN(A2)))</f>
        <v>0</v>
      </c>
      <c r="AU43" cm="1">
        <f t="array" aca="1" ref="AU43" ca="1">IF(ISERROR(INDEX(RESULT_START,SMALL(IF(COUNTIF($AQ$39,WEEK)*COUNTIF($AR$39,WEEKDAY), ROW(WEEK)-MIN(ROW(WEEK))+1),ROW(A2)),COLUMN(A2))),0,INDEX(RESULT_START,SMALL(IF(COUNTIF($AQ$39,WEEK)*COUNTIF($AR$39,WEEKDAY), ROW(WEEK)-MIN(ROW(WEEK))+1),ROW(A2)),COLUMN(A2)))</f>
        <v>0</v>
      </c>
      <c r="AV43" cm="1">
        <f t="array" ref="AV43">IF(ISERROR(INDEX(RESULT_STARTMIN,SMALL(IF(COUNTIF($B$39,WEEK)*COUNTIF(#REF!,WEEKDAY), ROW(WEEK)-MIN(ROW(WEEK))+1),ROW(AQ2)),COLUMN(AQ2))),0,INDEX(RESULT_STARTMIN,SMALL(IF(COUNTIF($B$39,WEEK)*COUNTIF(#REF!,WEEKDAY), ROW(WEEK)-MIN(ROW(WEEK))+1),ROW(AQ2)),COLUMN(AQ2)))</f>
        <v>0</v>
      </c>
      <c r="AW43" cm="1">
        <f t="array" aca="1" ref="AW43" ca="1">IF(ISERROR(INDEX(RESULT_CATEGORIES,SMALL(IF(COUNTIF($AQ$39,WEEK)*COUNTIF($AR$39,WEEKDAY), ROW(WEEK)-MIN(ROW(WEEK))+1),ROW(A2)),COLUMN(A2))),0,INDEX(RESULT_CATEGORIES,SMALL(IF(COUNTIF($AQ$39,WEEK)*COUNTIF($AR$39,WEEKDAY), ROW(WEEK)-MIN(ROW(WEEK))+1),ROW(A2)),COLUMN(A2)))</f>
        <v>0</v>
      </c>
      <c r="AY43" s="34" cm="1">
        <f t="array" aca="1" ref="AY43" ca="1">IF(ISERROR(INDEX(RESULTLOCATION,SMALL(IF(COUNTIF($AQ$39,WEEK)*COUNTIF($AR$39,WEEKDAY), ROW(WEEK)-MIN(ROW(WEEK))+1),ROW(A2)),COLUMN(A2))),0,INDEX(RESULTLOCATION,SMALL(IF(COUNTIF($AQ$39,WEEK)*COUNTIF($AR$39,WEEKDAY), ROW(WEEK)-MIN(ROW(WEEK))+1),ROW(A2)),COLUMN(A2)))</f>
        <v>0</v>
      </c>
      <c r="BA43" t="str" cm="1">
        <f t="array" ref="BA43">IF(ISERROR(INDEX(RESULT_SUBJECT,SMALL(IF(COUNTIF($BA$3,MONTH), ROW(MONTH)-MIN(ROW(MONTH))+1),ROW(A38)),COLUMN(A38))),"",INDEX(RESULT_SUBJECT,SMALL(IF(COUNTIF($BA$3,MONTH), ROW(MONTH)-MIN(ROW(MONTH))+1),ROW(A38)),COLUMN(A38)))</f>
        <v/>
      </c>
      <c r="BB43" t="str" cm="1">
        <f t="array" ref="BB43">IF(ISERROR(INDEX(WEEK,SMALL(IF(COUNTIF($BA$3,MONTH), ROW(MONTH)-MIN(ROW(MONTH))+1),ROW(A38)),COLUMN(A38))),"",INDEX(WEEK,SMALL(IF(COUNTIF($BA$3,MONTH), ROW(MONTH)-MIN(ROW(MONTH))+1),ROW(A38)),COLUMN(A38)))</f>
        <v/>
      </c>
      <c r="BC43" t="str" cm="1">
        <f t="array" ref="BC43">IF(ISERROR(INDEX(RESULT_DAY,SMALL(IF(COUNTIF($BA$3,MONTH), ROW(MONTH)-MIN(ROW(MONTH))+1),ROW(A38)),COLUMN(A38))),"",INDEX(RESULT_DAY,SMALL(IF(COUNTIF($BA$3,MONTH), ROW(MONTH)-MIN(ROW(MONTH))+1),ROW(A38)),COLUMN(A38)))</f>
        <v/>
      </c>
      <c r="BD43" s="29" t="str">
        <f t="shared" si="26"/>
        <v/>
      </c>
      <c r="BE43" s="2" t="str" cm="1">
        <f t="array" ref="BE43">IF(ISERROR(INDEX(RESULT_DURATION,SMALL(IF(COUNTIF($BA$3,MONTH), ROW(MONTH)-MIN(ROW(MONTH))+1),ROW(A38)),COLUMN(A38))),"",INDEX(RESULT_DURATION,SMALL(IF(COUNTIF($BA$3,MONTH), ROW(MONTH)-MIN(ROW(MONTH))+1),ROW(A38)),COLUMN(A38)))</f>
        <v/>
      </c>
      <c r="BH43" t="str" cm="1">
        <f t="array" ref="BH43">IF(ISERROR(INDEX(RESULT_CATEGORIES,SMALL(IF(COUNTIF($BA$3,MONTH), ROW(MONTH)-MIN(ROW(MONTH))+1),ROW(A38)),COLUMN(A38))),"",INDEX(RESULT_CATEGORIES,SMALL(IF(COUNTIF($BA$3,MONTH), ROW(MONTH)-MIN(ROW(MONTH))+1),ROW(A38)),COLUMN(A38)))</f>
        <v/>
      </c>
      <c r="BI43" t="str" cm="1">
        <f t="array" ref="BI43">IF(ISERROR(INDEX(RESULTLOCATION,SMALL(IF(COUNTIF($BA$3,MONTH), ROW(MONTH)-MIN(ROW(MONTH))+1),ROW(A38)),COLUMN(A38))),"",INDEX(RESULTLOCATION,SMALL(IF(COUNTIF($BA$3,MONTH), ROW(MONTH)-MIN(ROW(MONTH))+1),ROW(A38)),COLUMN(A38)))</f>
        <v/>
      </c>
      <c r="BN43">
        <f t="shared" si="27"/>
        <v>6180</v>
      </c>
      <c r="BO43" s="2">
        <f t="shared" si="28"/>
        <v>103</v>
      </c>
      <c r="BP43">
        <f t="shared" si="29"/>
        <v>4</v>
      </c>
      <c r="BQ43" t="e">
        <f>MATCH(BM43,#REF!,0)</f>
        <v>#REF!</v>
      </c>
      <c r="BR43" t="str">
        <f t="shared" si="30"/>
        <v>NOTSET</v>
      </c>
      <c r="BS43" t="e" cm="1">
        <f t="array" ref="BS43">INDEX(#REF!,HistoryResultStats!BQ43)</f>
        <v>#REF!</v>
      </c>
    </row>
    <row r="44" spans="2:71" x14ac:dyDescent="0.3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t="str" cm="1">
        <f t="array" aca="1" ref="AQ44" ca="1">IF(ISERROR(INDEX(RESULT_SUBJECT,SMALL(IF(COUNTIF($AQ$39,WEEK)*COUNTIF($AR$39,WEEKDAY), ROW(WEEK)-MIN(ROW(WEEK))+1),ROW(A3)),COLUMN(A3))),"",INDEX(RESULT_SUBJECT,SMALL(IF(COUNTIF($AQ$39,WEEK)*COUNTIF($AR$39,WEEKDAY), ROW(WEEK)-MIN(ROW(WEEK))+1),ROW(A3)),COLUMN(A3)))</f>
        <v/>
      </c>
      <c r="AT44" s="2" cm="1">
        <f t="array" aca="1" ref="AT44" ca="1">IF(ISERROR(INDEX(RESULT_DURATION,SMALL(IF(COUNTIF($AQ$39,WEEK)*COUNTIF($AR$39,WEEKDAY), ROW(WEEK)-MIN(ROW(WEEK))+1),ROW(A3)),COLUMN(A3))),0,INDEX(RESULT_DURATION,SMALL(IF(COUNTIF($AQ$39,WEEK)*COUNTIF($AR$39,WEEKDAY), ROW(WEEK)-MIN(ROW(WEEK))+1),ROW(A3)),COLUMN(A3)))</f>
        <v>0</v>
      </c>
      <c r="AU44" cm="1">
        <f t="array" aca="1" ref="AU44" ca="1">IF(ISERROR(INDEX(RESULT_START,SMALL(IF(COUNTIF($AQ$39,WEEK)*COUNTIF($AR$39,WEEKDAY), ROW(WEEK)-MIN(ROW(WEEK))+1),ROW(A3)),COLUMN(A3))),0,INDEX(RESULT_START,SMALL(IF(COUNTIF($AQ$39,WEEK)*COUNTIF($AR$39,WEEKDAY), ROW(WEEK)-MIN(ROW(WEEK))+1),ROW(A3)),COLUMN(A3)))</f>
        <v>0</v>
      </c>
      <c r="AV44" cm="1">
        <f t="array" ref="AV44">IF(ISERROR(INDEX(RESULT_STARTMIN,SMALL(IF(COUNTIF($B$39,WEEK)*COUNTIF(#REF!,WEEKDAY), ROW(WEEK)-MIN(ROW(WEEK))+1),ROW(AQ3)),COLUMN(AQ3))),0,INDEX(RESULT_STARTMIN,SMALL(IF(COUNTIF($B$39,WEEK)*COUNTIF(#REF!,WEEKDAY), ROW(WEEK)-MIN(ROW(WEEK))+1),ROW(AQ3)),COLUMN(AQ3)))</f>
        <v>0</v>
      </c>
      <c r="AW44" cm="1">
        <f t="array" aca="1" ref="AW44" ca="1">IF(ISERROR(INDEX(RESULT_CATEGORIES,SMALL(IF(COUNTIF($AQ$39,WEEK)*COUNTIF($AR$39,WEEKDAY), ROW(WEEK)-MIN(ROW(WEEK))+1),ROW(A3)),COLUMN(A3))),0,INDEX(RESULT_CATEGORIES,SMALL(IF(COUNTIF($AQ$39,WEEK)*COUNTIF($AR$39,WEEKDAY), ROW(WEEK)-MIN(ROW(WEEK))+1),ROW(A3)),COLUMN(A3)))</f>
        <v>0</v>
      </c>
      <c r="AY44" cm="1">
        <f t="array" aca="1" ref="AY44" ca="1">IF(ISERROR(INDEX(RESULTLOCATION,SMALL(IF(COUNTIF($AQ$39,WEEK)*COUNTIF($AR$39,WEEKDAY), ROW(WEEK)-MIN(ROW(WEEK))+1),ROW(A3)),COLUMN(A3))),0,INDEX(RESULTLOCATION,SMALL(IF(COUNTIF($AQ$39,WEEK)*COUNTIF($AR$39,WEEKDAY), ROW(WEEK)-MIN(ROW(WEEK))+1),ROW(A3)),COLUMN(A3)))</f>
        <v>0</v>
      </c>
      <c r="BA44" t="str" cm="1">
        <f t="array" ref="BA44">IF(ISERROR(INDEX(RESULT_SUBJECT,SMALL(IF(COUNTIF($BA$3,MONTH), ROW(MONTH)-MIN(ROW(MONTH))+1),ROW(A39)),COLUMN(A39))),"",INDEX(RESULT_SUBJECT,SMALL(IF(COUNTIF($BA$3,MONTH), ROW(MONTH)-MIN(ROW(MONTH))+1),ROW(A39)),COLUMN(A39)))</f>
        <v/>
      </c>
      <c r="BB44" t="str" cm="1">
        <f t="array" ref="BB44">IF(ISERROR(INDEX(WEEK,SMALL(IF(COUNTIF($BA$3,MONTH), ROW(MONTH)-MIN(ROW(MONTH))+1),ROW(A39)),COLUMN(A39))),"",INDEX(WEEK,SMALL(IF(COUNTIF($BA$3,MONTH), ROW(MONTH)-MIN(ROW(MONTH))+1),ROW(A39)),COLUMN(A39)))</f>
        <v/>
      </c>
      <c r="BC44" t="str" cm="1">
        <f t="array" ref="BC44">IF(ISERROR(INDEX(RESULT_DAY,SMALL(IF(COUNTIF($BA$3,MONTH), ROW(MONTH)-MIN(ROW(MONTH))+1),ROW(A39)),COLUMN(A39))),"",INDEX(RESULT_DAY,SMALL(IF(COUNTIF($BA$3,MONTH), ROW(MONTH)-MIN(ROW(MONTH))+1),ROW(A39)),COLUMN(A39)))</f>
        <v/>
      </c>
      <c r="BD44" s="29" t="str">
        <f t="shared" si="26"/>
        <v/>
      </c>
      <c r="BE44" s="2" t="str" cm="1">
        <f t="array" ref="BE44">IF(ISERROR(INDEX(RESULT_DURATION,SMALL(IF(COUNTIF($BA$3,MONTH), ROW(MONTH)-MIN(ROW(MONTH))+1),ROW(A39)),COLUMN(A39))),"",INDEX(RESULT_DURATION,SMALL(IF(COUNTIF($BA$3,MONTH), ROW(MONTH)-MIN(ROW(MONTH))+1),ROW(A39)),COLUMN(A39)))</f>
        <v/>
      </c>
      <c r="BH44" t="str" cm="1">
        <f t="array" ref="BH44">IF(ISERROR(INDEX(RESULT_CATEGORIES,SMALL(IF(COUNTIF($BA$3,MONTH), ROW(MONTH)-MIN(ROW(MONTH))+1),ROW(A39)),COLUMN(A39))),"",INDEX(RESULT_CATEGORIES,SMALL(IF(COUNTIF($BA$3,MONTH), ROW(MONTH)-MIN(ROW(MONTH))+1),ROW(A39)),COLUMN(A39)))</f>
        <v/>
      </c>
      <c r="BI44" t="str" cm="1">
        <f t="array" ref="BI44">IF(ISERROR(INDEX(RESULTLOCATION,SMALL(IF(COUNTIF($BA$3,MONTH), ROW(MONTH)-MIN(ROW(MONTH))+1),ROW(A39)),COLUMN(A39))),"",INDEX(RESULTLOCATION,SMALL(IF(COUNTIF($BA$3,MONTH), ROW(MONTH)-MIN(ROW(MONTH))+1),ROW(A39)),COLUMN(A39)))</f>
        <v/>
      </c>
      <c r="BN44">
        <f t="shared" si="27"/>
        <v>6180</v>
      </c>
      <c r="BO44" s="2">
        <f t="shared" si="28"/>
        <v>103</v>
      </c>
      <c r="BP44">
        <f t="shared" si="29"/>
        <v>4</v>
      </c>
      <c r="BQ44" t="e">
        <f>MATCH(BM44,#REF!,0)</f>
        <v>#REF!</v>
      </c>
      <c r="BR44" t="str">
        <f t="shared" si="30"/>
        <v>NOTSET</v>
      </c>
      <c r="BS44" t="e" cm="1">
        <f t="array" ref="BS44">INDEX(#REF!,HistoryResultStats!BQ44)</f>
        <v>#REF!</v>
      </c>
    </row>
    <row r="45" spans="2:71" x14ac:dyDescent="0.3"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t="str" cm="1">
        <f t="array" aca="1" ref="AQ45" ca="1">IF(ISERROR(INDEX(RESULT_SUBJECT,SMALL(IF(COUNTIF($AQ$39,WEEK)*COUNTIF($AR$39,WEEKDAY), ROW(WEEK)-MIN(ROW(WEEK))+1),ROW(A4)),COLUMN(A4))),"",INDEX(RESULT_SUBJECT,SMALL(IF(COUNTIF($AQ$39,WEEK)*COUNTIF($AR$39,WEEKDAY), ROW(WEEK)-MIN(ROW(WEEK))+1),ROW(A4)),COLUMN(A4)))</f>
        <v/>
      </c>
      <c r="AT45" s="2" cm="1">
        <f t="array" aca="1" ref="AT45" ca="1">IF(ISERROR(INDEX(RESULT_DURATION,SMALL(IF(COUNTIF($AQ$39,WEEK)*COUNTIF($AR$39,WEEKDAY), ROW(WEEK)-MIN(ROW(WEEK))+1),ROW(A4)),COLUMN(A4))),0,INDEX(RESULT_DURATION,SMALL(IF(COUNTIF($AQ$39,WEEK)*COUNTIF($AR$39,WEEKDAY), ROW(WEEK)-MIN(ROW(WEEK))+1),ROW(A4)),COLUMN(A4)))</f>
        <v>0</v>
      </c>
      <c r="AU45" cm="1">
        <f t="array" aca="1" ref="AU45" ca="1">IF(ISERROR(INDEX(RESULT_START,SMALL(IF(COUNTIF($AQ$39,WEEK)*COUNTIF($AR$39,WEEKDAY), ROW(WEEK)-MIN(ROW(WEEK))+1),ROW(A4)),COLUMN(A4))),0,INDEX(RESULT_START,SMALL(IF(COUNTIF($AQ$39,WEEK)*COUNTIF($AR$39,WEEKDAY), ROW(WEEK)-MIN(ROW(WEEK))+1),ROW(A4)),COLUMN(A4)))</f>
        <v>0</v>
      </c>
      <c r="AV45" cm="1">
        <f t="array" ref="AV45">IF(ISERROR(INDEX(RESULT_STARTMIN,SMALL(IF(COUNTIF($B$39,WEEK)*COUNTIF(#REF!,WEEKDAY), ROW(WEEK)-MIN(ROW(WEEK))+1),ROW(AQ4)),COLUMN(AQ4))),0,INDEX(RESULT_STARTMIN,SMALL(IF(COUNTIF($B$39,WEEK)*COUNTIF(#REF!,WEEKDAY), ROW(WEEK)-MIN(ROW(WEEK))+1),ROW(AQ4)),COLUMN(AQ4)))</f>
        <v>0</v>
      </c>
      <c r="AW45" cm="1">
        <f t="array" aca="1" ref="AW45" ca="1">IF(ISERROR(INDEX(RESULT_CATEGORIES,SMALL(IF(COUNTIF($AQ$39,WEEK)*COUNTIF($AR$39,WEEKDAY), ROW(WEEK)-MIN(ROW(WEEK))+1),ROW(A4)),COLUMN(A4))),0,INDEX(RESULT_CATEGORIES,SMALL(IF(COUNTIF($AQ$39,WEEK)*COUNTIF($AR$39,WEEKDAY), ROW(WEEK)-MIN(ROW(WEEK))+1),ROW(A4)),COLUMN(A4)))</f>
        <v>0</v>
      </c>
      <c r="AY45" cm="1">
        <f t="array" aca="1" ref="AY45" ca="1">IF(ISERROR(INDEX(RESULTLOCATION,SMALL(IF(COUNTIF($AQ$39,WEEK)*COUNTIF($AR$39,WEEKDAY), ROW(WEEK)-MIN(ROW(WEEK))+1),ROW(A4)),COLUMN(A4))),0,INDEX(RESULTLOCATION,SMALL(IF(COUNTIF($AQ$39,WEEK)*COUNTIF($AR$39,WEEKDAY), ROW(WEEK)-MIN(ROW(WEEK))+1),ROW(A4)),COLUMN(A4)))</f>
        <v>0</v>
      </c>
      <c r="BA45" t="str" cm="1">
        <f t="array" ref="BA45">IF(ISERROR(INDEX(RESULT_SUBJECT,SMALL(IF(COUNTIF($BA$3,MONTH), ROW(MONTH)-MIN(ROW(MONTH))+1),ROW(A40)),COLUMN(A40))),"",INDEX(RESULT_SUBJECT,SMALL(IF(COUNTIF($BA$3,MONTH), ROW(MONTH)-MIN(ROW(MONTH))+1),ROW(A40)),COLUMN(A40)))</f>
        <v/>
      </c>
      <c r="BB45" t="str" cm="1">
        <f t="array" ref="BB45">IF(ISERROR(INDEX(WEEK,SMALL(IF(COUNTIF($BA$3,MONTH), ROW(MONTH)-MIN(ROW(MONTH))+1),ROW(A40)),COLUMN(A40))),"",INDEX(WEEK,SMALL(IF(COUNTIF($BA$3,MONTH), ROW(MONTH)-MIN(ROW(MONTH))+1),ROW(A40)),COLUMN(A40)))</f>
        <v/>
      </c>
      <c r="BC45" t="str" cm="1">
        <f t="array" ref="BC45">IF(ISERROR(INDEX(RESULT_DAY,SMALL(IF(COUNTIF($BA$3,MONTH), ROW(MONTH)-MIN(ROW(MONTH))+1),ROW(A40)),COLUMN(A40))),"",INDEX(RESULT_DAY,SMALL(IF(COUNTIF($BA$3,MONTH), ROW(MONTH)-MIN(ROW(MONTH))+1),ROW(A40)),COLUMN(A40)))</f>
        <v/>
      </c>
      <c r="BD45" s="29" t="str">
        <f t="shared" si="26"/>
        <v/>
      </c>
      <c r="BE45" s="2" t="str" cm="1">
        <f t="array" ref="BE45">IF(ISERROR(INDEX(RESULT_DURATION,SMALL(IF(COUNTIF($BA$3,MONTH), ROW(MONTH)-MIN(ROW(MONTH))+1),ROW(A40)),COLUMN(A40))),"",INDEX(RESULT_DURATION,SMALL(IF(COUNTIF($BA$3,MONTH), ROW(MONTH)-MIN(ROW(MONTH))+1),ROW(A40)),COLUMN(A40)))</f>
        <v/>
      </c>
      <c r="BH45" t="str" cm="1">
        <f t="array" ref="BH45">IF(ISERROR(INDEX(RESULT_CATEGORIES,SMALL(IF(COUNTIF($BA$3,MONTH), ROW(MONTH)-MIN(ROW(MONTH))+1),ROW(A40)),COLUMN(A40))),"",INDEX(RESULT_CATEGORIES,SMALL(IF(COUNTIF($BA$3,MONTH), ROW(MONTH)-MIN(ROW(MONTH))+1),ROW(A40)),COLUMN(A40)))</f>
        <v/>
      </c>
      <c r="BI45" t="str" cm="1">
        <f t="array" ref="BI45">IF(ISERROR(INDEX(RESULTLOCATION,SMALL(IF(COUNTIF($BA$3,MONTH), ROW(MONTH)-MIN(ROW(MONTH))+1),ROW(A40)),COLUMN(A40))),"",INDEX(RESULTLOCATION,SMALL(IF(COUNTIF($BA$3,MONTH), ROW(MONTH)-MIN(ROW(MONTH))+1),ROW(A40)),COLUMN(A40)))</f>
        <v/>
      </c>
      <c r="BN45">
        <f t="shared" si="27"/>
        <v>6180</v>
      </c>
      <c r="BO45" s="2">
        <f t="shared" si="28"/>
        <v>103</v>
      </c>
      <c r="BP45">
        <f t="shared" si="29"/>
        <v>4</v>
      </c>
      <c r="BQ45" t="e">
        <f>MATCH(BM45,#REF!,0)</f>
        <v>#REF!</v>
      </c>
      <c r="BR45" t="str">
        <f t="shared" si="30"/>
        <v>NOTSET</v>
      </c>
      <c r="BS45" t="e" cm="1">
        <f t="array" ref="BS45">INDEX(#REF!,HistoryResultStats!BQ45)</f>
        <v>#REF!</v>
      </c>
    </row>
    <row r="46" spans="2:71" x14ac:dyDescent="0.3"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t="str" cm="1">
        <f t="array" aca="1" ref="AQ46" ca="1">IF(ISERROR(INDEX(RESULT_SUBJECT,SMALL(IF(COUNTIF($AQ$39,WEEK)*COUNTIF($AR$39,WEEKDAY), ROW(WEEK)-MIN(ROW(WEEK))+1),ROW(A5)),COLUMN(A5))),"",INDEX(RESULT_SUBJECT,SMALL(IF(COUNTIF($AQ$39,WEEK)*COUNTIF($AR$39,WEEKDAY), ROW(WEEK)-MIN(ROW(WEEK))+1),ROW(A5)),COLUMN(A5)))</f>
        <v/>
      </c>
      <c r="AT46" s="2" cm="1">
        <f t="array" aca="1" ref="AT46" ca="1">IF(ISERROR(INDEX(RESULT_DURATION,SMALL(IF(COUNTIF($AQ$39,WEEK)*COUNTIF($AR$39,WEEKDAY), ROW(WEEK)-MIN(ROW(WEEK))+1),ROW(A5)),COLUMN(A5))),0,INDEX(RESULT_DURATION,SMALL(IF(COUNTIF($AQ$39,WEEK)*COUNTIF($AR$39,WEEKDAY), ROW(WEEK)-MIN(ROW(WEEK))+1),ROW(A5)),COLUMN(A5)))</f>
        <v>0</v>
      </c>
      <c r="AU46" cm="1">
        <f t="array" aca="1" ref="AU46" ca="1">IF(ISERROR(INDEX(RESULT_START,SMALL(IF(COUNTIF($AQ$39,WEEK)*COUNTIF($AR$39,WEEKDAY), ROW(WEEK)-MIN(ROW(WEEK))+1),ROW(A5)),COLUMN(A5))),0,INDEX(RESULT_START,SMALL(IF(COUNTIF($AQ$39,WEEK)*COUNTIF($AR$39,WEEKDAY), ROW(WEEK)-MIN(ROW(WEEK))+1),ROW(A5)),COLUMN(A5)))</f>
        <v>0</v>
      </c>
      <c r="AV46" cm="1">
        <f t="array" ref="AV46">IF(ISERROR(INDEX(RESULT_STARTMIN,SMALL(IF(COUNTIF($B$39,WEEK)*COUNTIF(#REF!,WEEKDAY), ROW(WEEK)-MIN(ROW(WEEK))+1),ROW(AQ5)),COLUMN(AQ5))),0,INDEX(RESULT_STARTMIN,SMALL(IF(COUNTIF($B$39,WEEK)*COUNTIF(#REF!,WEEKDAY), ROW(WEEK)-MIN(ROW(WEEK))+1),ROW(AQ5)),COLUMN(AQ5)))</f>
        <v>0</v>
      </c>
      <c r="AW46" cm="1">
        <f t="array" aca="1" ref="AW46" ca="1">IF(ISERROR(INDEX(RESULT_CATEGORIES,SMALL(IF(COUNTIF($AQ$39,WEEK)*COUNTIF($AR$39,WEEKDAY), ROW(WEEK)-MIN(ROW(WEEK))+1),ROW(A5)),COLUMN(A5))),0,INDEX(RESULT_CATEGORIES,SMALL(IF(COUNTIF($AQ$39,WEEK)*COUNTIF($AR$39,WEEKDAY), ROW(WEEK)-MIN(ROW(WEEK))+1),ROW(A5)),COLUMN(A5)))</f>
        <v>0</v>
      </c>
      <c r="AY46" cm="1">
        <f t="array" aca="1" ref="AY46" ca="1">IF(ISERROR(INDEX(RESULTLOCATION,SMALL(IF(COUNTIF($AQ$39,WEEK)*COUNTIF($AR$39,WEEKDAY), ROW(WEEK)-MIN(ROW(WEEK))+1),ROW(A5)),COLUMN(A5))),0,INDEX(RESULTLOCATION,SMALL(IF(COUNTIF($AQ$39,WEEK)*COUNTIF($AR$39,WEEKDAY), ROW(WEEK)-MIN(ROW(WEEK))+1),ROW(A5)),COLUMN(A5)))</f>
        <v>0</v>
      </c>
      <c r="BA46" t="str" cm="1">
        <f t="array" ref="BA46">IF(ISERROR(INDEX(RESULT_SUBJECT,SMALL(IF(COUNTIF($BA$3,MONTH), ROW(MONTH)-MIN(ROW(MONTH))+1),ROW(A41)),COLUMN(A41))),"",INDEX(RESULT_SUBJECT,SMALL(IF(COUNTIF($BA$3,MONTH), ROW(MONTH)-MIN(ROW(MONTH))+1),ROW(A41)),COLUMN(A41)))</f>
        <v/>
      </c>
      <c r="BB46" t="str" cm="1">
        <f t="array" ref="BB46">IF(ISERROR(INDEX(WEEK,SMALL(IF(COUNTIF($BA$3,MONTH), ROW(MONTH)-MIN(ROW(MONTH))+1),ROW(A41)),COLUMN(A41))),"",INDEX(WEEK,SMALL(IF(COUNTIF($BA$3,MONTH), ROW(MONTH)-MIN(ROW(MONTH))+1),ROW(A41)),COLUMN(A41)))</f>
        <v/>
      </c>
      <c r="BC46" t="str" cm="1">
        <f t="array" ref="BC46">IF(ISERROR(INDEX(RESULT_DAY,SMALL(IF(COUNTIF($BA$3,MONTH), ROW(MONTH)-MIN(ROW(MONTH))+1),ROW(A41)),COLUMN(A41))),"",INDEX(RESULT_DAY,SMALL(IF(COUNTIF($BA$3,MONTH), ROW(MONTH)-MIN(ROW(MONTH))+1),ROW(A41)),COLUMN(A41)))</f>
        <v/>
      </c>
      <c r="BD46" s="29" t="str">
        <f t="shared" si="26"/>
        <v/>
      </c>
      <c r="BE46" s="2" t="str" cm="1">
        <f t="array" ref="BE46">IF(ISERROR(INDEX(RESULT_DURATION,SMALL(IF(COUNTIF($BA$3,MONTH), ROW(MONTH)-MIN(ROW(MONTH))+1),ROW(A41)),COLUMN(A41))),"",INDEX(RESULT_DURATION,SMALL(IF(COUNTIF($BA$3,MONTH), ROW(MONTH)-MIN(ROW(MONTH))+1),ROW(A41)),COLUMN(A41)))</f>
        <v/>
      </c>
      <c r="BH46" t="str" cm="1">
        <f t="array" ref="BH46">IF(ISERROR(INDEX(RESULT_CATEGORIES,SMALL(IF(COUNTIF($BA$3,MONTH), ROW(MONTH)-MIN(ROW(MONTH))+1),ROW(A41)),COLUMN(A41))),"",INDEX(RESULT_CATEGORIES,SMALL(IF(COUNTIF($BA$3,MONTH), ROW(MONTH)-MIN(ROW(MONTH))+1),ROW(A41)),COLUMN(A41)))</f>
        <v/>
      </c>
      <c r="BI46" t="str" cm="1">
        <f t="array" ref="BI46">IF(ISERROR(INDEX(RESULTLOCATION,SMALL(IF(COUNTIF($BA$3,MONTH), ROW(MONTH)-MIN(ROW(MONTH))+1),ROW(A41)),COLUMN(A41))),"",INDEX(RESULTLOCATION,SMALL(IF(COUNTIF($BA$3,MONTH), ROW(MONTH)-MIN(ROW(MONTH))+1),ROW(A41)),COLUMN(A41)))</f>
        <v/>
      </c>
      <c r="BN46">
        <f t="shared" si="27"/>
        <v>6180</v>
      </c>
      <c r="BO46" s="2">
        <f t="shared" si="28"/>
        <v>103</v>
      </c>
      <c r="BP46">
        <f t="shared" si="29"/>
        <v>4</v>
      </c>
      <c r="BQ46" t="e">
        <f>MATCH(BM46,#REF!,0)</f>
        <v>#REF!</v>
      </c>
      <c r="BR46" t="str">
        <f t="shared" si="30"/>
        <v>NOTSET</v>
      </c>
      <c r="BS46" t="e" cm="1">
        <f t="array" ref="BS46">INDEX(#REF!,HistoryResultStats!BQ46)</f>
        <v>#REF!</v>
      </c>
    </row>
    <row r="47" spans="2:71" x14ac:dyDescent="0.3"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t="str" cm="1">
        <f t="array" aca="1" ref="AQ47" ca="1">IF(ISERROR(INDEX(RESULT_SUBJECT,SMALL(IF(COUNTIF($AQ$39,WEEK)*COUNTIF($AR$39,WEEKDAY), ROW(WEEK)-MIN(ROW(WEEK))+1),ROW(A6)),COLUMN(A6))),"",INDEX(RESULT_SUBJECT,SMALL(IF(COUNTIF($AQ$39,WEEK)*COUNTIF($AR$39,WEEKDAY), ROW(WEEK)-MIN(ROW(WEEK))+1),ROW(A6)),COLUMN(A6)))</f>
        <v/>
      </c>
      <c r="AT47" s="2" cm="1">
        <f t="array" aca="1" ref="AT47" ca="1">IF(ISERROR(INDEX(RESULT_DURATION,SMALL(IF(COUNTIF($AQ$39,WEEK)*COUNTIF($AR$39,WEEKDAY), ROW(WEEK)-MIN(ROW(WEEK))+1),ROW(A6)),COLUMN(A6))),0,INDEX(RESULT_DURATION,SMALL(IF(COUNTIF($AQ$39,WEEK)*COUNTIF($AR$39,WEEKDAY), ROW(WEEK)-MIN(ROW(WEEK))+1),ROW(A6)),COLUMN(A6)))</f>
        <v>0</v>
      </c>
      <c r="AU47" cm="1">
        <f t="array" aca="1" ref="AU47" ca="1">IF(ISERROR(INDEX(RESULT_START,SMALL(IF(COUNTIF($AQ$39,WEEK)*COUNTIF($AR$39,WEEKDAY), ROW(WEEK)-MIN(ROW(WEEK))+1),ROW(A6)),COLUMN(A6))),0,INDEX(RESULT_START,SMALL(IF(COUNTIF($AQ$39,WEEK)*COUNTIF($AR$39,WEEKDAY), ROW(WEEK)-MIN(ROW(WEEK))+1),ROW(A6)),COLUMN(A6)))</f>
        <v>0</v>
      </c>
      <c r="AV47" cm="1">
        <f t="array" ref="AV47">IF(ISERROR(INDEX(RESULT_STARTMIN,SMALL(IF(COUNTIF($B$39,WEEK)*COUNTIF(#REF!,WEEKDAY), ROW(WEEK)-MIN(ROW(WEEK))+1),ROW(AQ6)),COLUMN(AQ6))),0,INDEX(RESULT_STARTMIN,SMALL(IF(COUNTIF($B$39,WEEK)*COUNTIF(#REF!,WEEKDAY), ROW(WEEK)-MIN(ROW(WEEK))+1),ROW(AQ6)),COLUMN(AQ6)))</f>
        <v>0</v>
      </c>
      <c r="AW47" cm="1">
        <f t="array" aca="1" ref="AW47" ca="1">IF(ISERROR(INDEX(RESULT_CATEGORIES,SMALL(IF(COUNTIF($AQ$39,WEEK)*COUNTIF($AR$39,WEEKDAY), ROW(WEEK)-MIN(ROW(WEEK))+1),ROW(A6)),COLUMN(A6))),0,INDEX(RESULT_CATEGORIES,SMALL(IF(COUNTIF($AQ$39,WEEK)*COUNTIF($AR$39,WEEKDAY), ROW(WEEK)-MIN(ROW(WEEK))+1),ROW(A6)),COLUMN(A6)))</f>
        <v>0</v>
      </c>
      <c r="AY47" cm="1">
        <f t="array" aca="1" ref="AY47" ca="1">IF(ISERROR(INDEX(RESULTLOCATION,SMALL(IF(COUNTIF($AQ$39,WEEK)*COUNTIF($AR$39,WEEKDAY), ROW(WEEK)-MIN(ROW(WEEK))+1),ROW(A6)),COLUMN(A6))),0,INDEX(RESULTLOCATION,SMALL(IF(COUNTIF($AQ$39,WEEK)*COUNTIF($AR$39,WEEKDAY), ROW(WEEK)-MIN(ROW(WEEK))+1),ROW(A6)),COLUMN(A6)))</f>
        <v>0</v>
      </c>
      <c r="BA47" t="str" cm="1">
        <f t="array" ref="BA47">IF(ISERROR(INDEX(RESULT_SUBJECT,SMALL(IF(COUNTIF($BA$3,MONTH), ROW(MONTH)-MIN(ROW(MONTH))+1),ROW(A42)),COLUMN(A42))),"",INDEX(RESULT_SUBJECT,SMALL(IF(COUNTIF($BA$3,MONTH), ROW(MONTH)-MIN(ROW(MONTH))+1),ROW(A42)),COLUMN(A42)))</f>
        <v/>
      </c>
      <c r="BB47" t="str" cm="1">
        <f t="array" ref="BB47">IF(ISERROR(INDEX(WEEK,SMALL(IF(COUNTIF($BA$3,MONTH), ROW(MONTH)-MIN(ROW(MONTH))+1),ROW(A42)),COLUMN(A42))),"",INDEX(WEEK,SMALL(IF(COUNTIF($BA$3,MONTH), ROW(MONTH)-MIN(ROW(MONTH))+1),ROW(A42)),COLUMN(A42)))</f>
        <v/>
      </c>
      <c r="BC47" t="str" cm="1">
        <f t="array" ref="BC47">IF(ISERROR(INDEX(RESULT_DAY,SMALL(IF(COUNTIF($BA$3,MONTH), ROW(MONTH)-MIN(ROW(MONTH))+1),ROW(A42)),COLUMN(A42))),"",INDEX(RESULT_DAY,SMALL(IF(COUNTIF($BA$3,MONTH), ROW(MONTH)-MIN(ROW(MONTH))+1),ROW(A42)),COLUMN(A42)))</f>
        <v/>
      </c>
      <c r="BD47" s="29" t="str">
        <f t="shared" si="26"/>
        <v/>
      </c>
      <c r="BE47" s="2" t="str" cm="1">
        <f t="array" ref="BE47">IF(ISERROR(INDEX(RESULT_DURATION,SMALL(IF(COUNTIF($BA$3,MONTH), ROW(MONTH)-MIN(ROW(MONTH))+1),ROW(A42)),COLUMN(A42))),"",INDEX(RESULT_DURATION,SMALL(IF(COUNTIF($BA$3,MONTH), ROW(MONTH)-MIN(ROW(MONTH))+1),ROW(A42)),COLUMN(A42)))</f>
        <v/>
      </c>
      <c r="BH47" t="str" cm="1">
        <f t="array" ref="BH47">IF(ISERROR(INDEX(RESULT_CATEGORIES,SMALL(IF(COUNTIF($BA$3,MONTH), ROW(MONTH)-MIN(ROW(MONTH))+1),ROW(A42)),COLUMN(A42))),"",INDEX(RESULT_CATEGORIES,SMALL(IF(COUNTIF($BA$3,MONTH), ROW(MONTH)-MIN(ROW(MONTH))+1),ROW(A42)),COLUMN(A42)))</f>
        <v/>
      </c>
      <c r="BI47" t="str" cm="1">
        <f t="array" ref="BI47">IF(ISERROR(INDEX(RESULTLOCATION,SMALL(IF(COUNTIF($BA$3,MONTH), ROW(MONTH)-MIN(ROW(MONTH))+1),ROW(A42)),COLUMN(A42))),"",INDEX(RESULTLOCATION,SMALL(IF(COUNTIF($BA$3,MONTH), ROW(MONTH)-MIN(ROW(MONTH))+1),ROW(A42)),COLUMN(A42)))</f>
        <v/>
      </c>
      <c r="BN47">
        <f t="shared" si="27"/>
        <v>6180</v>
      </c>
      <c r="BO47" s="2">
        <f t="shared" si="28"/>
        <v>103</v>
      </c>
      <c r="BP47">
        <f t="shared" si="29"/>
        <v>4</v>
      </c>
      <c r="BQ47" t="e">
        <f>MATCH(BM47,#REF!,0)</f>
        <v>#REF!</v>
      </c>
      <c r="BR47" t="str">
        <f t="shared" si="30"/>
        <v>NOTSET</v>
      </c>
      <c r="BS47" t="e" cm="1">
        <f t="array" ref="BS47">INDEX(#REF!,HistoryResultStats!BQ47)</f>
        <v>#REF!</v>
      </c>
    </row>
    <row r="48" spans="2:71" x14ac:dyDescent="0.3">
      <c r="B48" t="str" cm="1">
        <f t="array" ref="B48">IF(ISERROR(INDEX(RESULT_SUBJECT,SMALL(IF(COUNTIF($B$39,WEEK)*COUNTIF(#REF!,WEEKDAY), ROW(WEEK)-MIN(ROW(WEEK))+1),ROW(A7)),COLUMN(A7))),"",INDEX(RESULT_SUBJECT,SMALL(IF(COUNTIF($B$39,WEEK)*COUNTIF(#REF!,WEEKDAY), ROW(WEEK)-MIN(ROW(WEEK))+1),ROW(A7)),COLUMN(A7)))</f>
        <v/>
      </c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t="str" cm="1">
        <f t="array" aca="1" ref="AQ48" ca="1">IF(ISERROR(INDEX(RESULT_SUBJECT,SMALL(IF(COUNTIF($AQ$39,WEEK)*COUNTIF($AR$39,WEEKDAY), ROW(WEEK)-MIN(ROW(WEEK))+1),ROW(A7)),COLUMN(A7))),"",INDEX(RESULT_SUBJECT,SMALL(IF(COUNTIF($AQ$39,WEEK)*COUNTIF($AR$39,WEEKDAY), ROW(WEEK)-MIN(ROW(WEEK))+1),ROW(A7)),COLUMN(A7)))</f>
        <v/>
      </c>
      <c r="AT48" s="2" cm="1">
        <f t="array" aca="1" ref="AT48" ca="1">IF(ISERROR(INDEX(RESULT_DURATION,SMALL(IF(COUNTIF($AQ$39,WEEK)*COUNTIF($AR$39,WEEKDAY), ROW(WEEK)-MIN(ROW(WEEK))+1),ROW(A7)),COLUMN(A7))),0,INDEX(RESULT_DURATION,SMALL(IF(COUNTIF($AQ$39,WEEK)*COUNTIF($AR$39,WEEKDAY), ROW(WEEK)-MIN(ROW(WEEK))+1),ROW(A7)),COLUMN(A7)))</f>
        <v>0</v>
      </c>
      <c r="AU48" cm="1">
        <f t="array" aca="1" ref="AU48" ca="1">IF(ISERROR(INDEX(RESULT_START,SMALL(IF(COUNTIF($AQ$39,WEEK)*COUNTIF($AR$39,WEEKDAY), ROW(WEEK)-MIN(ROW(WEEK))+1),ROW(A7)),COLUMN(A7))),0,INDEX(RESULT_START,SMALL(IF(COUNTIF($AQ$39,WEEK)*COUNTIF($AR$39,WEEKDAY), ROW(WEEK)-MIN(ROW(WEEK))+1),ROW(A7)),COLUMN(A7)))</f>
        <v>0</v>
      </c>
      <c r="AV48" cm="1">
        <f t="array" ref="AV48">IF(ISERROR(INDEX(RESULT_STARTMIN,SMALL(IF(COUNTIF($B$39,WEEK)*COUNTIF(#REF!,WEEKDAY), ROW(WEEK)-MIN(ROW(WEEK))+1),ROW(AQ7)),COLUMN(AQ7))),0,INDEX(RESULT_STARTMIN,SMALL(IF(COUNTIF($B$39,WEEK)*COUNTIF(#REF!,WEEKDAY), ROW(WEEK)-MIN(ROW(WEEK))+1),ROW(AQ7)),COLUMN(AQ7)))</f>
        <v>0</v>
      </c>
      <c r="AW48" cm="1">
        <f t="array" aca="1" ref="AW48" ca="1">IF(ISERROR(INDEX(RESULT_CATEGORIES,SMALL(IF(COUNTIF($AQ$39,WEEK)*COUNTIF($AR$39,WEEKDAY), ROW(WEEK)-MIN(ROW(WEEK))+1),ROW(A7)),COLUMN(A7))),0,INDEX(RESULT_CATEGORIES,SMALL(IF(COUNTIF($AQ$39,WEEK)*COUNTIF($AR$39,WEEKDAY), ROW(WEEK)-MIN(ROW(WEEK))+1),ROW(A7)),COLUMN(A7)))</f>
        <v>0</v>
      </c>
      <c r="AY48" cm="1">
        <f t="array" aca="1" ref="AY48" ca="1">IF(ISERROR(INDEX(RESULTLOCATION,SMALL(IF(COUNTIF($AQ$39,WEEK)*COUNTIF($AR$39,WEEKDAY), ROW(WEEK)-MIN(ROW(WEEK))+1),ROW(A7)),COLUMN(A7))),0,INDEX(RESULTLOCATION,SMALL(IF(COUNTIF($AQ$39,WEEK)*COUNTIF($AR$39,WEEKDAY), ROW(WEEK)-MIN(ROW(WEEK))+1),ROW(A7)),COLUMN(A7)))</f>
        <v>0</v>
      </c>
      <c r="BA48" t="str" cm="1">
        <f t="array" ref="BA48">IF(ISERROR(INDEX(RESULT_SUBJECT,SMALL(IF(COUNTIF($BA$3,MONTH), ROW(MONTH)-MIN(ROW(MONTH))+1),ROW(A43)),COLUMN(A43))),"",INDEX(RESULT_SUBJECT,SMALL(IF(COUNTIF($BA$3,MONTH), ROW(MONTH)-MIN(ROW(MONTH))+1),ROW(A43)),COLUMN(A43)))</f>
        <v/>
      </c>
      <c r="BB48" t="str" cm="1">
        <f t="array" ref="BB48">IF(ISERROR(INDEX(WEEK,SMALL(IF(COUNTIF($BA$3,MONTH), ROW(MONTH)-MIN(ROW(MONTH))+1),ROW(A43)),COLUMN(A43))),"",INDEX(WEEK,SMALL(IF(COUNTIF($BA$3,MONTH), ROW(MONTH)-MIN(ROW(MONTH))+1),ROW(A43)),COLUMN(A43)))</f>
        <v/>
      </c>
      <c r="BC48" t="str" cm="1">
        <f t="array" ref="BC48">IF(ISERROR(INDEX(RESULT_DAY,SMALL(IF(COUNTIF($BA$3,MONTH), ROW(MONTH)-MIN(ROW(MONTH))+1),ROW(A43)),COLUMN(A43))),"",INDEX(RESULT_DAY,SMALL(IF(COUNTIF($BA$3,MONTH), ROW(MONTH)-MIN(ROW(MONTH))+1),ROW(A43)),COLUMN(A43)))</f>
        <v/>
      </c>
      <c r="BD48" s="29" t="str">
        <f t="shared" si="26"/>
        <v/>
      </c>
      <c r="BE48" s="2" t="str" cm="1">
        <f t="array" ref="BE48">IF(ISERROR(INDEX(RESULT_DURATION,SMALL(IF(COUNTIF($BA$3,MONTH), ROW(MONTH)-MIN(ROW(MONTH))+1),ROW(A43)),COLUMN(A43))),"",INDEX(RESULT_DURATION,SMALL(IF(COUNTIF($BA$3,MONTH), ROW(MONTH)-MIN(ROW(MONTH))+1),ROW(A43)),COLUMN(A43)))</f>
        <v/>
      </c>
      <c r="BH48" t="str" cm="1">
        <f t="array" ref="BH48">IF(ISERROR(INDEX(RESULT_CATEGORIES,SMALL(IF(COUNTIF($BA$3,MONTH), ROW(MONTH)-MIN(ROW(MONTH))+1),ROW(A43)),COLUMN(A43))),"",INDEX(RESULT_CATEGORIES,SMALL(IF(COUNTIF($BA$3,MONTH), ROW(MONTH)-MIN(ROW(MONTH))+1),ROW(A43)),COLUMN(A43)))</f>
        <v/>
      </c>
      <c r="BI48" t="str" cm="1">
        <f t="array" ref="BI48">IF(ISERROR(INDEX(RESULTLOCATION,SMALL(IF(COUNTIF($BA$3,MONTH), ROW(MONTH)-MIN(ROW(MONTH))+1),ROW(A43)),COLUMN(A43))),"",INDEX(RESULTLOCATION,SMALL(IF(COUNTIF($BA$3,MONTH), ROW(MONTH)-MIN(ROW(MONTH))+1),ROW(A43)),COLUMN(A43)))</f>
        <v/>
      </c>
      <c r="BN48">
        <f t="shared" si="27"/>
        <v>6180</v>
      </c>
      <c r="BO48" s="2">
        <f t="shared" si="28"/>
        <v>103</v>
      </c>
      <c r="BP48">
        <f t="shared" si="29"/>
        <v>4</v>
      </c>
      <c r="BQ48" t="e">
        <f>MATCH(BM48,#REF!,0)</f>
        <v>#REF!</v>
      </c>
      <c r="BR48" t="str">
        <f t="shared" si="30"/>
        <v>NOTSET</v>
      </c>
      <c r="BS48" t="e" cm="1">
        <f t="array" ref="BS48">INDEX(#REF!,HistoryResultStats!BQ48)</f>
        <v>#REF!</v>
      </c>
    </row>
    <row r="49" spans="2:71" x14ac:dyDescent="0.3">
      <c r="B49" t="str" cm="1">
        <f t="array" ref="B49">IF(ISERROR(INDEX(RESULT_SUBJECT,SMALL(IF(COUNTIF($B$39,WEEK)*COUNTIF(#REF!,WEEKDAY), ROW(WEEK)-MIN(ROW(WEEK))+1),ROW(A8)),COLUMN(A8))),"",INDEX(RESULT_SUBJECT,SMALL(IF(COUNTIF($B$39,WEEK)*COUNTIF(#REF!,WEEKDAY), ROW(WEEK)-MIN(ROW(WEEK))+1),ROW(A8)),COLUMN(A8)))</f>
        <v/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t="str" cm="1">
        <f t="array" aca="1" ref="AQ49" ca="1">IF(ISERROR(INDEX(RESULT_SUBJECT,SMALL(IF(COUNTIF($AQ$39,WEEK)*COUNTIF($AR$39,WEEKDAY), ROW(WEEK)-MIN(ROW(WEEK))+1),ROW(A8)),COLUMN(A8))),"",INDEX(RESULT_SUBJECT,SMALL(IF(COUNTIF($AQ$39,WEEK)*COUNTIF($AR$39,WEEKDAY), ROW(WEEK)-MIN(ROW(WEEK))+1),ROW(A8)),COLUMN(A8)))</f>
        <v/>
      </c>
      <c r="AT49" s="2" cm="1">
        <f t="array" aca="1" ref="AT49" ca="1">IF(ISERROR(INDEX(RESULT_DURATION,SMALL(IF(COUNTIF($AQ$39,WEEK)*COUNTIF($AR$39,WEEKDAY), ROW(WEEK)-MIN(ROW(WEEK))+1),ROW(A8)),COLUMN(A8))),0,INDEX(RESULT_DURATION,SMALL(IF(COUNTIF($AQ$39,WEEK)*COUNTIF($AR$39,WEEKDAY), ROW(WEEK)-MIN(ROW(WEEK))+1),ROW(A8)),COLUMN(A8)))</f>
        <v>0</v>
      </c>
      <c r="AU49" cm="1">
        <f t="array" aca="1" ref="AU49" ca="1">IF(ISERROR(INDEX(RESULT_START,SMALL(IF(COUNTIF($AQ$39,WEEK)*COUNTIF($AR$39,WEEKDAY), ROW(WEEK)-MIN(ROW(WEEK))+1),ROW(A8)),COLUMN(A8))),0,INDEX(RESULT_START,SMALL(IF(COUNTIF($AQ$39,WEEK)*COUNTIF($AR$39,WEEKDAY), ROW(WEEK)-MIN(ROW(WEEK))+1),ROW(A8)),COLUMN(A8)))</f>
        <v>0</v>
      </c>
      <c r="AV49" cm="1">
        <f t="array" ref="AV49">IF(ISERROR(INDEX(RESULT_STARTMIN,SMALL(IF(COUNTIF($B$39,WEEK)*COUNTIF(#REF!,WEEKDAY), ROW(WEEK)-MIN(ROW(WEEK))+1),ROW(AQ8)),COLUMN(AQ8))),0,INDEX(RESULT_STARTMIN,SMALL(IF(COUNTIF($B$39,WEEK)*COUNTIF(#REF!,WEEKDAY), ROW(WEEK)-MIN(ROW(WEEK))+1),ROW(AQ8)),COLUMN(AQ8)))</f>
        <v>0</v>
      </c>
      <c r="AW49" cm="1">
        <f t="array" aca="1" ref="AW49" ca="1">IF(ISERROR(INDEX(RESULT_CATEGORIES,SMALL(IF(COUNTIF($AQ$39,WEEK)*COUNTIF($AR$39,WEEKDAY), ROW(WEEK)-MIN(ROW(WEEK))+1),ROW(A8)),COLUMN(A8))),0,INDEX(RESULT_CATEGORIES,SMALL(IF(COUNTIF($AQ$39,WEEK)*COUNTIF($AR$39,WEEKDAY), ROW(WEEK)-MIN(ROW(WEEK))+1),ROW(A8)),COLUMN(A8)))</f>
        <v>0</v>
      </c>
      <c r="AY49" cm="1">
        <f t="array" aca="1" ref="AY49" ca="1">IF(ISERROR(INDEX(RESULTLOCATION,SMALL(IF(COUNTIF($AQ$39,WEEK)*COUNTIF($AR$39,WEEKDAY), ROW(WEEK)-MIN(ROW(WEEK))+1),ROW(A8)),COLUMN(A8))),0,INDEX(RESULTLOCATION,SMALL(IF(COUNTIF($AQ$39,WEEK)*COUNTIF($AR$39,WEEKDAY), ROW(WEEK)-MIN(ROW(WEEK))+1),ROW(A8)),COLUMN(A8)))</f>
        <v>0</v>
      </c>
      <c r="BA49" t="str" cm="1">
        <f t="array" ref="BA49">IF(ISERROR(INDEX(RESULT_SUBJECT,SMALL(IF(COUNTIF($BA$3,MONTH), ROW(MONTH)-MIN(ROW(MONTH))+1),ROW(A44)),COLUMN(A44))),"",INDEX(RESULT_SUBJECT,SMALL(IF(COUNTIF($BA$3,MONTH), ROW(MONTH)-MIN(ROW(MONTH))+1),ROW(A44)),COLUMN(A44)))</f>
        <v/>
      </c>
      <c r="BB49" t="str" cm="1">
        <f t="array" ref="BB49">IF(ISERROR(INDEX(WEEK,SMALL(IF(COUNTIF($BA$3,MONTH), ROW(MONTH)-MIN(ROW(MONTH))+1),ROW(A44)),COLUMN(A44))),"",INDEX(WEEK,SMALL(IF(COUNTIF($BA$3,MONTH), ROW(MONTH)-MIN(ROW(MONTH))+1),ROW(A44)),COLUMN(A44)))</f>
        <v/>
      </c>
      <c r="BC49" t="str" cm="1">
        <f t="array" ref="BC49">IF(ISERROR(INDEX(RESULT_DAY,SMALL(IF(COUNTIF($BA$3,MONTH), ROW(MONTH)-MIN(ROW(MONTH))+1),ROW(A44)),COLUMN(A44))),"",INDEX(RESULT_DAY,SMALL(IF(COUNTIF($BA$3,MONTH), ROW(MONTH)-MIN(ROW(MONTH))+1),ROW(A44)),COLUMN(A44)))</f>
        <v/>
      </c>
      <c r="BD49" s="29" t="str">
        <f t="shared" si="26"/>
        <v/>
      </c>
      <c r="BE49" s="2" t="str" cm="1">
        <f t="array" ref="BE49">IF(ISERROR(INDEX(RESULT_DURATION,SMALL(IF(COUNTIF($BA$3,MONTH), ROW(MONTH)-MIN(ROW(MONTH))+1),ROW(A44)),COLUMN(A44))),"",INDEX(RESULT_DURATION,SMALL(IF(COUNTIF($BA$3,MONTH), ROW(MONTH)-MIN(ROW(MONTH))+1),ROW(A44)),COLUMN(A44)))</f>
        <v/>
      </c>
      <c r="BH49" t="str" cm="1">
        <f t="array" ref="BH49">IF(ISERROR(INDEX(RESULT_CATEGORIES,SMALL(IF(COUNTIF($BA$3,MONTH), ROW(MONTH)-MIN(ROW(MONTH))+1),ROW(A44)),COLUMN(A44))),"",INDEX(RESULT_CATEGORIES,SMALL(IF(COUNTIF($BA$3,MONTH), ROW(MONTH)-MIN(ROW(MONTH))+1),ROW(A44)),COLUMN(A44)))</f>
        <v/>
      </c>
      <c r="BI49" t="str" cm="1">
        <f t="array" ref="BI49">IF(ISERROR(INDEX(RESULTLOCATION,SMALL(IF(COUNTIF($BA$3,MONTH), ROW(MONTH)-MIN(ROW(MONTH))+1),ROW(A44)),COLUMN(A44))),"",INDEX(RESULTLOCATION,SMALL(IF(COUNTIF($BA$3,MONTH), ROW(MONTH)-MIN(ROW(MONTH))+1),ROW(A44)),COLUMN(A44)))</f>
        <v/>
      </c>
      <c r="BN49">
        <f t="shared" si="27"/>
        <v>6180</v>
      </c>
      <c r="BO49" s="2">
        <f t="shared" si="28"/>
        <v>103</v>
      </c>
      <c r="BP49">
        <f t="shared" si="29"/>
        <v>4</v>
      </c>
      <c r="BQ49" t="e">
        <f>MATCH(BM49,#REF!,0)</f>
        <v>#REF!</v>
      </c>
      <c r="BR49" t="str">
        <f t="shared" si="30"/>
        <v>NOTSET</v>
      </c>
      <c r="BS49" t="e" cm="1">
        <f t="array" ref="BS49">INDEX(#REF!,HistoryResultStats!BQ49)</f>
        <v>#REF!</v>
      </c>
    </row>
    <row r="50" spans="2:71" x14ac:dyDescent="0.3">
      <c r="B50" t="str" cm="1">
        <f t="array" ref="B50">IF(ISERROR(INDEX(RESULT_SUBJECT,SMALL(IF(COUNTIF($B$39,WEEK)*COUNTIF(#REF!,WEEKDAY), ROW(WEEK)-MIN(ROW(WEEK))+1),ROW(A9)),COLUMN(A9))),"",INDEX(RESULT_SUBJECT,SMALL(IF(COUNTIF($B$39,WEEK)*COUNTIF(#REF!,WEEKDAY), ROW(WEEK)-MIN(ROW(WEEK))+1),ROW(A9)),COLUMN(A9)))</f>
        <v/>
      </c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t="str" cm="1">
        <f t="array" aca="1" ref="AQ50" ca="1">IF(ISERROR(INDEX(RESULT_SUBJECT,SMALL(IF(COUNTIF($AQ$39,WEEK)*COUNTIF($AR$39,WEEKDAY), ROW(WEEK)-MIN(ROW(WEEK))+1),ROW(A9)),COLUMN(A9))),"",INDEX(RESULT_SUBJECT,SMALL(IF(COUNTIF($AQ$39,WEEK)*COUNTIF($AR$39,WEEKDAY), ROW(WEEK)-MIN(ROW(WEEK))+1),ROW(A9)),COLUMN(A9)))</f>
        <v/>
      </c>
      <c r="AT50" s="2" cm="1">
        <f t="array" aca="1" ref="AT50" ca="1">IF(ISERROR(INDEX(RESULT_DURATION,SMALL(IF(COUNTIF($AQ$39,WEEK)*COUNTIF($AR$39,WEEKDAY), ROW(WEEK)-MIN(ROW(WEEK))+1),ROW(A9)),COLUMN(A9))),0,INDEX(RESULT_DURATION,SMALL(IF(COUNTIF($AQ$39,WEEK)*COUNTIF($AR$39,WEEKDAY), ROW(WEEK)-MIN(ROW(WEEK))+1),ROW(A9)),COLUMN(A9)))</f>
        <v>0</v>
      </c>
      <c r="AU50" cm="1">
        <f t="array" aca="1" ref="AU50" ca="1">IF(ISERROR(INDEX(RESULT_START,SMALL(IF(COUNTIF($AQ$39,WEEK)*COUNTIF($AR$39,WEEKDAY), ROW(WEEK)-MIN(ROW(WEEK))+1),ROW(A9)),COLUMN(A9))),0,INDEX(RESULT_START,SMALL(IF(COUNTIF($AQ$39,WEEK)*COUNTIF($AR$39,WEEKDAY), ROW(WEEK)-MIN(ROW(WEEK))+1),ROW(A9)),COLUMN(A9)))</f>
        <v>0</v>
      </c>
      <c r="AV50" cm="1">
        <f t="array" ref="AV50">IF(ISERROR(INDEX(RESULT_STARTMIN,SMALL(IF(COUNTIF($B$39,WEEK)*COUNTIF(#REF!,WEEKDAY), ROW(WEEK)-MIN(ROW(WEEK))+1),ROW(AQ9)),COLUMN(AQ9))),0,INDEX(RESULT_STARTMIN,SMALL(IF(COUNTIF($B$39,WEEK)*COUNTIF(#REF!,WEEKDAY), ROW(WEEK)-MIN(ROW(WEEK))+1),ROW(AQ9)),COLUMN(AQ9)))</f>
        <v>0</v>
      </c>
      <c r="AW50" cm="1">
        <f t="array" aca="1" ref="AW50" ca="1">IF(ISERROR(INDEX(RESULT_CATEGORIES,SMALL(IF(COUNTIF($AQ$39,WEEK)*COUNTIF($AR$39,WEEKDAY), ROW(WEEK)-MIN(ROW(WEEK))+1),ROW(A9)),COLUMN(A9))),0,INDEX(RESULT_CATEGORIES,SMALL(IF(COUNTIF($AQ$39,WEEK)*COUNTIF($AR$39,WEEKDAY), ROW(WEEK)-MIN(ROW(WEEK))+1),ROW(A9)),COLUMN(A9)))</f>
        <v>0</v>
      </c>
      <c r="AY50" cm="1">
        <f t="array" aca="1" ref="AY50" ca="1">IF(ISERROR(INDEX(RESULTLOCATION,SMALL(IF(COUNTIF($AQ$39,WEEK)*COUNTIF($AR$39,WEEKDAY), ROW(WEEK)-MIN(ROW(WEEK))+1),ROW(A9)),COLUMN(A9))),0,INDEX(RESULTLOCATION,SMALL(IF(COUNTIF($AQ$39,WEEK)*COUNTIF($AR$39,WEEKDAY), ROW(WEEK)-MIN(ROW(WEEK))+1),ROW(A9)),COLUMN(A9)))</f>
        <v>0</v>
      </c>
      <c r="BA50" t="str" cm="1">
        <f t="array" ref="BA50">IF(ISERROR(INDEX(RESULT_SUBJECT,SMALL(IF(COUNTIF($BA$3,MONTH), ROW(MONTH)-MIN(ROW(MONTH))+1),ROW(A45)),COLUMN(A45))),"",INDEX(RESULT_SUBJECT,SMALL(IF(COUNTIF($BA$3,MONTH), ROW(MONTH)-MIN(ROW(MONTH))+1),ROW(A45)),COLUMN(A45)))</f>
        <v/>
      </c>
      <c r="BB50" t="str" cm="1">
        <f t="array" ref="BB50">IF(ISERROR(INDEX(WEEK,SMALL(IF(COUNTIF($BA$3,MONTH), ROW(MONTH)-MIN(ROW(MONTH))+1),ROW(A45)),COLUMN(A45))),"",INDEX(WEEK,SMALL(IF(COUNTIF($BA$3,MONTH), ROW(MONTH)-MIN(ROW(MONTH))+1),ROW(A45)),COLUMN(A45)))</f>
        <v/>
      </c>
      <c r="BC50" t="str" cm="1">
        <f t="array" ref="BC50">IF(ISERROR(INDEX(RESULT_DAY,SMALL(IF(COUNTIF($BA$3,MONTH), ROW(MONTH)-MIN(ROW(MONTH))+1),ROW(A45)),COLUMN(A45))),"",INDEX(RESULT_DAY,SMALL(IF(COUNTIF($BA$3,MONTH), ROW(MONTH)-MIN(ROW(MONTH))+1),ROW(A45)),COLUMN(A45)))</f>
        <v/>
      </c>
      <c r="BD50" s="29" t="str">
        <f t="shared" si="26"/>
        <v/>
      </c>
      <c r="BE50" s="2" t="str" cm="1">
        <f t="array" ref="BE50">IF(ISERROR(INDEX(RESULT_DURATION,SMALL(IF(COUNTIF($BA$3,MONTH), ROW(MONTH)-MIN(ROW(MONTH))+1),ROW(A45)),COLUMN(A45))),"",INDEX(RESULT_DURATION,SMALL(IF(COUNTIF($BA$3,MONTH), ROW(MONTH)-MIN(ROW(MONTH))+1),ROW(A45)),COLUMN(A45)))</f>
        <v/>
      </c>
      <c r="BH50" t="str" cm="1">
        <f t="array" ref="BH50">IF(ISERROR(INDEX(RESULT_CATEGORIES,SMALL(IF(COUNTIF($BA$3,MONTH), ROW(MONTH)-MIN(ROW(MONTH))+1),ROW(A45)),COLUMN(A45))),"",INDEX(RESULT_CATEGORIES,SMALL(IF(COUNTIF($BA$3,MONTH), ROW(MONTH)-MIN(ROW(MONTH))+1),ROW(A45)),COLUMN(A45)))</f>
        <v/>
      </c>
      <c r="BI50" t="str" cm="1">
        <f t="array" ref="BI50">IF(ISERROR(INDEX(RESULTLOCATION,SMALL(IF(COUNTIF($BA$3,MONTH), ROW(MONTH)-MIN(ROW(MONTH))+1),ROW(A45)),COLUMN(A45))),"",INDEX(RESULTLOCATION,SMALL(IF(COUNTIF($BA$3,MONTH), ROW(MONTH)-MIN(ROW(MONTH))+1),ROW(A45)),COLUMN(A45)))</f>
        <v/>
      </c>
      <c r="BN50">
        <f t="shared" si="27"/>
        <v>6180</v>
      </c>
      <c r="BO50" s="2">
        <f t="shared" si="28"/>
        <v>103</v>
      </c>
      <c r="BP50">
        <f t="shared" si="29"/>
        <v>4</v>
      </c>
      <c r="BQ50" t="e">
        <f>MATCH(BM50,#REF!,0)</f>
        <v>#REF!</v>
      </c>
      <c r="BR50" t="str">
        <f t="shared" si="30"/>
        <v>NOTSET</v>
      </c>
      <c r="BS50" t="e" cm="1">
        <f t="array" ref="BS50">INDEX(#REF!,HistoryResultStats!BQ50)</f>
        <v>#REF!</v>
      </c>
    </row>
    <row r="51" spans="2:71" x14ac:dyDescent="0.3">
      <c r="B51" t="str" cm="1">
        <f t="array" ref="B51">IF(ISERROR(INDEX(RESULT_SUBJECT,SMALL(IF(COUNTIF($B$39,WEEK)*COUNTIF(#REF!,WEEKDAY), ROW(WEEK)-MIN(ROW(WEEK))+1),ROW(A10)),COLUMN(A10))),"",INDEX(RESULT_SUBJECT,SMALL(IF(COUNTIF($B$39,WEEK)*COUNTIF(#REF!,WEEKDAY), ROW(WEEK)-MIN(ROW(WEEK))+1),ROW(A10)),COLUMN(A10)))</f>
        <v/>
      </c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t="str" cm="1">
        <f t="array" aca="1" ref="AQ51" ca="1">IF(ISERROR(INDEX(RESULT_SUBJECT,SMALL(IF(COUNTIF($AQ$39,WEEK)*COUNTIF($AR$39,WEEKDAY), ROW(WEEK)-MIN(ROW(WEEK))+1),ROW(A10)),COLUMN(A10))),"",INDEX(RESULT_SUBJECT,SMALL(IF(COUNTIF($AQ$39,WEEK)*COUNTIF($AR$39,WEEKDAY), ROW(WEEK)-MIN(ROW(WEEK))+1),ROW(A10)),COLUMN(A10)))</f>
        <v/>
      </c>
      <c r="AT51" s="2" cm="1">
        <f t="array" aca="1" ref="AT51" ca="1">IF(ISERROR(INDEX(RESULT_DURATION,SMALL(IF(COUNTIF($AQ$39,WEEK)*COUNTIF($AR$39,WEEKDAY), ROW(WEEK)-MIN(ROW(WEEK))+1),ROW(A10)),COLUMN(A10))),0,INDEX(RESULT_DURATION,SMALL(IF(COUNTIF($AQ$39,WEEK)*COUNTIF($AR$39,WEEKDAY), ROW(WEEK)-MIN(ROW(WEEK))+1),ROW(A10)),COLUMN(A10)))</f>
        <v>0</v>
      </c>
      <c r="AU51" cm="1">
        <f t="array" aca="1" ref="AU51" ca="1">IF(ISERROR(INDEX(RESULT_START,SMALL(IF(COUNTIF($AQ$39,WEEK)*COUNTIF($AR$39,WEEKDAY), ROW(WEEK)-MIN(ROW(WEEK))+1),ROW(A10)),COLUMN(A10))),0,INDEX(RESULT_START,SMALL(IF(COUNTIF($AQ$39,WEEK)*COUNTIF($AR$39,WEEKDAY), ROW(WEEK)-MIN(ROW(WEEK))+1),ROW(A10)),COLUMN(A10)))</f>
        <v>0</v>
      </c>
      <c r="AV51" cm="1">
        <f t="array" ref="AV51">IF(ISERROR(INDEX(RESULT_STARTMIN,SMALL(IF(COUNTIF($B$39,WEEK)*COUNTIF(#REF!,WEEKDAY), ROW(WEEK)-MIN(ROW(WEEK))+1),ROW(AQ10)),COLUMN(AQ10))),0,INDEX(RESULT_STARTMIN,SMALL(IF(COUNTIF($B$39,WEEK)*COUNTIF(#REF!,WEEKDAY), ROW(WEEK)-MIN(ROW(WEEK))+1),ROW(AQ10)),COLUMN(AQ10)))</f>
        <v>0</v>
      </c>
      <c r="AW51" cm="1">
        <f t="array" aca="1" ref="AW51" ca="1">IF(ISERROR(INDEX(RESULT_CATEGORIES,SMALL(IF(COUNTIF($AQ$39,WEEK)*COUNTIF($AR$39,WEEKDAY), ROW(WEEK)-MIN(ROW(WEEK))+1),ROW(A10)),COLUMN(A10))),0,INDEX(RESULT_CATEGORIES,SMALL(IF(COUNTIF($AQ$39,WEEK)*COUNTIF($AR$39,WEEKDAY), ROW(WEEK)-MIN(ROW(WEEK))+1),ROW(A10)),COLUMN(A10)))</f>
        <v>0</v>
      </c>
      <c r="AY51" cm="1">
        <f t="array" aca="1" ref="AY51" ca="1">IF(ISERROR(INDEX(RESULTLOCATION,SMALL(IF(COUNTIF($AQ$39,WEEK)*COUNTIF($AR$39,WEEKDAY), ROW(WEEK)-MIN(ROW(WEEK))+1),ROW(A10)),COLUMN(A10))),0,INDEX(RESULTLOCATION,SMALL(IF(COUNTIF($AQ$39,WEEK)*COUNTIF($AR$39,WEEKDAY), ROW(WEEK)-MIN(ROW(WEEK))+1),ROW(A10)),COLUMN(A10)))</f>
        <v>0</v>
      </c>
      <c r="BA51" t="str" cm="1">
        <f t="array" ref="BA51">IF(ISERROR(INDEX(RESULT_SUBJECT,SMALL(IF(COUNTIF($BA$3,MONTH), ROW(MONTH)-MIN(ROW(MONTH))+1),ROW(A46)),COLUMN(A46))),"",INDEX(RESULT_SUBJECT,SMALL(IF(COUNTIF($BA$3,MONTH), ROW(MONTH)-MIN(ROW(MONTH))+1),ROW(A46)),COLUMN(A46)))</f>
        <v/>
      </c>
      <c r="BB51" t="str" cm="1">
        <f t="array" ref="BB51">IF(ISERROR(INDEX(WEEK,SMALL(IF(COUNTIF($BA$3,MONTH), ROW(MONTH)-MIN(ROW(MONTH))+1),ROW(A46)),COLUMN(A46))),"",INDEX(WEEK,SMALL(IF(COUNTIF($BA$3,MONTH), ROW(MONTH)-MIN(ROW(MONTH))+1),ROW(A46)),COLUMN(A46)))</f>
        <v/>
      </c>
      <c r="BC51" t="str" cm="1">
        <f t="array" ref="BC51">IF(ISERROR(INDEX(RESULT_DAY,SMALL(IF(COUNTIF($BA$3,MONTH), ROW(MONTH)-MIN(ROW(MONTH))+1),ROW(A46)),COLUMN(A46))),"",INDEX(RESULT_DAY,SMALL(IF(COUNTIF($BA$3,MONTH), ROW(MONTH)-MIN(ROW(MONTH))+1),ROW(A46)),COLUMN(A46)))</f>
        <v/>
      </c>
      <c r="BD51" s="29" t="str">
        <f t="shared" si="26"/>
        <v/>
      </c>
      <c r="BE51" s="2" t="str" cm="1">
        <f t="array" ref="BE51">IF(ISERROR(INDEX(RESULT_DURATION,SMALL(IF(COUNTIF($BA$3,MONTH), ROW(MONTH)-MIN(ROW(MONTH))+1),ROW(A46)),COLUMN(A46))),"",INDEX(RESULT_DURATION,SMALL(IF(COUNTIF($BA$3,MONTH), ROW(MONTH)-MIN(ROW(MONTH))+1),ROW(A46)),COLUMN(A46)))</f>
        <v/>
      </c>
      <c r="BH51" t="str" cm="1">
        <f t="array" ref="BH51">IF(ISERROR(INDEX(RESULT_CATEGORIES,SMALL(IF(COUNTIF($BA$3,MONTH), ROW(MONTH)-MIN(ROW(MONTH))+1),ROW(A46)),COLUMN(A46))),"",INDEX(RESULT_CATEGORIES,SMALL(IF(COUNTIF($BA$3,MONTH), ROW(MONTH)-MIN(ROW(MONTH))+1),ROW(A46)),COLUMN(A46)))</f>
        <v/>
      </c>
      <c r="BI51" t="str" cm="1">
        <f t="array" ref="BI51">IF(ISERROR(INDEX(RESULTLOCATION,SMALL(IF(COUNTIF($BA$3,MONTH), ROW(MONTH)-MIN(ROW(MONTH))+1),ROW(A46)),COLUMN(A46))),"",INDEX(RESULTLOCATION,SMALL(IF(COUNTIF($BA$3,MONTH), ROW(MONTH)-MIN(ROW(MONTH))+1),ROW(A46)),COLUMN(A46)))</f>
        <v/>
      </c>
      <c r="BO51" s="2"/>
    </row>
    <row r="52" spans="2:71" x14ac:dyDescent="0.3">
      <c r="B52" t="str" cm="1">
        <f t="array" ref="B52">IF(ISERROR(INDEX(RESULT_SUBJECT,SMALL(IF(COUNTIF($B$39,WEEK)*COUNTIF(#REF!,WEEKDAY), ROW(WEEK)-MIN(ROW(WEEK))+1),ROW(A11)),COLUMN(A11))),"",INDEX(RESULT_SUBJECT,SMALL(IF(COUNTIF($B$39,WEEK)*COUNTIF(#REF!,WEEKDAY), ROW(WEEK)-MIN(ROW(WEEK))+1),ROW(A11)),COLUMN(A11)))</f>
        <v/>
      </c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t="str" cm="1">
        <f t="array" aca="1" ref="AQ52" ca="1">IF(ISERROR(INDEX(RESULT_SUBJECT,SMALL(IF(COUNTIF($AQ$39,WEEK)*COUNTIF($AR$39,WEEKDAY), ROW(WEEK)-MIN(ROW(WEEK))+1),ROW(A11)),COLUMN(A11))),"",INDEX(RESULT_SUBJECT,SMALL(IF(COUNTIF($AQ$39,WEEK)*COUNTIF($AR$39,WEEKDAY), ROW(WEEK)-MIN(ROW(WEEK))+1),ROW(A11)),COLUMN(A11)))</f>
        <v/>
      </c>
      <c r="AT52" s="2" cm="1">
        <f t="array" aca="1" ref="AT52" ca="1">IF(ISERROR(INDEX(RESULT_DURATION,SMALL(IF(COUNTIF($AQ$39,WEEK)*COUNTIF($AR$39,WEEKDAY), ROW(WEEK)-MIN(ROW(WEEK))+1),ROW(A11)),COLUMN(A11))),0,INDEX(RESULT_DURATION,SMALL(IF(COUNTIF($AQ$39,WEEK)*COUNTIF($AR$39,WEEKDAY), ROW(WEEK)-MIN(ROW(WEEK))+1),ROW(A11)),COLUMN(A11)))</f>
        <v>0</v>
      </c>
      <c r="AU52" cm="1">
        <f t="array" aca="1" ref="AU52" ca="1">IF(ISERROR(INDEX(RESULT_START,SMALL(IF(COUNTIF($AQ$39,WEEK)*COUNTIF($AR$39,WEEKDAY), ROW(WEEK)-MIN(ROW(WEEK))+1),ROW(A11)),COLUMN(A11))),0,INDEX(RESULT_START,SMALL(IF(COUNTIF($AQ$39,WEEK)*COUNTIF($AR$39,WEEKDAY), ROW(WEEK)-MIN(ROW(WEEK))+1),ROW(A11)),COLUMN(A11)))</f>
        <v>0</v>
      </c>
      <c r="AV52" cm="1">
        <f t="array" ref="AV52">IF(ISERROR(INDEX(RESULT_STARTMIN,SMALL(IF(COUNTIF($B$39,WEEK)*COUNTIF(#REF!,WEEKDAY), ROW(WEEK)-MIN(ROW(WEEK))+1),ROW(AQ11)),COLUMN(AQ11))),0,INDEX(RESULT_STARTMIN,SMALL(IF(COUNTIF($B$39,WEEK)*COUNTIF(#REF!,WEEKDAY), ROW(WEEK)-MIN(ROW(WEEK))+1),ROW(AQ11)),COLUMN(AQ11)))</f>
        <v>0</v>
      </c>
      <c r="AW52" cm="1">
        <f t="array" aca="1" ref="AW52" ca="1">IF(ISERROR(INDEX(RESULT_CATEGORIES,SMALL(IF(COUNTIF($AQ$39,WEEK)*COUNTIF($AR$39,WEEKDAY), ROW(WEEK)-MIN(ROW(WEEK))+1),ROW(A11)),COLUMN(A11))),0,INDEX(RESULT_CATEGORIES,SMALL(IF(COUNTIF($AQ$39,WEEK)*COUNTIF($AR$39,WEEKDAY), ROW(WEEK)-MIN(ROW(WEEK))+1),ROW(A11)),COLUMN(A11)))</f>
        <v>0</v>
      </c>
      <c r="AY52" cm="1">
        <f t="array" aca="1" ref="AY52" ca="1">IF(ISERROR(INDEX(RESULTLOCATION,SMALL(IF(COUNTIF($AQ$39,WEEK)*COUNTIF($AR$39,WEEKDAY), ROW(WEEK)-MIN(ROW(WEEK))+1),ROW(A11)),COLUMN(A11))),0,INDEX(RESULTLOCATION,SMALL(IF(COUNTIF($AQ$39,WEEK)*COUNTIF($AR$39,WEEKDAY), ROW(WEEK)-MIN(ROW(WEEK))+1),ROW(A11)),COLUMN(A11)))</f>
        <v>0</v>
      </c>
      <c r="BA52" t="str" cm="1">
        <f t="array" ref="BA52">IF(ISERROR(INDEX(RESULT_SUBJECT,SMALL(IF(COUNTIF($BA$3,MONTH), ROW(MONTH)-MIN(ROW(MONTH))+1),ROW(A47)),COLUMN(A47))),"",INDEX(RESULT_SUBJECT,SMALL(IF(COUNTIF($BA$3,MONTH), ROW(MONTH)-MIN(ROW(MONTH))+1),ROW(A47)),COLUMN(A47)))</f>
        <v/>
      </c>
      <c r="BB52" t="str" cm="1">
        <f t="array" ref="BB52">IF(ISERROR(INDEX(WEEK,SMALL(IF(COUNTIF($BA$3,MONTH), ROW(MONTH)-MIN(ROW(MONTH))+1),ROW(A47)),COLUMN(A47))),"",INDEX(WEEK,SMALL(IF(COUNTIF($BA$3,MONTH), ROW(MONTH)-MIN(ROW(MONTH))+1),ROW(A47)),COLUMN(A47)))</f>
        <v/>
      </c>
      <c r="BC52" t="str" cm="1">
        <f t="array" ref="BC52">IF(ISERROR(INDEX(RESULT_DAY,SMALL(IF(COUNTIF($BA$3,MONTH), ROW(MONTH)-MIN(ROW(MONTH))+1),ROW(A47)),COLUMN(A47))),"",INDEX(RESULT_DAY,SMALL(IF(COUNTIF($BA$3,MONTH), ROW(MONTH)-MIN(ROW(MONTH))+1),ROW(A47)),COLUMN(A47)))</f>
        <v/>
      </c>
      <c r="BD52" s="29" t="str">
        <f t="shared" si="26"/>
        <v/>
      </c>
      <c r="BE52" s="2" t="str" cm="1">
        <f t="array" ref="BE52">IF(ISERROR(INDEX(RESULT_DURATION,SMALL(IF(COUNTIF($BA$3,MONTH), ROW(MONTH)-MIN(ROW(MONTH))+1),ROW(A47)),COLUMN(A47))),"",INDEX(RESULT_DURATION,SMALL(IF(COUNTIF($BA$3,MONTH), ROW(MONTH)-MIN(ROW(MONTH))+1),ROW(A47)),COLUMN(A47)))</f>
        <v/>
      </c>
      <c r="BH52" t="str" cm="1">
        <f t="array" ref="BH52">IF(ISERROR(INDEX(RESULT_CATEGORIES,SMALL(IF(COUNTIF($BA$3,MONTH), ROW(MONTH)-MIN(ROW(MONTH))+1),ROW(A47)),COLUMN(A47))),"",INDEX(RESULT_CATEGORIES,SMALL(IF(COUNTIF($BA$3,MONTH), ROW(MONTH)-MIN(ROW(MONTH))+1),ROW(A47)),COLUMN(A47)))</f>
        <v/>
      </c>
      <c r="BI52" t="str" cm="1">
        <f t="array" ref="BI52">IF(ISERROR(INDEX(RESULTLOCATION,SMALL(IF(COUNTIF($BA$3,MONTH), ROW(MONTH)-MIN(ROW(MONTH))+1),ROW(A47)),COLUMN(A47))),"",INDEX(RESULTLOCATION,SMALL(IF(COUNTIF($BA$3,MONTH), ROW(MONTH)-MIN(ROW(MONTH))+1),ROW(A47)),COLUMN(A47)))</f>
        <v/>
      </c>
      <c r="BO52" s="2"/>
    </row>
    <row r="53" spans="2:71" x14ac:dyDescent="0.3">
      <c r="B53" t="str" cm="1">
        <f t="array" ref="B53">IF(ISERROR(INDEX(RESULT_SUBJECT,SMALL(IF(COUNTIF($B$39,WEEK)*COUNTIF(#REF!,WEEKDAY), ROW(WEEK)-MIN(ROW(WEEK))+1),ROW(A12)),COLUMN(A12))),"",INDEX(RESULT_SUBJECT,SMALL(IF(COUNTIF($B$39,WEEK)*COUNTIF(#REF!,WEEKDAY), ROW(WEEK)-MIN(ROW(WEEK))+1),ROW(A12)),COLUMN(A12)))</f>
        <v/>
      </c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t="str" cm="1">
        <f t="array" aca="1" ref="AQ53" ca="1">IF(ISERROR(INDEX(RESULT_SUBJECT,SMALL(IF(COUNTIF($AQ$39,WEEK)*COUNTIF($AR$39,WEEKDAY), ROW(WEEK)-MIN(ROW(WEEK))+1),ROW(A12)),COLUMN(A12))),"",INDEX(RESULT_SUBJECT,SMALL(IF(COUNTIF($AQ$39,WEEK)*COUNTIF($AR$39,WEEKDAY), ROW(WEEK)-MIN(ROW(WEEK))+1),ROW(A12)),COLUMN(A12)))</f>
        <v/>
      </c>
      <c r="AT53" s="2" cm="1">
        <f t="array" aca="1" ref="AT53" ca="1">IF(ISERROR(INDEX(RESULT_DURATION,SMALL(IF(COUNTIF($AQ$39,WEEK)*COUNTIF($AR$39,WEEKDAY), ROW(WEEK)-MIN(ROW(WEEK))+1),ROW(A12)),COLUMN(A12))),0,INDEX(RESULT_DURATION,SMALL(IF(COUNTIF($AQ$39,WEEK)*COUNTIF($AR$39,WEEKDAY), ROW(WEEK)-MIN(ROW(WEEK))+1),ROW(A12)),COLUMN(A12)))</f>
        <v>0</v>
      </c>
      <c r="AU53" cm="1">
        <f t="array" aca="1" ref="AU53" ca="1">IF(ISERROR(INDEX(RESULT_START,SMALL(IF(COUNTIF($AQ$39,WEEK)*COUNTIF($AR$39,WEEKDAY), ROW(WEEK)-MIN(ROW(WEEK))+1),ROW(A12)),COLUMN(A12))),0,INDEX(RESULT_START,SMALL(IF(COUNTIF($AQ$39,WEEK)*COUNTIF($AR$39,WEEKDAY), ROW(WEEK)-MIN(ROW(WEEK))+1),ROW(A12)),COLUMN(A12)))</f>
        <v>0</v>
      </c>
      <c r="AV53" cm="1">
        <f t="array" ref="AV53">IF(ISERROR(INDEX(RESULT_STARTMIN,SMALL(IF(COUNTIF($B$39,WEEK)*COUNTIF(#REF!,WEEKDAY), ROW(WEEK)-MIN(ROW(WEEK))+1),ROW(AQ12)),COLUMN(AQ12))),0,INDEX(RESULT_STARTMIN,SMALL(IF(COUNTIF($B$39,WEEK)*COUNTIF(#REF!,WEEKDAY), ROW(WEEK)-MIN(ROW(WEEK))+1),ROW(AQ12)),COLUMN(AQ12)))</f>
        <v>0</v>
      </c>
      <c r="AW53" cm="1">
        <f t="array" aca="1" ref="AW53" ca="1">IF(ISERROR(INDEX(RESULT_CATEGORIES,SMALL(IF(COUNTIF($AQ$39,WEEK)*COUNTIF($AR$39,WEEKDAY), ROW(WEEK)-MIN(ROW(WEEK))+1),ROW(A12)),COLUMN(A12))),0,INDEX(RESULT_CATEGORIES,SMALL(IF(COUNTIF($AQ$39,WEEK)*COUNTIF($AR$39,WEEKDAY), ROW(WEEK)-MIN(ROW(WEEK))+1),ROW(A12)),COLUMN(A12)))</f>
        <v>0</v>
      </c>
      <c r="AY53" t="str" cm="1">
        <f t="array" ref="AY53">IF(ISERROR(INDEX(RESULTLOCATION,SMALL(IF(COUNTIF($B$39,WEEK)*COUNTIF(#REF!,WEEKDAY), ROW(WEEK)-MIN(ROW(WEEK))+1),ROW(AQ12)),COLUMN(AQ12))),"",INDEX(RESULTLOCATION,SMALL(IF(COUNTIF($B$39,WEEK)*COUNTIF(#REF!,WEEKDAY), ROW(WEEK)-MIN(ROW(WEEK))+1),ROW(AQ12)),COLUMN(AQ12)))</f>
        <v/>
      </c>
      <c r="BA53" t="str" cm="1">
        <f t="array" ref="BA53">IF(ISERROR(INDEX(RESULT_SUBJECT,SMALL(IF(COUNTIF($BA$3,MONTH), ROW(MONTH)-MIN(ROW(MONTH))+1),ROW(A48)),COLUMN(A48))),"",INDEX(RESULT_SUBJECT,SMALL(IF(COUNTIF($BA$3,MONTH), ROW(MONTH)-MIN(ROW(MONTH))+1),ROW(A48)),COLUMN(A48)))</f>
        <v/>
      </c>
      <c r="BB53" t="str" cm="1">
        <f t="array" ref="BB53">IF(ISERROR(INDEX(WEEK,SMALL(IF(COUNTIF($BA$3,MONTH), ROW(MONTH)-MIN(ROW(MONTH))+1),ROW(A48)),COLUMN(A48))),"",INDEX(WEEK,SMALL(IF(COUNTIF($BA$3,MONTH), ROW(MONTH)-MIN(ROW(MONTH))+1),ROW(A48)),COLUMN(A48)))</f>
        <v/>
      </c>
      <c r="BC53" t="str" cm="1">
        <f t="array" ref="BC53">IF(ISERROR(INDEX(RESULT_DAY,SMALL(IF(COUNTIF($BA$3,MONTH), ROW(MONTH)-MIN(ROW(MONTH))+1),ROW(A48)),COLUMN(A48))),"",INDEX(RESULT_DAY,SMALL(IF(COUNTIF($BA$3,MONTH), ROW(MONTH)-MIN(ROW(MONTH))+1),ROW(A48)),COLUMN(A48)))</f>
        <v/>
      </c>
      <c r="BD53" s="29" t="str">
        <f t="shared" si="26"/>
        <v/>
      </c>
      <c r="BE53" s="2" t="str" cm="1">
        <f t="array" ref="BE53">IF(ISERROR(INDEX(RESULT_DURATION,SMALL(IF(COUNTIF($BA$3,MONTH), ROW(MONTH)-MIN(ROW(MONTH))+1),ROW(A48)),COLUMN(A48))),"",INDEX(RESULT_DURATION,SMALL(IF(COUNTIF($BA$3,MONTH), ROW(MONTH)-MIN(ROW(MONTH))+1),ROW(A48)),COLUMN(A48)))</f>
        <v/>
      </c>
      <c r="BH53" t="str" cm="1">
        <f t="array" ref="BH53">IF(ISERROR(INDEX(RESULT_CATEGORIES,SMALL(IF(COUNTIF($BA$3,MONTH), ROW(MONTH)-MIN(ROW(MONTH))+1),ROW(A48)),COLUMN(A48))),"",INDEX(RESULT_CATEGORIES,SMALL(IF(COUNTIF($BA$3,MONTH), ROW(MONTH)-MIN(ROW(MONTH))+1),ROW(A48)),COLUMN(A48)))</f>
        <v/>
      </c>
      <c r="BI53" t="str" cm="1">
        <f t="array" ref="BI53">IF(ISERROR(INDEX(RESULTLOCATION,SMALL(IF(COUNTIF($BA$3,MONTH), ROW(MONTH)-MIN(ROW(MONTH))+1),ROW(A48)),COLUMN(A48))),"",INDEX(RESULTLOCATION,SMALL(IF(COUNTIF($BA$3,MONTH), ROW(MONTH)-MIN(ROW(MONTH))+1),ROW(A48)),COLUMN(A48)))</f>
        <v/>
      </c>
      <c r="BO53" s="2"/>
    </row>
    <row r="54" spans="2:71" x14ac:dyDescent="0.3">
      <c r="B54" t="str" cm="1">
        <f t="array" ref="B54">IF(ISERROR(INDEX(RESULT_SUBJECT,SMALL(IF(COUNTIF($B$39,WEEK)*COUNTIF(#REF!,WEEKDAY), ROW(WEEK)-MIN(ROW(WEEK))+1),ROW(A13)),COLUMN(A13))),"",INDEX(RESULT_SUBJECT,SMALL(IF(COUNTIF($B$39,WEEK)*COUNTIF(#REF!,WEEKDAY), ROW(WEEK)-MIN(ROW(WEEK))+1),ROW(A13)),COLUMN(A13)))</f>
        <v/>
      </c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t="str" cm="1">
        <f t="array" aca="1" ref="AQ54" ca="1">IF(ISERROR(INDEX(RESULT_SUBJECT,SMALL(IF(COUNTIF($AQ$39,WEEK)*COUNTIF($AR$39,WEEKDAY), ROW(WEEK)-MIN(ROW(WEEK))+1),ROW(A13)),COLUMN(A13))),"",INDEX(RESULT_SUBJECT,SMALL(IF(COUNTIF($AQ$39,WEEK)*COUNTIF($AR$39,WEEKDAY), ROW(WEEK)-MIN(ROW(WEEK))+1),ROW(A13)),COLUMN(A13)))</f>
        <v/>
      </c>
      <c r="AT54" s="2" cm="1">
        <f t="array" aca="1" ref="AT54" ca="1">IF(ISERROR(INDEX(RESULT_DURATION,SMALL(IF(COUNTIF($AQ$39,WEEK)*COUNTIF($AR$39,WEEKDAY), ROW(WEEK)-MIN(ROW(WEEK))+1),ROW(A13)),COLUMN(A13))),0,INDEX(RESULT_DURATION,SMALL(IF(COUNTIF($AQ$39,WEEK)*COUNTIF($AR$39,WEEKDAY), ROW(WEEK)-MIN(ROW(WEEK))+1),ROW(A13)),COLUMN(A13)))</f>
        <v>0</v>
      </c>
      <c r="AU54" cm="1">
        <f t="array" aca="1" ref="AU54" ca="1">IF(ISERROR(INDEX(RESULT_START,SMALL(IF(COUNTIF($AQ$39,WEEK)*COUNTIF($AR$39,WEEKDAY), ROW(WEEK)-MIN(ROW(WEEK))+1),ROW(A13)),COLUMN(A13))),0,INDEX(RESULT_START,SMALL(IF(COUNTIF($AQ$39,WEEK)*COUNTIF($AR$39,WEEKDAY), ROW(WEEK)-MIN(ROW(WEEK))+1),ROW(A13)),COLUMN(A13)))</f>
        <v>0</v>
      </c>
      <c r="AV54" cm="1">
        <f t="array" ref="AV54">IF(ISERROR(INDEX(RESULT_STARTMIN,SMALL(IF(COUNTIF($B$39,WEEK)*COUNTIF(#REF!,WEEKDAY), ROW(WEEK)-MIN(ROW(WEEK))+1),ROW(AQ13)),COLUMN(AQ13))),0,INDEX(RESULT_STARTMIN,SMALL(IF(COUNTIF($B$39,WEEK)*COUNTIF(#REF!,WEEKDAY), ROW(WEEK)-MIN(ROW(WEEK))+1),ROW(AQ13)),COLUMN(AQ13)))</f>
        <v>0</v>
      </c>
      <c r="AW54" cm="1">
        <f t="array" aca="1" ref="AW54" ca="1">IF(ISERROR(INDEX(RESULT_CATEGORIES,SMALL(IF(COUNTIF($AQ$39,WEEK)*COUNTIF($AR$39,WEEKDAY), ROW(WEEK)-MIN(ROW(WEEK))+1),ROW(A13)),COLUMN(A13))),0,INDEX(RESULT_CATEGORIES,SMALL(IF(COUNTIF($AQ$39,WEEK)*COUNTIF($AR$39,WEEKDAY), ROW(WEEK)-MIN(ROW(WEEK))+1),ROW(A13)),COLUMN(A13)))</f>
        <v>0</v>
      </c>
      <c r="AY54" t="str" cm="1">
        <f t="array" ref="AY54">IF(ISERROR(INDEX(RESULTLOCATION,SMALL(IF(COUNTIF($B$39,WEEK)*COUNTIF(#REF!,WEEKDAY), ROW(WEEK)-MIN(ROW(WEEK))+1),ROW(AQ13)),COLUMN(AQ13))),"",INDEX(RESULTLOCATION,SMALL(IF(COUNTIF($B$39,WEEK)*COUNTIF(#REF!,WEEKDAY), ROW(WEEK)-MIN(ROW(WEEK))+1),ROW(AQ13)),COLUMN(AQ13)))</f>
        <v/>
      </c>
      <c r="BA54" t="str" cm="1">
        <f t="array" ref="BA54">IF(ISERROR(INDEX(RESULT_SUBJECT,SMALL(IF(COUNTIF($BA$3,MONTH), ROW(MONTH)-MIN(ROW(MONTH))+1),ROW(A49)),COLUMN(A49))),"",INDEX(RESULT_SUBJECT,SMALL(IF(COUNTIF($BA$3,MONTH), ROW(MONTH)-MIN(ROW(MONTH))+1),ROW(A49)),COLUMN(A49)))</f>
        <v/>
      </c>
      <c r="BB54" t="str" cm="1">
        <f t="array" ref="BB54">IF(ISERROR(INDEX(WEEK,SMALL(IF(COUNTIF($BA$3,MONTH), ROW(MONTH)-MIN(ROW(MONTH))+1),ROW(A49)),COLUMN(A49))),"",INDEX(WEEK,SMALL(IF(COUNTIF($BA$3,MONTH), ROW(MONTH)-MIN(ROW(MONTH))+1),ROW(A49)),COLUMN(A49)))</f>
        <v/>
      </c>
      <c r="BC54" t="str" cm="1">
        <f t="array" ref="BC54">IF(ISERROR(INDEX(RESULT_DAY,SMALL(IF(COUNTIF($BA$3,MONTH), ROW(MONTH)-MIN(ROW(MONTH))+1),ROW(A49)),COLUMN(A49))),"",INDEX(RESULT_DAY,SMALL(IF(COUNTIF($BA$3,MONTH), ROW(MONTH)-MIN(ROW(MONTH))+1),ROW(A49)),COLUMN(A49)))</f>
        <v/>
      </c>
      <c r="BD54" s="29" t="str">
        <f t="shared" si="26"/>
        <v/>
      </c>
      <c r="BE54" s="2" t="str" cm="1">
        <f t="array" ref="BE54">IF(ISERROR(INDEX(RESULT_DURATION,SMALL(IF(COUNTIF($BA$3,MONTH), ROW(MONTH)-MIN(ROW(MONTH))+1),ROW(A49)),COLUMN(A49))),"",INDEX(RESULT_DURATION,SMALL(IF(COUNTIF($BA$3,MONTH), ROW(MONTH)-MIN(ROW(MONTH))+1),ROW(A49)),COLUMN(A49)))</f>
        <v/>
      </c>
      <c r="BH54" t="str" cm="1">
        <f t="array" ref="BH54">IF(ISERROR(INDEX(RESULT_CATEGORIES,SMALL(IF(COUNTIF($BA$3,MONTH), ROW(MONTH)-MIN(ROW(MONTH))+1),ROW(A49)),COLUMN(A49))),"",INDEX(RESULT_CATEGORIES,SMALL(IF(COUNTIF($BA$3,MONTH), ROW(MONTH)-MIN(ROW(MONTH))+1),ROW(A49)),COLUMN(A49)))</f>
        <v/>
      </c>
      <c r="BI54" t="str" cm="1">
        <f t="array" ref="BI54">IF(ISERROR(INDEX(RESULTLOCATION,SMALL(IF(COUNTIF($BA$3,MONTH), ROW(MONTH)-MIN(ROW(MONTH))+1),ROW(A49)),COLUMN(A49))),"",INDEX(RESULTLOCATION,SMALL(IF(COUNTIF($BA$3,MONTH), ROW(MONTH)-MIN(ROW(MONTH))+1),ROW(A49)),COLUMN(A49)))</f>
        <v/>
      </c>
      <c r="BO54" s="2"/>
    </row>
    <row r="55" spans="2:71" x14ac:dyDescent="0.3">
      <c r="B55" t="str" cm="1">
        <f t="array" ref="B55">IF(ISERROR(INDEX(RESULT_SUBJECT,SMALL(IF(COUNTIF($B$39,WEEK)*COUNTIF(#REF!,WEEKDAY), ROW(WEEK)-MIN(ROW(WEEK))+1),ROW(A20)),COLUMN(A20))),"",INDEX(RESULT_SUBJECT,SMALL(IF(COUNTIF($B$39,WEEK)*COUNTIF(#REF!,WEEKDAY), ROW(WEEK)-MIN(ROW(WEEK))+1),ROW(A20)),COLUMN(A20)))</f>
        <v/>
      </c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t="str" cm="1">
        <f t="array" aca="1" ref="AQ55" ca="1">IF(ISERROR(INDEX(RESULT_SUBJECT,SMALL(IF(COUNTIF($AQ$39,WEEK)*COUNTIF($AR$39,WEEKDAY), ROW(WEEK)-MIN(ROW(WEEK))+1),ROW(A20)),COLUMN(A20))),"",INDEX(RESULT_SUBJECT,SMALL(IF(COUNTIF($AQ$39,WEEK)*COUNTIF($AR$39,WEEKDAY), ROW(WEEK)-MIN(ROW(WEEK))+1),ROW(A20)),COLUMN(A20)))</f>
        <v/>
      </c>
      <c r="AT55" s="2" cm="1">
        <f t="array" aca="1" ref="AT55" ca="1">IF(ISERROR(INDEX(RESULT_DURATION,SMALL(IF(COUNTIF($AQ$39,WEEK)*COUNTIF($AR$39,WEEKDAY), ROW(WEEK)-MIN(ROW(WEEK))+1),ROW(A20)),COLUMN(A20))),0,INDEX(RESULT_DURATION,SMALL(IF(COUNTIF($AQ$39,WEEK)*COUNTIF($AR$39,WEEKDAY), ROW(WEEK)-MIN(ROW(WEEK))+1),ROW(A20)),COLUMN(A20)))</f>
        <v>0</v>
      </c>
      <c r="AU55" cm="1">
        <f t="array" aca="1" ref="AU55" ca="1">IF(ISERROR(INDEX(RESULT_START,SMALL(IF(COUNTIF($AQ$39,WEEK)*COUNTIF($AR$39,WEEKDAY), ROW(WEEK)-MIN(ROW(WEEK))+1),ROW(A20)),COLUMN(A20))),0,INDEX(RESULT_START,SMALL(IF(COUNTIF($AQ$39,WEEK)*COUNTIF($AR$39,WEEKDAY), ROW(WEEK)-MIN(ROW(WEEK))+1),ROW(A20)),COLUMN(A20)))</f>
        <v>0</v>
      </c>
      <c r="AV55" cm="1">
        <f t="array" ref="AV55">IF(ISERROR(INDEX(RESULT_STARTMIN,SMALL(IF(COUNTIF($B$39,WEEK)*COUNTIF(#REF!,WEEKDAY), ROW(WEEK)-MIN(ROW(WEEK))+1),ROW(AQ20)),COLUMN(AQ20))),0,INDEX(RESULT_STARTMIN,SMALL(IF(COUNTIF($B$39,WEEK)*COUNTIF(#REF!,WEEKDAY), ROW(WEEK)-MIN(ROW(WEEK))+1),ROW(AQ20)),COLUMN(AQ20)))</f>
        <v>0</v>
      </c>
      <c r="AW55" cm="1">
        <f t="array" aca="1" ref="AW55" ca="1">IF(ISERROR(INDEX(RESULT_CATEGORIES,SMALL(IF(COUNTIF($AQ$39,WEEK)*COUNTIF($AR$39,WEEKDAY), ROW(WEEK)-MIN(ROW(WEEK))+1),ROW(A20)),COLUMN(A20))),0,INDEX(RESULT_CATEGORIES,SMALL(IF(COUNTIF($AQ$39,WEEK)*COUNTIF($AR$39,WEEKDAY), ROW(WEEK)-MIN(ROW(WEEK))+1),ROW(A20)),COLUMN(A20)))</f>
        <v>0</v>
      </c>
      <c r="AY55" t="str" cm="1">
        <f t="array" ref="AY55">IF(ISERROR(INDEX(RESULTLOCATION,SMALL(IF(COUNTIF($B$39,WEEK)*COUNTIF(#REF!,WEEKDAY), ROW(WEEK)-MIN(ROW(WEEK))+1),ROW(AQ20)),COLUMN(AQ20))),"",INDEX(RESULTLOCATION,SMALL(IF(COUNTIF($B$39,WEEK)*COUNTIF(#REF!,WEEKDAY), ROW(WEEK)-MIN(ROW(WEEK))+1),ROW(AQ20)),COLUMN(AQ20)))</f>
        <v/>
      </c>
      <c r="AZ55" s="2">
        <f>SUMIFS(RESULT_DURATION,WEEK,AZ$52,RESULTLOCATION,#REF!,WEEKDAY,AZ$53)/60</f>
        <v>0</v>
      </c>
      <c r="BA55" t="str" cm="1">
        <f t="array" ref="BA55">IF(ISERROR(INDEX(RESULT_SUBJECT,SMALL(IF(COUNTIF($BA$3,MONTH), ROW(MONTH)-MIN(ROW(MONTH))+1),ROW(A50)),COLUMN(A50))),"",INDEX(RESULT_SUBJECT,SMALL(IF(COUNTIF($BA$3,MONTH), ROW(MONTH)-MIN(ROW(MONTH))+1),ROW(A50)),COLUMN(A50)))</f>
        <v/>
      </c>
      <c r="BB55" t="str" cm="1">
        <f t="array" ref="BB55">IF(ISERROR(INDEX(WEEK,SMALL(IF(COUNTIF($BA$3,MONTH), ROW(MONTH)-MIN(ROW(MONTH))+1),ROW(A50)),COLUMN(A50))),"",INDEX(WEEK,SMALL(IF(COUNTIF($BA$3,MONTH), ROW(MONTH)-MIN(ROW(MONTH))+1),ROW(A50)),COLUMN(A50)))</f>
        <v/>
      </c>
      <c r="BC55" t="str" cm="1">
        <f t="array" ref="BC55">IF(ISERROR(INDEX(RESULT_DAY,SMALL(IF(COUNTIF($BA$3,MONTH), ROW(MONTH)-MIN(ROW(MONTH))+1),ROW(A50)),COLUMN(A50))),"",INDEX(RESULT_DAY,SMALL(IF(COUNTIF($BA$3,MONTH), ROW(MONTH)-MIN(ROW(MONTH))+1),ROW(A50)),COLUMN(A50)))</f>
        <v/>
      </c>
      <c r="BD55" s="29" t="str">
        <f t="shared" si="26"/>
        <v/>
      </c>
      <c r="BE55" s="2" t="str" cm="1">
        <f t="array" ref="BE55">IF(ISERROR(INDEX(RESULT_DURATION,SMALL(IF(COUNTIF($BA$3,MONTH), ROW(MONTH)-MIN(ROW(MONTH))+1),ROW(A50)),COLUMN(A50))),"",INDEX(RESULT_DURATION,SMALL(IF(COUNTIF($BA$3,MONTH), ROW(MONTH)-MIN(ROW(MONTH))+1),ROW(A50)),COLUMN(A50)))</f>
        <v/>
      </c>
      <c r="BH55" t="str" cm="1">
        <f t="array" ref="BH55">IF(ISERROR(INDEX(RESULT_CATEGORIES,SMALL(IF(COUNTIF($BA$3,MONTH), ROW(MONTH)-MIN(ROW(MONTH))+1),ROW(A50)),COLUMN(A50))),"",INDEX(RESULT_CATEGORIES,SMALL(IF(COUNTIF($BA$3,MONTH), ROW(MONTH)-MIN(ROW(MONTH))+1),ROW(A50)),COLUMN(A50)))</f>
        <v/>
      </c>
      <c r="BI55" t="str" cm="1">
        <f t="array" ref="BI55">IF(ISERROR(INDEX(RESULTLOCATION,SMALL(IF(COUNTIF($BA$3,MONTH), ROW(MONTH)-MIN(ROW(MONTH))+1),ROW(A50)),COLUMN(A50))),"",INDEX(RESULTLOCATION,SMALL(IF(COUNTIF($BA$3,MONTH), ROW(MONTH)-MIN(ROW(MONTH))+1),ROW(A50)),COLUMN(A50)))</f>
        <v/>
      </c>
      <c r="BO55" s="2"/>
    </row>
    <row r="56" spans="2:71" x14ac:dyDescent="0.3">
      <c r="B56" t="str" cm="1">
        <f t="array" ref="B56">IF(ISERROR(INDEX(RESULT_SUBJECT,SMALL(IF(COUNTIF($B$39,WEEK)*COUNTIF(#REF!,WEEKDAY), ROW(WEEK)-MIN(ROW(WEEK))+1),ROW(A23)),COLUMN(A23))),"",INDEX(RESULT_SUBJECT,SMALL(IF(COUNTIF($B$39,WEEK)*COUNTIF(#REF!,WEEKDAY), ROW(WEEK)-MIN(ROW(WEEK))+1),ROW(A23)),COLUMN(A23)))</f>
        <v/>
      </c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t="str" cm="1">
        <f t="array" aca="1" ref="AQ56" ca="1">IF(ISERROR(INDEX(RESULT_SUBJECT,SMALL(IF(COUNTIF($AQ$39,WEEK)*COUNTIF($AR$39,WEEKDAY), ROW(WEEK)-MIN(ROW(WEEK))+1),ROW(A23)),COLUMN(A23))),"",INDEX(RESULT_SUBJECT,SMALL(IF(COUNTIF($AQ$39,WEEK)*COUNTIF($AR$39,WEEKDAY), ROW(WEEK)-MIN(ROW(WEEK))+1),ROW(A23)),COLUMN(A23)))</f>
        <v/>
      </c>
      <c r="AT56" s="2" cm="1">
        <f t="array" aca="1" ref="AT56" ca="1">IF(ISERROR(INDEX(RESULT_DURATION,SMALL(IF(COUNTIF($AQ$39,WEEK)*COUNTIF($AR$39,WEEKDAY), ROW(WEEK)-MIN(ROW(WEEK))+1),ROW(A23)),COLUMN(A23))),0,INDEX(RESULT_DURATION,SMALL(IF(COUNTIF($AQ$39,WEEK)*COUNTIF($AR$39,WEEKDAY), ROW(WEEK)-MIN(ROW(WEEK))+1),ROW(A23)),COLUMN(A23)))</f>
        <v>0</v>
      </c>
      <c r="AU56" cm="1">
        <f t="array" aca="1" ref="AU56" ca="1">IF(ISERROR(INDEX(RESULT_START,SMALL(IF(COUNTIF($AQ$39,WEEK)*COUNTIF($AR$39,WEEKDAY), ROW(WEEK)-MIN(ROW(WEEK))+1),ROW(A23)),COLUMN(A23))),0,INDEX(RESULT_START,SMALL(IF(COUNTIF($AQ$39,WEEK)*COUNTIF($AR$39,WEEKDAY), ROW(WEEK)-MIN(ROW(WEEK))+1),ROW(A23)),COLUMN(A23)))</f>
        <v>0</v>
      </c>
      <c r="AV56" cm="1">
        <f t="array" ref="AV56">IF(ISERROR(INDEX(RESULT_STARTMIN,SMALL(IF(COUNTIF($B$39,WEEK)*COUNTIF(#REF!,WEEKDAY), ROW(WEEK)-MIN(ROW(WEEK))+1),ROW(AQ26)),COLUMN(AQ26))),0,INDEX(RESULT_STARTMIN,SMALL(IF(COUNTIF($B$39,WEEK)*COUNTIF(#REF!,WEEKDAY), ROW(WEEK)-MIN(ROW(WEEK))+1),ROW(AQ26)),COLUMN(AQ26)))</f>
        <v>0</v>
      </c>
      <c r="AW56" cm="1">
        <f t="array" aca="1" ref="AW56" ca="1">IF(ISERROR(INDEX(RESULT_CATEGORIES,SMALL(IF(COUNTIF($AQ$39,WEEK)*COUNTIF($AR$39,WEEKDAY), ROW(WEEK)-MIN(ROW(WEEK))+1),ROW(A23)),COLUMN(A23))),0,INDEX(RESULT_CATEGORIES,SMALL(IF(COUNTIF($AQ$39,WEEK)*COUNTIF($AR$39,WEEKDAY), ROW(WEEK)-MIN(ROW(WEEK))+1),ROW(A23)),COLUMN(A23)))</f>
        <v>0</v>
      </c>
      <c r="AY56" t="str" cm="1">
        <f t="array" ref="AY56">IF(ISERROR(INDEX(RESULTLOCATION,SMALL(IF(COUNTIF($B$39,WEEK)*COUNTIF(#REF!,WEEKDAY), ROW(WEEK)-MIN(ROW(WEEK))+1),ROW(AQ26)),COLUMN(AQ26))),"",INDEX(RESULTLOCATION,SMALL(IF(COUNTIF($B$39,WEEK)*COUNTIF(#REF!,WEEKDAY), ROW(WEEK)-MIN(ROW(WEEK))+1),ROW(AQ26)),COLUMN(AQ26)))</f>
        <v/>
      </c>
      <c r="AZ56" s="2">
        <f>SUMIFS(RESULT_DURATION,WEEK,AZ$52,RESULTLOCATION,#REF!,WEEKDAY,AZ$53)/60</f>
        <v>0</v>
      </c>
      <c r="BA56" t="str" cm="1">
        <f t="array" ref="BA56">IF(ISERROR(INDEX(RESULT_SUBJECT,SMALL(IF(COUNTIF($BA$3,MONTH), ROW(MONTH)-MIN(ROW(MONTH))+1),ROW(A51)),COLUMN(A51))),"",INDEX(RESULT_SUBJECT,SMALL(IF(COUNTIF($BA$3,MONTH), ROW(MONTH)-MIN(ROW(MONTH))+1),ROW(A51)),COLUMN(A51)))</f>
        <v/>
      </c>
      <c r="BB56" t="str" cm="1">
        <f t="array" ref="BB56">IF(ISERROR(INDEX(WEEK,SMALL(IF(COUNTIF($BA$3,MONTH), ROW(MONTH)-MIN(ROW(MONTH))+1),ROW(A51)),COLUMN(A51))),"",INDEX(WEEK,SMALL(IF(COUNTIF($BA$3,MONTH), ROW(MONTH)-MIN(ROW(MONTH))+1),ROW(A51)),COLUMN(A51)))</f>
        <v/>
      </c>
      <c r="BC56" t="str" cm="1">
        <f t="array" ref="BC56">IF(ISERROR(INDEX(RESULT_DAY,SMALL(IF(COUNTIF($BA$3,MONTH), ROW(MONTH)-MIN(ROW(MONTH))+1),ROW(A51)),COLUMN(A51))),"",INDEX(RESULT_DAY,SMALL(IF(COUNTIF($BA$3,MONTH), ROW(MONTH)-MIN(ROW(MONTH))+1),ROW(A51)),COLUMN(A51)))</f>
        <v/>
      </c>
      <c r="BD56" s="29" t="str">
        <f t="shared" si="26"/>
        <v/>
      </c>
      <c r="BE56" s="2" t="str" cm="1">
        <f t="array" ref="BE56">IF(ISERROR(INDEX(RESULT_DURATION,SMALL(IF(COUNTIF($BA$3,MONTH), ROW(MONTH)-MIN(ROW(MONTH))+1),ROW(A51)),COLUMN(A51))),"",INDEX(RESULT_DURATION,SMALL(IF(COUNTIF($BA$3,MONTH), ROW(MONTH)-MIN(ROW(MONTH))+1),ROW(A51)),COLUMN(A51)))</f>
        <v/>
      </c>
      <c r="BH56" t="str" cm="1">
        <f t="array" ref="BH56">IF(ISERROR(INDEX(RESULT_CATEGORIES,SMALL(IF(COUNTIF($BA$3,MONTH), ROW(MONTH)-MIN(ROW(MONTH))+1),ROW(A51)),COLUMN(A51))),"",INDEX(RESULT_CATEGORIES,SMALL(IF(COUNTIF($BA$3,MONTH), ROW(MONTH)-MIN(ROW(MONTH))+1),ROW(A51)),COLUMN(A51)))</f>
        <v/>
      </c>
      <c r="BI56" t="str" cm="1">
        <f t="array" ref="BI56">IF(ISERROR(INDEX(RESULTLOCATION,SMALL(IF(COUNTIF($BA$3,MONTH), ROW(MONTH)-MIN(ROW(MONTH))+1),ROW(A51)),COLUMN(A51))),"",INDEX(RESULTLOCATION,SMALL(IF(COUNTIF($BA$3,MONTH), ROW(MONTH)-MIN(ROW(MONTH))+1),ROW(A51)),COLUMN(A51)))</f>
        <v/>
      </c>
      <c r="BO56" s="2"/>
    </row>
    <row r="57" spans="2:71" x14ac:dyDescent="0.3">
      <c r="B57" t="str" cm="1">
        <f t="array" ref="B57">IF(ISERROR(INDEX(RESULT_SUBJECT,SMALL(IF(COUNTIF($B$39,WEEK)*COUNTIF(#REF!,WEEKDAY), ROW(WEEK)-MIN(ROW(WEEK))+1),ROW(A24)),COLUMN(A24))),"",INDEX(RESULT_SUBJECT,SMALL(IF(COUNTIF($B$39,WEEK)*COUNTIF(#REF!,WEEKDAY), ROW(WEEK)-MIN(ROW(WEEK))+1),ROW(A24)),COLUMN(A24)))</f>
        <v/>
      </c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R57" t="str" cm="1">
        <f t="array" aca="1" ref="AR57" ca="1">IF(ISERROR(INDEX(RESULT_SUBJECT,SMALL(IF(COUNTIF($AQ$39,WEEK)*COUNTIF($AR$39,WEEKDAY), ROW(WEEK)-MIN(ROW(WEEK))+1),ROW(A24)),COLUMN(A24))),"",INDEX(RESULT_SUBJECT,SMALL(IF(COUNTIF($AQ$39,WEEK)*COUNTIF($AR$39,WEEKDAY), ROW(WEEK)-MIN(ROW(WEEK))+1),ROW(A24)),COLUMN(A24)))</f>
        <v/>
      </c>
      <c r="AT57" s="2" cm="1">
        <f t="array" aca="1" ref="AT57" ca="1">IF(ISERROR(INDEX(RESULT_DURATION,SMALL(IF(COUNTIF($AQ$39,WEEK)*COUNTIF($AR$39,WEEKDAY), ROW(WEEK)-MIN(ROW(WEEK))+1),ROW(A24)),COLUMN(A24))),0,INDEX(RESULT_DURATION,SMALL(IF(COUNTIF($AQ$39,WEEK)*COUNTIF($AR$39,WEEKDAY), ROW(WEEK)-MIN(ROW(WEEK))+1),ROW(A24)),COLUMN(A24)))</f>
        <v>0</v>
      </c>
      <c r="AU57" cm="1">
        <f t="array" aca="1" ref="AU57" ca="1">IF(ISERROR(INDEX(RESULT_START,SMALL(IF(COUNTIF($AQ$39,WEEK)*COUNTIF($AR$39,WEEKDAY), ROW(WEEK)-MIN(ROW(WEEK))+1),ROW(A24)),COLUMN(A24))),0,INDEX(RESULT_START,SMALL(IF(COUNTIF($AQ$39,WEEK)*COUNTIF($AR$39,WEEKDAY), ROW(WEEK)-MIN(ROW(WEEK))+1),ROW(A24)),COLUMN(A24)))</f>
        <v>0</v>
      </c>
      <c r="AV57" cm="1">
        <f t="array" ref="AV57">IF(ISERROR(INDEX(RESULT_STARTMIN,SMALL(IF(COUNTIF($B$39,WEEK)*COUNTIF(#REF!,WEEKDAY), ROW(WEEK)-MIN(ROW(WEEK))+1),ROW(AQ27)),COLUMN(AQ27))),0,INDEX(RESULT_STARTMIN,SMALL(IF(COUNTIF($B$39,WEEK)*COUNTIF(#REF!,WEEKDAY), ROW(WEEK)-MIN(ROW(WEEK))+1),ROW(AQ27)),COLUMN(AQ27)))</f>
        <v>0</v>
      </c>
      <c r="AW57" cm="1">
        <f t="array" aca="1" ref="AW57" ca="1">IF(ISERROR(INDEX(RESULT_CATEGORIES,SMALL(IF(COUNTIF($AQ$39,WEEK)*COUNTIF($AR$39,WEEKDAY), ROW(WEEK)-MIN(ROW(WEEK))+1),ROW(A24)),COLUMN(A24))),0,INDEX(RESULT_CATEGORIES,SMALL(IF(COUNTIF($AQ$39,WEEK)*COUNTIF($AR$39,WEEKDAY), ROW(WEEK)-MIN(ROW(WEEK))+1),ROW(A24)),COLUMN(A24)))</f>
        <v>0</v>
      </c>
      <c r="AZ57" s="2">
        <f>SUMIFS(RESULT_DURATION,WEEK,AZ$52,RESULTLOCATION,#REF!,WEEKDAY,AZ$53)/60</f>
        <v>0</v>
      </c>
      <c r="BA57" t="str" cm="1">
        <f t="array" ref="BA57">IF(ISERROR(INDEX(RESULT_SUBJECT,SMALL(IF(COUNTIF($BA$3,MONTH), ROW(MONTH)-MIN(ROW(MONTH))+1),ROW(A52)),COLUMN(A52))),"",INDEX(RESULT_SUBJECT,SMALL(IF(COUNTIF($BA$3,MONTH), ROW(MONTH)-MIN(ROW(MONTH))+1),ROW(A52)),COLUMN(A52)))</f>
        <v/>
      </c>
      <c r="BB57" t="str" cm="1">
        <f t="array" ref="BB57">IF(ISERROR(INDEX(WEEK,SMALL(IF(COUNTIF($BA$3,MONTH), ROW(MONTH)-MIN(ROW(MONTH))+1),ROW(A52)),COLUMN(A52))),"",INDEX(WEEK,SMALL(IF(COUNTIF($BA$3,MONTH), ROW(MONTH)-MIN(ROW(MONTH))+1),ROW(A52)),COLUMN(A52)))</f>
        <v/>
      </c>
      <c r="BC57" t="str" cm="1">
        <f t="array" ref="BC57">IF(ISERROR(INDEX(RESULT_DAY,SMALL(IF(COUNTIF($BA$3,MONTH), ROW(MONTH)-MIN(ROW(MONTH))+1),ROW(A52)),COLUMN(A52))),"",INDEX(RESULT_DAY,SMALL(IF(COUNTIF($BA$3,MONTH), ROW(MONTH)-MIN(ROW(MONTH))+1),ROW(A52)),COLUMN(A52)))</f>
        <v/>
      </c>
      <c r="BD57" s="29" t="str">
        <f t="shared" si="26"/>
        <v/>
      </c>
      <c r="BE57" s="2" t="str" cm="1">
        <f t="array" ref="BE57">IF(ISERROR(INDEX(RESULT_DURATION,SMALL(IF(COUNTIF($BA$3,MONTH), ROW(MONTH)-MIN(ROW(MONTH))+1),ROW(A52)),COLUMN(A52))),"",INDEX(RESULT_DURATION,SMALL(IF(COUNTIF($BA$3,MONTH), ROW(MONTH)-MIN(ROW(MONTH))+1),ROW(A52)),COLUMN(A52)))</f>
        <v/>
      </c>
      <c r="BH57" t="str" cm="1">
        <f t="array" ref="BH57">IF(ISERROR(INDEX(RESULT_CATEGORIES,SMALL(IF(COUNTIF($BA$3,MONTH), ROW(MONTH)-MIN(ROW(MONTH))+1),ROW(A52)),COLUMN(A52))),"",INDEX(RESULT_CATEGORIES,SMALL(IF(COUNTIF($BA$3,MONTH), ROW(MONTH)-MIN(ROW(MONTH))+1),ROW(A52)),COLUMN(A52)))</f>
        <v/>
      </c>
      <c r="BI57" t="str" cm="1">
        <f t="array" ref="BI57">IF(ISERROR(INDEX(RESULTLOCATION,SMALL(IF(COUNTIF($BA$3,MONTH), ROW(MONTH)-MIN(ROW(MONTH))+1),ROW(A52)),COLUMN(A52))),"",INDEX(RESULTLOCATION,SMALL(IF(COUNTIF($BA$3,MONTH), ROW(MONTH)-MIN(ROW(MONTH))+1),ROW(A52)),COLUMN(A52)))</f>
        <v/>
      </c>
      <c r="BO57" s="2"/>
    </row>
    <row r="58" spans="2:71" x14ac:dyDescent="0.3">
      <c r="B58" t="str" cm="1">
        <f t="array" ref="B58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R58" t="str" cm="1">
        <f t="array" ref="AR58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T58" s="2" cm="1">
        <f t="array" ref="AT58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58" cm="1">
        <f t="array" ref="AU58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58" cm="1">
        <f t="array" ref="AV58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58" cm="1">
        <f t="array" ref="AW58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Z58" s="2">
        <f>SUMIFS(RESULT_DURATION,WEEK,AZ$52,RESULTLOCATION,#REF!,WEEKDAY,AZ$53)/60</f>
        <v>0</v>
      </c>
      <c r="BA58" t="str" cm="1">
        <f t="array" ref="BA58">IF(ISERROR(INDEX(RESULT_SUBJECT,SMALL(IF(COUNTIF($BA$3,MONTH), ROW(MONTH)-MIN(ROW(MONTH))+1),ROW(A53)),COLUMN(A53))),"",INDEX(RESULT_SUBJECT,SMALL(IF(COUNTIF($BA$3,MONTH), ROW(MONTH)-MIN(ROW(MONTH))+1),ROW(A53)),COLUMN(A53)))</f>
        <v/>
      </c>
      <c r="BB58" t="str" cm="1">
        <f t="array" ref="BB58">IF(ISERROR(INDEX(WEEK,SMALL(IF(COUNTIF($BA$3,MONTH), ROW(MONTH)-MIN(ROW(MONTH))+1),ROW(A53)),COLUMN(A53))),"",INDEX(WEEK,SMALL(IF(COUNTIF($BA$3,MONTH), ROW(MONTH)-MIN(ROW(MONTH))+1),ROW(A53)),COLUMN(A53)))</f>
        <v/>
      </c>
      <c r="BC58" t="str" cm="1">
        <f t="array" ref="BC58">IF(ISERROR(INDEX(RESULT_DAY,SMALL(IF(COUNTIF($BA$3,MONTH), ROW(MONTH)-MIN(ROW(MONTH))+1),ROW(A53)),COLUMN(A53))),"",INDEX(RESULT_DAY,SMALL(IF(COUNTIF($BA$3,MONTH), ROW(MONTH)-MIN(ROW(MONTH))+1),ROW(A53)),COLUMN(A53)))</f>
        <v/>
      </c>
      <c r="BD58" s="29" t="str">
        <f t="shared" si="26"/>
        <v/>
      </c>
      <c r="BE58" s="2" t="str" cm="1">
        <f t="array" ref="BE58">IF(ISERROR(INDEX(RESULT_DURATION,SMALL(IF(COUNTIF($BA$3,MONTH), ROW(MONTH)-MIN(ROW(MONTH))+1),ROW(A53)),COLUMN(A53))),"",INDEX(RESULT_DURATION,SMALL(IF(COUNTIF($BA$3,MONTH), ROW(MONTH)-MIN(ROW(MONTH))+1),ROW(A53)),COLUMN(A53)))</f>
        <v/>
      </c>
      <c r="BH58" t="str" cm="1">
        <f t="array" ref="BH58">IF(ISERROR(INDEX(RESULT_CATEGORIES,SMALL(IF(COUNTIF($BA$3,MONTH), ROW(MONTH)-MIN(ROW(MONTH))+1),ROW(A53)),COLUMN(A53))),"",INDEX(RESULT_CATEGORIES,SMALL(IF(COUNTIF($BA$3,MONTH), ROW(MONTH)-MIN(ROW(MONTH))+1),ROW(A53)),COLUMN(A53)))</f>
        <v/>
      </c>
      <c r="BI58" t="str" cm="1">
        <f t="array" ref="BI58">IF(ISERROR(INDEX(RESULTLOCATION,SMALL(IF(COUNTIF($BA$3,MONTH), ROW(MONTH)-MIN(ROW(MONTH))+1),ROW(A53)),COLUMN(A53))),"",INDEX(RESULTLOCATION,SMALL(IF(COUNTIF($BA$3,MONTH), ROW(MONTH)-MIN(ROW(MONTH))+1),ROW(A53)),COLUMN(A53)))</f>
        <v/>
      </c>
      <c r="BO58" s="2"/>
    </row>
    <row r="59" spans="2:71" x14ac:dyDescent="0.3">
      <c r="B59" t="str" cm="1">
        <f t="array" ref="B59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2"/>
      <c r="AR59" t="str" cm="1">
        <f t="array" ref="AR59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59" s="2"/>
      <c r="AT59" s="2" cm="1">
        <f t="array" ref="AT59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59" cm="1">
        <f t="array" ref="AU59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59" cm="1">
        <f t="array" ref="AV59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59" cm="1">
        <f t="array" ref="AW59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59" s="2"/>
      <c r="AY59" s="2"/>
      <c r="AZ59" s="2">
        <f>SUMIFS(RESULT_DURATION,WEEK,AZ$52,RESULTLOCATION,#REF!,WEEKDAY,AZ$53)/60</f>
        <v>0</v>
      </c>
      <c r="BA59" t="str" cm="1">
        <f t="array" ref="BA59">IF(ISERROR(INDEX(RESULT_SUBJECT,SMALL(IF(COUNTIF($BA$3,MONTH), ROW(MONTH)-MIN(ROW(MONTH))+1),ROW(A54)),COLUMN(A54))),"",INDEX(RESULT_SUBJECT,SMALL(IF(COUNTIF($BA$3,MONTH), ROW(MONTH)-MIN(ROW(MONTH))+1),ROW(A54)),COLUMN(A54)))</f>
        <v/>
      </c>
      <c r="BB59" t="str" cm="1">
        <f t="array" ref="BB59">IF(ISERROR(INDEX(WEEK,SMALL(IF(COUNTIF($BA$3,MONTH), ROW(MONTH)-MIN(ROW(MONTH))+1),ROW(A54)),COLUMN(A54))),"",INDEX(WEEK,SMALL(IF(COUNTIF($BA$3,MONTH), ROW(MONTH)-MIN(ROW(MONTH))+1),ROW(A54)),COLUMN(A54)))</f>
        <v/>
      </c>
      <c r="BC59" t="str" cm="1">
        <f t="array" ref="BC59">IF(ISERROR(INDEX(RESULT_DAY,SMALL(IF(COUNTIF($BA$3,MONTH), ROW(MONTH)-MIN(ROW(MONTH))+1),ROW(A54)),COLUMN(A54))),"",INDEX(RESULT_DAY,SMALL(IF(COUNTIF($BA$3,MONTH), ROW(MONTH)-MIN(ROW(MONTH))+1),ROW(A54)),COLUMN(A54)))</f>
        <v/>
      </c>
      <c r="BD59" s="29" t="str">
        <f t="shared" si="26"/>
        <v/>
      </c>
      <c r="BE59" s="2" t="str" cm="1">
        <f t="array" ref="BE59">IF(ISERROR(INDEX(RESULT_DURATION,SMALL(IF(COUNTIF($BA$3,MONTH), ROW(MONTH)-MIN(ROW(MONTH))+1),ROW(A54)),COLUMN(A54))),"",INDEX(RESULT_DURATION,SMALL(IF(COUNTIF($BA$3,MONTH), ROW(MONTH)-MIN(ROW(MONTH))+1),ROW(A54)),COLUMN(A54)))</f>
        <v/>
      </c>
      <c r="BH59" t="str" cm="1">
        <f t="array" ref="BH59">IF(ISERROR(INDEX(RESULT_CATEGORIES,SMALL(IF(COUNTIF($BA$3,MONTH), ROW(MONTH)-MIN(ROW(MONTH))+1),ROW(A54)),COLUMN(A54))),"",INDEX(RESULT_CATEGORIES,SMALL(IF(COUNTIF($BA$3,MONTH), ROW(MONTH)-MIN(ROW(MONTH))+1),ROW(A54)),COLUMN(A54)))</f>
        <v/>
      </c>
      <c r="BI59" t="str" cm="1">
        <f t="array" ref="BI59">IF(ISERROR(INDEX(RESULTLOCATION,SMALL(IF(COUNTIF($BA$3,MONTH), ROW(MONTH)-MIN(ROW(MONTH))+1),ROW(A54)),COLUMN(A54))),"",INDEX(RESULTLOCATION,SMALL(IF(COUNTIF($BA$3,MONTH), ROW(MONTH)-MIN(ROW(MONTH))+1),ROW(A54)),COLUMN(A54)))</f>
        <v/>
      </c>
    </row>
    <row r="60" spans="2:71" x14ac:dyDescent="0.3">
      <c r="B60" t="str" cm="1">
        <f t="array" ref="B60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2"/>
      <c r="AR60" t="str" cm="1">
        <f t="array" ref="AR60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60" s="2"/>
      <c r="AT60" s="2" cm="1">
        <f t="array" ref="AT60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0" cm="1">
        <f t="array" ref="AU60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0" cm="1">
        <f t="array" ref="AV60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0" cm="1">
        <f t="array" ref="AW60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0" s="2"/>
      <c r="AY60" s="2"/>
      <c r="AZ60" s="2">
        <f>SUMIFS(RESULT_DURATION,WEEK,AZ$52,RESULTLOCATION,#REF!,WEEKDAY,AZ$53)/60</f>
        <v>0</v>
      </c>
      <c r="BA60" t="str" cm="1">
        <f t="array" ref="BA60">IF(ISERROR(INDEX(RESULT_SUBJECT,SMALL(IF(COUNTIF($BA$3,MONTH), ROW(MONTH)-MIN(ROW(MONTH))+1),ROW(A55)),COLUMN(A55))),"",INDEX(RESULT_SUBJECT,SMALL(IF(COUNTIF($BA$3,MONTH), ROW(MONTH)-MIN(ROW(MONTH))+1),ROW(A55)),COLUMN(A55)))</f>
        <v/>
      </c>
      <c r="BB60" t="str" cm="1">
        <f t="array" ref="BB60">IF(ISERROR(INDEX(WEEK,SMALL(IF(COUNTIF($BA$3,MONTH), ROW(MONTH)-MIN(ROW(MONTH))+1),ROW(A55)),COLUMN(A55))),"",INDEX(WEEK,SMALL(IF(COUNTIF($BA$3,MONTH), ROW(MONTH)-MIN(ROW(MONTH))+1),ROW(A55)),COLUMN(A55)))</f>
        <v/>
      </c>
      <c r="BC60" t="str" cm="1">
        <f t="array" ref="BC60">IF(ISERROR(INDEX(RESULT_DAY,SMALL(IF(COUNTIF($BA$3,MONTH), ROW(MONTH)-MIN(ROW(MONTH))+1),ROW(A55)),COLUMN(A55))),"",INDEX(RESULT_DAY,SMALL(IF(COUNTIF($BA$3,MONTH), ROW(MONTH)-MIN(ROW(MONTH))+1),ROW(A55)),COLUMN(A55)))</f>
        <v/>
      </c>
      <c r="BD60" s="29" t="str">
        <f t="shared" si="26"/>
        <v/>
      </c>
      <c r="BE60" s="2" t="str" cm="1">
        <f t="array" ref="BE60">IF(ISERROR(INDEX(RESULT_DURATION,SMALL(IF(COUNTIF($BA$3,MONTH), ROW(MONTH)-MIN(ROW(MONTH))+1),ROW(A55)),COLUMN(A55))),"",INDEX(RESULT_DURATION,SMALL(IF(COUNTIF($BA$3,MONTH), ROW(MONTH)-MIN(ROW(MONTH))+1),ROW(A55)),COLUMN(A55)))</f>
        <v/>
      </c>
      <c r="BH60" t="str" cm="1">
        <f t="array" ref="BH60">IF(ISERROR(INDEX(RESULT_CATEGORIES,SMALL(IF(COUNTIF($BA$3,MONTH), ROW(MONTH)-MIN(ROW(MONTH))+1),ROW(A55)),COLUMN(A55))),"",INDEX(RESULT_CATEGORIES,SMALL(IF(COUNTIF($BA$3,MONTH), ROW(MONTH)-MIN(ROW(MONTH))+1),ROW(A55)),COLUMN(A55)))</f>
        <v/>
      </c>
      <c r="BI60" t="str" cm="1">
        <f t="array" ref="BI60">IF(ISERROR(INDEX(RESULTLOCATION,SMALL(IF(COUNTIF($BA$3,MONTH), ROW(MONTH)-MIN(ROW(MONTH))+1),ROW(A55)),COLUMN(A55))),"",INDEX(RESULTLOCATION,SMALL(IF(COUNTIF($BA$3,MONTH), ROW(MONTH)-MIN(ROW(MONTH))+1),ROW(A55)),COLUMN(A55)))</f>
        <v/>
      </c>
    </row>
    <row r="61" spans="2:71" x14ac:dyDescent="0.3">
      <c r="B61" t="str" cm="1">
        <f t="array" ref="B61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2"/>
      <c r="AR61" t="str" cm="1">
        <f t="array" ref="AR61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61" s="2"/>
      <c r="AT61" s="2" cm="1">
        <f t="array" ref="AT61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1" cm="1">
        <f t="array" ref="AU61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1" cm="1">
        <f t="array" ref="AV61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1" cm="1">
        <f t="array" ref="AW61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1" s="2"/>
      <c r="AY61" s="2"/>
      <c r="AZ61" s="2">
        <f>SUMIFS(RESULT_DURATION,WEEK,AZ$52,RESULTLOCATION,#REF!,WEEKDAY,AZ$53)/60</f>
        <v>0</v>
      </c>
      <c r="BA61" t="str" cm="1">
        <f t="array" ref="BA61">IF(ISERROR(INDEX(RESULT_SUBJECT,SMALL(IF(COUNTIF($BA$3,MONTH), ROW(MONTH)-MIN(ROW(MONTH))+1),ROW(A56)),COLUMN(A56))),"",INDEX(RESULT_SUBJECT,SMALL(IF(COUNTIF($BA$3,MONTH), ROW(MONTH)-MIN(ROW(MONTH))+1),ROW(A56)),COLUMN(A56)))</f>
        <v/>
      </c>
      <c r="BB61" t="str" cm="1">
        <f t="array" ref="BB61">IF(ISERROR(INDEX(WEEK,SMALL(IF(COUNTIF($BA$3,MONTH), ROW(MONTH)-MIN(ROW(MONTH))+1),ROW(A56)),COLUMN(A56))),"",INDEX(WEEK,SMALL(IF(COUNTIF($BA$3,MONTH), ROW(MONTH)-MIN(ROW(MONTH))+1),ROW(A56)),COLUMN(A56)))</f>
        <v/>
      </c>
      <c r="BC61" t="str" cm="1">
        <f t="array" ref="BC61">IF(ISERROR(INDEX(RESULT_DAY,SMALL(IF(COUNTIF($BA$3,MONTH), ROW(MONTH)-MIN(ROW(MONTH))+1),ROW(A56)),COLUMN(A56))),"",INDEX(RESULT_DAY,SMALL(IF(COUNTIF($BA$3,MONTH), ROW(MONTH)-MIN(ROW(MONTH))+1),ROW(A56)),COLUMN(A56)))</f>
        <v/>
      </c>
      <c r="BD61" s="29" t="str">
        <f t="shared" si="26"/>
        <v/>
      </c>
      <c r="BE61" s="2" t="str" cm="1">
        <f t="array" ref="BE61">IF(ISERROR(INDEX(RESULT_DURATION,SMALL(IF(COUNTIF($BA$3,MONTH), ROW(MONTH)-MIN(ROW(MONTH))+1),ROW(A56)),COLUMN(A56))),"",INDEX(RESULT_DURATION,SMALL(IF(COUNTIF($BA$3,MONTH), ROW(MONTH)-MIN(ROW(MONTH))+1),ROW(A56)),COLUMN(A56)))</f>
        <v/>
      </c>
      <c r="BH61" t="str" cm="1">
        <f t="array" ref="BH61">IF(ISERROR(INDEX(RESULT_CATEGORIES,SMALL(IF(COUNTIF($BA$3,MONTH), ROW(MONTH)-MIN(ROW(MONTH))+1),ROW(A56)),COLUMN(A56))),"",INDEX(RESULT_CATEGORIES,SMALL(IF(COUNTIF($BA$3,MONTH), ROW(MONTH)-MIN(ROW(MONTH))+1),ROW(A56)),COLUMN(A56)))</f>
        <v/>
      </c>
      <c r="BI61" t="str" cm="1">
        <f t="array" ref="BI61">IF(ISERROR(INDEX(RESULTLOCATION,SMALL(IF(COUNTIF($BA$3,MONTH), ROW(MONTH)-MIN(ROW(MONTH))+1),ROW(A56)),COLUMN(A56))),"",INDEX(RESULTLOCATION,SMALL(IF(COUNTIF($BA$3,MONTH), ROW(MONTH)-MIN(ROW(MONTH))+1),ROW(A56)),COLUMN(A56)))</f>
        <v/>
      </c>
    </row>
    <row r="62" spans="2:71" x14ac:dyDescent="0.3">
      <c r="B62" t="str" cm="1">
        <f t="array" ref="B62">IF(ISERROR(INDEX(RESULT_SUBJECT,SMALL(IF(COUNTIF($B$39,WEEK)*COUNTIF(#REF!,WEEKDAY), ROW(WEEK)-MIN(ROW(WEEK))+1),ROW(#REF!)),COLUMN(#REF!))),"",INDEX(RESULT_SUBJECT,SMALL(IF(COUNTIF($B$39,WEEK)*COUNTIF(#REF!,WEEKDAY), ROW(WEEK)-MIN(ROW(WEEK))+1),ROW(#REF!)),COLUMN(#REF!)))</f>
        <v/>
      </c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2"/>
      <c r="AR62" t="str" cm="1">
        <f t="array" ref="AR62">IF(ISERROR(INDEX(RESULT_SUBJECT,SMALL(IF(COUNTIF($AQ$39,WEEK)*COUNTIF($AR$39,WEEKDAY), ROW(WEEK)-MIN(ROW(WEEK))+1),ROW(#REF!)),COLUMN(#REF!))),"",INDEX(RESULT_SUBJECT,SMALL(IF(COUNTIF($AQ$39,WEEK)*COUNTIF($AR$39,WEEKDAY), ROW(WEEK)-MIN(ROW(WEEK))+1),ROW(#REF!)),COLUMN(#REF!)))</f>
        <v/>
      </c>
      <c r="AS62" s="2"/>
      <c r="AT62" s="2" cm="1">
        <f t="array" ref="AT62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2" cm="1">
        <f t="array" ref="AU62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2" cm="1">
        <f t="array" ref="AV6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2" cm="1">
        <f t="array" ref="AW62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2" s="2"/>
      <c r="AY62" s="2"/>
      <c r="AZ62" s="2">
        <f>SUMIFS(RESULT_DURATION,WEEK,AZ$52,RESULTLOCATION,#REF!,WEEKDAY,AZ$53)/60</f>
        <v>0</v>
      </c>
      <c r="BA62" t="str" cm="1">
        <f t="array" ref="BA62">IF(ISERROR(INDEX(RESULT_SUBJECT,SMALL(IF(COUNTIF($BA$3,MONTH), ROW(MONTH)-MIN(ROW(MONTH))+1),ROW(A57)),COLUMN(A57))),"",INDEX(RESULT_SUBJECT,SMALL(IF(COUNTIF($BA$3,MONTH), ROW(MONTH)-MIN(ROW(MONTH))+1),ROW(A57)),COLUMN(A57)))</f>
        <v/>
      </c>
      <c r="BB62" t="str" cm="1">
        <f t="array" ref="BB62">IF(ISERROR(INDEX(WEEK,SMALL(IF(COUNTIF($BA$3,MONTH), ROW(MONTH)-MIN(ROW(MONTH))+1),ROW(A57)),COLUMN(A57))),"",INDEX(WEEK,SMALL(IF(COUNTIF($BA$3,MONTH), ROW(MONTH)-MIN(ROW(MONTH))+1),ROW(A57)),COLUMN(A57)))</f>
        <v/>
      </c>
      <c r="BC62" t="str" cm="1">
        <f t="array" ref="BC62">IF(ISERROR(INDEX(RESULT_DAY,SMALL(IF(COUNTIF($BA$3,MONTH), ROW(MONTH)-MIN(ROW(MONTH))+1),ROW(A57)),COLUMN(A57))),"",INDEX(RESULT_DAY,SMALL(IF(COUNTIF($BA$3,MONTH), ROW(MONTH)-MIN(ROW(MONTH))+1),ROW(A57)),COLUMN(A57)))</f>
        <v/>
      </c>
      <c r="BD62" s="29" t="str">
        <f t="shared" si="26"/>
        <v/>
      </c>
      <c r="BE62" s="2" t="str" cm="1">
        <f t="array" ref="BE62">IF(ISERROR(INDEX(RESULT_DURATION,SMALL(IF(COUNTIF($BA$3,MONTH), ROW(MONTH)-MIN(ROW(MONTH))+1),ROW(A57)),COLUMN(A57))),"",INDEX(RESULT_DURATION,SMALL(IF(COUNTIF($BA$3,MONTH), ROW(MONTH)-MIN(ROW(MONTH))+1),ROW(A57)),COLUMN(A57)))</f>
        <v/>
      </c>
      <c r="BH62" t="str" cm="1">
        <f t="array" ref="BH62">IF(ISERROR(INDEX(RESULT_CATEGORIES,SMALL(IF(COUNTIF($BA$3,MONTH), ROW(MONTH)-MIN(ROW(MONTH))+1),ROW(A57)),COLUMN(A57))),"",INDEX(RESULT_CATEGORIES,SMALL(IF(COUNTIF($BA$3,MONTH), ROW(MONTH)-MIN(ROW(MONTH))+1),ROW(A57)),COLUMN(A57)))</f>
        <v/>
      </c>
      <c r="BI62" t="str" cm="1">
        <f t="array" ref="BI62">IF(ISERROR(INDEX(RESULTLOCATION,SMALL(IF(COUNTIF($BA$3,MONTH), ROW(MONTH)-MIN(ROW(MONTH))+1),ROW(A57)),COLUMN(A57))),"",INDEX(RESULTLOCATION,SMALL(IF(COUNTIF($BA$3,MONTH), ROW(MONTH)-MIN(ROW(MONTH))+1),ROW(A57)),COLUMN(A57)))</f>
        <v/>
      </c>
    </row>
    <row r="63" spans="2:71" x14ac:dyDescent="0.3">
      <c r="B63" t="str" cm="1">
        <f t="array" ref="B63">IF(ISERROR(INDEX(RESULT_SUBJECT,SMALL(IF(COUNTIF($B$39,WEEK)*COUNTIF(#REF!,WEEKDAY), ROW(WEEK)-MIN(ROW(WEEK))+1),ROW(A29)),COLUMN(A29))),"",INDEX(RESULT_SUBJECT,SMALL(IF(COUNTIF($B$39,WEEK)*COUNTIF(#REF!,WEEKDAY), ROW(WEEK)-MIN(ROW(WEEK))+1),ROW(A29)),COLUMN(A29)))</f>
        <v/>
      </c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2"/>
      <c r="AR63" s="2"/>
      <c r="AS63" s="2"/>
      <c r="AT63" s="2" cm="1">
        <f t="array" ref="AT63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3" cm="1">
        <f t="array" ref="AU63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3" cm="1">
        <f t="array" ref="AV63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3" cm="1">
        <f t="array" ref="AW63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3" s="2"/>
      <c r="AY63" s="2"/>
      <c r="AZ63" s="2">
        <f>SUMIFS(RESULT_DURATION,WEEK,AZ$52,RESULTLOCATION,#REF!,WEEKDAY,AZ$53)/60</f>
        <v>0</v>
      </c>
      <c r="BA63" t="str" cm="1">
        <f t="array" ref="BA63">IF(ISERROR(INDEX(RESULT_SUBJECT,SMALL(IF(COUNTIF($BA$3,MONTH), ROW(MONTH)-MIN(ROW(MONTH))+1),ROW(A58)),COLUMN(A58))),"",INDEX(RESULT_SUBJECT,SMALL(IF(COUNTIF($BA$3,MONTH), ROW(MONTH)-MIN(ROW(MONTH))+1),ROW(A58)),COLUMN(A58)))</f>
        <v/>
      </c>
      <c r="BB63" t="str" cm="1">
        <f t="array" ref="BB63">IF(ISERROR(INDEX(WEEK,SMALL(IF(COUNTIF($BA$3,MONTH), ROW(MONTH)-MIN(ROW(MONTH))+1),ROW(A58)),COLUMN(A58))),"",INDEX(WEEK,SMALL(IF(COUNTIF($BA$3,MONTH), ROW(MONTH)-MIN(ROW(MONTH))+1),ROW(A58)),COLUMN(A58)))</f>
        <v/>
      </c>
      <c r="BC63" t="str" cm="1">
        <f t="array" ref="BC63">IF(ISERROR(INDEX(RESULT_DAY,SMALL(IF(COUNTIF($BA$3,MONTH), ROW(MONTH)-MIN(ROW(MONTH))+1),ROW(A58)),COLUMN(A58))),"",INDEX(RESULT_DAY,SMALL(IF(COUNTIF($BA$3,MONTH), ROW(MONTH)-MIN(ROW(MONTH))+1),ROW(A58)),COLUMN(A58)))</f>
        <v/>
      </c>
      <c r="BD63" s="29" t="str">
        <f t="shared" si="26"/>
        <v/>
      </c>
      <c r="BE63" s="2" t="str" cm="1">
        <f t="array" ref="BE63">IF(ISERROR(INDEX(RESULT_DURATION,SMALL(IF(COUNTIF($BA$3,MONTH), ROW(MONTH)-MIN(ROW(MONTH))+1),ROW(A58)),COLUMN(A58))),"",INDEX(RESULT_DURATION,SMALL(IF(COUNTIF($BA$3,MONTH), ROW(MONTH)-MIN(ROW(MONTH))+1),ROW(A58)),COLUMN(A58)))</f>
        <v/>
      </c>
      <c r="BH63" t="str" cm="1">
        <f t="array" ref="BH63">IF(ISERROR(INDEX(RESULT_CATEGORIES,SMALL(IF(COUNTIF($BA$3,MONTH), ROW(MONTH)-MIN(ROW(MONTH))+1),ROW(A58)),COLUMN(A58))),"",INDEX(RESULT_CATEGORIES,SMALL(IF(COUNTIF($BA$3,MONTH), ROW(MONTH)-MIN(ROW(MONTH))+1),ROW(A58)),COLUMN(A58)))</f>
        <v/>
      </c>
      <c r="BI63" t="str" cm="1">
        <f t="array" ref="BI63">IF(ISERROR(INDEX(RESULTLOCATION,SMALL(IF(COUNTIF($BA$3,MONTH), ROW(MONTH)-MIN(ROW(MONTH))+1),ROW(A58)),COLUMN(A58))),"",INDEX(RESULTLOCATION,SMALL(IF(COUNTIF($BA$3,MONTH), ROW(MONTH)-MIN(ROW(MONTH))+1),ROW(A58)),COLUMN(A58)))</f>
        <v/>
      </c>
    </row>
    <row r="64" spans="2:71" x14ac:dyDescent="0.3">
      <c r="B64" t="str" cm="1">
        <f t="array" ref="B64">IF(ISERROR(INDEX(RESULT_SUBJECT,SMALL(IF(COUNTIF($B$39,WEEK)*COUNTIF(#REF!,WEEKDAY), ROW(WEEK)-MIN(ROW(WEEK))+1),ROW(A30)),COLUMN(A30))),"",INDEX(RESULT_SUBJECT,SMALL(IF(COUNTIF($B$39,WEEK)*COUNTIF(#REF!,WEEKDAY), ROW(WEEK)-MIN(ROW(WEEK))+1),ROW(A30)),COLUMN(A30)))</f>
        <v/>
      </c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2"/>
      <c r="AR64" s="2"/>
      <c r="AS64" s="2"/>
      <c r="AT64" s="2" cm="1">
        <f t="array" ref="AT64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4" cm="1">
        <f t="array" ref="AU64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4" cm="1">
        <f t="array" ref="AV64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4" cm="1">
        <f t="array" ref="AW64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4" s="2"/>
      <c r="AY64" s="2"/>
      <c r="AZ64" s="2">
        <f>SUMIFS(RESULT_DURATION,WEEK,AZ$52,RESULTLOCATION,#REF!,WEEKDAY,AZ$53)/60</f>
        <v>0</v>
      </c>
      <c r="BA64" t="str" cm="1">
        <f t="array" ref="BA64">IF(ISERROR(INDEX(RESULT_SUBJECT,SMALL(IF(COUNTIF($BA$3,MONTH), ROW(MONTH)-MIN(ROW(MONTH))+1),ROW(A59)),COLUMN(A59))),"",INDEX(RESULT_SUBJECT,SMALL(IF(COUNTIF($BA$3,MONTH), ROW(MONTH)-MIN(ROW(MONTH))+1),ROW(A59)),COLUMN(A59)))</f>
        <v/>
      </c>
      <c r="BB64" t="str" cm="1">
        <f t="array" ref="BB64">IF(ISERROR(INDEX(WEEK,SMALL(IF(COUNTIF($BA$3,MONTH), ROW(MONTH)-MIN(ROW(MONTH))+1),ROW(A59)),COLUMN(A59))),"",INDEX(WEEK,SMALL(IF(COUNTIF($BA$3,MONTH), ROW(MONTH)-MIN(ROW(MONTH))+1),ROW(A59)),COLUMN(A59)))</f>
        <v/>
      </c>
      <c r="BC64" t="str" cm="1">
        <f t="array" ref="BC64">IF(ISERROR(INDEX(RESULT_DAY,SMALL(IF(COUNTIF($BA$3,MONTH), ROW(MONTH)-MIN(ROW(MONTH))+1),ROW(A59)),COLUMN(A59))),"",INDEX(RESULT_DAY,SMALL(IF(COUNTIF($BA$3,MONTH), ROW(MONTH)-MIN(ROW(MONTH))+1),ROW(A59)),COLUMN(A59)))</f>
        <v/>
      </c>
      <c r="BD64" s="29" t="str">
        <f t="shared" si="26"/>
        <v/>
      </c>
      <c r="BE64" s="2" t="str" cm="1">
        <f t="array" ref="BE64">IF(ISERROR(INDEX(RESULT_DURATION,SMALL(IF(COUNTIF($BA$3,MONTH), ROW(MONTH)-MIN(ROW(MONTH))+1),ROW(A59)),COLUMN(A59))),"",INDEX(RESULT_DURATION,SMALL(IF(COUNTIF($BA$3,MONTH), ROW(MONTH)-MIN(ROW(MONTH))+1),ROW(A59)),COLUMN(A59)))</f>
        <v/>
      </c>
      <c r="BH64" t="str" cm="1">
        <f t="array" ref="BH64">IF(ISERROR(INDEX(RESULT_CATEGORIES,SMALL(IF(COUNTIF($BA$3,MONTH), ROW(MONTH)-MIN(ROW(MONTH))+1),ROW(A59)),COLUMN(A59))),"",INDEX(RESULT_CATEGORIES,SMALL(IF(COUNTIF($BA$3,MONTH), ROW(MONTH)-MIN(ROW(MONTH))+1),ROW(A59)),COLUMN(A59)))</f>
        <v/>
      </c>
      <c r="BI64" t="str" cm="1">
        <f t="array" ref="BI64">IF(ISERROR(INDEX(RESULTLOCATION,SMALL(IF(COUNTIF($BA$3,MONTH), ROW(MONTH)-MIN(ROW(MONTH))+1),ROW(A59)),COLUMN(A59))),"",INDEX(RESULTLOCATION,SMALL(IF(COUNTIF($BA$3,MONTH), ROW(MONTH)-MIN(ROW(MONTH))+1),ROW(A59)),COLUMN(A59)))</f>
        <v/>
      </c>
    </row>
    <row r="65" spans="2:61" x14ac:dyDescent="0.3">
      <c r="B65" t="str" cm="1">
        <f t="array" ref="B65">IF(ISERROR(INDEX(RESULT_SUBJECT,SMALL(IF(COUNTIF($B$39,WEEK)*COUNTIF(#REF!,WEEKDAY), ROW(WEEK)-MIN(ROW(WEEK))+1),ROW(A31)),COLUMN(A31))),"",INDEX(RESULT_SUBJECT,SMALL(IF(COUNTIF($B$39,WEEK)*COUNTIF(#REF!,WEEKDAY), ROW(WEEK)-MIN(ROW(WEEK))+1),ROW(A31)),COLUMN(A31)))</f>
        <v/>
      </c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2"/>
      <c r="AR65" s="2"/>
      <c r="AS65" s="2"/>
      <c r="AT65" s="2" cm="1">
        <f t="array" ref="AT65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5" cm="1">
        <f t="array" ref="AU65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5" cm="1">
        <f t="array" ref="AV65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5" cm="1">
        <f t="array" ref="AW65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5" s="2"/>
      <c r="AY65" s="2"/>
      <c r="AZ65" s="2">
        <f>SUMIFS(RESULT_DURATION,WEEK,AZ$52,RESULTLOCATION,#REF!,WEEKDAY,AZ$53)/60</f>
        <v>0</v>
      </c>
      <c r="BA65" t="str" cm="1">
        <f t="array" ref="BA65">IF(ISERROR(INDEX(RESULT_SUBJECT,SMALL(IF(COUNTIF($BA$3,MONTH), ROW(MONTH)-MIN(ROW(MONTH))+1),ROW(A60)),COLUMN(A60))),"",INDEX(RESULT_SUBJECT,SMALL(IF(COUNTIF($BA$3,MONTH), ROW(MONTH)-MIN(ROW(MONTH))+1),ROW(A60)),COLUMN(A60)))</f>
        <v/>
      </c>
      <c r="BB65" t="str" cm="1">
        <f t="array" ref="BB65">IF(ISERROR(INDEX(WEEK,SMALL(IF(COUNTIF($BA$3,MONTH), ROW(MONTH)-MIN(ROW(MONTH))+1),ROW(A60)),COLUMN(A60))),"",INDEX(WEEK,SMALL(IF(COUNTIF($BA$3,MONTH), ROW(MONTH)-MIN(ROW(MONTH))+1),ROW(A60)),COLUMN(A60)))</f>
        <v/>
      </c>
      <c r="BC65" t="str" cm="1">
        <f t="array" ref="BC65">IF(ISERROR(INDEX(RESULT_DAY,SMALL(IF(COUNTIF($BA$3,MONTH), ROW(MONTH)-MIN(ROW(MONTH))+1),ROW(A60)),COLUMN(A60))),"",INDEX(RESULT_DAY,SMALL(IF(COUNTIF($BA$3,MONTH), ROW(MONTH)-MIN(ROW(MONTH))+1),ROW(A60)),COLUMN(A60)))</f>
        <v/>
      </c>
      <c r="BD65" s="29" t="str">
        <f t="shared" si="26"/>
        <v/>
      </c>
      <c r="BE65" s="2" t="str" cm="1">
        <f t="array" ref="BE65">IF(ISERROR(INDEX(RESULT_DURATION,SMALL(IF(COUNTIF($BA$3,MONTH), ROW(MONTH)-MIN(ROW(MONTH))+1),ROW(A60)),COLUMN(A60))),"",INDEX(RESULT_DURATION,SMALL(IF(COUNTIF($BA$3,MONTH), ROW(MONTH)-MIN(ROW(MONTH))+1),ROW(A60)),COLUMN(A60)))</f>
        <v/>
      </c>
      <c r="BH65" t="str" cm="1">
        <f t="array" ref="BH65">IF(ISERROR(INDEX(RESULT_CATEGORIES,SMALL(IF(COUNTIF($BA$3,MONTH), ROW(MONTH)-MIN(ROW(MONTH))+1),ROW(A60)),COLUMN(A60))),"",INDEX(RESULT_CATEGORIES,SMALL(IF(COUNTIF($BA$3,MONTH), ROW(MONTH)-MIN(ROW(MONTH))+1),ROW(A60)),COLUMN(A60)))</f>
        <v/>
      </c>
      <c r="BI65" t="str" cm="1">
        <f t="array" ref="BI65">IF(ISERROR(INDEX(RESULTLOCATION,SMALL(IF(COUNTIF($BA$3,MONTH), ROW(MONTH)-MIN(ROW(MONTH))+1),ROW(A60)),COLUMN(A60))),"",INDEX(RESULTLOCATION,SMALL(IF(COUNTIF($BA$3,MONTH), ROW(MONTH)-MIN(ROW(MONTH))+1),ROW(A60)),COLUMN(A60)))</f>
        <v/>
      </c>
    </row>
    <row r="66" spans="2:61" x14ac:dyDescent="0.3">
      <c r="B66" t="str" cm="1">
        <f t="array" ref="B66">IF(ISERROR(INDEX(RESULT_SUBJECT,SMALL(IF(COUNTIF($B$39,WEEK)*COUNTIF(#REF!,WEEKDAY), ROW(WEEK)-MIN(ROW(WEEK))+1),ROW(A32)),COLUMN(A32))),"",INDEX(RESULT_SUBJECT,SMALL(IF(COUNTIF($B$39,WEEK)*COUNTIF(#REF!,WEEKDAY), ROW(WEEK)-MIN(ROW(WEEK))+1),ROW(A32)),COLUMN(A32)))</f>
        <v/>
      </c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2"/>
      <c r="AR66" s="2"/>
      <c r="AS66" s="2"/>
      <c r="AT66" s="2" cm="1">
        <f t="array" ref="AT66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6" cm="1">
        <f t="array" ref="AU66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6" cm="1">
        <f t="array" ref="AV66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6" cm="1">
        <f t="array" ref="AW66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6" s="2"/>
      <c r="AY66" s="2"/>
      <c r="AZ66" s="2">
        <f>SUMIFS(RESULT_DURATION,WEEK,AZ$52,RESULTLOCATION,#REF!,WEEKDAY,AZ$53)/60</f>
        <v>0</v>
      </c>
      <c r="BA66" t="str" cm="1">
        <f t="array" ref="BA66">IF(ISERROR(INDEX(RESULT_SUBJECT,SMALL(IF(COUNTIF($BA$3,MONTH), ROW(MONTH)-MIN(ROW(MONTH))+1),ROW(A61)),COLUMN(A61))),"",INDEX(RESULT_SUBJECT,SMALL(IF(COUNTIF($BA$3,MONTH), ROW(MONTH)-MIN(ROW(MONTH))+1),ROW(A61)),COLUMN(A61)))</f>
        <v/>
      </c>
      <c r="BB66" t="str" cm="1">
        <f t="array" ref="BB66">IF(ISERROR(INDEX(WEEK,SMALL(IF(COUNTIF($BA$3,MONTH), ROW(MONTH)-MIN(ROW(MONTH))+1),ROW(A61)),COLUMN(A61))),"",INDEX(WEEK,SMALL(IF(COUNTIF($BA$3,MONTH), ROW(MONTH)-MIN(ROW(MONTH))+1),ROW(A61)),COLUMN(A61)))</f>
        <v/>
      </c>
      <c r="BC66" t="str" cm="1">
        <f t="array" ref="BC66">IF(ISERROR(INDEX(RESULT_DAY,SMALL(IF(COUNTIF($BA$3,MONTH), ROW(MONTH)-MIN(ROW(MONTH))+1),ROW(A61)),COLUMN(A61))),"",INDEX(RESULT_DAY,SMALL(IF(COUNTIF($BA$3,MONTH), ROW(MONTH)-MIN(ROW(MONTH))+1),ROW(A61)),COLUMN(A61)))</f>
        <v/>
      </c>
      <c r="BD66" s="29" t="str">
        <f t="shared" si="26"/>
        <v/>
      </c>
      <c r="BE66" s="2" t="str" cm="1">
        <f t="array" ref="BE66">IF(ISERROR(INDEX(RESULT_DURATION,SMALL(IF(COUNTIF($BA$3,MONTH), ROW(MONTH)-MIN(ROW(MONTH))+1),ROW(A61)),COLUMN(A61))),"",INDEX(RESULT_DURATION,SMALL(IF(COUNTIF($BA$3,MONTH), ROW(MONTH)-MIN(ROW(MONTH))+1),ROW(A61)),COLUMN(A61)))</f>
        <v/>
      </c>
      <c r="BH66" t="str" cm="1">
        <f t="array" ref="BH66">IF(ISERROR(INDEX(RESULT_CATEGORIES,SMALL(IF(COUNTIF($BA$3,MONTH), ROW(MONTH)-MIN(ROW(MONTH))+1),ROW(A61)),COLUMN(A61))),"",INDEX(RESULT_CATEGORIES,SMALL(IF(COUNTIF($BA$3,MONTH), ROW(MONTH)-MIN(ROW(MONTH))+1),ROW(A61)),COLUMN(A61)))</f>
        <v/>
      </c>
      <c r="BI66" t="str" cm="1">
        <f t="array" ref="BI66">IF(ISERROR(INDEX(RESULTLOCATION,SMALL(IF(COUNTIF($BA$3,MONTH), ROW(MONTH)-MIN(ROW(MONTH))+1),ROW(A61)),COLUMN(A61))),"",INDEX(RESULTLOCATION,SMALL(IF(COUNTIF($BA$3,MONTH), ROW(MONTH)-MIN(ROW(MONTH))+1),ROW(A61)),COLUMN(A61)))</f>
        <v/>
      </c>
    </row>
    <row r="67" spans="2:61" x14ac:dyDescent="0.3">
      <c r="B67" t="str" cm="1">
        <f t="array" ref="B67">IF(ISERROR(INDEX(RESULT_SUBJECT,SMALL(IF(COUNTIF($B$39,WEEK)*COUNTIF(#REF!,WEEKDAY), ROW(WEEK)-MIN(ROW(WEEK))+1),ROW(A33)),COLUMN(A33))),"",INDEX(RESULT_SUBJECT,SMALL(IF(COUNTIF($B$39,WEEK)*COUNTIF(#REF!,WEEKDAY), ROW(WEEK)-MIN(ROW(WEEK))+1),ROW(A33)),COLUMN(A33)))</f>
        <v/>
      </c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2"/>
      <c r="AR67" s="2"/>
      <c r="AS67" s="2"/>
      <c r="AT67" s="2" cm="1">
        <f t="array" ref="AT67">IF(ISERROR(INDEX(RESULT_DURATION,SMALL(IF(COUNTIF($AQ$39,WEEK)*COUNTIF($AR$39,WEEKDAY), ROW(WEEK)-MIN(ROW(WEEK))+1),ROW(#REF!)),COLUMN(#REF!))),0,INDEX(RESULT_DURATION,SMALL(IF(COUNTIF($AQ$39,WEEK)*COUNTIF($AR$39,WEEKDAY), ROW(WEEK)-MIN(ROW(WEEK))+1),ROW(#REF!)),COLUMN(#REF!)))</f>
        <v>0</v>
      </c>
      <c r="AU67" cm="1">
        <f t="array" ref="AU67">IF(ISERROR(INDEX(RESULT_START,SMALL(IF(COUNTIF($AQ$39,WEEK)*COUNTIF($AR$39,WEEKDAY), ROW(WEEK)-MIN(ROW(WEEK))+1),ROW(#REF!)),COLUMN(#REF!))),0,INDEX(RESULT_START,SMALL(IF(COUNTIF($AQ$39,WEEK)*COUNTIF($AR$39,WEEKDAY), ROW(WEEK)-MIN(ROW(WEEK))+1),ROW(#REF!)),COLUMN(#REF!)))</f>
        <v>0</v>
      </c>
      <c r="AV67" cm="1">
        <f t="array" ref="AV67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67" cm="1">
        <f t="array" ref="AW67">IF(ISERROR(INDEX(RESULT_CATEGORIES,SMALL(IF(COUNTIF($AQ$39,WEEK)*COUNTIF($AR$39,WEEKDAY), ROW(WEEK)-MIN(ROW(WEEK))+1),ROW(#REF!)),COLUMN(#REF!))),0,INDEX(RESULT_CATEGORIES,SMALL(IF(COUNTIF($AQ$39,WEEK)*COUNTIF($AR$39,WEEKDAY), ROW(WEEK)-MIN(ROW(WEEK))+1),ROW(#REF!)),COLUMN(#REF!)))</f>
        <v>0</v>
      </c>
      <c r="AX67" s="2"/>
      <c r="AY67" s="2"/>
      <c r="AZ67" s="2">
        <f>SUMIFS(RESULT_DURATION,WEEK,AZ$52,RESULTLOCATION,#REF!,WEEKDAY,AZ$53)/60</f>
        <v>0</v>
      </c>
      <c r="BA67" t="str" cm="1">
        <f t="array" ref="BA67">IF(ISERROR(INDEX(RESULT_SUBJECT,SMALL(IF(COUNTIF($BA$3,MONTH), ROW(MONTH)-MIN(ROW(MONTH))+1),ROW(A62)),COLUMN(A62))),"",INDEX(RESULT_SUBJECT,SMALL(IF(COUNTIF($BA$3,MONTH), ROW(MONTH)-MIN(ROW(MONTH))+1),ROW(A62)),COLUMN(A62)))</f>
        <v/>
      </c>
      <c r="BB67" t="str" cm="1">
        <f t="array" ref="BB67">IF(ISERROR(INDEX(WEEK,SMALL(IF(COUNTIF($BA$3,MONTH), ROW(MONTH)-MIN(ROW(MONTH))+1),ROW(A62)),COLUMN(A62))),"",INDEX(WEEK,SMALL(IF(COUNTIF($BA$3,MONTH), ROW(MONTH)-MIN(ROW(MONTH))+1),ROW(A62)),COLUMN(A62)))</f>
        <v/>
      </c>
      <c r="BC67" t="str" cm="1">
        <f t="array" ref="BC67">IF(ISERROR(INDEX(RESULT_DAY,SMALL(IF(COUNTIF($BA$3,MONTH), ROW(MONTH)-MIN(ROW(MONTH))+1),ROW(A62)),COLUMN(A62))),"",INDEX(RESULT_DAY,SMALL(IF(COUNTIF($BA$3,MONTH), ROW(MONTH)-MIN(ROW(MONTH))+1),ROW(A62)),COLUMN(A62)))</f>
        <v/>
      </c>
      <c r="BD67" s="29" t="str">
        <f t="shared" si="26"/>
        <v/>
      </c>
      <c r="BE67" s="2" t="str" cm="1">
        <f t="array" ref="BE67">IF(ISERROR(INDEX(RESULT_DURATION,SMALL(IF(COUNTIF($BA$3,MONTH), ROW(MONTH)-MIN(ROW(MONTH))+1),ROW(A62)),COLUMN(A62))),"",INDEX(RESULT_DURATION,SMALL(IF(COUNTIF($BA$3,MONTH), ROW(MONTH)-MIN(ROW(MONTH))+1),ROW(A62)),COLUMN(A62)))</f>
        <v/>
      </c>
      <c r="BH67" t="str" cm="1">
        <f t="array" ref="BH67">IF(ISERROR(INDEX(RESULT_CATEGORIES,SMALL(IF(COUNTIF($BA$3,MONTH), ROW(MONTH)-MIN(ROW(MONTH))+1),ROW(A62)),COLUMN(A62))),"",INDEX(RESULT_CATEGORIES,SMALL(IF(COUNTIF($BA$3,MONTH), ROW(MONTH)-MIN(ROW(MONTH))+1),ROW(A62)),COLUMN(A62)))</f>
        <v/>
      </c>
      <c r="BI67" t="str" cm="1">
        <f t="array" ref="BI67">IF(ISERROR(INDEX(RESULTLOCATION,SMALL(IF(COUNTIF($BA$3,MONTH), ROW(MONTH)-MIN(ROW(MONTH))+1),ROW(A62)),COLUMN(A62))),"",INDEX(RESULTLOCATION,SMALL(IF(COUNTIF($BA$3,MONTH), ROW(MONTH)-MIN(ROW(MONTH))+1),ROW(A62)),COLUMN(A62)))</f>
        <v/>
      </c>
    </row>
    <row r="68" spans="2:61" x14ac:dyDescent="0.3">
      <c r="B68" t="str" cm="1">
        <f t="array" ref="B68">IF(ISERROR(INDEX(RESULT_SUBJECT,SMALL(IF(COUNTIF($B$39,WEEK)*COUNTIF(#REF!,WEEKDAY), ROW(WEEK)-MIN(ROW(WEEK))+1),ROW(A34)),COLUMN(A34))),"",INDEX(RESULT_SUBJECT,SMALL(IF(COUNTIF($B$39,WEEK)*COUNTIF(#REF!,WEEKDAY), ROW(WEEK)-MIN(ROW(WEEK))+1),ROW(A34)),COLUMN(A34)))</f>
        <v/>
      </c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2"/>
      <c r="AR68" s="2"/>
      <c r="AS68" s="2"/>
      <c r="AT68" s="2" cm="1">
        <f t="array" aca="1" ref="AT68" ca="1">IF(ISERROR(INDEX(RESULT_DURATION,SMALL(IF(COUNTIF($AQ$39,WEEK)*COUNTIF($AR$39,WEEKDAY), ROW(WEEK)-MIN(ROW(WEEK))+1),ROW(A27)),COLUMN(A27))),0,INDEX(RESULT_DURATION,SMALL(IF(COUNTIF($AQ$39,WEEK)*COUNTIF($AR$39,WEEKDAY), ROW(WEEK)-MIN(ROW(WEEK))+1),ROW(A27)),COLUMN(A27)))</f>
        <v>0</v>
      </c>
      <c r="AU68" cm="1">
        <f t="array" aca="1" ref="AU68" ca="1">IF(ISERROR(INDEX(RESULT_START,SMALL(IF(COUNTIF($AQ$39,WEEK)*COUNTIF($AR$39,WEEKDAY), ROW(WEEK)-MIN(ROW(WEEK))+1),ROW(A27)),COLUMN(A27))),0,INDEX(RESULT_START,SMALL(IF(COUNTIF($AQ$39,WEEK)*COUNTIF($AR$39,WEEKDAY), ROW(WEEK)-MIN(ROW(WEEK))+1),ROW(A27)),COLUMN(A27)))</f>
        <v>0</v>
      </c>
      <c r="AV68" cm="1">
        <f t="array" ref="AV68">IF(ISERROR(INDEX(RESULT_STARTMIN,SMALL(IF(COUNTIF($B$39,WEEK)*COUNTIF(#REF!,WEEKDAY), ROW(WEEK)-MIN(ROW(WEEK))+1),ROW(AQ30)),COLUMN(AQ30))),0,INDEX(RESULT_STARTMIN,SMALL(IF(COUNTIF($B$39,WEEK)*COUNTIF(#REF!,WEEKDAY), ROW(WEEK)-MIN(ROW(WEEK))+1),ROW(AQ30)),COLUMN(AQ30)))</f>
        <v>0</v>
      </c>
      <c r="AW68" cm="1">
        <f t="array" aca="1" ref="AW68" ca="1">IF(ISERROR(INDEX(RESULT_CATEGORIES,SMALL(IF(COUNTIF($AQ$39,WEEK)*COUNTIF($AR$39,WEEKDAY), ROW(WEEK)-MIN(ROW(WEEK))+1),ROW(A27)),COLUMN(A27))),0,INDEX(RESULT_CATEGORIES,SMALL(IF(COUNTIF($AQ$39,WEEK)*COUNTIF($AR$39,WEEKDAY), ROW(WEEK)-MIN(ROW(WEEK))+1),ROW(A27)),COLUMN(A27)))</f>
        <v>0</v>
      </c>
      <c r="AX68" s="2"/>
      <c r="AY68" s="2"/>
      <c r="AZ68" s="2">
        <f>SUMIFS(RESULT_DURATION,WEEK,AZ$52,RESULTLOCATION,#REF!,WEEKDAY,AZ$53)/60</f>
        <v>0</v>
      </c>
      <c r="BA68" t="str" cm="1">
        <f t="array" ref="BA68">IF(ISERROR(INDEX(RESULT_SUBJECT,SMALL(IF(COUNTIF($BA$3,MONTH), ROW(MONTH)-MIN(ROW(MONTH))+1),ROW(A63)),COLUMN(A63))),"",INDEX(RESULT_SUBJECT,SMALL(IF(COUNTIF($BA$3,MONTH), ROW(MONTH)-MIN(ROW(MONTH))+1),ROW(A63)),COLUMN(A63)))</f>
        <v/>
      </c>
      <c r="BB68" t="str" cm="1">
        <f t="array" ref="BB68">IF(ISERROR(INDEX(WEEK,SMALL(IF(COUNTIF($BA$3,MONTH), ROW(MONTH)-MIN(ROW(MONTH))+1),ROW(A63)),COLUMN(A63))),"",INDEX(WEEK,SMALL(IF(COUNTIF($BA$3,MONTH), ROW(MONTH)-MIN(ROW(MONTH))+1),ROW(A63)),COLUMN(A63)))</f>
        <v/>
      </c>
      <c r="BC68" t="str" cm="1">
        <f t="array" ref="BC68">IF(ISERROR(INDEX(RESULT_DAY,SMALL(IF(COUNTIF($BA$3,MONTH), ROW(MONTH)-MIN(ROW(MONTH))+1),ROW(A63)),COLUMN(A63))),"",INDEX(RESULT_DAY,SMALL(IF(COUNTIF($BA$3,MONTH), ROW(MONTH)-MIN(ROW(MONTH))+1),ROW(A63)),COLUMN(A63)))</f>
        <v/>
      </c>
      <c r="BD68" s="29" t="str">
        <f t="shared" si="26"/>
        <v/>
      </c>
      <c r="BE68" s="2" t="str" cm="1">
        <f t="array" ref="BE68">IF(ISERROR(INDEX(RESULT_DURATION,SMALL(IF(COUNTIF($BA$3,MONTH), ROW(MONTH)-MIN(ROW(MONTH))+1),ROW(A63)),COLUMN(A63))),"",INDEX(RESULT_DURATION,SMALL(IF(COUNTIF($BA$3,MONTH), ROW(MONTH)-MIN(ROW(MONTH))+1),ROW(A63)),COLUMN(A63)))</f>
        <v/>
      </c>
      <c r="BH68" t="str" cm="1">
        <f t="array" ref="BH68">IF(ISERROR(INDEX(RESULT_CATEGORIES,SMALL(IF(COUNTIF($BA$3,MONTH), ROW(MONTH)-MIN(ROW(MONTH))+1),ROW(A63)),COLUMN(A63))),"",INDEX(RESULT_CATEGORIES,SMALL(IF(COUNTIF($BA$3,MONTH), ROW(MONTH)-MIN(ROW(MONTH))+1),ROW(A63)),COLUMN(A63)))</f>
        <v/>
      </c>
      <c r="BI68" t="str" cm="1">
        <f t="array" ref="BI68">IF(ISERROR(INDEX(RESULTLOCATION,SMALL(IF(COUNTIF($BA$3,MONTH), ROW(MONTH)-MIN(ROW(MONTH))+1),ROW(A63)),COLUMN(A63))),"",INDEX(RESULTLOCATION,SMALL(IF(COUNTIF($BA$3,MONTH), ROW(MONTH)-MIN(ROW(MONTH))+1),ROW(A63)),COLUMN(A63)))</f>
        <v/>
      </c>
    </row>
    <row r="69" spans="2:61" x14ac:dyDescent="0.3">
      <c r="B69" t="str" cm="1">
        <f t="array" ref="B69">IF(ISERROR(INDEX(RESULT_SUBJECT,SMALL(IF(COUNTIF($B$39,WEEK)*COUNTIF(#REF!,WEEKDAY), ROW(WEEK)-MIN(ROW(WEEK))+1),ROW(A35)),COLUMN(A35))),"",INDEX(RESULT_SUBJECT,SMALL(IF(COUNTIF($B$39,WEEK)*COUNTIF(#REF!,WEEKDAY), ROW(WEEK)-MIN(ROW(WEEK))+1),ROW(A35)),COLUMN(A35)))</f>
        <v/>
      </c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2"/>
      <c r="AR69" s="2"/>
      <c r="AS69" s="2"/>
      <c r="AT69" s="2" cm="1">
        <f t="array" aca="1" ref="AT69" ca="1">IF(ISERROR(INDEX(RESULT_DURATION,SMALL(IF(COUNTIF($AQ$39,WEEK)*COUNTIF($AR$39,WEEKDAY), ROW(WEEK)-MIN(ROW(WEEK))+1),ROW(A28)),COLUMN(A28))),0,INDEX(RESULT_DURATION,SMALL(IF(COUNTIF($AQ$39,WEEK)*COUNTIF($AR$39,WEEKDAY), ROW(WEEK)-MIN(ROW(WEEK))+1),ROW(A28)),COLUMN(A28)))</f>
        <v>0</v>
      </c>
      <c r="AU69" cm="1">
        <f t="array" aca="1" ref="AU69" ca="1">IF(ISERROR(INDEX(RESULT_START,SMALL(IF(COUNTIF($AQ$39,WEEK)*COUNTIF($AR$39,WEEKDAY), ROW(WEEK)-MIN(ROW(WEEK))+1),ROW(A28)),COLUMN(A28))),0,INDEX(RESULT_START,SMALL(IF(COUNTIF($AQ$39,WEEK)*COUNTIF($AR$39,WEEKDAY), ROW(WEEK)-MIN(ROW(WEEK))+1),ROW(A28)),COLUMN(A28)))</f>
        <v>0</v>
      </c>
      <c r="AV69" cm="1">
        <f t="array" ref="AV69">IF(ISERROR(INDEX(RESULT_STARTMIN,SMALL(IF(COUNTIF($B$39,WEEK)*COUNTIF(#REF!,WEEKDAY), ROW(WEEK)-MIN(ROW(WEEK))+1),ROW(AQ31)),COLUMN(AQ31))),0,INDEX(RESULT_STARTMIN,SMALL(IF(COUNTIF($B$39,WEEK)*COUNTIF(#REF!,WEEKDAY), ROW(WEEK)-MIN(ROW(WEEK))+1),ROW(AQ31)),COLUMN(AQ31)))</f>
        <v>0</v>
      </c>
      <c r="AW69" cm="1">
        <f t="array" aca="1" ref="AW69" ca="1">IF(ISERROR(INDEX(RESULT_CATEGORIES,SMALL(IF(COUNTIF($AQ$39,WEEK)*COUNTIF($AR$39,WEEKDAY), ROW(WEEK)-MIN(ROW(WEEK))+1),ROW(A28)),COLUMN(A28))),0,INDEX(RESULT_CATEGORIES,SMALL(IF(COUNTIF($AQ$39,WEEK)*COUNTIF($AR$39,WEEKDAY), ROW(WEEK)-MIN(ROW(WEEK))+1),ROW(A28)),COLUMN(A28)))</f>
        <v>0</v>
      </c>
      <c r="AX69" s="2"/>
      <c r="AY69" s="2"/>
      <c r="AZ69" s="2">
        <f>SUMIFS(RESULT_DURATION,WEEK,AZ$52,RESULTLOCATION,#REF!,WEEKDAY,AZ$53)/60</f>
        <v>0</v>
      </c>
      <c r="BA69" t="str" cm="1">
        <f t="array" ref="BA69">IF(ISERROR(INDEX(RESULT_SUBJECT,SMALL(IF(COUNTIF($BA$3,MONTH), ROW(MONTH)-MIN(ROW(MONTH))+1),ROW(A64)),COLUMN(A64))),"",INDEX(RESULT_SUBJECT,SMALL(IF(COUNTIF($BA$3,MONTH), ROW(MONTH)-MIN(ROW(MONTH))+1),ROW(A64)),COLUMN(A64)))</f>
        <v/>
      </c>
      <c r="BB69" t="str" cm="1">
        <f t="array" ref="BB69">IF(ISERROR(INDEX(WEEK,SMALL(IF(COUNTIF($BA$3,MONTH), ROW(MONTH)-MIN(ROW(MONTH))+1),ROW(A64)),COLUMN(A64))),"",INDEX(WEEK,SMALL(IF(COUNTIF($BA$3,MONTH), ROW(MONTH)-MIN(ROW(MONTH))+1),ROW(A64)),COLUMN(A64)))</f>
        <v/>
      </c>
      <c r="BC69" t="str" cm="1">
        <f t="array" ref="BC69">IF(ISERROR(INDEX(RESULT_DAY,SMALL(IF(COUNTIF($BA$3,MONTH), ROW(MONTH)-MIN(ROW(MONTH))+1),ROW(A64)),COLUMN(A64))),"",INDEX(RESULT_DAY,SMALL(IF(COUNTIF($BA$3,MONTH), ROW(MONTH)-MIN(ROW(MONTH))+1),ROW(A64)),COLUMN(A64)))</f>
        <v/>
      </c>
      <c r="BD69" s="29" t="str">
        <f t="shared" si="26"/>
        <v/>
      </c>
      <c r="BE69" s="2" t="str" cm="1">
        <f t="array" ref="BE69">IF(ISERROR(INDEX(RESULT_DURATION,SMALL(IF(COUNTIF($BA$3,MONTH), ROW(MONTH)-MIN(ROW(MONTH))+1),ROW(A64)),COLUMN(A64))),"",INDEX(RESULT_DURATION,SMALL(IF(COUNTIF($BA$3,MONTH), ROW(MONTH)-MIN(ROW(MONTH))+1),ROW(A64)),COLUMN(A64)))</f>
        <v/>
      </c>
      <c r="BH69" t="str" cm="1">
        <f t="array" ref="BH69">IF(ISERROR(INDEX(RESULT_CATEGORIES,SMALL(IF(COUNTIF($BA$3,MONTH), ROW(MONTH)-MIN(ROW(MONTH))+1),ROW(A64)),COLUMN(A64))),"",INDEX(RESULT_CATEGORIES,SMALL(IF(COUNTIF($BA$3,MONTH), ROW(MONTH)-MIN(ROW(MONTH))+1),ROW(A64)),COLUMN(A64)))</f>
        <v/>
      </c>
      <c r="BI69" t="str" cm="1">
        <f t="array" ref="BI69">IF(ISERROR(INDEX(RESULTLOCATION,SMALL(IF(COUNTIF($BA$3,MONTH), ROW(MONTH)-MIN(ROW(MONTH))+1),ROW(A64)),COLUMN(A64))),"",INDEX(RESULTLOCATION,SMALL(IF(COUNTIF($BA$3,MONTH), ROW(MONTH)-MIN(ROW(MONTH))+1),ROW(A64)),COLUMN(A64)))</f>
        <v/>
      </c>
    </row>
    <row r="70" spans="2:61" x14ac:dyDescent="0.3">
      <c r="B70" t="str" cm="1">
        <f t="array" ref="B70">IF(ISERROR(INDEX(RESULT_SUBJECT,SMALL(IF(COUNTIF($B$39,WEEK)*COUNTIF(#REF!,WEEKDAY), ROW(WEEK)-MIN(ROW(WEEK))+1),ROW(A36)),COLUMN(A36))),"",INDEX(RESULT_SUBJECT,SMALL(IF(COUNTIF($B$39,WEEK)*COUNTIF(#REF!,WEEKDAY), ROW(WEEK)-MIN(ROW(WEEK))+1),ROW(A36)),COLUMN(A36)))</f>
        <v/>
      </c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2"/>
      <c r="AR70" s="2"/>
      <c r="AS70" s="2"/>
      <c r="AT70" s="2" cm="1">
        <f t="array" aca="1" ref="AT70" ca="1">IF(ISERROR(INDEX(RESULT_DURATION,SMALL(IF(COUNTIF($AQ$39,WEEK)*COUNTIF($AR$39,WEEKDAY), ROW(WEEK)-MIN(ROW(WEEK))+1),ROW(A29)),COLUMN(A29))),0,INDEX(RESULT_DURATION,SMALL(IF(COUNTIF($AQ$39,WEEK)*COUNTIF($AR$39,WEEKDAY), ROW(WEEK)-MIN(ROW(WEEK))+1),ROW(A29)),COLUMN(A29)))</f>
        <v>0</v>
      </c>
      <c r="AU70" cm="1">
        <f t="array" aca="1" ref="AU70" ca="1">IF(ISERROR(INDEX(RESULT_START,SMALL(IF(COUNTIF($AQ$39,WEEK)*COUNTIF($AR$39,WEEKDAY), ROW(WEEK)-MIN(ROW(WEEK))+1),ROW(A29)),COLUMN(A29))),0,INDEX(RESULT_START,SMALL(IF(COUNTIF($AQ$39,WEEK)*COUNTIF($AR$39,WEEKDAY), ROW(WEEK)-MIN(ROW(WEEK))+1),ROW(A29)),COLUMN(A29)))</f>
        <v>0</v>
      </c>
      <c r="AV70" cm="1">
        <f t="array" ref="AV70">IF(ISERROR(INDEX(RESULT_STARTMIN,SMALL(IF(COUNTIF($B$39,WEEK)*COUNTIF(#REF!,WEEKDAY), ROW(WEEK)-MIN(ROW(WEEK))+1),ROW(AQ32)),COLUMN(AQ32))),0,INDEX(RESULT_STARTMIN,SMALL(IF(COUNTIF($B$39,WEEK)*COUNTIF(#REF!,WEEKDAY), ROW(WEEK)-MIN(ROW(WEEK))+1),ROW(AQ32)),COLUMN(AQ32)))</f>
        <v>0</v>
      </c>
      <c r="AW70" cm="1">
        <f t="array" aca="1" ref="AW70" ca="1">IF(ISERROR(INDEX(RESULT_CATEGORIES,SMALL(IF(COUNTIF($AQ$39,WEEK)*COUNTIF($AR$39,WEEKDAY), ROW(WEEK)-MIN(ROW(WEEK))+1),ROW(A29)),COLUMN(A29))),0,INDEX(RESULT_CATEGORIES,SMALL(IF(COUNTIF($AQ$39,WEEK)*COUNTIF($AR$39,WEEKDAY), ROW(WEEK)-MIN(ROW(WEEK))+1),ROW(A29)),COLUMN(A29)))</f>
        <v>0</v>
      </c>
      <c r="AX70" s="2"/>
      <c r="AY70" s="2"/>
      <c r="AZ70" s="2">
        <f>SUMIFS(RESULT_DURATION,WEEK,AZ$52,RESULTLOCATION,#REF!,WEEKDAY,AZ$53)/60</f>
        <v>0</v>
      </c>
      <c r="BA70" t="str" cm="1">
        <f t="array" ref="BA70">IF(ISERROR(INDEX(RESULT_SUBJECT,SMALL(IF(COUNTIF($BA$3,MONTH), ROW(MONTH)-MIN(ROW(MONTH))+1),ROW(A65)),COLUMN(A65))),"",INDEX(RESULT_SUBJECT,SMALL(IF(COUNTIF($BA$3,MONTH), ROW(MONTH)-MIN(ROW(MONTH))+1),ROW(A65)),COLUMN(A65)))</f>
        <v/>
      </c>
      <c r="BB70" t="str" cm="1">
        <f t="array" ref="BB70">IF(ISERROR(INDEX(WEEK,SMALL(IF(COUNTIF($BA$3,MONTH), ROW(MONTH)-MIN(ROW(MONTH))+1),ROW(A65)),COLUMN(A65))),"",INDEX(WEEK,SMALL(IF(COUNTIF($BA$3,MONTH), ROW(MONTH)-MIN(ROW(MONTH))+1),ROW(A65)),COLUMN(A65)))</f>
        <v/>
      </c>
      <c r="BC70" t="str" cm="1">
        <f t="array" ref="BC70">IF(ISERROR(INDEX(RESULT_DAY,SMALL(IF(COUNTIF($BA$3,MONTH), ROW(MONTH)-MIN(ROW(MONTH))+1),ROW(A65)),COLUMN(A65))),"",INDEX(RESULT_DAY,SMALL(IF(COUNTIF($BA$3,MONTH), ROW(MONTH)-MIN(ROW(MONTH))+1),ROW(A65)),COLUMN(A65)))</f>
        <v/>
      </c>
      <c r="BD70" s="29" t="str">
        <f t="shared" si="26"/>
        <v/>
      </c>
      <c r="BE70" s="2" t="str" cm="1">
        <f t="array" ref="BE70">IF(ISERROR(INDEX(RESULT_DURATION,SMALL(IF(COUNTIF($BA$3,MONTH), ROW(MONTH)-MIN(ROW(MONTH))+1),ROW(A65)),COLUMN(A65))),"",INDEX(RESULT_DURATION,SMALL(IF(COUNTIF($BA$3,MONTH), ROW(MONTH)-MIN(ROW(MONTH))+1),ROW(A65)),COLUMN(A65)))</f>
        <v/>
      </c>
      <c r="BH70" t="str" cm="1">
        <f t="array" ref="BH70">IF(ISERROR(INDEX(RESULT_CATEGORIES,SMALL(IF(COUNTIF($BA$3,MONTH), ROW(MONTH)-MIN(ROW(MONTH))+1),ROW(A65)),COLUMN(A65))),"",INDEX(RESULT_CATEGORIES,SMALL(IF(COUNTIF($BA$3,MONTH), ROW(MONTH)-MIN(ROW(MONTH))+1),ROW(A65)),COLUMN(A65)))</f>
        <v/>
      </c>
      <c r="BI70" t="str" cm="1">
        <f t="array" ref="BI70">IF(ISERROR(INDEX(RESULTLOCATION,SMALL(IF(COUNTIF($BA$3,MONTH), ROW(MONTH)-MIN(ROW(MONTH))+1),ROW(A65)),COLUMN(A65))),"",INDEX(RESULTLOCATION,SMALL(IF(COUNTIF($BA$3,MONTH), ROW(MONTH)-MIN(ROW(MONTH))+1),ROW(A65)),COLUMN(A65)))</f>
        <v/>
      </c>
    </row>
    <row r="71" spans="2:61" x14ac:dyDescent="0.3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 cm="1">
        <f t="array" aca="1" ref="AT71" ca="1">IF(ISERROR(INDEX(RESULT_DURATION,SMALL(IF(COUNTIF($AQ$39,WEEK)*COUNTIF($AR$39,WEEKDAY), ROW(WEEK)-MIN(ROW(WEEK))+1),ROW(A30)),COLUMN(A30))),0,INDEX(RESULT_DURATION,SMALL(IF(COUNTIF($AQ$39,WEEK)*COUNTIF($AR$39,WEEKDAY), ROW(WEEK)-MIN(ROW(WEEK))+1),ROW(A30)),COLUMN(A30)))</f>
        <v>0</v>
      </c>
      <c r="AU71" cm="1">
        <f t="array" aca="1" ref="AU71" ca="1">IF(ISERROR(INDEX(RESULT_START,SMALL(IF(COUNTIF($AQ$39,WEEK)*COUNTIF($AR$39,WEEKDAY), ROW(WEEK)-MIN(ROW(WEEK))+1),ROW(A30)),COLUMN(A30))),0,INDEX(RESULT_START,SMALL(IF(COUNTIF($AQ$39,WEEK)*COUNTIF($AR$39,WEEKDAY), ROW(WEEK)-MIN(ROW(WEEK))+1),ROW(A30)),COLUMN(A30)))</f>
        <v>0</v>
      </c>
      <c r="AV71" cm="1">
        <f t="array" ref="AV71">IF(ISERROR(INDEX(RESULT_STARTMIN,SMALL(IF(COUNTIF($B$39,WEEK)*COUNTIF(#REF!,WEEKDAY), ROW(WEEK)-MIN(ROW(WEEK))+1),ROW(AQ33)),COLUMN(AQ33))),0,INDEX(RESULT_STARTMIN,SMALL(IF(COUNTIF($B$39,WEEK)*COUNTIF(#REF!,WEEKDAY), ROW(WEEK)-MIN(ROW(WEEK))+1),ROW(AQ33)),COLUMN(AQ33)))</f>
        <v>0</v>
      </c>
      <c r="AW71" cm="1">
        <f t="array" aca="1" ref="AW71" ca="1">IF(ISERROR(INDEX(RESULT_CATEGORIES,SMALL(IF(COUNTIF($AQ$39,WEEK)*COUNTIF($AR$39,WEEKDAY), ROW(WEEK)-MIN(ROW(WEEK))+1),ROW(A30)),COLUMN(A30))),0,INDEX(RESULT_CATEGORIES,SMALL(IF(COUNTIF($AQ$39,WEEK)*COUNTIF($AR$39,WEEKDAY), ROW(WEEK)-MIN(ROW(WEEK))+1),ROW(A30)),COLUMN(A30)))</f>
        <v>0</v>
      </c>
      <c r="AX71" s="2"/>
      <c r="AY71" s="2"/>
      <c r="AZ71" s="2">
        <f>SUMIFS(RESULT_DURATION,WEEK,AZ$52,RESULTLOCATION,#REF!,WEEKDAY,AZ$53)/60</f>
        <v>0</v>
      </c>
      <c r="BA71" t="str" cm="1">
        <f t="array" ref="BA71">IF(ISERROR(INDEX(RESULT_SUBJECT,SMALL(IF(COUNTIF($BA$3,MONTH), ROW(MONTH)-MIN(ROW(MONTH))+1),ROW(A66)),COLUMN(A66))),"",INDEX(RESULT_SUBJECT,SMALL(IF(COUNTIF($BA$3,MONTH), ROW(MONTH)-MIN(ROW(MONTH))+1),ROW(A66)),COLUMN(A66)))</f>
        <v/>
      </c>
      <c r="BB71" t="str" cm="1">
        <f t="array" ref="BB71">IF(ISERROR(INDEX(WEEK,SMALL(IF(COUNTIF($BA$3,MONTH), ROW(MONTH)-MIN(ROW(MONTH))+1),ROW(A66)),COLUMN(A66))),"",INDEX(WEEK,SMALL(IF(COUNTIF($BA$3,MONTH), ROW(MONTH)-MIN(ROW(MONTH))+1),ROW(A66)),COLUMN(A66)))</f>
        <v/>
      </c>
      <c r="BC71" t="str" cm="1">
        <f t="array" ref="BC71">IF(ISERROR(INDEX(RESULT_DAY,SMALL(IF(COUNTIF($BA$3,MONTH), ROW(MONTH)-MIN(ROW(MONTH))+1),ROW(A66)),COLUMN(A66))),"",INDEX(RESULT_DAY,SMALL(IF(COUNTIF($BA$3,MONTH), ROW(MONTH)-MIN(ROW(MONTH))+1),ROW(A66)),COLUMN(A66)))</f>
        <v/>
      </c>
      <c r="BD71" s="29" t="str">
        <f t="shared" ref="BD71:BD134" si="51">IF(ISERROR((DATE(2021,1,1)+($BA$3-2)*7)+BC71+1),"",(DATE(2021,1,1)+($BA$3-2)*7)+BC71+1)</f>
        <v/>
      </c>
      <c r="BE71" s="2" t="str" cm="1">
        <f t="array" ref="BE71">IF(ISERROR(INDEX(RESULT_DURATION,SMALL(IF(COUNTIF($BA$3,MONTH), ROW(MONTH)-MIN(ROW(MONTH))+1),ROW(A66)),COLUMN(A66))),"",INDEX(RESULT_DURATION,SMALL(IF(COUNTIF($BA$3,MONTH), ROW(MONTH)-MIN(ROW(MONTH))+1),ROW(A66)),COLUMN(A66)))</f>
        <v/>
      </c>
      <c r="BH71" t="str" cm="1">
        <f t="array" ref="BH71">IF(ISERROR(INDEX(RESULT_CATEGORIES,SMALL(IF(COUNTIF($BA$3,MONTH), ROW(MONTH)-MIN(ROW(MONTH))+1),ROW(A66)),COLUMN(A66))),"",INDEX(RESULT_CATEGORIES,SMALL(IF(COUNTIF($BA$3,MONTH), ROW(MONTH)-MIN(ROW(MONTH))+1),ROW(A66)),COLUMN(A66)))</f>
        <v/>
      </c>
      <c r="BI71" t="str" cm="1">
        <f t="array" ref="BI71">IF(ISERROR(INDEX(RESULTLOCATION,SMALL(IF(COUNTIF($BA$3,MONTH), ROW(MONTH)-MIN(ROW(MONTH))+1),ROW(A66)),COLUMN(A66))),"",INDEX(RESULTLOCATION,SMALL(IF(COUNTIF($BA$3,MONTH), ROW(MONTH)-MIN(ROW(MONTH))+1),ROW(A66)),COLUMN(A66)))</f>
        <v/>
      </c>
    </row>
    <row r="72" spans="2:61" x14ac:dyDescent="0.3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 cm="1">
        <f t="array" aca="1" ref="AT72" ca="1">IF(ISERROR(INDEX(RESULT_DURATION,SMALL(IF(COUNTIF($AQ$39,WEEK)*COUNTIF($AR$39,WEEKDAY), ROW(WEEK)-MIN(ROW(WEEK))+1),ROW(A31)),COLUMN(A31))),0,INDEX(RESULT_DURATION,SMALL(IF(COUNTIF($AQ$39,WEEK)*COUNTIF($AR$39,WEEKDAY), ROW(WEEK)-MIN(ROW(WEEK))+1),ROW(A31)),COLUMN(A31)))</f>
        <v>0</v>
      </c>
      <c r="AU72" cm="1">
        <f t="array" aca="1" ref="AU72" ca="1">IF(ISERROR(INDEX(RESULT_START,SMALL(IF(COUNTIF($AQ$39,WEEK)*COUNTIF($AR$39,WEEKDAY), ROW(WEEK)-MIN(ROW(WEEK))+1),ROW(A31)),COLUMN(A31))),0,INDEX(RESULT_START,SMALL(IF(COUNTIF($AQ$39,WEEK)*COUNTIF($AR$39,WEEKDAY), ROW(WEEK)-MIN(ROW(WEEK))+1),ROW(A31)),COLUMN(A31)))</f>
        <v>0</v>
      </c>
      <c r="AV72" cm="1">
        <f t="array" ref="AV72">IF(ISERROR(INDEX(RESULT_STARTMIN,SMALL(IF(COUNTIF($B$39,WEEK)*COUNTIF(#REF!,WEEKDAY), ROW(WEEK)-MIN(ROW(WEEK))+1),ROW(AQ34)),COLUMN(AQ34))),0,INDEX(RESULT_STARTMIN,SMALL(IF(COUNTIF($B$39,WEEK)*COUNTIF(#REF!,WEEKDAY), ROW(WEEK)-MIN(ROW(WEEK))+1),ROW(AQ34)),COLUMN(AQ34)))</f>
        <v>0</v>
      </c>
      <c r="AW72" cm="1">
        <f t="array" aca="1" ref="AW72" ca="1">IF(ISERROR(INDEX(RESULT_CATEGORIES,SMALL(IF(COUNTIF($AQ$39,WEEK)*COUNTIF($AR$39,WEEKDAY), ROW(WEEK)-MIN(ROW(WEEK))+1),ROW(A31)),COLUMN(A31))),0,INDEX(RESULT_CATEGORIES,SMALL(IF(COUNTIF($AQ$39,WEEK)*COUNTIF($AR$39,WEEKDAY), ROW(WEEK)-MIN(ROW(WEEK))+1),ROW(A31)),COLUMN(A31)))</f>
        <v>0</v>
      </c>
      <c r="AX72" s="2"/>
      <c r="AY72" s="2"/>
      <c r="AZ72" s="2">
        <f>SUMIFS(RESULT_DURATION,WEEK,AZ$52,RESULTLOCATION,#REF!,WEEKDAY,AZ$53)/60</f>
        <v>0</v>
      </c>
      <c r="BA72" t="str" cm="1">
        <f t="array" ref="BA72">IF(ISERROR(INDEX(RESULT_SUBJECT,SMALL(IF(COUNTIF($BA$3,MONTH), ROW(MONTH)-MIN(ROW(MONTH))+1),ROW(A67)),COLUMN(A67))),"",INDEX(RESULT_SUBJECT,SMALL(IF(COUNTIF($BA$3,MONTH), ROW(MONTH)-MIN(ROW(MONTH))+1),ROW(A67)),COLUMN(A67)))</f>
        <v/>
      </c>
      <c r="BB72" t="str" cm="1">
        <f t="array" ref="BB72">IF(ISERROR(INDEX(WEEK,SMALL(IF(COUNTIF($BA$3,MONTH), ROW(MONTH)-MIN(ROW(MONTH))+1),ROW(A67)),COLUMN(A67))),"",INDEX(WEEK,SMALL(IF(COUNTIF($BA$3,MONTH), ROW(MONTH)-MIN(ROW(MONTH))+1),ROW(A67)),COLUMN(A67)))</f>
        <v/>
      </c>
      <c r="BC72" t="str" cm="1">
        <f t="array" ref="BC72">IF(ISERROR(INDEX(RESULT_DAY,SMALL(IF(COUNTIF($BA$3,MONTH), ROW(MONTH)-MIN(ROW(MONTH))+1),ROW(A67)),COLUMN(A67))),"",INDEX(RESULT_DAY,SMALL(IF(COUNTIF($BA$3,MONTH), ROW(MONTH)-MIN(ROW(MONTH))+1),ROW(A67)),COLUMN(A67)))</f>
        <v/>
      </c>
      <c r="BD72" s="29" t="str">
        <f t="shared" si="51"/>
        <v/>
      </c>
      <c r="BE72" s="2" t="str" cm="1">
        <f t="array" ref="BE72">IF(ISERROR(INDEX(RESULT_DURATION,SMALL(IF(COUNTIF($BA$3,MONTH), ROW(MONTH)-MIN(ROW(MONTH))+1),ROW(A67)),COLUMN(A67))),"",INDEX(RESULT_DURATION,SMALL(IF(COUNTIF($BA$3,MONTH), ROW(MONTH)-MIN(ROW(MONTH))+1),ROW(A67)),COLUMN(A67)))</f>
        <v/>
      </c>
      <c r="BH72" t="str" cm="1">
        <f t="array" ref="BH72">IF(ISERROR(INDEX(RESULT_CATEGORIES,SMALL(IF(COUNTIF($BA$3,MONTH), ROW(MONTH)-MIN(ROW(MONTH))+1),ROW(A67)),COLUMN(A67))),"",INDEX(RESULT_CATEGORIES,SMALL(IF(COUNTIF($BA$3,MONTH), ROW(MONTH)-MIN(ROW(MONTH))+1),ROW(A67)),COLUMN(A67)))</f>
        <v/>
      </c>
      <c r="BI72" t="str" cm="1">
        <f t="array" ref="BI72">IF(ISERROR(INDEX(RESULTLOCATION,SMALL(IF(COUNTIF($BA$3,MONTH), ROW(MONTH)-MIN(ROW(MONTH))+1),ROW(A67)),COLUMN(A67))),"",INDEX(RESULTLOCATION,SMALL(IF(COUNTIF($BA$3,MONTH), ROW(MONTH)-MIN(ROW(MONTH))+1),ROW(A67)),COLUMN(A67)))</f>
        <v/>
      </c>
    </row>
    <row r="73" spans="2:61" x14ac:dyDescent="0.3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 cm="1">
        <f t="array" aca="1" ref="AT73" ca="1">IF(ISERROR(INDEX(RESULT_DURATION,SMALL(IF(COUNTIF($AQ$39,WEEK)*COUNTIF($AR$39,WEEKDAY), ROW(WEEK)-MIN(ROW(WEEK))+1),ROW(A32)),COLUMN(A32))),0,INDEX(RESULT_DURATION,SMALL(IF(COUNTIF($AQ$39,WEEK)*COUNTIF($AR$39,WEEKDAY), ROW(WEEK)-MIN(ROW(WEEK))+1),ROW(A32)),COLUMN(A32)))</f>
        <v>0</v>
      </c>
      <c r="AU73" cm="1">
        <f t="array" aca="1" ref="AU73" ca="1">IF(ISERROR(INDEX(RESULT_START,SMALL(IF(COUNTIF($AQ$39,WEEK)*COUNTIF($AR$39,WEEKDAY), ROW(WEEK)-MIN(ROW(WEEK))+1),ROW(A32)),COLUMN(A32))),0,INDEX(RESULT_START,SMALL(IF(COUNTIF($AQ$39,WEEK)*COUNTIF($AR$39,WEEKDAY), ROW(WEEK)-MIN(ROW(WEEK))+1),ROW(A32)),COLUMN(A32)))</f>
        <v>0</v>
      </c>
      <c r="AV73" cm="1">
        <f t="array" ref="AV73">IF(ISERROR(INDEX(RESULT_STARTMIN,SMALL(IF(COUNTIF($B$39,WEEK)*COUNTIF(#REF!,WEEKDAY), ROW(WEEK)-MIN(ROW(WEEK))+1),ROW(AQ35)),COLUMN(AQ35))),0,INDEX(RESULT_STARTMIN,SMALL(IF(COUNTIF($B$39,WEEK)*COUNTIF(#REF!,WEEKDAY), ROW(WEEK)-MIN(ROW(WEEK))+1),ROW(AQ35)),COLUMN(AQ35)))</f>
        <v>0</v>
      </c>
      <c r="AW73" cm="1">
        <f t="array" aca="1" ref="AW73" ca="1">IF(ISERROR(INDEX(RESULT_CATEGORIES,SMALL(IF(COUNTIF($AQ$39,WEEK)*COUNTIF($AR$39,WEEKDAY), ROW(WEEK)-MIN(ROW(WEEK))+1),ROW(A32)),COLUMN(A32))),0,INDEX(RESULT_CATEGORIES,SMALL(IF(COUNTIF($AQ$39,WEEK)*COUNTIF($AR$39,WEEKDAY), ROW(WEEK)-MIN(ROW(WEEK))+1),ROW(A32)),COLUMN(A32)))</f>
        <v>0</v>
      </c>
      <c r="AX73" s="2"/>
      <c r="AY73" s="2"/>
      <c r="AZ73" s="2">
        <f>SUMIFS(RESULT_DURATION,WEEK,AZ$52,RESULTLOCATION,#REF!,WEEKDAY,AZ$53)/60</f>
        <v>0</v>
      </c>
      <c r="BA73" t="str" cm="1">
        <f t="array" ref="BA73">IF(ISERROR(INDEX(RESULT_SUBJECT,SMALL(IF(COUNTIF($BA$3,MONTH), ROW(MONTH)-MIN(ROW(MONTH))+1),ROW(A68)),COLUMN(A68))),"",INDEX(RESULT_SUBJECT,SMALL(IF(COUNTIF($BA$3,MONTH), ROW(MONTH)-MIN(ROW(MONTH))+1),ROW(A68)),COLUMN(A68)))</f>
        <v/>
      </c>
      <c r="BB73" t="str" cm="1">
        <f t="array" ref="BB73">IF(ISERROR(INDEX(WEEK,SMALL(IF(COUNTIF($BA$3,MONTH), ROW(MONTH)-MIN(ROW(MONTH))+1),ROW(A68)),COLUMN(A68))),"",INDEX(WEEK,SMALL(IF(COUNTIF($BA$3,MONTH), ROW(MONTH)-MIN(ROW(MONTH))+1),ROW(A68)),COLUMN(A68)))</f>
        <v/>
      </c>
      <c r="BC73" t="str" cm="1">
        <f t="array" ref="BC73">IF(ISERROR(INDEX(RESULT_DAY,SMALL(IF(COUNTIF($BA$3,MONTH), ROW(MONTH)-MIN(ROW(MONTH))+1),ROW(A68)),COLUMN(A68))),"",INDEX(RESULT_DAY,SMALL(IF(COUNTIF($BA$3,MONTH), ROW(MONTH)-MIN(ROW(MONTH))+1),ROW(A68)),COLUMN(A68)))</f>
        <v/>
      </c>
      <c r="BD73" s="29" t="str">
        <f t="shared" si="51"/>
        <v/>
      </c>
      <c r="BE73" s="2" t="str" cm="1">
        <f t="array" ref="BE73">IF(ISERROR(INDEX(RESULT_DURATION,SMALL(IF(COUNTIF($BA$3,MONTH), ROW(MONTH)-MIN(ROW(MONTH))+1),ROW(A68)),COLUMN(A68))),"",INDEX(RESULT_DURATION,SMALL(IF(COUNTIF($BA$3,MONTH), ROW(MONTH)-MIN(ROW(MONTH))+1),ROW(A68)),COLUMN(A68)))</f>
        <v/>
      </c>
      <c r="BH73" t="str" cm="1">
        <f t="array" ref="BH73">IF(ISERROR(INDEX(RESULT_CATEGORIES,SMALL(IF(COUNTIF($BA$3,MONTH), ROW(MONTH)-MIN(ROW(MONTH))+1),ROW(A68)),COLUMN(A68))),"",INDEX(RESULT_CATEGORIES,SMALL(IF(COUNTIF($BA$3,MONTH), ROW(MONTH)-MIN(ROW(MONTH))+1),ROW(A68)),COLUMN(A68)))</f>
        <v/>
      </c>
      <c r="BI73" t="str" cm="1">
        <f t="array" ref="BI73">IF(ISERROR(INDEX(RESULTLOCATION,SMALL(IF(COUNTIF($BA$3,MONTH), ROW(MONTH)-MIN(ROW(MONTH))+1),ROW(A68)),COLUMN(A68))),"",INDEX(RESULTLOCATION,SMALL(IF(COUNTIF($BA$3,MONTH), ROW(MONTH)-MIN(ROW(MONTH))+1),ROW(A68)),COLUMN(A68)))</f>
        <v/>
      </c>
    </row>
    <row r="74" spans="2:61" x14ac:dyDescent="0.3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 cm="1">
        <f t="array" aca="1" ref="AT74" ca="1">IF(ISERROR(INDEX(RESULT_DURATION,SMALL(IF(COUNTIF($AQ$39,WEEK)*COUNTIF($AR$39,WEEKDAY), ROW(WEEK)-MIN(ROW(WEEK))+1),ROW(A33)),COLUMN(A33))),0,INDEX(RESULT_DURATION,SMALL(IF(COUNTIF($AQ$39,WEEK)*COUNTIF($AR$39,WEEKDAY), ROW(WEEK)-MIN(ROW(WEEK))+1),ROW(A33)),COLUMN(A33)))</f>
        <v>0</v>
      </c>
      <c r="AU74" cm="1">
        <f t="array" aca="1" ref="AU74" ca="1">IF(ISERROR(INDEX(RESULT_START,SMALL(IF(COUNTIF($AQ$39,WEEK)*COUNTIF($AR$39,WEEKDAY), ROW(WEEK)-MIN(ROW(WEEK))+1),ROW(A33)),COLUMN(A33))),0,INDEX(RESULT_START,SMALL(IF(COUNTIF($AQ$39,WEEK)*COUNTIF($AR$39,WEEKDAY), ROW(WEEK)-MIN(ROW(WEEK))+1),ROW(A33)),COLUMN(A33)))</f>
        <v>0</v>
      </c>
      <c r="AV74" cm="1">
        <f t="array" ref="AV74">IF(ISERROR(INDEX(RESULT_STARTMIN,SMALL(IF(COUNTIF($B$39,WEEK)*COUNTIF(#REF!,WEEKDAY), ROW(WEEK)-MIN(ROW(WEEK))+1),ROW(AQ36)),COLUMN(AQ36))),0,INDEX(RESULT_STARTMIN,SMALL(IF(COUNTIF($B$39,WEEK)*COUNTIF(#REF!,WEEKDAY), ROW(WEEK)-MIN(ROW(WEEK))+1),ROW(AQ36)),COLUMN(AQ36)))</f>
        <v>0</v>
      </c>
      <c r="AW74" cm="1">
        <f t="array" aca="1" ref="AW74" ca="1">IF(ISERROR(INDEX(RESULT_CATEGORIES,SMALL(IF(COUNTIF($AQ$39,WEEK)*COUNTIF($AR$39,WEEKDAY), ROW(WEEK)-MIN(ROW(WEEK))+1),ROW(A33)),COLUMN(A33))),0,INDEX(RESULT_CATEGORIES,SMALL(IF(COUNTIF($AQ$39,WEEK)*COUNTIF($AR$39,WEEKDAY), ROW(WEEK)-MIN(ROW(WEEK))+1),ROW(A33)),COLUMN(A33)))</f>
        <v>0</v>
      </c>
      <c r="AX74" s="2"/>
      <c r="AY74" s="2"/>
      <c r="AZ74" s="2">
        <f>SUMIFS(RESULT_DURATION,WEEK,AZ$52,RESULTLOCATION,#REF!,WEEKDAY,AZ$53)/60</f>
        <v>0</v>
      </c>
      <c r="BA74" t="str" cm="1">
        <f t="array" ref="BA74">IF(ISERROR(INDEX(RESULT_SUBJECT,SMALL(IF(COUNTIF($BA$3,MONTH), ROW(MONTH)-MIN(ROW(MONTH))+1),ROW(A69)),COLUMN(A69))),"",INDEX(RESULT_SUBJECT,SMALL(IF(COUNTIF($BA$3,MONTH), ROW(MONTH)-MIN(ROW(MONTH))+1),ROW(A69)),COLUMN(A69)))</f>
        <v/>
      </c>
      <c r="BB74" t="str" cm="1">
        <f t="array" ref="BB74">IF(ISERROR(INDEX(WEEK,SMALL(IF(COUNTIF($BA$3,MONTH), ROW(MONTH)-MIN(ROW(MONTH))+1),ROW(A69)),COLUMN(A69))),"",INDEX(WEEK,SMALL(IF(COUNTIF($BA$3,MONTH), ROW(MONTH)-MIN(ROW(MONTH))+1),ROW(A69)),COLUMN(A69)))</f>
        <v/>
      </c>
      <c r="BC74" t="str" cm="1">
        <f t="array" ref="BC74">IF(ISERROR(INDEX(RESULT_DAY,SMALL(IF(COUNTIF($BA$3,MONTH), ROW(MONTH)-MIN(ROW(MONTH))+1),ROW(A69)),COLUMN(A69))),"",INDEX(RESULT_DAY,SMALL(IF(COUNTIF($BA$3,MONTH), ROW(MONTH)-MIN(ROW(MONTH))+1),ROW(A69)),COLUMN(A69)))</f>
        <v/>
      </c>
      <c r="BD74" s="29" t="str">
        <f t="shared" si="51"/>
        <v/>
      </c>
      <c r="BE74" s="2" t="str" cm="1">
        <f t="array" ref="BE74">IF(ISERROR(INDEX(RESULT_DURATION,SMALL(IF(COUNTIF($BA$3,MONTH), ROW(MONTH)-MIN(ROW(MONTH))+1),ROW(A69)),COLUMN(A69))),"",INDEX(RESULT_DURATION,SMALL(IF(COUNTIF($BA$3,MONTH), ROW(MONTH)-MIN(ROW(MONTH))+1),ROW(A69)),COLUMN(A69)))</f>
        <v/>
      </c>
      <c r="BH74" t="str" cm="1">
        <f t="array" ref="BH74">IF(ISERROR(INDEX(RESULT_CATEGORIES,SMALL(IF(COUNTIF($BA$3,MONTH), ROW(MONTH)-MIN(ROW(MONTH))+1),ROW(A69)),COLUMN(A69))),"",INDEX(RESULT_CATEGORIES,SMALL(IF(COUNTIF($BA$3,MONTH), ROW(MONTH)-MIN(ROW(MONTH))+1),ROW(A69)),COLUMN(A69)))</f>
        <v/>
      </c>
      <c r="BI74" t="str" cm="1">
        <f t="array" ref="BI74">IF(ISERROR(INDEX(RESULTLOCATION,SMALL(IF(COUNTIF($BA$3,MONTH), ROW(MONTH)-MIN(ROW(MONTH))+1),ROW(A69)),COLUMN(A69))),"",INDEX(RESULTLOCATION,SMALL(IF(COUNTIF($BA$3,MONTH), ROW(MONTH)-MIN(ROW(MONTH))+1),ROW(A69)),COLUMN(A69)))</f>
        <v/>
      </c>
    </row>
    <row r="75" spans="2:61" x14ac:dyDescent="0.3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 cm="1">
        <f t="array" aca="1" ref="AT75" ca="1">IF(ISERROR(INDEX(RESULT_DURATION,SMALL(IF(COUNTIF($AQ$39,WEEK)*COUNTIF($AR$39,WEEKDAY), ROW(WEEK)-MIN(ROW(WEEK))+1),ROW(A34)),COLUMN(A34))),0,INDEX(RESULT_DURATION,SMALL(IF(COUNTIF($AQ$39,WEEK)*COUNTIF($AR$39,WEEKDAY), ROW(WEEK)-MIN(ROW(WEEK))+1),ROW(A34)),COLUMN(A34)))</f>
        <v>0</v>
      </c>
      <c r="AU75" cm="1">
        <f t="array" aca="1" ref="AU75" ca="1">IF(ISERROR(INDEX(RESULT_START,SMALL(IF(COUNTIF($AQ$39,WEEK)*COUNTIF($AR$39,WEEKDAY), ROW(WEEK)-MIN(ROW(WEEK))+1),ROW(A34)),COLUMN(A34))),0,INDEX(RESULT_START,SMALL(IF(COUNTIF($AQ$39,WEEK)*COUNTIF($AR$39,WEEKDAY), ROW(WEEK)-MIN(ROW(WEEK))+1),ROW(A34)),COLUMN(A34)))</f>
        <v>0</v>
      </c>
      <c r="AV75" cm="1">
        <f t="array" ref="AV75">IF(ISERROR(INDEX(RESULT_STARTMIN,SMALL(IF(COUNTIF($B$39,WEEK)*COUNTIF(#REF!,WEEKDAY), ROW(WEEK)-MIN(ROW(WEEK))+1),ROW(AQ37)),COLUMN(AQ37))),0,INDEX(RESULT_STARTMIN,SMALL(IF(COUNTIF($B$39,WEEK)*COUNTIF(#REF!,WEEKDAY), ROW(WEEK)-MIN(ROW(WEEK))+1),ROW(AQ37)),COLUMN(AQ37)))</f>
        <v>0</v>
      </c>
      <c r="AW75" cm="1">
        <f t="array" aca="1" ref="AW75" ca="1">IF(ISERROR(INDEX(RESULT_CATEGORIES,SMALL(IF(COUNTIF($AQ$39,WEEK)*COUNTIF($AR$39,WEEKDAY), ROW(WEEK)-MIN(ROW(WEEK))+1),ROW(A34)),COLUMN(A34))),0,INDEX(RESULT_CATEGORIES,SMALL(IF(COUNTIF($AQ$39,WEEK)*COUNTIF($AR$39,WEEKDAY), ROW(WEEK)-MIN(ROW(WEEK))+1),ROW(A34)),COLUMN(A34)))</f>
        <v>0</v>
      </c>
      <c r="AX75" s="2"/>
      <c r="AY75" s="2"/>
      <c r="AZ75" s="2">
        <f>SUMIFS(RESULT_DURATION,WEEK,AZ$52,RESULTLOCATION,#REF!,WEEKDAY,AZ$53)/60</f>
        <v>0</v>
      </c>
      <c r="BA75" t="str" cm="1">
        <f t="array" ref="BA75">IF(ISERROR(INDEX(RESULT_SUBJECT,SMALL(IF(COUNTIF($BA$3,MONTH), ROW(MONTH)-MIN(ROW(MONTH))+1),ROW(A70)),COLUMN(A70))),"",INDEX(RESULT_SUBJECT,SMALL(IF(COUNTIF($BA$3,MONTH), ROW(MONTH)-MIN(ROW(MONTH))+1),ROW(A70)),COLUMN(A70)))</f>
        <v/>
      </c>
      <c r="BB75" t="str" cm="1">
        <f t="array" ref="BB75">IF(ISERROR(INDEX(WEEK,SMALL(IF(COUNTIF($BA$3,MONTH), ROW(MONTH)-MIN(ROW(MONTH))+1),ROW(A70)),COLUMN(A70))),"",INDEX(WEEK,SMALL(IF(COUNTIF($BA$3,MONTH), ROW(MONTH)-MIN(ROW(MONTH))+1),ROW(A70)),COLUMN(A70)))</f>
        <v/>
      </c>
      <c r="BC75" t="str" cm="1">
        <f t="array" ref="BC75">IF(ISERROR(INDEX(RESULT_DAY,SMALL(IF(COUNTIF($BA$3,MONTH), ROW(MONTH)-MIN(ROW(MONTH))+1),ROW(A70)),COLUMN(A70))),"",INDEX(RESULT_DAY,SMALL(IF(COUNTIF($BA$3,MONTH), ROW(MONTH)-MIN(ROW(MONTH))+1),ROW(A70)),COLUMN(A70)))</f>
        <v/>
      </c>
      <c r="BD75" s="29" t="str">
        <f t="shared" si="51"/>
        <v/>
      </c>
      <c r="BE75" s="2" t="str" cm="1">
        <f t="array" ref="BE75">IF(ISERROR(INDEX(RESULT_DURATION,SMALL(IF(COUNTIF($BA$3,MONTH), ROW(MONTH)-MIN(ROW(MONTH))+1),ROW(A70)),COLUMN(A70))),"",INDEX(RESULT_DURATION,SMALL(IF(COUNTIF($BA$3,MONTH), ROW(MONTH)-MIN(ROW(MONTH))+1),ROW(A70)),COLUMN(A70)))</f>
        <v/>
      </c>
      <c r="BH75" t="str" cm="1">
        <f t="array" ref="BH75">IF(ISERROR(INDEX(RESULT_CATEGORIES,SMALL(IF(COUNTIF($BA$3,MONTH), ROW(MONTH)-MIN(ROW(MONTH))+1),ROW(A70)),COLUMN(A70))),"",INDEX(RESULT_CATEGORIES,SMALL(IF(COUNTIF($BA$3,MONTH), ROW(MONTH)-MIN(ROW(MONTH))+1),ROW(A70)),COLUMN(A70)))</f>
        <v/>
      </c>
      <c r="BI75" t="str" cm="1">
        <f t="array" ref="BI75">IF(ISERROR(INDEX(RESULTLOCATION,SMALL(IF(COUNTIF($BA$3,MONTH), ROW(MONTH)-MIN(ROW(MONTH))+1),ROW(A70)),COLUMN(A70))),"",INDEX(RESULTLOCATION,SMALL(IF(COUNTIF($BA$3,MONTH), ROW(MONTH)-MIN(ROW(MONTH))+1),ROW(A70)),COLUMN(A70)))</f>
        <v/>
      </c>
    </row>
    <row r="76" spans="2:61" x14ac:dyDescent="0.3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 cm="1">
        <f t="array" aca="1" ref="AT76" ca="1">IF(ISERROR(INDEX(RESULT_DURATION,SMALL(IF(COUNTIF($AQ$39,WEEK)*COUNTIF($AR$39,WEEKDAY), ROW(WEEK)-MIN(ROW(WEEK))+1),ROW(A35)),COLUMN(A35))),0,INDEX(RESULT_DURATION,SMALL(IF(COUNTIF($AQ$39,WEEK)*COUNTIF($AR$39,WEEKDAY), ROW(WEEK)-MIN(ROW(WEEK))+1),ROW(A35)),COLUMN(A35)))</f>
        <v>0</v>
      </c>
      <c r="AU76" cm="1">
        <f t="array" aca="1" ref="AU76" ca="1">IF(ISERROR(INDEX(RESULT_START,SMALL(IF(COUNTIF($AQ$39,WEEK)*COUNTIF($AR$39,WEEKDAY), ROW(WEEK)-MIN(ROW(WEEK))+1),ROW(A35)),COLUMN(A35))),0,INDEX(RESULT_START,SMALL(IF(COUNTIF($AQ$39,WEEK)*COUNTIF($AR$39,WEEKDAY), ROW(WEEK)-MIN(ROW(WEEK))+1),ROW(A35)),COLUMN(A35)))</f>
        <v>0</v>
      </c>
      <c r="AV76" cm="1">
        <f t="array" ref="AV76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6" cm="1">
        <f t="array" aca="1" ref="AW76" ca="1">IF(ISERROR(INDEX(RESULT_CATEGORIES,SMALL(IF(COUNTIF($AQ$39,WEEK)*COUNTIF($AR$39,WEEKDAY), ROW(WEEK)-MIN(ROW(WEEK))+1),ROW(A35)),COLUMN(A35))),0,INDEX(RESULT_CATEGORIES,SMALL(IF(COUNTIF($AQ$39,WEEK)*COUNTIF($AR$39,WEEKDAY), ROW(WEEK)-MIN(ROW(WEEK))+1),ROW(A35)),COLUMN(A35)))</f>
        <v>0</v>
      </c>
      <c r="AX76" s="2"/>
      <c r="AY76" s="2"/>
      <c r="AZ76" s="2">
        <f>SUMIFS(RESULT_DURATION,WEEK,AZ$52,RESULTLOCATION,#REF!,WEEKDAY,AZ$53)/60</f>
        <v>0</v>
      </c>
      <c r="BA76" t="str" cm="1">
        <f t="array" ref="BA76">IF(ISERROR(INDEX(RESULT_SUBJECT,SMALL(IF(COUNTIF($BA$3,MONTH), ROW(MONTH)-MIN(ROW(MONTH))+1),ROW(A71)),COLUMN(A71))),"",INDEX(RESULT_SUBJECT,SMALL(IF(COUNTIF($BA$3,MONTH), ROW(MONTH)-MIN(ROW(MONTH))+1),ROW(A71)),COLUMN(A71)))</f>
        <v/>
      </c>
      <c r="BB76" t="str" cm="1">
        <f t="array" ref="BB76">IF(ISERROR(INDEX(WEEK,SMALL(IF(COUNTIF($BA$3,MONTH), ROW(MONTH)-MIN(ROW(MONTH))+1),ROW(A71)),COLUMN(A71))),"",INDEX(WEEK,SMALL(IF(COUNTIF($BA$3,MONTH), ROW(MONTH)-MIN(ROW(MONTH))+1),ROW(A71)),COLUMN(A71)))</f>
        <v/>
      </c>
      <c r="BC76" t="str" cm="1">
        <f t="array" ref="BC76">IF(ISERROR(INDEX(RESULT_DAY,SMALL(IF(COUNTIF($BA$3,MONTH), ROW(MONTH)-MIN(ROW(MONTH))+1),ROW(A71)),COLUMN(A71))),"",INDEX(RESULT_DAY,SMALL(IF(COUNTIF($BA$3,MONTH), ROW(MONTH)-MIN(ROW(MONTH))+1),ROW(A71)),COLUMN(A71)))</f>
        <v/>
      </c>
      <c r="BD76" s="29" t="str">
        <f t="shared" si="51"/>
        <v/>
      </c>
      <c r="BE76" s="2" t="str" cm="1">
        <f t="array" ref="BE76">IF(ISERROR(INDEX(RESULT_DURATION,SMALL(IF(COUNTIF($BA$3,MONTH), ROW(MONTH)-MIN(ROW(MONTH))+1),ROW(A71)),COLUMN(A71))),"",INDEX(RESULT_DURATION,SMALL(IF(COUNTIF($BA$3,MONTH), ROW(MONTH)-MIN(ROW(MONTH))+1),ROW(A71)),COLUMN(A71)))</f>
        <v/>
      </c>
      <c r="BH76" t="str" cm="1">
        <f t="array" ref="BH76">IF(ISERROR(INDEX(RESULT_CATEGORIES,SMALL(IF(COUNTIF($BA$3,MONTH), ROW(MONTH)-MIN(ROW(MONTH))+1),ROW(A71)),COLUMN(A71))),"",INDEX(RESULT_CATEGORIES,SMALL(IF(COUNTIF($BA$3,MONTH), ROW(MONTH)-MIN(ROW(MONTH))+1),ROW(A71)),COLUMN(A71)))</f>
        <v/>
      </c>
      <c r="BI76" t="str" cm="1">
        <f t="array" ref="BI76">IF(ISERROR(INDEX(RESULTLOCATION,SMALL(IF(COUNTIF($BA$3,MONTH), ROW(MONTH)-MIN(ROW(MONTH))+1),ROW(A71)),COLUMN(A71))),"",INDEX(RESULTLOCATION,SMALL(IF(COUNTIF($BA$3,MONTH), ROW(MONTH)-MIN(ROW(MONTH))+1),ROW(A71)),COLUMN(A71)))</f>
        <v/>
      </c>
    </row>
    <row r="77" spans="2:61" x14ac:dyDescent="0.3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 cm="1">
        <f t="array" aca="1" ref="AT77" ca="1">IF(ISERROR(INDEX(RESULT_DURATION,SMALL(IF(COUNTIF($AQ$39,WEEK)*COUNTIF($AR$39,WEEKDAY), ROW(WEEK)-MIN(ROW(WEEK))+1),ROW(A36)),COLUMN(A36))),0,INDEX(RESULT_DURATION,SMALL(IF(COUNTIF($AQ$39,WEEK)*COUNTIF($AR$39,WEEKDAY), ROW(WEEK)-MIN(ROW(WEEK))+1),ROW(A36)),COLUMN(A36)))</f>
        <v>0</v>
      </c>
      <c r="AU77" cm="1">
        <f t="array" aca="1" ref="AU77" ca="1">IF(ISERROR(INDEX(RESULT_START,SMALL(IF(COUNTIF($AQ$39,WEEK)*COUNTIF($AR$39,WEEKDAY), ROW(WEEK)-MIN(ROW(WEEK))+1),ROW(A36)),COLUMN(A36))),0,INDEX(RESULT_START,SMALL(IF(COUNTIF($AQ$39,WEEK)*COUNTIF($AR$39,WEEKDAY), ROW(WEEK)-MIN(ROW(WEEK))+1),ROW(A36)),COLUMN(A36)))</f>
        <v>0</v>
      </c>
      <c r="AV77" cm="1">
        <f t="array" ref="AV77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7" cm="1">
        <f t="array" aca="1" ref="AW77" ca="1">IF(ISERROR(INDEX(RESULT_CATEGORIES,SMALL(IF(COUNTIF($AQ$39,WEEK)*COUNTIF($AR$39,WEEKDAY), ROW(WEEK)-MIN(ROW(WEEK))+1),ROW(A36)),COLUMN(A36))),0,INDEX(RESULT_CATEGORIES,SMALL(IF(COUNTIF($AQ$39,WEEK)*COUNTIF($AR$39,WEEKDAY), ROW(WEEK)-MIN(ROW(WEEK))+1),ROW(A36)),COLUMN(A36)))</f>
        <v>0</v>
      </c>
      <c r="AX77" s="2"/>
      <c r="AY77" s="2"/>
      <c r="AZ77" s="2">
        <f>SUMIFS(RESULT_DURATION,WEEK,AZ$52,RESULTLOCATION,#REF!,WEEKDAY,AZ$53)/60</f>
        <v>0</v>
      </c>
      <c r="BA77" t="str" cm="1">
        <f t="array" ref="BA77">IF(ISERROR(INDEX(RESULT_SUBJECT,SMALL(IF(COUNTIF($BA$3,MONTH), ROW(MONTH)-MIN(ROW(MONTH))+1),ROW(A72)),COLUMN(A72))),"",INDEX(RESULT_SUBJECT,SMALL(IF(COUNTIF($BA$3,MONTH), ROW(MONTH)-MIN(ROW(MONTH))+1),ROW(A72)),COLUMN(A72)))</f>
        <v/>
      </c>
      <c r="BB77" t="str" cm="1">
        <f t="array" ref="BB77">IF(ISERROR(INDEX(WEEK,SMALL(IF(COUNTIF($BA$3,MONTH), ROW(MONTH)-MIN(ROW(MONTH))+1),ROW(A72)),COLUMN(A72))),"",INDEX(WEEK,SMALL(IF(COUNTIF($BA$3,MONTH), ROW(MONTH)-MIN(ROW(MONTH))+1),ROW(A72)),COLUMN(A72)))</f>
        <v/>
      </c>
      <c r="BC77" t="str" cm="1">
        <f t="array" ref="BC77">IF(ISERROR(INDEX(RESULT_DAY,SMALL(IF(COUNTIF($BA$3,MONTH), ROW(MONTH)-MIN(ROW(MONTH))+1),ROW(A72)),COLUMN(A72))),"",INDEX(RESULT_DAY,SMALL(IF(COUNTIF($BA$3,MONTH), ROW(MONTH)-MIN(ROW(MONTH))+1),ROW(A72)),COLUMN(A72)))</f>
        <v/>
      </c>
      <c r="BD77" s="29" t="str">
        <f t="shared" si="51"/>
        <v/>
      </c>
      <c r="BE77" s="2" t="str" cm="1">
        <f t="array" ref="BE77">IF(ISERROR(INDEX(RESULT_DURATION,SMALL(IF(COUNTIF($BA$3,MONTH), ROW(MONTH)-MIN(ROW(MONTH))+1),ROW(A72)),COLUMN(A72))),"",INDEX(RESULT_DURATION,SMALL(IF(COUNTIF($BA$3,MONTH), ROW(MONTH)-MIN(ROW(MONTH))+1),ROW(A72)),COLUMN(A72)))</f>
        <v/>
      </c>
      <c r="BH77" t="str" cm="1">
        <f t="array" ref="BH77">IF(ISERROR(INDEX(RESULT_CATEGORIES,SMALL(IF(COUNTIF($BA$3,MONTH), ROW(MONTH)-MIN(ROW(MONTH))+1),ROW(A72)),COLUMN(A72))),"",INDEX(RESULT_CATEGORIES,SMALL(IF(COUNTIF($BA$3,MONTH), ROW(MONTH)-MIN(ROW(MONTH))+1),ROW(A72)),COLUMN(A72)))</f>
        <v/>
      </c>
      <c r="BI77" t="str" cm="1">
        <f t="array" ref="BI77">IF(ISERROR(INDEX(RESULTLOCATION,SMALL(IF(COUNTIF($BA$3,MONTH), ROW(MONTH)-MIN(ROW(MONTH))+1),ROW(A72)),COLUMN(A72))),"",INDEX(RESULTLOCATION,SMALL(IF(COUNTIF($BA$3,MONTH), ROW(MONTH)-MIN(ROW(MONTH))+1),ROW(A72)),COLUMN(A72)))</f>
        <v/>
      </c>
    </row>
    <row r="78" spans="2:61" x14ac:dyDescent="0.3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 cm="1">
        <f t="array" aca="1" ref="AT78" ca="1">IF(ISERROR(INDEX(RESULT_DURATION,SMALL(IF(COUNTIF($AQ$39,WEEK)*COUNTIF($AR$39,WEEKDAY), ROW(WEEK)-MIN(ROW(WEEK))+1),ROW(A37)),COLUMN(A37))),0,INDEX(RESULT_DURATION,SMALL(IF(COUNTIF($AQ$39,WEEK)*COUNTIF($AR$39,WEEKDAY), ROW(WEEK)-MIN(ROW(WEEK))+1),ROW(A37)),COLUMN(A37)))</f>
        <v>0</v>
      </c>
      <c r="AU78" cm="1">
        <f t="array" aca="1" ref="AU78" ca="1">IF(ISERROR(INDEX(RESULT_START,SMALL(IF(COUNTIF($AQ$39,WEEK)*COUNTIF($AR$39,WEEKDAY), ROW(WEEK)-MIN(ROW(WEEK))+1),ROW(A37)),COLUMN(A37))),0,INDEX(RESULT_START,SMALL(IF(COUNTIF($AQ$39,WEEK)*COUNTIF($AR$39,WEEKDAY), ROW(WEEK)-MIN(ROW(WEEK))+1),ROW(A37)),COLUMN(A37)))</f>
        <v>0</v>
      </c>
      <c r="AV78" cm="1">
        <f t="array" ref="AV78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8" cm="1">
        <f t="array" aca="1" ref="AW78" ca="1">IF(ISERROR(INDEX(RESULT_CATEGORIES,SMALL(IF(COUNTIF($AQ$39,WEEK)*COUNTIF($AR$39,WEEKDAY), ROW(WEEK)-MIN(ROW(WEEK))+1),ROW(A37)),COLUMN(A37))),0,INDEX(RESULT_CATEGORIES,SMALL(IF(COUNTIF($AQ$39,WEEK)*COUNTIF($AR$39,WEEKDAY), ROW(WEEK)-MIN(ROW(WEEK))+1),ROW(A37)),COLUMN(A37)))</f>
        <v>0</v>
      </c>
      <c r="AX78" s="2"/>
      <c r="AY78" s="2"/>
      <c r="AZ78" s="2">
        <f>SUMIFS(RESULT_DURATION,WEEK,AZ$52,RESULTLOCATION,#REF!,WEEKDAY,AZ$53)/60</f>
        <v>0</v>
      </c>
      <c r="BA78" t="str" cm="1">
        <f t="array" ref="BA78">IF(ISERROR(INDEX(RESULT_SUBJECT,SMALL(IF(COUNTIF($BA$3,MONTH), ROW(MONTH)-MIN(ROW(MONTH))+1),ROW(A73)),COLUMN(A73))),"",INDEX(RESULT_SUBJECT,SMALL(IF(COUNTIF($BA$3,MONTH), ROW(MONTH)-MIN(ROW(MONTH))+1),ROW(A73)),COLUMN(A73)))</f>
        <v/>
      </c>
      <c r="BB78" t="str" cm="1">
        <f t="array" ref="BB78">IF(ISERROR(INDEX(WEEK,SMALL(IF(COUNTIF($BA$3,MONTH), ROW(MONTH)-MIN(ROW(MONTH))+1),ROW(A73)),COLUMN(A73))),"",INDEX(WEEK,SMALL(IF(COUNTIF($BA$3,MONTH), ROW(MONTH)-MIN(ROW(MONTH))+1),ROW(A73)),COLUMN(A73)))</f>
        <v/>
      </c>
      <c r="BC78" t="str" cm="1">
        <f t="array" ref="BC78">IF(ISERROR(INDEX(RESULT_DAY,SMALL(IF(COUNTIF($BA$3,MONTH), ROW(MONTH)-MIN(ROW(MONTH))+1),ROW(A73)),COLUMN(A73))),"",INDEX(RESULT_DAY,SMALL(IF(COUNTIF($BA$3,MONTH), ROW(MONTH)-MIN(ROW(MONTH))+1),ROW(A73)),COLUMN(A73)))</f>
        <v/>
      </c>
      <c r="BD78" s="29" t="str">
        <f t="shared" si="51"/>
        <v/>
      </c>
      <c r="BE78" s="2" t="str" cm="1">
        <f t="array" ref="BE78">IF(ISERROR(INDEX(RESULT_DURATION,SMALL(IF(COUNTIF($BA$3,MONTH), ROW(MONTH)-MIN(ROW(MONTH))+1),ROW(A73)),COLUMN(A73))),"",INDEX(RESULT_DURATION,SMALL(IF(COUNTIF($BA$3,MONTH), ROW(MONTH)-MIN(ROW(MONTH))+1),ROW(A73)),COLUMN(A73)))</f>
        <v/>
      </c>
      <c r="BH78" t="str" cm="1">
        <f t="array" ref="BH78">IF(ISERROR(INDEX(RESULT_CATEGORIES,SMALL(IF(COUNTIF($BA$3,MONTH), ROW(MONTH)-MIN(ROW(MONTH))+1),ROW(A73)),COLUMN(A73))),"",INDEX(RESULT_CATEGORIES,SMALL(IF(COUNTIF($BA$3,MONTH), ROW(MONTH)-MIN(ROW(MONTH))+1),ROW(A73)),COLUMN(A73)))</f>
        <v/>
      </c>
      <c r="BI78" t="str" cm="1">
        <f t="array" ref="BI78">IF(ISERROR(INDEX(RESULTLOCATION,SMALL(IF(COUNTIF($BA$3,MONTH), ROW(MONTH)-MIN(ROW(MONTH))+1),ROW(A73)),COLUMN(A73))),"",INDEX(RESULTLOCATION,SMALL(IF(COUNTIF($BA$3,MONTH), ROW(MONTH)-MIN(ROW(MONTH))+1),ROW(A73)),COLUMN(A73)))</f>
        <v/>
      </c>
    </row>
    <row r="79" spans="2:61" x14ac:dyDescent="0.3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 cm="1">
        <f t="array" aca="1" ref="AT79" ca="1">IF(ISERROR(INDEX(RESULT_DURATION,SMALL(IF(COUNTIF($AQ$39,WEEK)*COUNTIF($AR$39,WEEKDAY), ROW(WEEK)-MIN(ROW(WEEK))+1),ROW(A38)),COLUMN(A38))),0,INDEX(RESULT_DURATION,SMALL(IF(COUNTIF($AQ$39,WEEK)*COUNTIF($AR$39,WEEKDAY), ROW(WEEK)-MIN(ROW(WEEK))+1),ROW(A38)),COLUMN(A38)))</f>
        <v>0</v>
      </c>
      <c r="AU79" cm="1">
        <f t="array" aca="1" ref="AU79" ca="1">IF(ISERROR(INDEX(RESULT_START,SMALL(IF(COUNTIF($AQ$39,WEEK)*COUNTIF($AR$39,WEEKDAY), ROW(WEEK)-MIN(ROW(WEEK))+1),ROW(A38)),COLUMN(A38))),0,INDEX(RESULT_START,SMALL(IF(COUNTIF($AQ$39,WEEK)*COUNTIF($AR$39,WEEKDAY), ROW(WEEK)-MIN(ROW(WEEK))+1),ROW(A38)),COLUMN(A38)))</f>
        <v>0</v>
      </c>
      <c r="AV79" cm="1">
        <f t="array" ref="AV79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79" cm="1">
        <f t="array" aca="1" ref="AW79" ca="1">IF(ISERROR(INDEX(RESULT_CATEGORIES,SMALL(IF(COUNTIF($AQ$39,WEEK)*COUNTIF($AR$39,WEEKDAY), ROW(WEEK)-MIN(ROW(WEEK))+1),ROW(A38)),COLUMN(A38))),0,INDEX(RESULT_CATEGORIES,SMALL(IF(COUNTIF($AQ$39,WEEK)*COUNTIF($AR$39,WEEKDAY), ROW(WEEK)-MIN(ROW(WEEK))+1),ROW(A38)),COLUMN(A38)))</f>
        <v>0</v>
      </c>
      <c r="AX79" s="2"/>
      <c r="AY79" s="2"/>
      <c r="AZ79" s="2">
        <f>SUMIFS(RESULT_DURATION,WEEK,AZ$52,RESULTLOCATION,#REF!,WEEKDAY,AZ$53)/60</f>
        <v>0</v>
      </c>
      <c r="BA79" t="str" cm="1">
        <f t="array" ref="BA79">IF(ISERROR(INDEX(RESULT_SUBJECT,SMALL(IF(COUNTIF($BA$3,MONTH), ROW(MONTH)-MIN(ROW(MONTH))+1),ROW(A74)),COLUMN(A74))),"",INDEX(RESULT_SUBJECT,SMALL(IF(COUNTIF($BA$3,MONTH), ROW(MONTH)-MIN(ROW(MONTH))+1),ROW(A74)),COLUMN(A74)))</f>
        <v/>
      </c>
      <c r="BB79" t="str" cm="1">
        <f t="array" ref="BB79">IF(ISERROR(INDEX(WEEK,SMALL(IF(COUNTIF($BA$3,MONTH), ROW(MONTH)-MIN(ROW(MONTH))+1),ROW(A74)),COLUMN(A74))),"",INDEX(WEEK,SMALL(IF(COUNTIF($BA$3,MONTH), ROW(MONTH)-MIN(ROW(MONTH))+1),ROW(A74)),COLUMN(A74)))</f>
        <v/>
      </c>
      <c r="BC79" t="str" cm="1">
        <f t="array" ref="BC79">IF(ISERROR(INDEX(RESULT_DAY,SMALL(IF(COUNTIF($BA$3,MONTH), ROW(MONTH)-MIN(ROW(MONTH))+1),ROW(A74)),COLUMN(A74))),"",INDEX(RESULT_DAY,SMALL(IF(COUNTIF($BA$3,MONTH), ROW(MONTH)-MIN(ROW(MONTH))+1),ROW(A74)),COLUMN(A74)))</f>
        <v/>
      </c>
      <c r="BD79" s="29" t="str">
        <f t="shared" si="51"/>
        <v/>
      </c>
      <c r="BE79" s="2" t="str" cm="1">
        <f t="array" ref="BE79">IF(ISERROR(INDEX(RESULT_DURATION,SMALL(IF(COUNTIF($BA$3,MONTH), ROW(MONTH)-MIN(ROW(MONTH))+1),ROW(A74)),COLUMN(A74))),"",INDEX(RESULT_DURATION,SMALL(IF(COUNTIF($BA$3,MONTH), ROW(MONTH)-MIN(ROW(MONTH))+1),ROW(A74)),COLUMN(A74)))</f>
        <v/>
      </c>
      <c r="BH79" t="str" cm="1">
        <f t="array" ref="BH79">IF(ISERROR(INDEX(RESULT_CATEGORIES,SMALL(IF(COUNTIF($BA$3,MONTH), ROW(MONTH)-MIN(ROW(MONTH))+1),ROW(A74)),COLUMN(A74))),"",INDEX(RESULT_CATEGORIES,SMALL(IF(COUNTIF($BA$3,MONTH), ROW(MONTH)-MIN(ROW(MONTH))+1),ROW(A74)),COLUMN(A74)))</f>
        <v/>
      </c>
      <c r="BI79" t="str" cm="1">
        <f t="array" ref="BI79">IF(ISERROR(INDEX(RESULTLOCATION,SMALL(IF(COUNTIF($BA$3,MONTH), ROW(MONTH)-MIN(ROW(MONTH))+1),ROW(A74)),COLUMN(A74))),"",INDEX(RESULTLOCATION,SMALL(IF(COUNTIF($BA$3,MONTH), ROW(MONTH)-MIN(ROW(MONTH))+1),ROW(A74)),COLUMN(A74)))</f>
        <v/>
      </c>
    </row>
    <row r="80" spans="2:61" x14ac:dyDescent="0.3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 cm="1">
        <f t="array" aca="1" ref="AT80" ca="1">IF(ISERROR(INDEX(RESULT_DURATION,SMALL(IF(COUNTIF($AQ$39,WEEK)*COUNTIF($AR$39,WEEKDAY), ROW(WEEK)-MIN(ROW(WEEK))+1),ROW(A39)),COLUMN(A39))),0,INDEX(RESULT_DURATION,SMALL(IF(COUNTIF($AQ$39,WEEK)*COUNTIF($AR$39,WEEKDAY), ROW(WEEK)-MIN(ROW(WEEK))+1),ROW(A39)),COLUMN(A39)))</f>
        <v>0</v>
      </c>
      <c r="AU80" cm="1">
        <f t="array" aca="1" ref="AU80" ca="1">IF(ISERROR(INDEX(RESULT_START,SMALL(IF(COUNTIF($AQ$39,WEEK)*COUNTIF($AR$39,WEEKDAY), ROW(WEEK)-MIN(ROW(WEEK))+1),ROW(A39)),COLUMN(A39))),0,INDEX(RESULT_START,SMALL(IF(COUNTIF($AQ$39,WEEK)*COUNTIF($AR$39,WEEKDAY), ROW(WEEK)-MIN(ROW(WEEK))+1),ROW(A39)),COLUMN(A39)))</f>
        <v>0</v>
      </c>
      <c r="AV80" cm="1">
        <f t="array" ref="AV80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0" cm="1">
        <f t="array" aca="1" ref="AW80" ca="1">IF(ISERROR(INDEX(RESULT_CATEGORIES,SMALL(IF(COUNTIF($AQ$39,WEEK)*COUNTIF($AR$39,WEEKDAY), ROW(WEEK)-MIN(ROW(WEEK))+1),ROW(A39)),COLUMN(A39))),0,INDEX(RESULT_CATEGORIES,SMALL(IF(COUNTIF($AQ$39,WEEK)*COUNTIF($AR$39,WEEKDAY), ROW(WEEK)-MIN(ROW(WEEK))+1),ROW(A39)),COLUMN(A39)))</f>
        <v>0</v>
      </c>
      <c r="AX80" s="2"/>
      <c r="AY80" s="2"/>
      <c r="AZ80" s="2">
        <f>SUMIFS(RESULT_DURATION,WEEK,AZ$52,RESULTLOCATION,#REF!,WEEKDAY,AZ$53)/60</f>
        <v>0</v>
      </c>
      <c r="BA80" t="str" cm="1">
        <f t="array" ref="BA80">IF(ISERROR(INDEX(RESULT_SUBJECT,SMALL(IF(COUNTIF($BA$3,MONTH), ROW(MONTH)-MIN(ROW(MONTH))+1),ROW(A75)),COLUMN(A75))),"",INDEX(RESULT_SUBJECT,SMALL(IF(COUNTIF($BA$3,MONTH), ROW(MONTH)-MIN(ROW(MONTH))+1),ROW(A75)),COLUMN(A75)))</f>
        <v/>
      </c>
      <c r="BB80" t="str" cm="1">
        <f t="array" ref="BB80">IF(ISERROR(INDEX(WEEK,SMALL(IF(COUNTIF($BA$3,MONTH), ROW(MONTH)-MIN(ROW(MONTH))+1),ROW(A75)),COLUMN(A75))),"",INDEX(WEEK,SMALL(IF(COUNTIF($BA$3,MONTH), ROW(MONTH)-MIN(ROW(MONTH))+1),ROW(A75)),COLUMN(A75)))</f>
        <v/>
      </c>
      <c r="BC80" t="str" cm="1">
        <f t="array" ref="BC80">IF(ISERROR(INDEX(RESULT_DAY,SMALL(IF(COUNTIF($BA$3,MONTH), ROW(MONTH)-MIN(ROW(MONTH))+1),ROW(A75)),COLUMN(A75))),"",INDEX(RESULT_DAY,SMALL(IF(COUNTIF($BA$3,MONTH), ROW(MONTH)-MIN(ROW(MONTH))+1),ROW(A75)),COLUMN(A75)))</f>
        <v/>
      </c>
      <c r="BD80" s="29" t="str">
        <f t="shared" si="51"/>
        <v/>
      </c>
      <c r="BE80" s="2" t="str" cm="1">
        <f t="array" ref="BE80">IF(ISERROR(INDEX(RESULT_DURATION,SMALL(IF(COUNTIF($BA$3,MONTH), ROW(MONTH)-MIN(ROW(MONTH))+1),ROW(A75)),COLUMN(A75))),"",INDEX(RESULT_DURATION,SMALL(IF(COUNTIF($BA$3,MONTH), ROW(MONTH)-MIN(ROW(MONTH))+1),ROW(A75)),COLUMN(A75)))</f>
        <v/>
      </c>
      <c r="BH80" t="str" cm="1">
        <f t="array" ref="BH80">IF(ISERROR(INDEX(RESULT_CATEGORIES,SMALL(IF(COUNTIF($BA$3,MONTH), ROW(MONTH)-MIN(ROW(MONTH))+1),ROW(A75)),COLUMN(A75))),"",INDEX(RESULT_CATEGORIES,SMALL(IF(COUNTIF($BA$3,MONTH), ROW(MONTH)-MIN(ROW(MONTH))+1),ROW(A75)),COLUMN(A75)))</f>
        <v/>
      </c>
      <c r="BI80" t="str" cm="1">
        <f t="array" ref="BI80">IF(ISERROR(INDEX(RESULTLOCATION,SMALL(IF(COUNTIF($BA$3,MONTH), ROW(MONTH)-MIN(ROW(MONTH))+1),ROW(A75)),COLUMN(A75))),"",INDEX(RESULTLOCATION,SMALL(IF(COUNTIF($BA$3,MONTH), ROW(MONTH)-MIN(ROW(MONTH))+1),ROW(A75)),COLUMN(A75)))</f>
        <v/>
      </c>
    </row>
    <row r="81" spans="3:61" x14ac:dyDescent="0.3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 cm="1">
        <f t="array" aca="1" ref="AT81" ca="1">IF(ISERROR(INDEX(RESULT_DURATION,SMALL(IF(COUNTIF($AQ$39,WEEK)*COUNTIF($AR$39,WEEKDAY), ROW(WEEK)-MIN(ROW(WEEK))+1),ROW(A40)),COLUMN(A40))),0,INDEX(RESULT_DURATION,SMALL(IF(COUNTIF($AQ$39,WEEK)*COUNTIF($AR$39,WEEKDAY), ROW(WEEK)-MIN(ROW(WEEK))+1),ROW(A40)),COLUMN(A40)))</f>
        <v>0</v>
      </c>
      <c r="AU81" cm="1">
        <f t="array" aca="1" ref="AU81" ca="1">IF(ISERROR(INDEX(RESULT_START,SMALL(IF(COUNTIF($AQ$39,WEEK)*COUNTIF($AR$39,WEEKDAY), ROW(WEEK)-MIN(ROW(WEEK))+1),ROW(A40)),COLUMN(A40))),0,INDEX(RESULT_START,SMALL(IF(COUNTIF($AQ$39,WEEK)*COUNTIF($AR$39,WEEKDAY), ROW(WEEK)-MIN(ROW(WEEK))+1),ROW(A40)),COLUMN(A40)))</f>
        <v>0</v>
      </c>
      <c r="AV81" cm="1">
        <f t="array" ref="AV81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1" cm="1">
        <f t="array" aca="1" ref="AW81" ca="1">IF(ISERROR(INDEX(RESULT_CATEGORIES,SMALL(IF(COUNTIF($AQ$39,WEEK)*COUNTIF($AR$39,WEEKDAY), ROW(WEEK)-MIN(ROW(WEEK))+1),ROW(A40)),COLUMN(A40))),0,INDEX(RESULT_CATEGORIES,SMALL(IF(COUNTIF($AQ$39,WEEK)*COUNTIF($AR$39,WEEKDAY), ROW(WEEK)-MIN(ROW(WEEK))+1),ROW(A40)),COLUMN(A40)))</f>
        <v>0</v>
      </c>
      <c r="AX81" s="2"/>
      <c r="AY81" s="2"/>
      <c r="AZ81" s="2">
        <f>SUMIFS(RESULT_DURATION,WEEK,AZ$52,RESULTLOCATION,#REF!,WEEKDAY,AZ$53)/60</f>
        <v>0</v>
      </c>
      <c r="BA81" t="str" cm="1">
        <f t="array" ref="BA81">IF(ISERROR(INDEX(RESULT_SUBJECT,SMALL(IF(COUNTIF($BA$3,MONTH), ROW(MONTH)-MIN(ROW(MONTH))+1),ROW(A76)),COLUMN(A76))),"",INDEX(RESULT_SUBJECT,SMALL(IF(COUNTIF($BA$3,MONTH), ROW(MONTH)-MIN(ROW(MONTH))+1),ROW(A76)),COLUMN(A76)))</f>
        <v/>
      </c>
      <c r="BB81" t="str" cm="1">
        <f t="array" ref="BB81">IF(ISERROR(INDEX(WEEK,SMALL(IF(COUNTIF($BA$3,MONTH), ROW(MONTH)-MIN(ROW(MONTH))+1),ROW(A76)),COLUMN(A76))),"",INDEX(WEEK,SMALL(IF(COUNTIF($BA$3,MONTH), ROW(MONTH)-MIN(ROW(MONTH))+1),ROW(A76)),COLUMN(A76)))</f>
        <v/>
      </c>
      <c r="BC81" t="str" cm="1">
        <f t="array" ref="BC81">IF(ISERROR(INDEX(RESULT_DAY,SMALL(IF(COUNTIF($BA$3,MONTH), ROW(MONTH)-MIN(ROW(MONTH))+1),ROW(A76)),COLUMN(A76))),"",INDEX(RESULT_DAY,SMALL(IF(COUNTIF($BA$3,MONTH), ROW(MONTH)-MIN(ROW(MONTH))+1),ROW(A76)),COLUMN(A76)))</f>
        <v/>
      </c>
      <c r="BD81" s="29" t="str">
        <f t="shared" si="51"/>
        <v/>
      </c>
      <c r="BE81" s="2" t="str" cm="1">
        <f t="array" ref="BE81">IF(ISERROR(INDEX(RESULT_DURATION,SMALL(IF(COUNTIF($BA$3,MONTH), ROW(MONTH)-MIN(ROW(MONTH))+1),ROW(A76)),COLUMN(A76))),"",INDEX(RESULT_DURATION,SMALL(IF(COUNTIF($BA$3,MONTH), ROW(MONTH)-MIN(ROW(MONTH))+1),ROW(A76)),COLUMN(A76)))</f>
        <v/>
      </c>
      <c r="BH81" t="str" cm="1">
        <f t="array" ref="BH81">IF(ISERROR(INDEX(RESULT_CATEGORIES,SMALL(IF(COUNTIF($BA$3,MONTH), ROW(MONTH)-MIN(ROW(MONTH))+1),ROW(A76)),COLUMN(A76))),"",INDEX(RESULT_CATEGORIES,SMALL(IF(COUNTIF($BA$3,MONTH), ROW(MONTH)-MIN(ROW(MONTH))+1),ROW(A76)),COLUMN(A76)))</f>
        <v/>
      </c>
      <c r="BI81" t="str" cm="1">
        <f t="array" ref="BI81">IF(ISERROR(INDEX(RESULTLOCATION,SMALL(IF(COUNTIF($BA$3,MONTH), ROW(MONTH)-MIN(ROW(MONTH))+1),ROW(A76)),COLUMN(A76))),"",INDEX(RESULTLOCATION,SMALL(IF(COUNTIF($BA$3,MONTH), ROW(MONTH)-MIN(ROW(MONTH))+1),ROW(A76)),COLUMN(A76)))</f>
        <v/>
      </c>
    </row>
    <row r="82" spans="3:61" x14ac:dyDescent="0.3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 cm="1">
        <f t="array" aca="1" ref="AT82" ca="1">IF(ISERROR(INDEX(RESULT_DURATION,SMALL(IF(COUNTIF($AQ$39,WEEK)*COUNTIF($AR$39,WEEKDAY), ROW(WEEK)-MIN(ROW(WEEK))+1),ROW(A41)),COLUMN(A41))),0,INDEX(RESULT_DURATION,SMALL(IF(COUNTIF($AQ$39,WEEK)*COUNTIF($AR$39,WEEKDAY), ROW(WEEK)-MIN(ROW(WEEK))+1),ROW(A41)),COLUMN(A41)))</f>
        <v>0</v>
      </c>
      <c r="AU82" cm="1">
        <f t="array" aca="1" ref="AU82" ca="1">IF(ISERROR(INDEX(RESULT_START,SMALL(IF(COUNTIF($AQ$39,WEEK)*COUNTIF($AR$39,WEEKDAY), ROW(WEEK)-MIN(ROW(WEEK))+1),ROW(A41)),COLUMN(A41))),0,INDEX(RESULT_START,SMALL(IF(COUNTIF($AQ$39,WEEK)*COUNTIF($AR$39,WEEKDAY), ROW(WEEK)-MIN(ROW(WEEK))+1),ROW(A41)),COLUMN(A41)))</f>
        <v>0</v>
      </c>
      <c r="AV82" cm="1">
        <f t="array" ref="AV8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2" cm="1">
        <f t="array" aca="1" ref="AW82" ca="1">IF(ISERROR(INDEX(RESULT_CATEGORIES,SMALL(IF(COUNTIF($AQ$39,WEEK)*COUNTIF($AR$39,WEEKDAY), ROW(WEEK)-MIN(ROW(WEEK))+1),ROW(A41)),COLUMN(A41))),0,INDEX(RESULT_CATEGORIES,SMALL(IF(COUNTIF($AQ$39,WEEK)*COUNTIF($AR$39,WEEKDAY), ROW(WEEK)-MIN(ROW(WEEK))+1),ROW(A41)),COLUMN(A41)))</f>
        <v>0</v>
      </c>
      <c r="AX82" s="2"/>
      <c r="AY82" s="2"/>
      <c r="AZ82" s="2">
        <f>SUMIFS(RESULT_DURATION,WEEK,AZ$52,RESULTLOCATION,#REF!,WEEKDAY,AZ$53)/60</f>
        <v>0</v>
      </c>
      <c r="BA82" t="str" cm="1">
        <f t="array" ref="BA82">IF(ISERROR(INDEX(RESULT_SUBJECT,SMALL(IF(COUNTIF($BA$3,MONTH), ROW(MONTH)-MIN(ROW(MONTH))+1),ROW(A77)),COLUMN(A77))),"",INDEX(RESULT_SUBJECT,SMALL(IF(COUNTIF($BA$3,MONTH), ROW(MONTH)-MIN(ROW(MONTH))+1),ROW(A77)),COLUMN(A77)))</f>
        <v/>
      </c>
      <c r="BB82" t="str" cm="1">
        <f t="array" ref="BB82">IF(ISERROR(INDEX(WEEK,SMALL(IF(COUNTIF($BA$3,MONTH), ROW(MONTH)-MIN(ROW(MONTH))+1),ROW(A77)),COLUMN(A77))),"",INDEX(WEEK,SMALL(IF(COUNTIF($BA$3,MONTH), ROW(MONTH)-MIN(ROW(MONTH))+1),ROW(A77)),COLUMN(A77)))</f>
        <v/>
      </c>
      <c r="BC82" t="str" cm="1">
        <f t="array" ref="BC82">IF(ISERROR(INDEX(RESULT_DAY,SMALL(IF(COUNTIF($BA$3,MONTH), ROW(MONTH)-MIN(ROW(MONTH))+1),ROW(A77)),COLUMN(A77))),"",INDEX(RESULT_DAY,SMALL(IF(COUNTIF($BA$3,MONTH), ROW(MONTH)-MIN(ROW(MONTH))+1),ROW(A77)),COLUMN(A77)))</f>
        <v/>
      </c>
      <c r="BD82" s="29" t="str">
        <f t="shared" si="51"/>
        <v/>
      </c>
      <c r="BE82" s="2" t="str" cm="1">
        <f t="array" ref="BE82">IF(ISERROR(INDEX(RESULT_DURATION,SMALL(IF(COUNTIF($BA$3,MONTH), ROW(MONTH)-MIN(ROW(MONTH))+1),ROW(A77)),COLUMN(A77))),"",INDEX(RESULT_DURATION,SMALL(IF(COUNTIF($BA$3,MONTH), ROW(MONTH)-MIN(ROW(MONTH))+1),ROW(A77)),COLUMN(A77)))</f>
        <v/>
      </c>
      <c r="BH82" t="str" cm="1">
        <f t="array" ref="BH82">IF(ISERROR(INDEX(RESULT_CATEGORIES,SMALL(IF(COUNTIF($BA$3,MONTH), ROW(MONTH)-MIN(ROW(MONTH))+1),ROW(A77)),COLUMN(A77))),"",INDEX(RESULT_CATEGORIES,SMALL(IF(COUNTIF($BA$3,MONTH), ROW(MONTH)-MIN(ROW(MONTH))+1),ROW(A77)),COLUMN(A77)))</f>
        <v/>
      </c>
      <c r="BI82" t="str" cm="1">
        <f t="array" ref="BI82">IF(ISERROR(INDEX(RESULTLOCATION,SMALL(IF(COUNTIF($BA$3,MONTH), ROW(MONTH)-MIN(ROW(MONTH))+1),ROW(A77)),COLUMN(A77))),"",INDEX(RESULTLOCATION,SMALL(IF(COUNTIF($BA$3,MONTH), ROW(MONTH)-MIN(ROW(MONTH))+1),ROW(A77)),COLUMN(A77)))</f>
        <v/>
      </c>
    </row>
    <row r="83" spans="3:61" x14ac:dyDescent="0.3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 cm="1">
        <f t="array" aca="1" ref="AT83" ca="1">IF(ISERROR(INDEX(RESULT_DURATION,SMALL(IF(COUNTIF($AQ$39,WEEK)*COUNTIF($AR$39,WEEKDAY), ROW(WEEK)-MIN(ROW(WEEK))+1),ROW(A42)),COLUMN(A42))),0,INDEX(RESULT_DURATION,SMALL(IF(COUNTIF($AQ$39,WEEK)*COUNTIF($AR$39,WEEKDAY), ROW(WEEK)-MIN(ROW(WEEK))+1),ROW(A42)),COLUMN(A42)))</f>
        <v>0</v>
      </c>
      <c r="AU83" cm="1">
        <f t="array" aca="1" ref="AU83" ca="1">IF(ISERROR(INDEX(RESULT_START,SMALL(IF(COUNTIF($AQ$39,WEEK)*COUNTIF($AR$39,WEEKDAY), ROW(WEEK)-MIN(ROW(WEEK))+1),ROW(A42)),COLUMN(A42))),0,INDEX(RESULT_START,SMALL(IF(COUNTIF($AQ$39,WEEK)*COUNTIF($AR$39,WEEKDAY), ROW(WEEK)-MIN(ROW(WEEK))+1),ROW(A42)),COLUMN(A42)))</f>
        <v>0</v>
      </c>
      <c r="AV83" cm="1">
        <f t="array" ref="AV83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3" cm="1">
        <f t="array" aca="1" ref="AW83" ca="1">IF(ISERROR(INDEX(RESULT_CATEGORIES,SMALL(IF(COUNTIF($AQ$39,WEEK)*COUNTIF($AR$39,WEEKDAY), ROW(WEEK)-MIN(ROW(WEEK))+1),ROW(A42)),COLUMN(A42))),0,INDEX(RESULT_CATEGORIES,SMALL(IF(COUNTIF($AQ$39,WEEK)*COUNTIF($AR$39,WEEKDAY), ROW(WEEK)-MIN(ROW(WEEK))+1),ROW(A42)),COLUMN(A42)))</f>
        <v>0</v>
      </c>
      <c r="AX83" s="2"/>
      <c r="AY83" s="2"/>
      <c r="AZ83" s="2">
        <f>SUMIFS(RESULT_DURATION,WEEK,AZ$52,RESULTLOCATION,#REF!,WEEKDAY,AZ$53)/60</f>
        <v>0</v>
      </c>
      <c r="BA83" t="str" cm="1">
        <f t="array" ref="BA83">IF(ISERROR(INDEX(RESULT_SUBJECT,SMALL(IF(COUNTIF($BA$3,MONTH), ROW(MONTH)-MIN(ROW(MONTH))+1),ROW(A78)),COLUMN(A78))),"",INDEX(RESULT_SUBJECT,SMALL(IF(COUNTIF($BA$3,MONTH), ROW(MONTH)-MIN(ROW(MONTH))+1),ROW(A78)),COLUMN(A78)))</f>
        <v/>
      </c>
      <c r="BB83" t="str" cm="1">
        <f t="array" ref="BB83">IF(ISERROR(INDEX(WEEK,SMALL(IF(COUNTIF($BA$3,MONTH), ROW(MONTH)-MIN(ROW(MONTH))+1),ROW(A78)),COLUMN(A78))),"",INDEX(WEEK,SMALL(IF(COUNTIF($BA$3,MONTH), ROW(MONTH)-MIN(ROW(MONTH))+1),ROW(A78)),COLUMN(A78)))</f>
        <v/>
      </c>
      <c r="BC83" t="str" cm="1">
        <f t="array" ref="BC83">IF(ISERROR(INDEX(RESULT_DAY,SMALL(IF(COUNTIF($BA$3,MONTH), ROW(MONTH)-MIN(ROW(MONTH))+1),ROW(A78)),COLUMN(A78))),"",INDEX(RESULT_DAY,SMALL(IF(COUNTIF($BA$3,MONTH), ROW(MONTH)-MIN(ROW(MONTH))+1),ROW(A78)),COLUMN(A78)))</f>
        <v/>
      </c>
      <c r="BD83" s="29" t="str">
        <f t="shared" si="51"/>
        <v/>
      </c>
      <c r="BE83" s="2" t="str" cm="1">
        <f t="array" ref="BE83">IF(ISERROR(INDEX(RESULT_DURATION,SMALL(IF(COUNTIF($BA$3,MONTH), ROW(MONTH)-MIN(ROW(MONTH))+1),ROW(A78)),COLUMN(A78))),"",INDEX(RESULT_DURATION,SMALL(IF(COUNTIF($BA$3,MONTH), ROW(MONTH)-MIN(ROW(MONTH))+1),ROW(A78)),COLUMN(A78)))</f>
        <v/>
      </c>
      <c r="BH83" t="str" cm="1">
        <f t="array" ref="BH83">IF(ISERROR(INDEX(RESULT_CATEGORIES,SMALL(IF(COUNTIF($BA$3,MONTH), ROW(MONTH)-MIN(ROW(MONTH))+1),ROW(A78)),COLUMN(A78))),"",INDEX(RESULT_CATEGORIES,SMALL(IF(COUNTIF($BA$3,MONTH), ROW(MONTH)-MIN(ROW(MONTH))+1),ROW(A78)),COLUMN(A78)))</f>
        <v/>
      </c>
      <c r="BI83" t="str" cm="1">
        <f t="array" ref="BI83">IF(ISERROR(INDEX(RESULTLOCATION,SMALL(IF(COUNTIF($BA$3,MONTH), ROW(MONTH)-MIN(ROW(MONTH))+1),ROW(A78)),COLUMN(A78))),"",INDEX(RESULTLOCATION,SMALL(IF(COUNTIF($BA$3,MONTH), ROW(MONTH)-MIN(ROW(MONTH))+1),ROW(A78)),COLUMN(A78)))</f>
        <v/>
      </c>
    </row>
    <row r="84" spans="3:61" x14ac:dyDescent="0.3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 cm="1">
        <f t="array" aca="1" ref="AT84" ca="1">IF(ISERROR(INDEX(RESULT_DURATION,SMALL(IF(COUNTIF($AQ$39,WEEK)*COUNTIF($AR$39,WEEKDAY), ROW(WEEK)-MIN(ROW(WEEK))+1),ROW(A43)),COLUMN(A43))),0,INDEX(RESULT_DURATION,SMALL(IF(COUNTIF($AQ$39,WEEK)*COUNTIF($AR$39,WEEKDAY), ROW(WEEK)-MIN(ROW(WEEK))+1),ROW(A43)),COLUMN(A43)))</f>
        <v>0</v>
      </c>
      <c r="AU84" cm="1">
        <f t="array" aca="1" ref="AU84" ca="1">IF(ISERROR(INDEX(RESULT_START,SMALL(IF(COUNTIF($AQ$39,WEEK)*COUNTIF($AR$39,WEEKDAY), ROW(WEEK)-MIN(ROW(WEEK))+1),ROW(A43)),COLUMN(A43))),0,INDEX(RESULT_START,SMALL(IF(COUNTIF($AQ$39,WEEK)*COUNTIF($AR$39,WEEKDAY), ROW(WEEK)-MIN(ROW(WEEK))+1),ROW(A43)),COLUMN(A43)))</f>
        <v>0</v>
      </c>
      <c r="AV84" cm="1">
        <f t="array" ref="AV84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4" cm="1">
        <f t="array" aca="1" ref="AW84" ca="1">IF(ISERROR(INDEX(RESULT_CATEGORIES,SMALL(IF(COUNTIF($AQ$39,WEEK)*COUNTIF($AR$39,WEEKDAY), ROW(WEEK)-MIN(ROW(WEEK))+1),ROW(A43)),COLUMN(A43))),0,INDEX(RESULT_CATEGORIES,SMALL(IF(COUNTIF($AQ$39,WEEK)*COUNTIF($AR$39,WEEKDAY), ROW(WEEK)-MIN(ROW(WEEK))+1),ROW(A43)),COLUMN(A43)))</f>
        <v>0</v>
      </c>
      <c r="AX84" s="2"/>
      <c r="AY84" s="2"/>
      <c r="AZ84" s="2">
        <f>SUMIFS(RESULT_DURATION,WEEK,AZ$52,RESULTLOCATION,#REF!,WEEKDAY,AZ$53)/60</f>
        <v>0</v>
      </c>
      <c r="BA84" t="str" cm="1">
        <f t="array" ref="BA84">IF(ISERROR(INDEX(RESULT_SUBJECT,SMALL(IF(COUNTIF($BA$3,MONTH), ROW(MONTH)-MIN(ROW(MONTH))+1),ROW(A79)),COLUMN(A79))),"",INDEX(RESULT_SUBJECT,SMALL(IF(COUNTIF($BA$3,MONTH), ROW(MONTH)-MIN(ROW(MONTH))+1),ROW(A79)),COLUMN(A79)))</f>
        <v/>
      </c>
      <c r="BB84" t="str" cm="1">
        <f t="array" ref="BB84">IF(ISERROR(INDEX(WEEK,SMALL(IF(COUNTIF($BA$3,MONTH), ROW(MONTH)-MIN(ROW(MONTH))+1),ROW(A79)),COLUMN(A79))),"",INDEX(WEEK,SMALL(IF(COUNTIF($BA$3,MONTH), ROW(MONTH)-MIN(ROW(MONTH))+1),ROW(A79)),COLUMN(A79)))</f>
        <v/>
      </c>
      <c r="BC84" t="str" cm="1">
        <f t="array" ref="BC84">IF(ISERROR(INDEX(RESULT_DAY,SMALL(IF(COUNTIF($BA$3,MONTH), ROW(MONTH)-MIN(ROW(MONTH))+1),ROW(A79)),COLUMN(A79))),"",INDEX(RESULT_DAY,SMALL(IF(COUNTIF($BA$3,MONTH), ROW(MONTH)-MIN(ROW(MONTH))+1),ROW(A79)),COLUMN(A79)))</f>
        <v/>
      </c>
      <c r="BD84" s="29" t="str">
        <f t="shared" si="51"/>
        <v/>
      </c>
      <c r="BE84" s="2" t="str" cm="1">
        <f t="array" ref="BE84">IF(ISERROR(INDEX(RESULT_DURATION,SMALL(IF(COUNTIF($BA$3,MONTH), ROW(MONTH)-MIN(ROW(MONTH))+1),ROW(A79)),COLUMN(A79))),"",INDEX(RESULT_DURATION,SMALL(IF(COUNTIF($BA$3,MONTH), ROW(MONTH)-MIN(ROW(MONTH))+1),ROW(A79)),COLUMN(A79)))</f>
        <v/>
      </c>
      <c r="BH84" t="str" cm="1">
        <f t="array" ref="BH84">IF(ISERROR(INDEX(RESULT_CATEGORIES,SMALL(IF(COUNTIF($BA$3,MONTH), ROW(MONTH)-MIN(ROW(MONTH))+1),ROW(A79)),COLUMN(A79))),"",INDEX(RESULT_CATEGORIES,SMALL(IF(COUNTIF($BA$3,MONTH), ROW(MONTH)-MIN(ROW(MONTH))+1),ROW(A79)),COLUMN(A79)))</f>
        <v/>
      </c>
      <c r="BI84" t="str" cm="1">
        <f t="array" ref="BI84">IF(ISERROR(INDEX(RESULTLOCATION,SMALL(IF(COUNTIF($BA$3,MONTH), ROW(MONTH)-MIN(ROW(MONTH))+1),ROW(A79)),COLUMN(A79))),"",INDEX(RESULTLOCATION,SMALL(IF(COUNTIF($BA$3,MONTH), ROW(MONTH)-MIN(ROW(MONTH))+1),ROW(A79)),COLUMN(A79)))</f>
        <v/>
      </c>
    </row>
    <row r="85" spans="3:61" x14ac:dyDescent="0.3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 cm="1">
        <f t="array" aca="1" ref="AT85" ca="1">IF(ISERROR(INDEX(RESULT_DURATION,SMALL(IF(COUNTIF($AQ$39,WEEK)*COUNTIF($AR$39,WEEKDAY), ROW(WEEK)-MIN(ROW(WEEK))+1),ROW(A44)),COLUMN(A44))),0,INDEX(RESULT_DURATION,SMALL(IF(COUNTIF($AQ$39,WEEK)*COUNTIF($AR$39,WEEKDAY), ROW(WEEK)-MIN(ROW(WEEK))+1),ROW(A44)),COLUMN(A44)))</f>
        <v>0</v>
      </c>
      <c r="AU85" cm="1">
        <f t="array" aca="1" ref="AU85" ca="1">IF(ISERROR(INDEX(RESULT_START,SMALL(IF(COUNTIF($AQ$39,WEEK)*COUNTIF($AR$39,WEEKDAY), ROW(WEEK)-MIN(ROW(WEEK))+1),ROW(A44)),COLUMN(A44))),0,INDEX(RESULT_START,SMALL(IF(COUNTIF($AQ$39,WEEK)*COUNTIF($AR$39,WEEKDAY), ROW(WEEK)-MIN(ROW(WEEK))+1),ROW(A44)),COLUMN(A44)))</f>
        <v>0</v>
      </c>
      <c r="AV85" cm="1">
        <f t="array" ref="AV85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5" cm="1">
        <f t="array" aca="1" ref="AW85" ca="1">IF(ISERROR(INDEX(RESULT_CATEGORIES,SMALL(IF(COUNTIF($AQ$39,WEEK)*COUNTIF($AR$39,WEEKDAY), ROW(WEEK)-MIN(ROW(WEEK))+1),ROW(A44)),COLUMN(A44))),0,INDEX(RESULT_CATEGORIES,SMALL(IF(COUNTIF($AQ$39,WEEK)*COUNTIF($AR$39,WEEKDAY), ROW(WEEK)-MIN(ROW(WEEK))+1),ROW(A44)),COLUMN(A44)))</f>
        <v>0</v>
      </c>
      <c r="AX85" s="2"/>
      <c r="AY85" s="2"/>
      <c r="AZ85" s="2">
        <f>SUMIFS(RESULT_DURATION,WEEK,AZ$52,RESULTLOCATION,#REF!,WEEKDAY,AZ$53)/60</f>
        <v>0</v>
      </c>
      <c r="BA85" t="str" cm="1">
        <f t="array" ref="BA85">IF(ISERROR(INDEX(RESULT_SUBJECT,SMALL(IF(COUNTIF($BA$3,MONTH), ROW(MONTH)-MIN(ROW(MONTH))+1),ROW(A80)),COLUMN(A80))),"",INDEX(RESULT_SUBJECT,SMALL(IF(COUNTIF($BA$3,MONTH), ROW(MONTH)-MIN(ROW(MONTH))+1),ROW(A80)),COLUMN(A80)))</f>
        <v/>
      </c>
      <c r="BB85" t="str" cm="1">
        <f t="array" ref="BB85">IF(ISERROR(INDEX(WEEK,SMALL(IF(COUNTIF($BA$3,MONTH), ROW(MONTH)-MIN(ROW(MONTH))+1),ROW(A80)),COLUMN(A80))),"",INDEX(WEEK,SMALL(IF(COUNTIF($BA$3,MONTH), ROW(MONTH)-MIN(ROW(MONTH))+1),ROW(A80)),COLUMN(A80)))</f>
        <v/>
      </c>
      <c r="BC85" t="str" cm="1">
        <f t="array" ref="BC85">IF(ISERROR(INDEX(RESULT_DAY,SMALL(IF(COUNTIF($BA$3,MONTH), ROW(MONTH)-MIN(ROW(MONTH))+1),ROW(A80)),COLUMN(A80))),"",INDEX(RESULT_DAY,SMALL(IF(COUNTIF($BA$3,MONTH), ROW(MONTH)-MIN(ROW(MONTH))+1),ROW(A80)),COLUMN(A80)))</f>
        <v/>
      </c>
      <c r="BD85" s="29" t="str">
        <f t="shared" si="51"/>
        <v/>
      </c>
      <c r="BE85" s="2" t="str" cm="1">
        <f t="array" ref="BE85">IF(ISERROR(INDEX(RESULT_DURATION,SMALL(IF(COUNTIF($BA$3,MONTH), ROW(MONTH)-MIN(ROW(MONTH))+1),ROW(A80)),COLUMN(A80))),"",INDEX(RESULT_DURATION,SMALL(IF(COUNTIF($BA$3,MONTH), ROW(MONTH)-MIN(ROW(MONTH))+1),ROW(A80)),COLUMN(A80)))</f>
        <v/>
      </c>
      <c r="BH85" t="str" cm="1">
        <f t="array" ref="BH85">IF(ISERROR(INDEX(RESULT_CATEGORIES,SMALL(IF(COUNTIF($BA$3,MONTH), ROW(MONTH)-MIN(ROW(MONTH))+1),ROW(A80)),COLUMN(A80))),"",INDEX(RESULT_CATEGORIES,SMALL(IF(COUNTIF($BA$3,MONTH), ROW(MONTH)-MIN(ROW(MONTH))+1),ROW(A80)),COLUMN(A80)))</f>
        <v/>
      </c>
      <c r="BI85" t="str" cm="1">
        <f t="array" ref="BI85">IF(ISERROR(INDEX(RESULTLOCATION,SMALL(IF(COUNTIF($BA$3,MONTH), ROW(MONTH)-MIN(ROW(MONTH))+1),ROW(A80)),COLUMN(A80))),"",INDEX(RESULTLOCATION,SMALL(IF(COUNTIF($BA$3,MONTH), ROW(MONTH)-MIN(ROW(MONTH))+1),ROW(A80)),COLUMN(A80)))</f>
        <v/>
      </c>
    </row>
    <row r="86" spans="3:61" x14ac:dyDescent="0.3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 cm="1">
        <f t="array" aca="1" ref="AT86" ca="1">IF(ISERROR(INDEX(RESULT_DURATION,SMALL(IF(COUNTIF($AQ$39,WEEK)*COUNTIF($AR$39,WEEKDAY), ROW(WEEK)-MIN(ROW(WEEK))+1),ROW(A45)),COLUMN(A45))),0,INDEX(RESULT_DURATION,SMALL(IF(COUNTIF($AQ$39,WEEK)*COUNTIF($AR$39,WEEKDAY), ROW(WEEK)-MIN(ROW(WEEK))+1),ROW(A45)),COLUMN(A45)))</f>
        <v>0</v>
      </c>
      <c r="AU86" cm="1">
        <f t="array" aca="1" ref="AU86" ca="1">IF(ISERROR(INDEX(RESULT_START,SMALL(IF(COUNTIF($AQ$39,WEEK)*COUNTIF($AR$39,WEEKDAY), ROW(WEEK)-MIN(ROW(WEEK))+1),ROW(A45)),COLUMN(A45))),0,INDEX(RESULT_START,SMALL(IF(COUNTIF($AQ$39,WEEK)*COUNTIF($AR$39,WEEKDAY), ROW(WEEK)-MIN(ROW(WEEK))+1),ROW(A45)),COLUMN(A45)))</f>
        <v>0</v>
      </c>
      <c r="AV86" cm="1">
        <f t="array" ref="AV86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6" cm="1">
        <f t="array" aca="1" ref="AW86" ca="1">IF(ISERROR(INDEX(RESULT_CATEGORIES,SMALL(IF(COUNTIF($AQ$39,WEEK)*COUNTIF($AR$39,WEEKDAY), ROW(WEEK)-MIN(ROW(WEEK))+1),ROW(A45)),COLUMN(A45))),0,INDEX(RESULT_CATEGORIES,SMALL(IF(COUNTIF($AQ$39,WEEK)*COUNTIF($AR$39,WEEKDAY), ROW(WEEK)-MIN(ROW(WEEK))+1),ROW(A45)),COLUMN(A45)))</f>
        <v>0</v>
      </c>
      <c r="AX86" s="2"/>
      <c r="AY86" s="2"/>
      <c r="AZ86" s="2">
        <f>SUMIFS(RESULT_DURATION,WEEK,AZ$52,RESULTLOCATION,#REF!,WEEKDAY,AZ$53)/60</f>
        <v>0</v>
      </c>
      <c r="BA86" t="str" cm="1">
        <f t="array" ref="BA86">IF(ISERROR(INDEX(RESULT_SUBJECT,SMALL(IF(COUNTIF($BA$3,MONTH), ROW(MONTH)-MIN(ROW(MONTH))+1),ROW(A81)),COLUMN(A81))),"",INDEX(RESULT_SUBJECT,SMALL(IF(COUNTIF($BA$3,MONTH), ROW(MONTH)-MIN(ROW(MONTH))+1),ROW(A81)),COLUMN(A81)))</f>
        <v/>
      </c>
      <c r="BB86" t="str" cm="1">
        <f t="array" ref="BB86">IF(ISERROR(INDEX(WEEK,SMALL(IF(COUNTIF($BA$3,MONTH), ROW(MONTH)-MIN(ROW(MONTH))+1),ROW(A81)),COLUMN(A81))),"",INDEX(WEEK,SMALL(IF(COUNTIF($BA$3,MONTH), ROW(MONTH)-MIN(ROW(MONTH))+1),ROW(A81)),COLUMN(A81)))</f>
        <v/>
      </c>
      <c r="BC86" t="str" cm="1">
        <f t="array" ref="BC86">IF(ISERROR(INDEX(RESULT_DAY,SMALL(IF(COUNTIF($BA$3,MONTH), ROW(MONTH)-MIN(ROW(MONTH))+1),ROW(A81)),COLUMN(A81))),"",INDEX(RESULT_DAY,SMALL(IF(COUNTIF($BA$3,MONTH), ROW(MONTH)-MIN(ROW(MONTH))+1),ROW(A81)),COLUMN(A81)))</f>
        <v/>
      </c>
      <c r="BD86" s="29" t="str">
        <f t="shared" si="51"/>
        <v/>
      </c>
      <c r="BE86" s="2" t="str" cm="1">
        <f t="array" ref="BE86">IF(ISERROR(INDEX(RESULT_DURATION,SMALL(IF(COUNTIF($BA$3,MONTH), ROW(MONTH)-MIN(ROW(MONTH))+1),ROW(A81)),COLUMN(A81))),"",INDEX(RESULT_DURATION,SMALL(IF(COUNTIF($BA$3,MONTH), ROW(MONTH)-MIN(ROW(MONTH))+1),ROW(A81)),COLUMN(A81)))</f>
        <v/>
      </c>
      <c r="BH86" t="str" cm="1">
        <f t="array" ref="BH86">IF(ISERROR(INDEX(RESULT_CATEGORIES,SMALL(IF(COUNTIF($BA$3,MONTH), ROW(MONTH)-MIN(ROW(MONTH))+1),ROW(A81)),COLUMN(A81))),"",INDEX(RESULT_CATEGORIES,SMALL(IF(COUNTIF($BA$3,MONTH), ROW(MONTH)-MIN(ROW(MONTH))+1),ROW(A81)),COLUMN(A81)))</f>
        <v/>
      </c>
      <c r="BI86" t="str" cm="1">
        <f t="array" ref="BI86">IF(ISERROR(INDEX(RESULTLOCATION,SMALL(IF(COUNTIF($BA$3,MONTH), ROW(MONTH)-MIN(ROW(MONTH))+1),ROW(A81)),COLUMN(A81))),"",INDEX(RESULTLOCATION,SMALL(IF(COUNTIF($BA$3,MONTH), ROW(MONTH)-MIN(ROW(MONTH))+1),ROW(A81)),COLUMN(A81)))</f>
        <v/>
      </c>
    </row>
    <row r="87" spans="3:61" x14ac:dyDescent="0.3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 cm="1">
        <f t="array" aca="1" ref="AT87" ca="1">IF(ISERROR(INDEX(RESULT_DURATION,SMALL(IF(COUNTIF($AQ$39,WEEK)*COUNTIF($AR$39,WEEKDAY), ROW(WEEK)-MIN(ROW(WEEK))+1),ROW(A46)),COLUMN(A46))),0,INDEX(RESULT_DURATION,SMALL(IF(COUNTIF($AQ$39,WEEK)*COUNTIF($AR$39,WEEKDAY), ROW(WEEK)-MIN(ROW(WEEK))+1),ROW(A46)),COLUMN(A46)))</f>
        <v>0</v>
      </c>
      <c r="AU87" cm="1">
        <f t="array" aca="1" ref="AU87" ca="1">IF(ISERROR(INDEX(RESULT_START,SMALL(IF(COUNTIF($AQ$39,WEEK)*COUNTIF($AR$39,WEEKDAY), ROW(WEEK)-MIN(ROW(WEEK))+1),ROW(A46)),COLUMN(A46))),0,INDEX(RESULT_START,SMALL(IF(COUNTIF($AQ$39,WEEK)*COUNTIF($AR$39,WEEKDAY), ROW(WEEK)-MIN(ROW(WEEK))+1),ROW(A46)),COLUMN(A46)))</f>
        <v>0</v>
      </c>
      <c r="AV87" cm="1">
        <f t="array" ref="AV87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7" cm="1">
        <f t="array" aca="1" ref="AW87" ca="1">IF(ISERROR(INDEX(RESULT_CATEGORIES,SMALL(IF(COUNTIF($AQ$39,WEEK)*COUNTIF($AR$39,WEEKDAY), ROW(WEEK)-MIN(ROW(WEEK))+1),ROW(A46)),COLUMN(A46))),0,INDEX(RESULT_CATEGORIES,SMALL(IF(COUNTIF($AQ$39,WEEK)*COUNTIF($AR$39,WEEKDAY), ROW(WEEK)-MIN(ROW(WEEK))+1),ROW(A46)),COLUMN(A46)))</f>
        <v>0</v>
      </c>
      <c r="AX87" s="2"/>
      <c r="AY87" s="2"/>
      <c r="AZ87" s="2">
        <f>SUMIFS(RESULT_DURATION,WEEK,AZ$52,RESULTLOCATION,#REF!,WEEKDAY,AZ$53)/60</f>
        <v>0</v>
      </c>
      <c r="BA87" t="str" cm="1">
        <f t="array" ref="BA87">IF(ISERROR(INDEX(RESULT_SUBJECT,SMALL(IF(COUNTIF($BA$3,MONTH), ROW(MONTH)-MIN(ROW(MONTH))+1),ROW(A82)),COLUMN(A82))),"",INDEX(RESULT_SUBJECT,SMALL(IF(COUNTIF($BA$3,MONTH), ROW(MONTH)-MIN(ROW(MONTH))+1),ROW(A82)),COLUMN(A82)))</f>
        <v/>
      </c>
      <c r="BB87" t="str" cm="1">
        <f t="array" ref="BB87">IF(ISERROR(INDEX(WEEK,SMALL(IF(COUNTIF($BA$3,MONTH), ROW(MONTH)-MIN(ROW(MONTH))+1),ROW(A82)),COLUMN(A82))),"",INDEX(WEEK,SMALL(IF(COUNTIF($BA$3,MONTH), ROW(MONTH)-MIN(ROW(MONTH))+1),ROW(A82)),COLUMN(A82)))</f>
        <v/>
      </c>
      <c r="BC87" t="str" cm="1">
        <f t="array" ref="BC87">IF(ISERROR(INDEX(RESULT_DAY,SMALL(IF(COUNTIF($BA$3,MONTH), ROW(MONTH)-MIN(ROW(MONTH))+1),ROW(A82)),COLUMN(A82))),"",INDEX(RESULT_DAY,SMALL(IF(COUNTIF($BA$3,MONTH), ROW(MONTH)-MIN(ROW(MONTH))+1),ROW(A82)),COLUMN(A82)))</f>
        <v/>
      </c>
      <c r="BD87" s="29" t="str">
        <f t="shared" si="51"/>
        <v/>
      </c>
      <c r="BE87" s="2" t="str" cm="1">
        <f t="array" ref="BE87">IF(ISERROR(INDEX(RESULT_DURATION,SMALL(IF(COUNTIF($BA$3,MONTH), ROW(MONTH)-MIN(ROW(MONTH))+1),ROW(A82)),COLUMN(A82))),"",INDEX(RESULT_DURATION,SMALL(IF(COUNTIF($BA$3,MONTH), ROW(MONTH)-MIN(ROW(MONTH))+1),ROW(A82)),COLUMN(A82)))</f>
        <v/>
      </c>
      <c r="BH87" t="str" cm="1">
        <f t="array" ref="BH87">IF(ISERROR(INDEX(RESULT_CATEGORIES,SMALL(IF(COUNTIF($BA$3,MONTH), ROW(MONTH)-MIN(ROW(MONTH))+1),ROW(A82)),COLUMN(A82))),"",INDEX(RESULT_CATEGORIES,SMALL(IF(COUNTIF($BA$3,MONTH), ROW(MONTH)-MIN(ROW(MONTH))+1),ROW(A82)),COLUMN(A82)))</f>
        <v/>
      </c>
      <c r="BI87" t="str" cm="1">
        <f t="array" ref="BI87">IF(ISERROR(INDEX(RESULTLOCATION,SMALL(IF(COUNTIF($BA$3,MONTH), ROW(MONTH)-MIN(ROW(MONTH))+1),ROW(A82)),COLUMN(A82))),"",INDEX(RESULTLOCATION,SMALL(IF(COUNTIF($BA$3,MONTH), ROW(MONTH)-MIN(ROW(MONTH))+1),ROW(A82)),COLUMN(A82)))</f>
        <v/>
      </c>
    </row>
    <row r="88" spans="3:61" x14ac:dyDescent="0.3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 cm="1">
        <f t="array" aca="1" ref="AT88" ca="1">IF(ISERROR(INDEX(RESULT_DURATION,SMALL(IF(COUNTIF($AQ$39,WEEK)*COUNTIF($AR$39,WEEKDAY), ROW(WEEK)-MIN(ROW(WEEK))+1),ROW(A47)),COLUMN(A47))),0,INDEX(RESULT_DURATION,SMALL(IF(COUNTIF($AQ$39,WEEK)*COUNTIF($AR$39,WEEKDAY), ROW(WEEK)-MIN(ROW(WEEK))+1),ROW(A47)),COLUMN(A47)))</f>
        <v>0</v>
      </c>
      <c r="AU88" cm="1">
        <f t="array" aca="1" ref="AU88" ca="1">IF(ISERROR(INDEX(RESULT_START,SMALL(IF(COUNTIF($AQ$39,WEEK)*COUNTIF($AR$39,WEEKDAY), ROW(WEEK)-MIN(ROW(WEEK))+1),ROW(A47)),COLUMN(A47))),0,INDEX(RESULT_START,SMALL(IF(COUNTIF($AQ$39,WEEK)*COUNTIF($AR$39,WEEKDAY), ROW(WEEK)-MIN(ROW(WEEK))+1),ROW(A47)),COLUMN(A47)))</f>
        <v>0</v>
      </c>
      <c r="AV88" cm="1">
        <f t="array" ref="AV88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8" cm="1">
        <f t="array" aca="1" ref="AW88" ca="1">IF(ISERROR(INDEX(RESULT_CATEGORIES,SMALL(IF(COUNTIF($AQ$39,WEEK)*COUNTIF($AR$39,WEEKDAY), ROW(WEEK)-MIN(ROW(WEEK))+1),ROW(A47)),COLUMN(A47))),0,INDEX(RESULT_CATEGORIES,SMALL(IF(COUNTIF($AQ$39,WEEK)*COUNTIF($AR$39,WEEKDAY), ROW(WEEK)-MIN(ROW(WEEK))+1),ROW(A47)),COLUMN(A47)))</f>
        <v>0</v>
      </c>
      <c r="AX88" s="2"/>
      <c r="AY88" s="2"/>
      <c r="AZ88" s="2">
        <f>SUMIFS(RESULT_DURATION,WEEK,AZ$52,RESULTLOCATION,#REF!,WEEKDAY,AZ$53)/60</f>
        <v>0</v>
      </c>
      <c r="BA88" t="str" cm="1">
        <f t="array" ref="BA88">IF(ISERROR(INDEX(RESULT_SUBJECT,SMALL(IF(COUNTIF($BA$3,MONTH), ROW(MONTH)-MIN(ROW(MONTH))+1),ROW(A83)),COLUMN(A83))),"",INDEX(RESULT_SUBJECT,SMALL(IF(COUNTIF($BA$3,MONTH), ROW(MONTH)-MIN(ROW(MONTH))+1),ROW(A83)),COLUMN(A83)))</f>
        <v/>
      </c>
      <c r="BB88" t="str" cm="1">
        <f t="array" ref="BB88">IF(ISERROR(INDEX(WEEK,SMALL(IF(COUNTIF($BA$3,MONTH), ROW(MONTH)-MIN(ROW(MONTH))+1),ROW(A83)),COLUMN(A83))),"",INDEX(WEEK,SMALL(IF(COUNTIF($BA$3,MONTH), ROW(MONTH)-MIN(ROW(MONTH))+1),ROW(A83)),COLUMN(A83)))</f>
        <v/>
      </c>
      <c r="BC88" t="str" cm="1">
        <f t="array" ref="BC88">IF(ISERROR(INDEX(RESULT_DAY,SMALL(IF(COUNTIF($BA$3,MONTH), ROW(MONTH)-MIN(ROW(MONTH))+1),ROW(A83)),COLUMN(A83))),"",INDEX(RESULT_DAY,SMALL(IF(COUNTIF($BA$3,MONTH), ROW(MONTH)-MIN(ROW(MONTH))+1),ROW(A83)),COLUMN(A83)))</f>
        <v/>
      </c>
      <c r="BD88" s="29" t="str">
        <f t="shared" si="51"/>
        <v/>
      </c>
      <c r="BE88" s="2" t="str" cm="1">
        <f t="array" ref="BE88">IF(ISERROR(INDEX(RESULT_DURATION,SMALL(IF(COUNTIF($BA$3,MONTH), ROW(MONTH)-MIN(ROW(MONTH))+1),ROW(A83)),COLUMN(A83))),"",INDEX(RESULT_DURATION,SMALL(IF(COUNTIF($BA$3,MONTH), ROW(MONTH)-MIN(ROW(MONTH))+1),ROW(A83)),COLUMN(A83)))</f>
        <v/>
      </c>
      <c r="BH88" t="str" cm="1">
        <f t="array" ref="BH88">IF(ISERROR(INDEX(RESULT_CATEGORIES,SMALL(IF(COUNTIF($BA$3,MONTH), ROW(MONTH)-MIN(ROW(MONTH))+1),ROW(A83)),COLUMN(A83))),"",INDEX(RESULT_CATEGORIES,SMALL(IF(COUNTIF($BA$3,MONTH), ROW(MONTH)-MIN(ROW(MONTH))+1),ROW(A83)),COLUMN(A83)))</f>
        <v/>
      </c>
      <c r="BI88" t="str" cm="1">
        <f t="array" ref="BI88">IF(ISERROR(INDEX(RESULTLOCATION,SMALL(IF(COUNTIF($BA$3,MONTH), ROW(MONTH)-MIN(ROW(MONTH))+1),ROW(A83)),COLUMN(A83))),"",INDEX(RESULTLOCATION,SMALL(IF(COUNTIF($BA$3,MONTH), ROW(MONTH)-MIN(ROW(MONTH))+1),ROW(A83)),COLUMN(A83)))</f>
        <v/>
      </c>
    </row>
    <row r="89" spans="3:61" x14ac:dyDescent="0.3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 cm="1">
        <f t="array" aca="1" ref="AT89" ca="1">IF(ISERROR(INDEX(RESULT_DURATION,SMALL(IF(COUNTIF($AQ$39,WEEK)*COUNTIF($AR$39,WEEKDAY), ROW(WEEK)-MIN(ROW(WEEK))+1),ROW(A48)),COLUMN(A48))),0,INDEX(RESULT_DURATION,SMALL(IF(COUNTIF($AQ$39,WEEK)*COUNTIF($AR$39,WEEKDAY), ROW(WEEK)-MIN(ROW(WEEK))+1),ROW(A48)),COLUMN(A48)))</f>
        <v>0</v>
      </c>
      <c r="AU89" cm="1">
        <f t="array" aca="1" ref="AU89" ca="1">IF(ISERROR(INDEX(RESULT_START,SMALL(IF(COUNTIF($AQ$39,WEEK)*COUNTIF($AR$39,WEEKDAY), ROW(WEEK)-MIN(ROW(WEEK))+1),ROW(A48)),COLUMN(A48))),0,INDEX(RESULT_START,SMALL(IF(COUNTIF($AQ$39,WEEK)*COUNTIF($AR$39,WEEKDAY), ROW(WEEK)-MIN(ROW(WEEK))+1),ROW(A48)),COLUMN(A48)))</f>
        <v>0</v>
      </c>
      <c r="AV89" cm="1">
        <f t="array" ref="AV89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89" cm="1">
        <f t="array" aca="1" ref="AW89" ca="1">IF(ISERROR(INDEX(RESULT_CATEGORIES,SMALL(IF(COUNTIF($AQ$39,WEEK)*COUNTIF($AR$39,WEEKDAY), ROW(WEEK)-MIN(ROW(WEEK))+1),ROW(A48)),COLUMN(A48))),0,INDEX(RESULT_CATEGORIES,SMALL(IF(COUNTIF($AQ$39,WEEK)*COUNTIF($AR$39,WEEKDAY), ROW(WEEK)-MIN(ROW(WEEK))+1),ROW(A48)),COLUMN(A48)))</f>
        <v>0</v>
      </c>
      <c r="AX89" s="2"/>
      <c r="AY89" s="2"/>
      <c r="AZ89" s="2">
        <f>SUMIFS(RESULT_DURATION,WEEK,AZ$52,RESULTLOCATION,#REF!,WEEKDAY,AZ$53)/60</f>
        <v>0</v>
      </c>
      <c r="BA89" t="str" cm="1">
        <f t="array" ref="BA89">IF(ISERROR(INDEX(RESULT_SUBJECT,SMALL(IF(COUNTIF($BA$3,MONTH), ROW(MONTH)-MIN(ROW(MONTH))+1),ROW(A84)),COLUMN(A84))),"",INDEX(RESULT_SUBJECT,SMALL(IF(COUNTIF($BA$3,MONTH), ROW(MONTH)-MIN(ROW(MONTH))+1),ROW(A84)),COLUMN(A84)))</f>
        <v/>
      </c>
      <c r="BB89" t="str" cm="1">
        <f t="array" ref="BB89">IF(ISERROR(INDEX(WEEK,SMALL(IF(COUNTIF($BA$3,MONTH), ROW(MONTH)-MIN(ROW(MONTH))+1),ROW(A84)),COLUMN(A84))),"",INDEX(WEEK,SMALL(IF(COUNTIF($BA$3,MONTH), ROW(MONTH)-MIN(ROW(MONTH))+1),ROW(A84)),COLUMN(A84)))</f>
        <v/>
      </c>
      <c r="BC89" t="str" cm="1">
        <f t="array" ref="BC89">IF(ISERROR(INDEX(RESULT_DAY,SMALL(IF(COUNTIF($BA$3,MONTH), ROW(MONTH)-MIN(ROW(MONTH))+1),ROW(A84)),COLUMN(A84))),"",INDEX(RESULT_DAY,SMALL(IF(COUNTIF($BA$3,MONTH), ROW(MONTH)-MIN(ROW(MONTH))+1),ROW(A84)),COLUMN(A84)))</f>
        <v/>
      </c>
      <c r="BD89" s="29" t="str">
        <f t="shared" si="51"/>
        <v/>
      </c>
      <c r="BE89" s="2" t="str" cm="1">
        <f t="array" ref="BE89">IF(ISERROR(INDEX(RESULT_DURATION,SMALL(IF(COUNTIF($BA$3,MONTH), ROW(MONTH)-MIN(ROW(MONTH))+1),ROW(A84)),COLUMN(A84))),"",INDEX(RESULT_DURATION,SMALL(IF(COUNTIF($BA$3,MONTH), ROW(MONTH)-MIN(ROW(MONTH))+1),ROW(A84)),COLUMN(A84)))</f>
        <v/>
      </c>
      <c r="BH89" t="str" cm="1">
        <f t="array" ref="BH89">IF(ISERROR(INDEX(RESULT_CATEGORIES,SMALL(IF(COUNTIF($BA$3,MONTH), ROW(MONTH)-MIN(ROW(MONTH))+1),ROW(A84)),COLUMN(A84))),"",INDEX(RESULT_CATEGORIES,SMALL(IF(COUNTIF($BA$3,MONTH), ROW(MONTH)-MIN(ROW(MONTH))+1),ROW(A84)),COLUMN(A84)))</f>
        <v/>
      </c>
      <c r="BI89" t="str" cm="1">
        <f t="array" ref="BI89">IF(ISERROR(INDEX(RESULTLOCATION,SMALL(IF(COUNTIF($BA$3,MONTH), ROW(MONTH)-MIN(ROW(MONTH))+1),ROW(A84)),COLUMN(A84))),"",INDEX(RESULTLOCATION,SMALL(IF(COUNTIF($BA$3,MONTH), ROW(MONTH)-MIN(ROW(MONTH))+1),ROW(A84)),COLUMN(A84)))</f>
        <v/>
      </c>
    </row>
    <row r="90" spans="3:61" x14ac:dyDescent="0.3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 cm="1">
        <f t="array" aca="1" ref="AT90" ca="1">IF(ISERROR(INDEX(RESULT_DURATION,SMALL(IF(COUNTIF($AQ$39,WEEK)*COUNTIF($AR$39,WEEKDAY), ROW(WEEK)-MIN(ROW(WEEK))+1),ROW(A49)),COLUMN(A49))),0,INDEX(RESULT_DURATION,SMALL(IF(COUNTIF($AQ$39,WEEK)*COUNTIF($AR$39,WEEKDAY), ROW(WEEK)-MIN(ROW(WEEK))+1),ROW(A49)),COLUMN(A49)))</f>
        <v>0</v>
      </c>
      <c r="AU90" cm="1">
        <f t="array" aca="1" ref="AU90" ca="1">IF(ISERROR(INDEX(RESULT_START,SMALL(IF(COUNTIF($AQ$39,WEEK)*COUNTIF($AR$39,WEEKDAY), ROW(WEEK)-MIN(ROW(WEEK))+1),ROW(A49)),COLUMN(A49))),0,INDEX(RESULT_START,SMALL(IF(COUNTIF($AQ$39,WEEK)*COUNTIF($AR$39,WEEKDAY), ROW(WEEK)-MIN(ROW(WEEK))+1),ROW(A49)),COLUMN(A49)))</f>
        <v>0</v>
      </c>
      <c r="AV90" cm="1">
        <f t="array" ref="AV90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0" cm="1">
        <f t="array" aca="1" ref="AW90" ca="1">IF(ISERROR(INDEX(RESULT_CATEGORIES,SMALL(IF(COUNTIF($AQ$39,WEEK)*COUNTIF($AR$39,WEEKDAY), ROW(WEEK)-MIN(ROW(WEEK))+1),ROW(A49)),COLUMN(A49))),0,INDEX(RESULT_CATEGORIES,SMALL(IF(COUNTIF($AQ$39,WEEK)*COUNTIF($AR$39,WEEKDAY), ROW(WEEK)-MIN(ROW(WEEK))+1),ROW(A49)),COLUMN(A49)))</f>
        <v>0</v>
      </c>
      <c r="AX90" s="2"/>
      <c r="AY90" s="2"/>
      <c r="AZ90" s="2">
        <f>SUMIFS(RESULT_DURATION,WEEK,AZ$52,RESULTLOCATION,#REF!,WEEKDAY,AZ$53)/60</f>
        <v>0</v>
      </c>
      <c r="BA90" t="str" cm="1">
        <f t="array" ref="BA90">IF(ISERROR(INDEX(RESULT_SUBJECT,SMALL(IF(COUNTIF($BA$3,MONTH), ROW(MONTH)-MIN(ROW(MONTH))+1),ROW(A85)),COLUMN(A85))),"",INDEX(RESULT_SUBJECT,SMALL(IF(COUNTIF($BA$3,MONTH), ROW(MONTH)-MIN(ROW(MONTH))+1),ROW(A85)),COLUMN(A85)))</f>
        <v/>
      </c>
      <c r="BB90" t="str" cm="1">
        <f t="array" ref="BB90">IF(ISERROR(INDEX(WEEK,SMALL(IF(COUNTIF($BA$3,MONTH), ROW(MONTH)-MIN(ROW(MONTH))+1),ROW(A85)),COLUMN(A85))),"",INDEX(WEEK,SMALL(IF(COUNTIF($BA$3,MONTH), ROW(MONTH)-MIN(ROW(MONTH))+1),ROW(A85)),COLUMN(A85)))</f>
        <v/>
      </c>
      <c r="BC90" t="str" cm="1">
        <f t="array" ref="BC90">IF(ISERROR(INDEX(RESULT_DAY,SMALL(IF(COUNTIF($BA$3,MONTH), ROW(MONTH)-MIN(ROW(MONTH))+1),ROW(A85)),COLUMN(A85))),"",INDEX(RESULT_DAY,SMALL(IF(COUNTIF($BA$3,MONTH), ROW(MONTH)-MIN(ROW(MONTH))+1),ROW(A85)),COLUMN(A85)))</f>
        <v/>
      </c>
      <c r="BD90" s="29" t="str">
        <f t="shared" si="51"/>
        <v/>
      </c>
      <c r="BE90" s="2" t="str" cm="1">
        <f t="array" ref="BE90">IF(ISERROR(INDEX(RESULT_DURATION,SMALL(IF(COUNTIF($BA$3,MONTH), ROW(MONTH)-MIN(ROW(MONTH))+1),ROW(A85)),COLUMN(A85))),"",INDEX(RESULT_DURATION,SMALL(IF(COUNTIF($BA$3,MONTH), ROW(MONTH)-MIN(ROW(MONTH))+1),ROW(A85)),COLUMN(A85)))</f>
        <v/>
      </c>
      <c r="BH90" t="str" cm="1">
        <f t="array" ref="BH90">IF(ISERROR(INDEX(RESULT_CATEGORIES,SMALL(IF(COUNTIF($BA$3,MONTH), ROW(MONTH)-MIN(ROW(MONTH))+1),ROW(A85)),COLUMN(A85))),"",INDEX(RESULT_CATEGORIES,SMALL(IF(COUNTIF($BA$3,MONTH), ROW(MONTH)-MIN(ROW(MONTH))+1),ROW(A85)),COLUMN(A85)))</f>
        <v/>
      </c>
      <c r="BI90" t="str" cm="1">
        <f t="array" ref="BI90">IF(ISERROR(INDEX(RESULTLOCATION,SMALL(IF(COUNTIF($BA$3,MONTH), ROW(MONTH)-MIN(ROW(MONTH))+1),ROW(A85)),COLUMN(A85))),"",INDEX(RESULTLOCATION,SMALL(IF(COUNTIF($BA$3,MONTH), ROW(MONTH)-MIN(ROW(MONTH))+1),ROW(A85)),COLUMN(A85)))</f>
        <v/>
      </c>
    </row>
    <row r="91" spans="3:61" x14ac:dyDescent="0.3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 cm="1">
        <f t="array" aca="1" ref="AT91" ca="1">IF(ISERROR(INDEX(RESULT_DURATION,SMALL(IF(COUNTIF($AQ$39,WEEK)*COUNTIF($AR$39,WEEKDAY), ROW(WEEK)-MIN(ROW(WEEK))+1),ROW(A50)),COLUMN(A50))),0,INDEX(RESULT_DURATION,SMALL(IF(COUNTIF($AQ$39,WEEK)*COUNTIF($AR$39,WEEKDAY), ROW(WEEK)-MIN(ROW(WEEK))+1),ROW(A50)),COLUMN(A50)))</f>
        <v>0</v>
      </c>
      <c r="AU91" cm="1">
        <f t="array" aca="1" ref="AU91" ca="1">IF(ISERROR(INDEX(RESULT_START,SMALL(IF(COUNTIF($AQ$39,WEEK)*COUNTIF($AR$39,WEEKDAY), ROW(WEEK)-MIN(ROW(WEEK))+1),ROW(A50)),COLUMN(A50))),0,INDEX(RESULT_START,SMALL(IF(COUNTIF($AQ$39,WEEK)*COUNTIF($AR$39,WEEKDAY), ROW(WEEK)-MIN(ROW(WEEK))+1),ROW(A50)),COLUMN(A50)))</f>
        <v>0</v>
      </c>
      <c r="AV91" cm="1">
        <f t="array" ref="AV91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1" cm="1">
        <f t="array" aca="1" ref="AW91" ca="1">IF(ISERROR(INDEX(RESULT_CATEGORIES,SMALL(IF(COUNTIF($AQ$39,WEEK)*COUNTIF($AR$39,WEEKDAY), ROW(WEEK)-MIN(ROW(WEEK))+1),ROW(A50)),COLUMN(A50))),0,INDEX(RESULT_CATEGORIES,SMALL(IF(COUNTIF($AQ$39,WEEK)*COUNTIF($AR$39,WEEKDAY), ROW(WEEK)-MIN(ROW(WEEK))+1),ROW(A50)),COLUMN(A50)))</f>
        <v>0</v>
      </c>
      <c r="AX91" s="2"/>
      <c r="AY91" s="2"/>
      <c r="AZ91" s="2">
        <f>SUMIFS(RESULT_DURATION,WEEK,AZ$52,RESULTLOCATION,#REF!,WEEKDAY,AZ$53)/60</f>
        <v>0</v>
      </c>
      <c r="BA91" t="str" cm="1">
        <f t="array" ref="BA91">IF(ISERROR(INDEX(RESULT_SUBJECT,SMALL(IF(COUNTIF($BA$3,MONTH), ROW(MONTH)-MIN(ROW(MONTH))+1),ROW(A86)),COLUMN(A86))),"",INDEX(RESULT_SUBJECT,SMALL(IF(COUNTIF($BA$3,MONTH), ROW(MONTH)-MIN(ROW(MONTH))+1),ROW(A86)),COLUMN(A86)))</f>
        <v/>
      </c>
      <c r="BB91" t="str" cm="1">
        <f t="array" ref="BB91">IF(ISERROR(INDEX(WEEK,SMALL(IF(COUNTIF($BA$3,MONTH), ROW(MONTH)-MIN(ROW(MONTH))+1),ROW(A86)),COLUMN(A86))),"",INDEX(WEEK,SMALL(IF(COUNTIF($BA$3,MONTH), ROW(MONTH)-MIN(ROW(MONTH))+1),ROW(A86)),COLUMN(A86)))</f>
        <v/>
      </c>
      <c r="BC91" t="str" cm="1">
        <f t="array" ref="BC91">IF(ISERROR(INDEX(RESULT_DAY,SMALL(IF(COUNTIF($BA$3,MONTH), ROW(MONTH)-MIN(ROW(MONTH))+1),ROW(A86)),COLUMN(A86))),"",INDEX(RESULT_DAY,SMALL(IF(COUNTIF($BA$3,MONTH), ROW(MONTH)-MIN(ROW(MONTH))+1),ROW(A86)),COLUMN(A86)))</f>
        <v/>
      </c>
      <c r="BD91" s="29" t="str">
        <f t="shared" si="51"/>
        <v/>
      </c>
      <c r="BE91" s="2" t="str" cm="1">
        <f t="array" ref="BE91">IF(ISERROR(INDEX(RESULT_DURATION,SMALL(IF(COUNTIF($BA$3,MONTH), ROW(MONTH)-MIN(ROW(MONTH))+1),ROW(A86)),COLUMN(A86))),"",INDEX(RESULT_DURATION,SMALL(IF(COUNTIF($BA$3,MONTH), ROW(MONTH)-MIN(ROW(MONTH))+1),ROW(A86)),COLUMN(A86)))</f>
        <v/>
      </c>
      <c r="BH91" t="str" cm="1">
        <f t="array" ref="BH91">IF(ISERROR(INDEX(RESULT_CATEGORIES,SMALL(IF(COUNTIF($BA$3,MONTH), ROW(MONTH)-MIN(ROW(MONTH))+1),ROW(A86)),COLUMN(A86))),"",INDEX(RESULT_CATEGORIES,SMALL(IF(COUNTIF($BA$3,MONTH), ROW(MONTH)-MIN(ROW(MONTH))+1),ROW(A86)),COLUMN(A86)))</f>
        <v/>
      </c>
      <c r="BI91" t="str" cm="1">
        <f t="array" ref="BI91">IF(ISERROR(INDEX(RESULTLOCATION,SMALL(IF(COUNTIF($BA$3,MONTH), ROW(MONTH)-MIN(ROW(MONTH))+1),ROW(A86)),COLUMN(A86))),"",INDEX(RESULTLOCATION,SMALL(IF(COUNTIF($BA$3,MONTH), ROW(MONTH)-MIN(ROW(MONTH))+1),ROW(A86)),COLUMN(A86)))</f>
        <v/>
      </c>
    </row>
    <row r="92" spans="3:61" x14ac:dyDescent="0.3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 cm="1">
        <f t="array" aca="1" ref="AT92" ca="1">IF(ISERROR(INDEX(RESULT_DURATION,SMALL(IF(COUNTIF($AQ$39,WEEK)*COUNTIF($AR$39,WEEKDAY), ROW(WEEK)-MIN(ROW(WEEK))+1),ROW(A51)),COLUMN(A51))),0,INDEX(RESULT_DURATION,SMALL(IF(COUNTIF($AQ$39,WEEK)*COUNTIF($AR$39,WEEKDAY), ROW(WEEK)-MIN(ROW(WEEK))+1),ROW(A51)),COLUMN(A51)))</f>
        <v>0</v>
      </c>
      <c r="AU92" cm="1">
        <f t="array" aca="1" ref="AU92" ca="1">IF(ISERROR(INDEX(RESULT_START,SMALL(IF(COUNTIF($AQ$39,WEEK)*COUNTIF($AR$39,WEEKDAY), ROW(WEEK)-MIN(ROW(WEEK))+1),ROW(A51)),COLUMN(A51))),0,INDEX(RESULT_START,SMALL(IF(COUNTIF($AQ$39,WEEK)*COUNTIF($AR$39,WEEKDAY), ROW(WEEK)-MIN(ROW(WEEK))+1),ROW(A51)),COLUMN(A51)))</f>
        <v>0</v>
      </c>
      <c r="AV92" cm="1">
        <f t="array" ref="AV92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2" cm="1">
        <f t="array" aca="1" ref="AW92" ca="1">IF(ISERROR(INDEX(RESULT_CATEGORIES,SMALL(IF(COUNTIF($AQ$39,WEEK)*COUNTIF($AR$39,WEEKDAY), ROW(WEEK)-MIN(ROW(WEEK))+1),ROW(A51)),COLUMN(A51))),0,INDEX(RESULT_CATEGORIES,SMALL(IF(COUNTIF($AQ$39,WEEK)*COUNTIF($AR$39,WEEKDAY), ROW(WEEK)-MIN(ROW(WEEK))+1),ROW(A51)),COLUMN(A51)))</f>
        <v>0</v>
      </c>
      <c r="AX92" s="2"/>
      <c r="AY92" s="2"/>
      <c r="AZ92" s="2">
        <f>SUMIFS(RESULT_DURATION,WEEK,AZ$52,RESULTLOCATION,#REF!,WEEKDAY,AZ$53)/60</f>
        <v>0</v>
      </c>
      <c r="BA92" t="str" cm="1">
        <f t="array" ref="BA92">IF(ISERROR(INDEX(RESULT_SUBJECT,SMALL(IF(COUNTIF($BA$3,MONTH), ROW(MONTH)-MIN(ROW(MONTH))+1),ROW(A87)),COLUMN(A87))),"",INDEX(RESULT_SUBJECT,SMALL(IF(COUNTIF($BA$3,MONTH), ROW(MONTH)-MIN(ROW(MONTH))+1),ROW(A87)),COLUMN(A87)))</f>
        <v/>
      </c>
      <c r="BB92" t="str" cm="1">
        <f t="array" ref="BB92">IF(ISERROR(INDEX(WEEK,SMALL(IF(COUNTIF($BA$3,MONTH), ROW(MONTH)-MIN(ROW(MONTH))+1),ROW(A87)),COLUMN(A87))),"",INDEX(WEEK,SMALL(IF(COUNTIF($BA$3,MONTH), ROW(MONTH)-MIN(ROW(MONTH))+1),ROW(A87)),COLUMN(A87)))</f>
        <v/>
      </c>
      <c r="BC92" t="str" cm="1">
        <f t="array" ref="BC92">IF(ISERROR(INDEX(RESULT_DAY,SMALL(IF(COUNTIF($BA$3,MONTH), ROW(MONTH)-MIN(ROW(MONTH))+1),ROW(A87)),COLUMN(A87))),"",INDEX(RESULT_DAY,SMALL(IF(COUNTIF($BA$3,MONTH), ROW(MONTH)-MIN(ROW(MONTH))+1),ROW(A87)),COLUMN(A87)))</f>
        <v/>
      </c>
      <c r="BD92" s="29" t="str">
        <f t="shared" si="51"/>
        <v/>
      </c>
      <c r="BE92" s="2" t="str" cm="1">
        <f t="array" ref="BE92">IF(ISERROR(INDEX(RESULT_DURATION,SMALL(IF(COUNTIF($BA$3,MONTH), ROW(MONTH)-MIN(ROW(MONTH))+1),ROW(A87)),COLUMN(A87))),"",INDEX(RESULT_DURATION,SMALL(IF(COUNTIF($BA$3,MONTH), ROW(MONTH)-MIN(ROW(MONTH))+1),ROW(A87)),COLUMN(A87)))</f>
        <v/>
      </c>
      <c r="BH92" t="str" cm="1">
        <f t="array" ref="BH92">IF(ISERROR(INDEX(RESULT_CATEGORIES,SMALL(IF(COUNTIF($BA$3,MONTH), ROW(MONTH)-MIN(ROW(MONTH))+1),ROW(A87)),COLUMN(A87))),"",INDEX(RESULT_CATEGORIES,SMALL(IF(COUNTIF($BA$3,MONTH), ROW(MONTH)-MIN(ROW(MONTH))+1),ROW(A87)),COLUMN(A87)))</f>
        <v/>
      </c>
      <c r="BI92" t="str" cm="1">
        <f t="array" ref="BI92">IF(ISERROR(INDEX(RESULTLOCATION,SMALL(IF(COUNTIF($BA$3,MONTH), ROW(MONTH)-MIN(ROW(MONTH))+1),ROW(A87)),COLUMN(A87))),"",INDEX(RESULTLOCATION,SMALL(IF(COUNTIF($BA$3,MONTH), ROW(MONTH)-MIN(ROW(MONTH))+1),ROW(A87)),COLUMN(A87)))</f>
        <v/>
      </c>
    </row>
    <row r="93" spans="3:61" x14ac:dyDescent="0.3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 cm="1">
        <f t="array" aca="1" ref="AT93" ca="1">IF(ISERROR(INDEX(RESULT_DURATION,SMALL(IF(COUNTIF($AQ$39,WEEK)*COUNTIF($AR$39,WEEKDAY), ROW(WEEK)-MIN(ROW(WEEK))+1),ROW(A52)),COLUMN(A52))),0,INDEX(RESULT_DURATION,SMALL(IF(COUNTIF($AQ$39,WEEK)*COUNTIF($AR$39,WEEKDAY), ROW(WEEK)-MIN(ROW(WEEK))+1),ROW(A52)),COLUMN(A52)))</f>
        <v>0</v>
      </c>
      <c r="AU93" cm="1">
        <f t="array" aca="1" ref="AU93" ca="1">IF(ISERROR(INDEX(RESULT_START,SMALL(IF(COUNTIF($AQ$39,WEEK)*COUNTIF($AR$39,WEEKDAY), ROW(WEEK)-MIN(ROW(WEEK))+1),ROW(A52)),COLUMN(A52))),0,INDEX(RESULT_START,SMALL(IF(COUNTIF($AQ$39,WEEK)*COUNTIF($AR$39,WEEKDAY), ROW(WEEK)-MIN(ROW(WEEK))+1),ROW(A52)),COLUMN(A52)))</f>
        <v>0</v>
      </c>
      <c r="AV93" cm="1">
        <f t="array" ref="AV93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3" cm="1">
        <f t="array" aca="1" ref="AW93" ca="1">IF(ISERROR(INDEX(RESULT_CATEGORIES,SMALL(IF(COUNTIF($AQ$39,WEEK)*COUNTIF($AR$39,WEEKDAY), ROW(WEEK)-MIN(ROW(WEEK))+1),ROW(A52)),COLUMN(A52))),0,INDEX(RESULT_CATEGORIES,SMALL(IF(COUNTIF($AQ$39,WEEK)*COUNTIF($AR$39,WEEKDAY), ROW(WEEK)-MIN(ROW(WEEK))+1),ROW(A52)),COLUMN(A52)))</f>
        <v>0</v>
      </c>
      <c r="AX93" s="2"/>
      <c r="AY93" s="2"/>
      <c r="AZ93" s="2">
        <f>SUMIFS(RESULT_DURATION,WEEK,AZ$52,RESULTLOCATION,#REF!,WEEKDAY,AZ$53)/60</f>
        <v>0</v>
      </c>
      <c r="BA93" t="str" cm="1">
        <f t="array" ref="BA93">IF(ISERROR(INDEX(RESULT_SUBJECT,SMALL(IF(COUNTIF($BA$3,MONTH), ROW(MONTH)-MIN(ROW(MONTH))+1),ROW(A88)),COLUMN(A88))),"",INDEX(RESULT_SUBJECT,SMALL(IF(COUNTIF($BA$3,MONTH), ROW(MONTH)-MIN(ROW(MONTH))+1),ROW(A88)),COLUMN(A88)))</f>
        <v/>
      </c>
      <c r="BB93" t="str" cm="1">
        <f t="array" ref="BB93">IF(ISERROR(INDEX(WEEK,SMALL(IF(COUNTIF($BA$3,MONTH), ROW(MONTH)-MIN(ROW(MONTH))+1),ROW(A88)),COLUMN(A88))),"",INDEX(WEEK,SMALL(IF(COUNTIF($BA$3,MONTH), ROW(MONTH)-MIN(ROW(MONTH))+1),ROW(A88)),COLUMN(A88)))</f>
        <v/>
      </c>
      <c r="BC93" t="str" cm="1">
        <f t="array" ref="BC93">IF(ISERROR(INDEX(RESULT_DAY,SMALL(IF(COUNTIF($BA$3,MONTH), ROW(MONTH)-MIN(ROW(MONTH))+1),ROW(A88)),COLUMN(A88))),"",INDEX(RESULT_DAY,SMALL(IF(COUNTIF($BA$3,MONTH), ROW(MONTH)-MIN(ROW(MONTH))+1),ROW(A88)),COLUMN(A88)))</f>
        <v/>
      </c>
      <c r="BD93" s="29" t="str">
        <f t="shared" si="51"/>
        <v/>
      </c>
      <c r="BE93" s="2" t="str" cm="1">
        <f t="array" ref="BE93">IF(ISERROR(INDEX(RESULT_DURATION,SMALL(IF(COUNTIF($BA$3,MONTH), ROW(MONTH)-MIN(ROW(MONTH))+1),ROW(A88)),COLUMN(A88))),"",INDEX(RESULT_DURATION,SMALL(IF(COUNTIF($BA$3,MONTH), ROW(MONTH)-MIN(ROW(MONTH))+1),ROW(A88)),COLUMN(A88)))</f>
        <v/>
      </c>
      <c r="BH93" t="str" cm="1">
        <f t="array" ref="BH93">IF(ISERROR(INDEX(RESULT_CATEGORIES,SMALL(IF(COUNTIF($BA$3,MONTH), ROW(MONTH)-MIN(ROW(MONTH))+1),ROW(A88)),COLUMN(A88))),"",INDEX(RESULT_CATEGORIES,SMALL(IF(COUNTIF($BA$3,MONTH), ROW(MONTH)-MIN(ROW(MONTH))+1),ROW(A88)),COLUMN(A88)))</f>
        <v/>
      </c>
      <c r="BI93" t="str" cm="1">
        <f t="array" ref="BI93">IF(ISERROR(INDEX(RESULTLOCATION,SMALL(IF(COUNTIF($BA$3,MONTH), ROW(MONTH)-MIN(ROW(MONTH))+1),ROW(A88)),COLUMN(A88))),"",INDEX(RESULTLOCATION,SMALL(IF(COUNTIF($BA$3,MONTH), ROW(MONTH)-MIN(ROW(MONTH))+1),ROW(A88)),COLUMN(A88)))</f>
        <v/>
      </c>
    </row>
    <row r="94" spans="3:61" x14ac:dyDescent="0.3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 cm="1">
        <f t="array" aca="1" ref="AT94" ca="1">IF(ISERROR(INDEX(RESULT_DURATION,SMALL(IF(COUNTIF($AQ$39,WEEK)*COUNTIF($AR$39,WEEKDAY), ROW(WEEK)-MIN(ROW(WEEK))+1),ROW(A53)),COLUMN(A53))),0,INDEX(RESULT_DURATION,SMALL(IF(COUNTIF($AQ$39,WEEK)*COUNTIF($AR$39,WEEKDAY), ROW(WEEK)-MIN(ROW(WEEK))+1),ROW(A53)),COLUMN(A53)))</f>
        <v>0</v>
      </c>
      <c r="AU94" cm="1">
        <f t="array" aca="1" ref="AU94" ca="1">IF(ISERROR(INDEX(RESULT_START,SMALL(IF(COUNTIF($AQ$39,WEEK)*COUNTIF($AR$39,WEEKDAY), ROW(WEEK)-MIN(ROW(WEEK))+1),ROW(A53)),COLUMN(A53))),0,INDEX(RESULT_START,SMALL(IF(COUNTIF($AQ$39,WEEK)*COUNTIF($AR$39,WEEKDAY), ROW(WEEK)-MIN(ROW(WEEK))+1),ROW(A53)),COLUMN(A53)))</f>
        <v>0</v>
      </c>
      <c r="AV94" cm="1">
        <f t="array" ref="AV94">IF(ISERROR(INDEX(RESULT_STARTMIN,SMALL(IF(COUNTIF($B$39,WEEK)*COUNTIF(#REF!,WEEKDAY), ROW(WEEK)-MIN(ROW(WEEK))+1),ROW(#REF!)),COLUMN(#REF!))),0,INDEX(RESULT_STARTMIN,SMALL(IF(COUNTIF($B$39,WEEK)*COUNTIF(#REF!,WEEKDAY), ROW(WEEK)-MIN(ROW(WEEK))+1),ROW(#REF!)),COLUMN(#REF!)))</f>
        <v>0</v>
      </c>
      <c r="AW94" cm="1">
        <f t="array" aca="1" ref="AW94" ca="1">IF(ISERROR(INDEX(RESULT_CATEGORIES,SMALL(IF(COUNTIF($AQ$39,WEEK)*COUNTIF($AR$39,WEEKDAY), ROW(WEEK)-MIN(ROW(WEEK))+1),ROW(A53)),COLUMN(A53))),0,INDEX(RESULT_CATEGORIES,SMALL(IF(COUNTIF($AQ$39,WEEK)*COUNTIF($AR$39,WEEKDAY), ROW(WEEK)-MIN(ROW(WEEK))+1),ROW(A53)),COLUMN(A53)))</f>
        <v>0</v>
      </c>
      <c r="AX94" s="2"/>
      <c r="AY94" s="2"/>
      <c r="AZ94" s="2">
        <f>SUMIFS(RESULT_DURATION,WEEK,AZ$52,RESULTLOCATION,#REF!,WEEKDAY,AZ$53)/60</f>
        <v>0</v>
      </c>
      <c r="BA94" t="str" cm="1">
        <f t="array" ref="BA94">IF(ISERROR(INDEX(RESULT_SUBJECT,SMALL(IF(COUNTIF($BA$3,MONTH), ROW(MONTH)-MIN(ROW(MONTH))+1),ROW(A89)),COLUMN(A89))),"",INDEX(RESULT_SUBJECT,SMALL(IF(COUNTIF($BA$3,MONTH), ROW(MONTH)-MIN(ROW(MONTH))+1),ROW(A89)),COLUMN(A89)))</f>
        <v/>
      </c>
      <c r="BB94" t="str" cm="1">
        <f t="array" ref="BB94">IF(ISERROR(INDEX(WEEK,SMALL(IF(COUNTIF($BA$3,MONTH), ROW(MONTH)-MIN(ROW(MONTH))+1),ROW(A89)),COLUMN(A89))),"",INDEX(WEEK,SMALL(IF(COUNTIF($BA$3,MONTH), ROW(MONTH)-MIN(ROW(MONTH))+1),ROW(A89)),COLUMN(A89)))</f>
        <v/>
      </c>
      <c r="BC94" t="str" cm="1">
        <f t="array" ref="BC94">IF(ISERROR(INDEX(RESULT_DAY,SMALL(IF(COUNTIF($BA$3,MONTH), ROW(MONTH)-MIN(ROW(MONTH))+1),ROW(A89)),COLUMN(A89))),"",INDEX(RESULT_DAY,SMALL(IF(COUNTIF($BA$3,MONTH), ROW(MONTH)-MIN(ROW(MONTH))+1),ROW(A89)),COLUMN(A89)))</f>
        <v/>
      </c>
      <c r="BD94" s="29" t="str">
        <f t="shared" si="51"/>
        <v/>
      </c>
      <c r="BE94" s="2" t="str" cm="1">
        <f t="array" ref="BE94">IF(ISERROR(INDEX(RESULT_DURATION,SMALL(IF(COUNTIF($BA$3,MONTH), ROW(MONTH)-MIN(ROW(MONTH))+1),ROW(A89)),COLUMN(A89))),"",INDEX(RESULT_DURATION,SMALL(IF(COUNTIF($BA$3,MONTH), ROW(MONTH)-MIN(ROW(MONTH))+1),ROW(A89)),COLUMN(A89)))</f>
        <v/>
      </c>
      <c r="BH94" t="str" cm="1">
        <f t="array" ref="BH94">IF(ISERROR(INDEX(RESULT_CATEGORIES,SMALL(IF(COUNTIF($BA$3,MONTH), ROW(MONTH)-MIN(ROW(MONTH))+1),ROW(A89)),COLUMN(A89))),"",INDEX(RESULT_CATEGORIES,SMALL(IF(COUNTIF($BA$3,MONTH), ROW(MONTH)-MIN(ROW(MONTH))+1),ROW(A89)),COLUMN(A89)))</f>
        <v/>
      </c>
      <c r="BI94" t="str" cm="1">
        <f t="array" ref="BI94">IF(ISERROR(INDEX(RESULTLOCATION,SMALL(IF(COUNTIF($BA$3,MONTH), ROW(MONTH)-MIN(ROW(MONTH))+1),ROW(A89)),COLUMN(A89))),"",INDEX(RESULTLOCATION,SMALL(IF(COUNTIF($BA$3,MONTH), ROW(MONTH)-MIN(ROW(MONTH))+1),ROW(A89)),COLUMN(A89)))</f>
        <v/>
      </c>
    </row>
    <row r="95" spans="3:61" x14ac:dyDescent="0.3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 cm="1">
        <f t="array" aca="1" ref="AT95" ca="1">IF(ISERROR(INDEX(RESULT_DURATION,SMALL(IF(COUNTIF($AQ$39,WEEK)*COUNTIF($AR$39,WEEKDAY), ROW(WEEK)-MIN(ROW(WEEK))+1),ROW(A54)),COLUMN(A54))),0,INDEX(RESULT_DURATION,SMALL(IF(COUNTIF($AQ$39,WEEK)*COUNTIF($AR$39,WEEKDAY), ROW(WEEK)-MIN(ROW(WEEK))+1),ROW(A54)),COLUMN(A54)))</f>
        <v>0</v>
      </c>
      <c r="AU95" cm="1">
        <f t="array" aca="1" ref="AU95" ca="1">IF(ISERROR(INDEX(RESULT_START,SMALL(IF(COUNTIF($AQ$39,WEEK)*COUNTIF($AR$39,WEEKDAY), ROW(WEEK)-MIN(ROW(WEEK))+1),ROW(A54)),COLUMN(A54))),0,INDEX(RESULT_START,SMALL(IF(COUNTIF($AQ$39,WEEK)*COUNTIF($AR$39,WEEKDAY), ROW(WEEK)-MIN(ROW(WEEK))+1),ROW(A54)),COLUMN(A54)))</f>
        <v>0</v>
      </c>
      <c r="AV95" cm="1">
        <f t="array" ref="AV95">IF(ISERROR(INDEX(RESULT_STARTMIN,SMALL(IF(COUNTIF($B$39,WEEK)*COUNTIF(#REF!,WEEKDAY), ROW(WEEK)-MIN(ROW(WEEK))+1),ROW(AQ57)),COLUMN(AQ57))),0,INDEX(RESULT_STARTMIN,SMALL(IF(COUNTIF($B$39,WEEK)*COUNTIF(#REF!,WEEKDAY), ROW(WEEK)-MIN(ROW(WEEK))+1),ROW(AQ57)),COLUMN(AQ57)))</f>
        <v>0</v>
      </c>
      <c r="AW95" cm="1">
        <f t="array" aca="1" ref="AW95" ca="1">IF(ISERROR(INDEX(RESULT_CATEGORIES,SMALL(IF(COUNTIF($AQ$39,WEEK)*COUNTIF($AR$39,WEEKDAY), ROW(WEEK)-MIN(ROW(WEEK))+1),ROW(A54)),COLUMN(A54))),0,INDEX(RESULT_CATEGORIES,SMALL(IF(COUNTIF($AQ$39,WEEK)*COUNTIF($AR$39,WEEKDAY), ROW(WEEK)-MIN(ROW(WEEK))+1),ROW(A54)),COLUMN(A54)))</f>
        <v>0</v>
      </c>
      <c r="AX95" s="2"/>
      <c r="AY95" s="2"/>
      <c r="AZ95" s="2">
        <f>SUMIFS(RESULT_DURATION,WEEK,AZ$52,RESULTLOCATION,#REF!,WEEKDAY,AZ$53)/60</f>
        <v>0</v>
      </c>
      <c r="BA95" t="str" cm="1">
        <f t="array" ref="BA95">IF(ISERROR(INDEX(RESULT_SUBJECT,SMALL(IF(COUNTIF($BA$3,MONTH), ROW(MONTH)-MIN(ROW(MONTH))+1),ROW(A90)),COLUMN(A90))),"",INDEX(RESULT_SUBJECT,SMALL(IF(COUNTIF($BA$3,MONTH), ROW(MONTH)-MIN(ROW(MONTH))+1),ROW(A90)),COLUMN(A90)))</f>
        <v/>
      </c>
      <c r="BB95" t="str" cm="1">
        <f t="array" ref="BB95">IF(ISERROR(INDEX(WEEK,SMALL(IF(COUNTIF($BA$3,MONTH), ROW(MONTH)-MIN(ROW(MONTH))+1),ROW(A90)),COLUMN(A90))),"",INDEX(WEEK,SMALL(IF(COUNTIF($BA$3,MONTH), ROW(MONTH)-MIN(ROW(MONTH))+1),ROW(A90)),COLUMN(A90)))</f>
        <v/>
      </c>
      <c r="BC95" t="str" cm="1">
        <f t="array" ref="BC95">IF(ISERROR(INDEX(RESULT_DAY,SMALL(IF(COUNTIF($BA$3,MONTH), ROW(MONTH)-MIN(ROW(MONTH))+1),ROW(A90)),COLUMN(A90))),"",INDEX(RESULT_DAY,SMALL(IF(COUNTIF($BA$3,MONTH), ROW(MONTH)-MIN(ROW(MONTH))+1),ROW(A90)),COLUMN(A90)))</f>
        <v/>
      </c>
      <c r="BD95" s="29" t="str">
        <f t="shared" si="51"/>
        <v/>
      </c>
      <c r="BE95" s="2" t="str" cm="1">
        <f t="array" ref="BE95">IF(ISERROR(INDEX(RESULT_DURATION,SMALL(IF(COUNTIF($BA$3,MONTH), ROW(MONTH)-MIN(ROW(MONTH))+1),ROW(A90)),COLUMN(A90))),"",INDEX(RESULT_DURATION,SMALL(IF(COUNTIF($BA$3,MONTH), ROW(MONTH)-MIN(ROW(MONTH))+1),ROW(A90)),COLUMN(A90)))</f>
        <v/>
      </c>
      <c r="BH95" t="str" cm="1">
        <f t="array" ref="BH95">IF(ISERROR(INDEX(RESULT_CATEGORIES,SMALL(IF(COUNTIF($BA$3,MONTH), ROW(MONTH)-MIN(ROW(MONTH))+1),ROW(A90)),COLUMN(A90))),"",INDEX(RESULT_CATEGORIES,SMALL(IF(COUNTIF($BA$3,MONTH), ROW(MONTH)-MIN(ROW(MONTH))+1),ROW(A90)),COLUMN(A90)))</f>
        <v/>
      </c>
      <c r="BI95" t="str" cm="1">
        <f t="array" ref="BI95">IF(ISERROR(INDEX(RESULTLOCATION,SMALL(IF(COUNTIF($BA$3,MONTH), ROW(MONTH)-MIN(ROW(MONTH))+1),ROW(A90)),COLUMN(A90))),"",INDEX(RESULTLOCATION,SMALL(IF(COUNTIF($BA$3,MONTH), ROW(MONTH)-MIN(ROW(MONTH))+1),ROW(A90)),COLUMN(A90)))</f>
        <v/>
      </c>
    </row>
    <row r="96" spans="3:61" x14ac:dyDescent="0.3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 cm="1">
        <f t="array" aca="1" ref="AT96" ca="1">IF(ISERROR(INDEX(RESULT_DURATION,SMALL(IF(COUNTIF($AQ$39,WEEK)*COUNTIF($AR$39,WEEKDAY), ROW(WEEK)-MIN(ROW(WEEK))+1),ROW(A55)),COLUMN(A55))),0,INDEX(RESULT_DURATION,SMALL(IF(COUNTIF($AQ$39,WEEK)*COUNTIF($AR$39,WEEKDAY), ROW(WEEK)-MIN(ROW(WEEK))+1),ROW(A55)),COLUMN(A55)))</f>
        <v>0</v>
      </c>
      <c r="AU96" cm="1">
        <f t="array" aca="1" ref="AU96" ca="1">IF(ISERROR(INDEX(RESULT_START,SMALL(IF(COUNTIF($AQ$39,WEEK)*COUNTIF($AR$39,WEEKDAY), ROW(WEEK)-MIN(ROW(WEEK))+1),ROW(A55)),COLUMN(A55))),0,INDEX(RESULT_START,SMALL(IF(COUNTIF($AQ$39,WEEK)*COUNTIF($AR$39,WEEKDAY), ROW(WEEK)-MIN(ROW(WEEK))+1),ROW(A55)),COLUMN(A55)))</f>
        <v>0</v>
      </c>
      <c r="AV96" cm="1">
        <f t="array" ref="AV96">IF(ISERROR(INDEX(RESULT_STARTMIN,SMALL(IF(COUNTIF($B$39,WEEK)*COUNTIF(#REF!,WEEKDAY), ROW(WEEK)-MIN(ROW(WEEK))+1),ROW(AQ58)),COLUMN(AQ58))),0,INDEX(RESULT_STARTMIN,SMALL(IF(COUNTIF($B$39,WEEK)*COUNTIF(#REF!,WEEKDAY), ROW(WEEK)-MIN(ROW(WEEK))+1),ROW(AQ58)),COLUMN(AQ58)))</f>
        <v>0</v>
      </c>
      <c r="AW96" cm="1">
        <f t="array" aca="1" ref="AW96" ca="1">IF(ISERROR(INDEX(RESULT_CATEGORIES,SMALL(IF(COUNTIF($AQ$39,WEEK)*COUNTIF($AR$39,WEEKDAY), ROW(WEEK)-MIN(ROW(WEEK))+1),ROW(A55)),COLUMN(A55))),0,INDEX(RESULT_CATEGORIES,SMALL(IF(COUNTIF($AQ$39,WEEK)*COUNTIF($AR$39,WEEKDAY), ROW(WEEK)-MIN(ROW(WEEK))+1),ROW(A55)),COLUMN(A55)))</f>
        <v>0</v>
      </c>
      <c r="AX96" s="2"/>
      <c r="AY96" s="2"/>
      <c r="AZ96" s="2">
        <f>SUMIFS(RESULT_DURATION,WEEK,AZ$52,RESULTLOCATION,#REF!,WEEKDAY,AZ$53)/60</f>
        <v>0</v>
      </c>
      <c r="BA96" t="str" cm="1">
        <f t="array" ref="BA96">IF(ISERROR(INDEX(RESULT_SUBJECT,SMALL(IF(COUNTIF($BA$3,MONTH), ROW(MONTH)-MIN(ROW(MONTH))+1),ROW(A91)),COLUMN(A91))),"",INDEX(RESULT_SUBJECT,SMALL(IF(COUNTIF($BA$3,MONTH), ROW(MONTH)-MIN(ROW(MONTH))+1),ROW(A91)),COLUMN(A91)))</f>
        <v/>
      </c>
      <c r="BB96" t="str" cm="1">
        <f t="array" ref="BB96">IF(ISERROR(INDEX(WEEK,SMALL(IF(COUNTIF($BA$3,MONTH), ROW(MONTH)-MIN(ROW(MONTH))+1),ROW(A91)),COLUMN(A91))),"",INDEX(WEEK,SMALL(IF(COUNTIF($BA$3,MONTH), ROW(MONTH)-MIN(ROW(MONTH))+1),ROW(A91)),COLUMN(A91)))</f>
        <v/>
      </c>
      <c r="BC96" t="str" cm="1">
        <f t="array" ref="BC96">IF(ISERROR(INDEX(RESULT_DAY,SMALL(IF(COUNTIF($BA$3,MONTH), ROW(MONTH)-MIN(ROW(MONTH))+1),ROW(A91)),COLUMN(A91))),"",INDEX(RESULT_DAY,SMALL(IF(COUNTIF($BA$3,MONTH), ROW(MONTH)-MIN(ROW(MONTH))+1),ROW(A91)),COLUMN(A91)))</f>
        <v/>
      </c>
      <c r="BD96" s="29" t="str">
        <f t="shared" si="51"/>
        <v/>
      </c>
      <c r="BE96" s="2" t="str" cm="1">
        <f t="array" ref="BE96">IF(ISERROR(INDEX(RESULT_DURATION,SMALL(IF(COUNTIF($BA$3,MONTH), ROW(MONTH)-MIN(ROW(MONTH))+1),ROW(A91)),COLUMN(A91))),"",INDEX(RESULT_DURATION,SMALL(IF(COUNTIF($BA$3,MONTH), ROW(MONTH)-MIN(ROW(MONTH))+1),ROW(A91)),COLUMN(A91)))</f>
        <v/>
      </c>
      <c r="BH96" t="str" cm="1">
        <f t="array" ref="BH96">IF(ISERROR(INDEX(RESULT_CATEGORIES,SMALL(IF(COUNTIF($BA$3,MONTH), ROW(MONTH)-MIN(ROW(MONTH))+1),ROW(A91)),COLUMN(A91))),"",INDEX(RESULT_CATEGORIES,SMALL(IF(COUNTIF($BA$3,MONTH), ROW(MONTH)-MIN(ROW(MONTH))+1),ROW(A91)),COLUMN(A91)))</f>
        <v/>
      </c>
      <c r="BI96" t="str" cm="1">
        <f t="array" ref="BI96">IF(ISERROR(INDEX(RESULTLOCATION,SMALL(IF(COUNTIF($BA$3,MONTH), ROW(MONTH)-MIN(ROW(MONTH))+1),ROW(A91)),COLUMN(A91))),"",INDEX(RESULTLOCATION,SMALL(IF(COUNTIF($BA$3,MONTH), ROW(MONTH)-MIN(ROW(MONTH))+1),ROW(A91)),COLUMN(A91)))</f>
        <v/>
      </c>
    </row>
    <row r="97" spans="3:61" x14ac:dyDescent="0.3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 cm="1">
        <f t="array" aca="1" ref="AT97" ca="1">IF(ISERROR(INDEX(RESULT_DURATION,SMALL(IF(COUNTIF($AQ$39,WEEK)*COUNTIF($AR$39,WEEKDAY), ROW(WEEK)-MIN(ROW(WEEK))+1),ROW(A56)),COLUMN(A56))),0,INDEX(RESULT_DURATION,SMALL(IF(COUNTIF($AQ$39,WEEK)*COUNTIF($AR$39,WEEKDAY), ROW(WEEK)-MIN(ROW(WEEK))+1),ROW(A56)),COLUMN(A56)))</f>
        <v>0</v>
      </c>
      <c r="AU97" cm="1">
        <f t="array" aca="1" ref="AU97" ca="1">IF(ISERROR(INDEX(RESULT_START,SMALL(IF(COUNTIF($AQ$39,WEEK)*COUNTIF($AR$39,WEEKDAY), ROW(WEEK)-MIN(ROW(WEEK))+1),ROW(A56)),COLUMN(A56))),0,INDEX(RESULT_START,SMALL(IF(COUNTIF($AQ$39,WEEK)*COUNTIF($AR$39,WEEKDAY), ROW(WEEK)-MIN(ROW(WEEK))+1),ROW(A56)),COLUMN(A56)))</f>
        <v>0</v>
      </c>
      <c r="AV97" cm="1">
        <f t="array" ref="AV97">IF(ISERROR(INDEX(RESULT_STARTMIN,SMALL(IF(COUNTIF($B$39,WEEK)*COUNTIF(#REF!,WEEKDAY), ROW(WEEK)-MIN(ROW(WEEK))+1),ROW(AQ59)),COLUMN(AQ59))),0,INDEX(RESULT_STARTMIN,SMALL(IF(COUNTIF($B$39,WEEK)*COUNTIF(#REF!,WEEKDAY), ROW(WEEK)-MIN(ROW(WEEK))+1),ROW(AQ59)),COLUMN(AQ59)))</f>
        <v>0</v>
      </c>
      <c r="AW97" cm="1">
        <f t="array" aca="1" ref="AW97" ca="1">IF(ISERROR(INDEX(RESULT_CATEGORIES,SMALL(IF(COUNTIF($AQ$39,WEEK)*COUNTIF($AR$39,WEEKDAY), ROW(WEEK)-MIN(ROW(WEEK))+1),ROW(A56)),COLUMN(A56))),0,INDEX(RESULT_CATEGORIES,SMALL(IF(COUNTIF($AQ$39,WEEK)*COUNTIF($AR$39,WEEKDAY), ROW(WEEK)-MIN(ROW(WEEK))+1),ROW(A56)),COLUMN(A56)))</f>
        <v>0</v>
      </c>
      <c r="AX97" s="2"/>
      <c r="AY97" s="2"/>
      <c r="AZ97" s="2">
        <f>SUMIFS(RESULT_DURATION,WEEK,AZ$52,RESULTLOCATION,#REF!,WEEKDAY,AZ$53)/60</f>
        <v>0</v>
      </c>
      <c r="BA97" t="str" cm="1">
        <f t="array" ref="BA97">IF(ISERROR(INDEX(RESULT_SUBJECT,SMALL(IF(COUNTIF($BA$3,MONTH), ROW(MONTH)-MIN(ROW(MONTH))+1),ROW(A92)),COLUMN(A92))),"",INDEX(RESULT_SUBJECT,SMALL(IF(COUNTIF($BA$3,MONTH), ROW(MONTH)-MIN(ROW(MONTH))+1),ROW(A92)),COLUMN(A92)))</f>
        <v/>
      </c>
      <c r="BB97" t="str" cm="1">
        <f t="array" ref="BB97">IF(ISERROR(INDEX(WEEK,SMALL(IF(COUNTIF($BA$3,MONTH), ROW(MONTH)-MIN(ROW(MONTH))+1),ROW(A92)),COLUMN(A92))),"",INDEX(WEEK,SMALL(IF(COUNTIF($BA$3,MONTH), ROW(MONTH)-MIN(ROW(MONTH))+1),ROW(A92)),COLUMN(A92)))</f>
        <v/>
      </c>
      <c r="BC97" t="str" cm="1">
        <f t="array" ref="BC97">IF(ISERROR(INDEX(RESULT_DAY,SMALL(IF(COUNTIF($BA$3,MONTH), ROW(MONTH)-MIN(ROW(MONTH))+1),ROW(A92)),COLUMN(A92))),"",INDEX(RESULT_DAY,SMALL(IF(COUNTIF($BA$3,MONTH), ROW(MONTH)-MIN(ROW(MONTH))+1),ROW(A92)),COLUMN(A92)))</f>
        <v/>
      </c>
      <c r="BD97" s="29" t="str">
        <f t="shared" si="51"/>
        <v/>
      </c>
      <c r="BE97" s="2" t="str" cm="1">
        <f t="array" ref="BE97">IF(ISERROR(INDEX(RESULT_DURATION,SMALL(IF(COUNTIF($BA$3,MONTH), ROW(MONTH)-MIN(ROW(MONTH))+1),ROW(A92)),COLUMN(A92))),"",INDEX(RESULT_DURATION,SMALL(IF(COUNTIF($BA$3,MONTH), ROW(MONTH)-MIN(ROW(MONTH))+1),ROW(A92)),COLUMN(A92)))</f>
        <v/>
      </c>
      <c r="BH97" t="str" cm="1">
        <f t="array" ref="BH97">IF(ISERROR(INDEX(RESULT_CATEGORIES,SMALL(IF(COUNTIF($BA$3,MONTH), ROW(MONTH)-MIN(ROW(MONTH))+1),ROW(A92)),COLUMN(A92))),"",INDEX(RESULT_CATEGORIES,SMALL(IF(COUNTIF($BA$3,MONTH), ROW(MONTH)-MIN(ROW(MONTH))+1),ROW(A92)),COLUMN(A92)))</f>
        <v/>
      </c>
      <c r="BI97" t="str" cm="1">
        <f t="array" ref="BI97">IF(ISERROR(INDEX(RESULTLOCATION,SMALL(IF(COUNTIF($BA$3,MONTH), ROW(MONTH)-MIN(ROW(MONTH))+1),ROW(A92)),COLUMN(A92))),"",INDEX(RESULTLOCATION,SMALL(IF(COUNTIF($BA$3,MONTH), ROW(MONTH)-MIN(ROW(MONTH))+1),ROW(A92)),COLUMN(A92)))</f>
        <v/>
      </c>
    </row>
    <row r="98" spans="3:61" x14ac:dyDescent="0.3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 cm="1">
        <f t="array" aca="1" ref="AT98" ca="1">IF(ISERROR(INDEX(RESULT_DURATION,SMALL(IF(COUNTIF($AQ$39,WEEK)*COUNTIF($AR$39,WEEKDAY), ROW(WEEK)-MIN(ROW(WEEK))+1),ROW(A57)),COLUMN(A57))),0,INDEX(RESULT_DURATION,SMALL(IF(COUNTIF($AQ$39,WEEK)*COUNTIF($AR$39,WEEKDAY), ROW(WEEK)-MIN(ROW(WEEK))+1),ROW(A57)),COLUMN(A57)))</f>
        <v>0</v>
      </c>
      <c r="AU98" cm="1">
        <f t="array" aca="1" ref="AU98" ca="1">IF(ISERROR(INDEX(RESULT_START,SMALL(IF(COUNTIF($AQ$39,WEEK)*COUNTIF($AR$39,WEEKDAY), ROW(WEEK)-MIN(ROW(WEEK))+1),ROW(A57)),COLUMN(A57))),0,INDEX(RESULT_START,SMALL(IF(COUNTIF($AQ$39,WEEK)*COUNTIF($AR$39,WEEKDAY), ROW(WEEK)-MIN(ROW(WEEK))+1),ROW(A57)),COLUMN(A57)))</f>
        <v>0</v>
      </c>
      <c r="AV98" cm="1">
        <f t="array" ref="AV98">IF(ISERROR(INDEX(RESULT_STARTMIN,SMALL(IF(COUNTIF($B$39,WEEK)*COUNTIF(#REF!,WEEKDAY), ROW(WEEK)-MIN(ROW(WEEK))+1),ROW(AQ60)),COLUMN(AQ60))),0,INDEX(RESULT_STARTMIN,SMALL(IF(COUNTIF($B$39,WEEK)*COUNTIF(#REF!,WEEKDAY), ROW(WEEK)-MIN(ROW(WEEK))+1),ROW(AQ60)),COLUMN(AQ60)))</f>
        <v>0</v>
      </c>
      <c r="AW98" cm="1">
        <f t="array" aca="1" ref="AW98" ca="1">IF(ISERROR(INDEX(RESULT_CATEGORIES,SMALL(IF(COUNTIF($AQ$39,WEEK)*COUNTIF($AR$39,WEEKDAY), ROW(WEEK)-MIN(ROW(WEEK))+1),ROW(A57)),COLUMN(A57))),0,INDEX(RESULT_CATEGORIES,SMALL(IF(COUNTIF($AQ$39,WEEK)*COUNTIF($AR$39,WEEKDAY), ROW(WEEK)-MIN(ROW(WEEK))+1),ROW(A57)),COLUMN(A57)))</f>
        <v>0</v>
      </c>
      <c r="AX98" s="2"/>
      <c r="AY98" s="2"/>
      <c r="AZ98" s="2">
        <f>SUMIFS(RESULT_DURATION,WEEK,AZ$52,RESULTLOCATION,#REF!,WEEKDAY,AZ$53)/60</f>
        <v>0</v>
      </c>
      <c r="BA98" t="str" cm="1">
        <f t="array" ref="BA98">IF(ISERROR(INDEX(RESULT_SUBJECT,SMALL(IF(COUNTIF($BA$3,MONTH), ROW(MONTH)-MIN(ROW(MONTH))+1),ROW(A93)),COLUMN(A93))),"",INDEX(RESULT_SUBJECT,SMALL(IF(COUNTIF($BA$3,MONTH), ROW(MONTH)-MIN(ROW(MONTH))+1),ROW(A93)),COLUMN(A93)))</f>
        <v/>
      </c>
      <c r="BB98" t="str" cm="1">
        <f t="array" ref="BB98">IF(ISERROR(INDEX(WEEK,SMALL(IF(COUNTIF($BA$3,MONTH), ROW(MONTH)-MIN(ROW(MONTH))+1),ROW(A93)),COLUMN(A93))),"",INDEX(WEEK,SMALL(IF(COUNTIF($BA$3,MONTH), ROW(MONTH)-MIN(ROW(MONTH))+1),ROW(A93)),COLUMN(A93)))</f>
        <v/>
      </c>
      <c r="BC98" t="str" cm="1">
        <f t="array" ref="BC98">IF(ISERROR(INDEX(RESULT_DAY,SMALL(IF(COUNTIF($BA$3,MONTH), ROW(MONTH)-MIN(ROW(MONTH))+1),ROW(A93)),COLUMN(A93))),"",INDEX(RESULT_DAY,SMALL(IF(COUNTIF($BA$3,MONTH), ROW(MONTH)-MIN(ROW(MONTH))+1),ROW(A93)),COLUMN(A93)))</f>
        <v/>
      </c>
      <c r="BD98" s="29" t="str">
        <f t="shared" si="51"/>
        <v/>
      </c>
      <c r="BE98" s="2" t="str" cm="1">
        <f t="array" ref="BE98">IF(ISERROR(INDEX(RESULT_DURATION,SMALL(IF(COUNTIF($BA$3,MONTH), ROW(MONTH)-MIN(ROW(MONTH))+1),ROW(A93)),COLUMN(A93))),"",INDEX(RESULT_DURATION,SMALL(IF(COUNTIF($BA$3,MONTH), ROW(MONTH)-MIN(ROW(MONTH))+1),ROW(A93)),COLUMN(A93)))</f>
        <v/>
      </c>
      <c r="BH98" t="str" cm="1">
        <f t="array" ref="BH98">IF(ISERROR(INDEX(RESULT_CATEGORIES,SMALL(IF(COUNTIF($BA$3,MONTH), ROW(MONTH)-MIN(ROW(MONTH))+1),ROW(A93)),COLUMN(A93))),"",INDEX(RESULT_CATEGORIES,SMALL(IF(COUNTIF($BA$3,MONTH), ROW(MONTH)-MIN(ROW(MONTH))+1),ROW(A93)),COLUMN(A93)))</f>
        <v/>
      </c>
      <c r="BI98" t="str" cm="1">
        <f t="array" ref="BI98">IF(ISERROR(INDEX(RESULTLOCATION,SMALL(IF(COUNTIF($BA$3,MONTH), ROW(MONTH)-MIN(ROW(MONTH))+1),ROW(A93)),COLUMN(A93))),"",INDEX(RESULTLOCATION,SMALL(IF(COUNTIF($BA$3,MONTH), ROW(MONTH)-MIN(ROW(MONTH))+1),ROW(A93)),COLUMN(A93)))</f>
        <v/>
      </c>
    </row>
    <row r="99" spans="3:61" x14ac:dyDescent="0.3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 cm="1">
        <f t="array" aca="1" ref="AT99" ca="1">IF(ISERROR(INDEX(RESULT_DURATION,SMALL(IF(COUNTIF($AQ$39,WEEK)*COUNTIF($AR$39,WEEKDAY), ROW(WEEK)-MIN(ROW(WEEK))+1),ROW(A58)),COLUMN(A58))),0,INDEX(RESULT_DURATION,SMALL(IF(COUNTIF($AQ$39,WEEK)*COUNTIF($AR$39,WEEKDAY), ROW(WEEK)-MIN(ROW(WEEK))+1),ROW(A58)),COLUMN(A58)))</f>
        <v>0</v>
      </c>
      <c r="AU99" cm="1">
        <f t="array" aca="1" ref="AU99" ca="1">IF(ISERROR(INDEX(RESULT_START,SMALL(IF(COUNTIF($AQ$39,WEEK)*COUNTIF($AR$39,WEEKDAY), ROW(WEEK)-MIN(ROW(WEEK))+1),ROW(A58)),COLUMN(A58))),0,INDEX(RESULT_START,SMALL(IF(COUNTIF($AQ$39,WEEK)*COUNTIF($AR$39,WEEKDAY), ROW(WEEK)-MIN(ROW(WEEK))+1),ROW(A58)),COLUMN(A58)))</f>
        <v>0</v>
      </c>
      <c r="AV99" cm="1">
        <f t="array" ref="AV99">IF(ISERROR(INDEX(RESULT_STARTMIN,SMALL(IF(COUNTIF($B$39,WEEK)*COUNTIF(#REF!,WEEKDAY), ROW(WEEK)-MIN(ROW(WEEK))+1),ROW(AQ61)),COLUMN(AQ61))),0,INDEX(RESULT_STARTMIN,SMALL(IF(COUNTIF($B$39,WEEK)*COUNTIF(#REF!,WEEKDAY), ROW(WEEK)-MIN(ROW(WEEK))+1),ROW(AQ61)),COLUMN(AQ61)))</f>
        <v>0</v>
      </c>
      <c r="AW99" cm="1">
        <f t="array" aca="1" ref="AW99" ca="1">IF(ISERROR(INDEX(RESULT_CATEGORIES,SMALL(IF(COUNTIF($AQ$39,WEEK)*COUNTIF($AR$39,WEEKDAY), ROW(WEEK)-MIN(ROW(WEEK))+1),ROW(A58)),COLUMN(A58))),0,INDEX(RESULT_CATEGORIES,SMALL(IF(COUNTIF($AQ$39,WEEK)*COUNTIF($AR$39,WEEKDAY), ROW(WEEK)-MIN(ROW(WEEK))+1),ROW(A58)),COLUMN(A58)))</f>
        <v>0</v>
      </c>
      <c r="AX99" s="2"/>
      <c r="AY99" s="2"/>
      <c r="BA99" t="str" cm="1">
        <f t="array" ref="BA99">IF(ISERROR(INDEX(RESULT_SUBJECT,SMALL(IF(COUNTIF($BA$3,MONTH), ROW(MONTH)-MIN(ROW(MONTH))+1),ROW(A94)),COLUMN(A94))),"",INDEX(RESULT_SUBJECT,SMALL(IF(COUNTIF($BA$3,MONTH), ROW(MONTH)-MIN(ROW(MONTH))+1),ROW(A94)),COLUMN(A94)))</f>
        <v/>
      </c>
      <c r="BB99" t="str" cm="1">
        <f t="array" ref="BB99">IF(ISERROR(INDEX(WEEK,SMALL(IF(COUNTIF($BA$3,MONTH), ROW(MONTH)-MIN(ROW(MONTH))+1),ROW(A94)),COLUMN(A94))),"",INDEX(WEEK,SMALL(IF(COUNTIF($BA$3,MONTH), ROW(MONTH)-MIN(ROW(MONTH))+1),ROW(A94)),COLUMN(A94)))</f>
        <v/>
      </c>
      <c r="BC99" t="str" cm="1">
        <f t="array" ref="BC99">IF(ISERROR(INDEX(RESULT_DAY,SMALL(IF(COUNTIF($BA$3,MONTH), ROW(MONTH)-MIN(ROW(MONTH))+1),ROW(A94)),COLUMN(A94))),"",INDEX(RESULT_DAY,SMALL(IF(COUNTIF($BA$3,MONTH), ROW(MONTH)-MIN(ROW(MONTH))+1),ROW(A94)),COLUMN(A94)))</f>
        <v/>
      </c>
      <c r="BD99" s="29" t="str">
        <f t="shared" si="51"/>
        <v/>
      </c>
      <c r="BE99" s="2" t="str" cm="1">
        <f t="array" ref="BE99">IF(ISERROR(INDEX(RESULT_DURATION,SMALL(IF(COUNTIF($BA$3,MONTH), ROW(MONTH)-MIN(ROW(MONTH))+1),ROW(A94)),COLUMN(A94))),"",INDEX(RESULT_DURATION,SMALL(IF(COUNTIF($BA$3,MONTH), ROW(MONTH)-MIN(ROW(MONTH))+1),ROW(A94)),COLUMN(A94)))</f>
        <v/>
      </c>
      <c r="BH99" t="str" cm="1">
        <f t="array" ref="BH99">IF(ISERROR(INDEX(RESULT_CATEGORIES,SMALL(IF(COUNTIF($BA$3,MONTH), ROW(MONTH)-MIN(ROW(MONTH))+1),ROW(A94)),COLUMN(A94))),"",INDEX(RESULT_CATEGORIES,SMALL(IF(COUNTIF($BA$3,MONTH), ROW(MONTH)-MIN(ROW(MONTH))+1),ROW(A94)),COLUMN(A94)))</f>
        <v/>
      </c>
      <c r="BI99" t="str" cm="1">
        <f t="array" ref="BI99">IF(ISERROR(INDEX(RESULTLOCATION,SMALL(IF(COUNTIF($BA$3,MONTH), ROW(MONTH)-MIN(ROW(MONTH))+1),ROW(A94)),COLUMN(A94))),"",INDEX(RESULTLOCATION,SMALL(IF(COUNTIF($BA$3,MONTH), ROW(MONTH)-MIN(ROW(MONTH))+1),ROW(A94)),COLUMN(A94)))</f>
        <v/>
      </c>
    </row>
    <row r="100" spans="3:61" x14ac:dyDescent="0.3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 cm="1">
        <f t="array" aca="1" ref="AT100" ca="1">IF(ISERROR(INDEX(RESULT_DURATION,SMALL(IF(COUNTIF($AQ$39,WEEK)*COUNTIF($AR$39,WEEKDAY), ROW(WEEK)-MIN(ROW(WEEK))+1),ROW(A59)),COLUMN(A59))),0,INDEX(RESULT_DURATION,SMALL(IF(COUNTIF($AQ$39,WEEK)*COUNTIF($AR$39,WEEKDAY), ROW(WEEK)-MIN(ROW(WEEK))+1),ROW(A59)),COLUMN(A59)))</f>
        <v>0</v>
      </c>
      <c r="AU100" cm="1">
        <f t="array" aca="1" ref="AU100" ca="1">IF(ISERROR(INDEX(RESULT_START,SMALL(IF(COUNTIF($AQ$39,WEEK)*COUNTIF($AR$39,WEEKDAY), ROW(WEEK)-MIN(ROW(WEEK))+1),ROW(A59)),COLUMN(A59))),0,INDEX(RESULT_START,SMALL(IF(COUNTIF($AQ$39,WEEK)*COUNTIF($AR$39,WEEKDAY), ROW(WEEK)-MIN(ROW(WEEK))+1),ROW(A59)),COLUMN(A59)))</f>
        <v>0</v>
      </c>
      <c r="AV100" cm="1">
        <f t="array" ref="AV100">IF(ISERROR(INDEX(RESULT_STARTMIN,SMALL(IF(COUNTIF($B$39,WEEK)*COUNTIF(#REF!,WEEKDAY), ROW(WEEK)-MIN(ROW(WEEK))+1),ROW(AQ62)),COLUMN(AQ62))),0,INDEX(RESULT_STARTMIN,SMALL(IF(COUNTIF($B$39,WEEK)*COUNTIF(#REF!,WEEKDAY), ROW(WEEK)-MIN(ROW(WEEK))+1),ROW(AQ62)),COLUMN(AQ62)))</f>
        <v>0</v>
      </c>
      <c r="AW100" cm="1">
        <f t="array" aca="1" ref="AW100" ca="1">IF(ISERROR(INDEX(RESULT_CATEGORIES,SMALL(IF(COUNTIF($AQ$39,WEEK)*COUNTIF($AR$39,WEEKDAY), ROW(WEEK)-MIN(ROW(WEEK))+1),ROW(A59)),COLUMN(A59))),0,INDEX(RESULT_CATEGORIES,SMALL(IF(COUNTIF($AQ$39,WEEK)*COUNTIF($AR$39,WEEKDAY), ROW(WEEK)-MIN(ROW(WEEK))+1),ROW(A59)),COLUMN(A59)))</f>
        <v>0</v>
      </c>
      <c r="AX100" s="2"/>
      <c r="AY100" s="2"/>
      <c r="BA100" t="str" cm="1">
        <f t="array" ref="BA100">IF(ISERROR(INDEX(RESULT_SUBJECT,SMALL(IF(COUNTIF($BA$3,MONTH), ROW(MONTH)-MIN(ROW(MONTH))+1),ROW(A95)),COLUMN(A95))),"",INDEX(RESULT_SUBJECT,SMALL(IF(COUNTIF($BA$3,MONTH), ROW(MONTH)-MIN(ROW(MONTH))+1),ROW(A95)),COLUMN(A95)))</f>
        <v/>
      </c>
      <c r="BB100" t="str" cm="1">
        <f t="array" ref="BB100">IF(ISERROR(INDEX(WEEK,SMALL(IF(COUNTIF($BA$3,MONTH), ROW(MONTH)-MIN(ROW(MONTH))+1),ROW(A95)),COLUMN(A95))),"",INDEX(WEEK,SMALL(IF(COUNTIF($BA$3,MONTH), ROW(MONTH)-MIN(ROW(MONTH))+1),ROW(A95)),COLUMN(A95)))</f>
        <v/>
      </c>
      <c r="BC100" t="str" cm="1">
        <f t="array" ref="BC100">IF(ISERROR(INDEX(RESULT_DAY,SMALL(IF(COUNTIF($BA$3,MONTH), ROW(MONTH)-MIN(ROW(MONTH))+1),ROW(A95)),COLUMN(A95))),"",INDEX(RESULT_DAY,SMALL(IF(COUNTIF($BA$3,MONTH), ROW(MONTH)-MIN(ROW(MONTH))+1),ROW(A95)),COLUMN(A95)))</f>
        <v/>
      </c>
      <c r="BD100" s="29" t="str">
        <f t="shared" si="51"/>
        <v/>
      </c>
      <c r="BE100" s="2" t="str" cm="1">
        <f t="array" ref="BE100">IF(ISERROR(INDEX(RESULT_DURATION,SMALL(IF(COUNTIF($BA$3,MONTH), ROW(MONTH)-MIN(ROW(MONTH))+1),ROW(A95)),COLUMN(A95))),"",INDEX(RESULT_DURATION,SMALL(IF(COUNTIF($BA$3,MONTH), ROW(MONTH)-MIN(ROW(MONTH))+1),ROW(A95)),COLUMN(A95)))</f>
        <v/>
      </c>
      <c r="BH100" t="str" cm="1">
        <f t="array" ref="BH100">IF(ISERROR(INDEX(RESULT_CATEGORIES,SMALL(IF(COUNTIF($BA$3,MONTH), ROW(MONTH)-MIN(ROW(MONTH))+1),ROW(A95)),COLUMN(A95))),"",INDEX(RESULT_CATEGORIES,SMALL(IF(COUNTIF($BA$3,MONTH), ROW(MONTH)-MIN(ROW(MONTH))+1),ROW(A95)),COLUMN(A95)))</f>
        <v/>
      </c>
      <c r="BI100" t="str" cm="1">
        <f t="array" ref="BI100">IF(ISERROR(INDEX(RESULTLOCATION,SMALL(IF(COUNTIF($BA$3,MONTH), ROW(MONTH)-MIN(ROW(MONTH))+1),ROW(A95)),COLUMN(A95))),"",INDEX(RESULTLOCATION,SMALL(IF(COUNTIF($BA$3,MONTH), ROW(MONTH)-MIN(ROW(MONTH))+1),ROW(A95)),COLUMN(A95)))</f>
        <v/>
      </c>
    </row>
    <row r="101" spans="3:61" x14ac:dyDescent="0.3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 cm="1">
        <f t="array" aca="1" ref="AT101" ca="1">IF(ISERROR(INDEX(RESULT_DURATION,SMALL(IF(COUNTIF($AQ$39,WEEK)*COUNTIF($AR$39,WEEKDAY), ROW(WEEK)-MIN(ROW(WEEK))+1),ROW(A60)),COLUMN(A60))),0,INDEX(RESULT_DURATION,SMALL(IF(COUNTIF($AQ$39,WEEK)*COUNTIF($AR$39,WEEKDAY), ROW(WEEK)-MIN(ROW(WEEK))+1),ROW(A60)),COLUMN(A60)))</f>
        <v>0</v>
      </c>
      <c r="AU101" cm="1">
        <f t="array" aca="1" ref="AU101" ca="1">IF(ISERROR(INDEX(RESULT_START,SMALL(IF(COUNTIF($AQ$39,WEEK)*COUNTIF($AR$39,WEEKDAY), ROW(WEEK)-MIN(ROW(WEEK))+1),ROW(A60)),COLUMN(A60))),0,INDEX(RESULT_START,SMALL(IF(COUNTIF($AQ$39,WEEK)*COUNTIF($AR$39,WEEKDAY), ROW(WEEK)-MIN(ROW(WEEK))+1),ROW(A60)),COLUMN(A60)))</f>
        <v>0</v>
      </c>
      <c r="AV101" cm="1">
        <f t="array" ref="AV101">IF(ISERROR(INDEX(RESULT_STARTMIN,SMALL(IF(COUNTIF($B$39,WEEK)*COUNTIF(#REF!,WEEKDAY), ROW(WEEK)-MIN(ROW(WEEK))+1),ROW(AQ63)),COLUMN(AQ63))),0,INDEX(RESULT_STARTMIN,SMALL(IF(COUNTIF($B$39,WEEK)*COUNTIF(#REF!,WEEKDAY), ROW(WEEK)-MIN(ROW(WEEK))+1),ROW(AQ63)),COLUMN(AQ63)))</f>
        <v>0</v>
      </c>
      <c r="AW101" cm="1">
        <f t="array" aca="1" ref="AW101" ca="1">IF(ISERROR(INDEX(RESULT_CATEGORIES,SMALL(IF(COUNTIF($AQ$39,WEEK)*COUNTIF($AR$39,WEEKDAY), ROW(WEEK)-MIN(ROW(WEEK))+1),ROW(A60)),COLUMN(A60))),0,INDEX(RESULT_CATEGORIES,SMALL(IF(COUNTIF($AQ$39,WEEK)*COUNTIF($AR$39,WEEKDAY), ROW(WEEK)-MIN(ROW(WEEK))+1),ROW(A60)),COLUMN(A60)))</f>
        <v>0</v>
      </c>
      <c r="AX101" s="2"/>
      <c r="AY101" s="2"/>
      <c r="BA101" t="str" cm="1">
        <f t="array" ref="BA101">IF(ISERROR(INDEX(RESULT_SUBJECT,SMALL(IF(COUNTIF($BA$3,MONTH), ROW(MONTH)-MIN(ROW(MONTH))+1),ROW(A96)),COLUMN(A96))),"",INDEX(RESULT_SUBJECT,SMALL(IF(COUNTIF($BA$3,MONTH), ROW(MONTH)-MIN(ROW(MONTH))+1),ROW(A96)),COLUMN(A96)))</f>
        <v/>
      </c>
      <c r="BB101" t="str" cm="1">
        <f t="array" ref="BB101">IF(ISERROR(INDEX(WEEK,SMALL(IF(COUNTIF($BA$3,MONTH), ROW(MONTH)-MIN(ROW(MONTH))+1),ROW(A96)),COLUMN(A96))),"",INDEX(WEEK,SMALL(IF(COUNTIF($BA$3,MONTH), ROW(MONTH)-MIN(ROW(MONTH))+1),ROW(A96)),COLUMN(A96)))</f>
        <v/>
      </c>
      <c r="BC101" t="str" cm="1">
        <f t="array" ref="BC101">IF(ISERROR(INDEX(RESULT_DAY,SMALL(IF(COUNTIF($BA$3,MONTH), ROW(MONTH)-MIN(ROW(MONTH))+1),ROW(A96)),COLUMN(A96))),"",INDEX(RESULT_DAY,SMALL(IF(COUNTIF($BA$3,MONTH), ROW(MONTH)-MIN(ROW(MONTH))+1),ROW(A96)),COLUMN(A96)))</f>
        <v/>
      </c>
      <c r="BD101" s="29" t="str">
        <f t="shared" si="51"/>
        <v/>
      </c>
      <c r="BE101" s="2" t="str" cm="1">
        <f t="array" ref="BE101">IF(ISERROR(INDEX(RESULT_DURATION,SMALL(IF(COUNTIF($BA$3,MONTH), ROW(MONTH)-MIN(ROW(MONTH))+1),ROW(A96)),COLUMN(A96))),"",INDEX(RESULT_DURATION,SMALL(IF(COUNTIF($BA$3,MONTH), ROW(MONTH)-MIN(ROW(MONTH))+1),ROW(A96)),COLUMN(A96)))</f>
        <v/>
      </c>
      <c r="BH101" t="str" cm="1">
        <f t="array" ref="BH101">IF(ISERROR(INDEX(RESULT_CATEGORIES,SMALL(IF(COUNTIF($BA$3,MONTH), ROW(MONTH)-MIN(ROW(MONTH))+1),ROW(A96)),COLUMN(A96))),"",INDEX(RESULT_CATEGORIES,SMALL(IF(COUNTIF($BA$3,MONTH), ROW(MONTH)-MIN(ROW(MONTH))+1),ROW(A96)),COLUMN(A96)))</f>
        <v/>
      </c>
      <c r="BI101" t="str" cm="1">
        <f t="array" ref="BI101">IF(ISERROR(INDEX(RESULTLOCATION,SMALL(IF(COUNTIF($BA$3,MONTH), ROW(MONTH)-MIN(ROW(MONTH))+1),ROW(A96)),COLUMN(A96))),"",INDEX(RESULTLOCATION,SMALL(IF(COUNTIF($BA$3,MONTH), ROW(MONTH)-MIN(ROW(MONTH))+1),ROW(A96)),COLUMN(A96)))</f>
        <v/>
      </c>
    </row>
    <row r="102" spans="3:61" x14ac:dyDescent="0.3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 cm="1">
        <f t="array" aca="1" ref="AT102" ca="1">IF(ISERROR(INDEX(RESULT_DURATION,SMALL(IF(COUNTIF($AQ$39,WEEK)*COUNTIF($AR$39,WEEKDAY), ROW(WEEK)-MIN(ROW(WEEK))+1),ROW(A61)),COLUMN(A61))),0,INDEX(RESULT_DURATION,SMALL(IF(COUNTIF($AQ$39,WEEK)*COUNTIF($AR$39,WEEKDAY), ROW(WEEK)-MIN(ROW(WEEK))+1),ROW(A61)),COLUMN(A61)))</f>
        <v>0</v>
      </c>
      <c r="AU102" cm="1">
        <f t="array" aca="1" ref="AU102" ca="1">IF(ISERROR(INDEX(RESULT_START,SMALL(IF(COUNTIF($AQ$39,WEEK)*COUNTIF($AR$39,WEEKDAY), ROW(WEEK)-MIN(ROW(WEEK))+1),ROW(A61)),COLUMN(A61))),0,INDEX(RESULT_START,SMALL(IF(COUNTIF($AQ$39,WEEK)*COUNTIF($AR$39,WEEKDAY), ROW(WEEK)-MIN(ROW(WEEK))+1),ROW(A61)),COLUMN(A61)))</f>
        <v>0</v>
      </c>
      <c r="AV102" cm="1">
        <f t="array" ref="AV102">IF(ISERROR(INDEX(RESULT_STARTMIN,SMALL(IF(COUNTIF($B$39,WEEK)*COUNTIF(#REF!,WEEKDAY), ROW(WEEK)-MIN(ROW(WEEK))+1),ROW(AQ64)),COLUMN(AQ64))),0,INDEX(RESULT_STARTMIN,SMALL(IF(COUNTIF($B$39,WEEK)*COUNTIF(#REF!,WEEKDAY), ROW(WEEK)-MIN(ROW(WEEK))+1),ROW(AQ64)),COLUMN(AQ64)))</f>
        <v>0</v>
      </c>
      <c r="AW102" cm="1">
        <f t="array" aca="1" ref="AW102" ca="1">IF(ISERROR(INDEX(RESULT_CATEGORIES,SMALL(IF(COUNTIF($AQ$39,WEEK)*COUNTIF($AR$39,WEEKDAY), ROW(WEEK)-MIN(ROW(WEEK))+1),ROW(A61)),COLUMN(A61))),0,INDEX(RESULT_CATEGORIES,SMALL(IF(COUNTIF($AQ$39,WEEK)*COUNTIF($AR$39,WEEKDAY), ROW(WEEK)-MIN(ROW(WEEK))+1),ROW(A61)),COLUMN(A61)))</f>
        <v>0</v>
      </c>
      <c r="AX102" s="2"/>
      <c r="AY102" s="2"/>
      <c r="BA102" t="str" cm="1">
        <f t="array" ref="BA102">IF(ISERROR(INDEX(RESULT_SUBJECT,SMALL(IF(COUNTIF($BA$3,MONTH), ROW(MONTH)-MIN(ROW(MONTH))+1),ROW(A97)),COLUMN(A97))),"",INDEX(RESULT_SUBJECT,SMALL(IF(COUNTIF($BA$3,MONTH), ROW(MONTH)-MIN(ROW(MONTH))+1),ROW(A97)),COLUMN(A97)))</f>
        <v/>
      </c>
      <c r="BB102" t="str" cm="1">
        <f t="array" ref="BB102">IF(ISERROR(INDEX(WEEK,SMALL(IF(COUNTIF($BA$3,MONTH), ROW(MONTH)-MIN(ROW(MONTH))+1),ROW(A97)),COLUMN(A97))),"",INDEX(WEEK,SMALL(IF(COUNTIF($BA$3,MONTH), ROW(MONTH)-MIN(ROW(MONTH))+1),ROW(A97)),COLUMN(A97)))</f>
        <v/>
      </c>
      <c r="BC102" t="str" cm="1">
        <f t="array" ref="BC102">IF(ISERROR(INDEX(RESULT_DAY,SMALL(IF(COUNTIF($BA$3,MONTH), ROW(MONTH)-MIN(ROW(MONTH))+1),ROW(A97)),COLUMN(A97))),"",INDEX(RESULT_DAY,SMALL(IF(COUNTIF($BA$3,MONTH), ROW(MONTH)-MIN(ROW(MONTH))+1),ROW(A97)),COLUMN(A97)))</f>
        <v/>
      </c>
      <c r="BD102" s="29" t="str">
        <f t="shared" si="51"/>
        <v/>
      </c>
      <c r="BE102" s="2" t="str" cm="1">
        <f t="array" ref="BE102">IF(ISERROR(INDEX(RESULT_DURATION,SMALL(IF(COUNTIF($BA$3,MONTH), ROW(MONTH)-MIN(ROW(MONTH))+1),ROW(A97)),COLUMN(A97))),"",INDEX(RESULT_DURATION,SMALL(IF(COUNTIF($BA$3,MONTH), ROW(MONTH)-MIN(ROW(MONTH))+1),ROW(A97)),COLUMN(A97)))</f>
        <v/>
      </c>
      <c r="BH102" t="str" cm="1">
        <f t="array" ref="BH102">IF(ISERROR(INDEX(RESULT_CATEGORIES,SMALL(IF(COUNTIF($BA$3,MONTH), ROW(MONTH)-MIN(ROW(MONTH))+1),ROW(A97)),COLUMN(A97))),"",INDEX(RESULT_CATEGORIES,SMALL(IF(COUNTIF($BA$3,MONTH), ROW(MONTH)-MIN(ROW(MONTH))+1),ROW(A97)),COLUMN(A97)))</f>
        <v/>
      </c>
      <c r="BI102" t="str" cm="1">
        <f t="array" ref="BI102">IF(ISERROR(INDEX(RESULTLOCATION,SMALL(IF(COUNTIF($BA$3,MONTH), ROW(MONTH)-MIN(ROW(MONTH))+1),ROW(A97)),COLUMN(A97))),"",INDEX(RESULTLOCATION,SMALL(IF(COUNTIF($BA$3,MONTH), ROW(MONTH)-MIN(ROW(MONTH))+1),ROW(A97)),COLUMN(A97)))</f>
        <v/>
      </c>
    </row>
    <row r="103" spans="3:61" x14ac:dyDescent="0.3">
      <c r="AT103" s="2" cm="1">
        <f t="array" aca="1" ref="AT103" ca="1">IF(ISERROR(INDEX(RESULT_DURATION,SMALL(IF(COUNTIF($AQ$39,WEEK)*COUNTIF($AR$39,WEEKDAY), ROW(WEEK)-MIN(ROW(WEEK))+1),ROW(A62)),COLUMN(A62))),0,INDEX(RESULT_DURATION,SMALL(IF(COUNTIF($AQ$39,WEEK)*COUNTIF($AR$39,WEEKDAY), ROW(WEEK)-MIN(ROW(WEEK))+1),ROW(A62)),COLUMN(A62)))</f>
        <v>0</v>
      </c>
      <c r="AU103" cm="1">
        <f t="array" aca="1" ref="AU103" ca="1">IF(ISERROR(INDEX(RESULT_START,SMALL(IF(COUNTIF($AQ$39,WEEK)*COUNTIF($AR$39,WEEKDAY), ROW(WEEK)-MIN(ROW(WEEK))+1),ROW(A62)),COLUMN(A62))),0,INDEX(RESULT_START,SMALL(IF(COUNTIF($AQ$39,WEEK)*COUNTIF($AR$39,WEEKDAY), ROW(WEEK)-MIN(ROW(WEEK))+1),ROW(A62)),COLUMN(A62)))</f>
        <v>0</v>
      </c>
      <c r="AV103" cm="1">
        <f t="array" ref="AV103">IF(ISERROR(INDEX(RESULT_STARTMIN,SMALL(IF(COUNTIF($B$39,WEEK)*COUNTIF(#REF!,WEEKDAY), ROW(WEEK)-MIN(ROW(WEEK))+1),ROW(AQ65)),COLUMN(AQ65))),0,INDEX(RESULT_STARTMIN,SMALL(IF(COUNTIF($B$39,WEEK)*COUNTIF(#REF!,WEEKDAY), ROW(WEEK)-MIN(ROW(WEEK))+1),ROW(AQ65)),COLUMN(AQ65)))</f>
        <v>0</v>
      </c>
      <c r="AW103" cm="1">
        <f t="array" aca="1" ref="AW103" ca="1">IF(ISERROR(INDEX(RESULT_CATEGORIES,SMALL(IF(COUNTIF($AQ$39,WEEK)*COUNTIF($AR$39,WEEKDAY), ROW(WEEK)-MIN(ROW(WEEK))+1),ROW(A62)),COLUMN(A62))),0,INDEX(RESULT_CATEGORIES,SMALL(IF(COUNTIF($AQ$39,WEEK)*COUNTIF($AR$39,WEEKDAY), ROW(WEEK)-MIN(ROW(WEEK))+1),ROW(A62)),COLUMN(A62)))</f>
        <v>0</v>
      </c>
      <c r="BA103" t="str" cm="1">
        <f t="array" ref="BA103">IF(ISERROR(INDEX(RESULT_SUBJECT,SMALL(IF(COUNTIF($BA$3,MONTH), ROW(MONTH)-MIN(ROW(MONTH))+1),ROW(A98)),COLUMN(A98))),"",INDEX(RESULT_SUBJECT,SMALL(IF(COUNTIF($BA$3,MONTH), ROW(MONTH)-MIN(ROW(MONTH))+1),ROW(A98)),COLUMN(A98)))</f>
        <v/>
      </c>
      <c r="BB103" t="str" cm="1">
        <f t="array" ref="BB103">IF(ISERROR(INDEX(WEEK,SMALL(IF(COUNTIF($BA$3,MONTH), ROW(MONTH)-MIN(ROW(MONTH))+1),ROW(A98)),COLUMN(A98))),"",INDEX(WEEK,SMALL(IF(COUNTIF($BA$3,MONTH), ROW(MONTH)-MIN(ROW(MONTH))+1),ROW(A98)),COLUMN(A98)))</f>
        <v/>
      </c>
      <c r="BC103" t="str" cm="1">
        <f t="array" ref="BC103">IF(ISERROR(INDEX(RESULT_DAY,SMALL(IF(COUNTIF($BA$3,MONTH), ROW(MONTH)-MIN(ROW(MONTH))+1),ROW(A98)),COLUMN(A98))),"",INDEX(RESULT_DAY,SMALL(IF(COUNTIF($BA$3,MONTH), ROW(MONTH)-MIN(ROW(MONTH))+1),ROW(A98)),COLUMN(A98)))</f>
        <v/>
      </c>
      <c r="BD103" s="29" t="str">
        <f t="shared" si="51"/>
        <v/>
      </c>
      <c r="BE103" s="2" t="str" cm="1">
        <f t="array" ref="BE103">IF(ISERROR(INDEX(RESULT_DURATION,SMALL(IF(COUNTIF($BA$3,MONTH), ROW(MONTH)-MIN(ROW(MONTH))+1),ROW(A98)),COLUMN(A98))),"",INDEX(RESULT_DURATION,SMALL(IF(COUNTIF($BA$3,MONTH), ROW(MONTH)-MIN(ROW(MONTH))+1),ROW(A98)),COLUMN(A98)))</f>
        <v/>
      </c>
      <c r="BH103" t="str" cm="1">
        <f t="array" ref="BH103">IF(ISERROR(INDEX(RESULT_CATEGORIES,SMALL(IF(COUNTIF($BA$3,MONTH), ROW(MONTH)-MIN(ROW(MONTH))+1),ROW(A98)),COLUMN(A98))),"",INDEX(RESULT_CATEGORIES,SMALL(IF(COUNTIF($BA$3,MONTH), ROW(MONTH)-MIN(ROW(MONTH))+1),ROW(A98)),COLUMN(A98)))</f>
        <v/>
      </c>
      <c r="BI103" t="str" cm="1">
        <f t="array" ref="BI103">IF(ISERROR(INDEX(RESULTLOCATION,SMALL(IF(COUNTIF($BA$3,MONTH), ROW(MONTH)-MIN(ROW(MONTH))+1),ROW(A98)),COLUMN(A98))),"",INDEX(RESULTLOCATION,SMALL(IF(COUNTIF($BA$3,MONTH), ROW(MONTH)-MIN(ROW(MONTH))+1),ROW(A98)),COLUMN(A98)))</f>
        <v/>
      </c>
    </row>
    <row r="104" spans="3:61" x14ac:dyDescent="0.3">
      <c r="AT104" s="2" cm="1">
        <f t="array" aca="1" ref="AT104" ca="1">IF(ISERROR(INDEX(RESULT_DURATION,SMALL(IF(COUNTIF($AQ$39,WEEK)*COUNTIF($AR$39,WEEKDAY), ROW(WEEK)-MIN(ROW(WEEK))+1),ROW(A63)),COLUMN(A63))),0,INDEX(RESULT_DURATION,SMALL(IF(COUNTIF($AQ$39,WEEK)*COUNTIF($AR$39,WEEKDAY), ROW(WEEK)-MIN(ROW(WEEK))+1),ROW(A63)),COLUMN(A63)))</f>
        <v>0</v>
      </c>
      <c r="AU104" cm="1">
        <f t="array" aca="1" ref="AU104" ca="1">IF(ISERROR(INDEX(RESULT_START,SMALL(IF(COUNTIF($AQ$39,WEEK)*COUNTIF($AR$39,WEEKDAY), ROW(WEEK)-MIN(ROW(WEEK))+1),ROW(A63)),COLUMN(A63))),0,INDEX(RESULT_START,SMALL(IF(COUNTIF($AQ$39,WEEK)*COUNTIF($AR$39,WEEKDAY), ROW(WEEK)-MIN(ROW(WEEK))+1),ROW(A63)),COLUMN(A63)))</f>
        <v>0</v>
      </c>
      <c r="AV104" cm="1">
        <f t="array" ref="AV104">IF(ISERROR(INDEX(RESULT_STARTMIN,SMALL(IF(COUNTIF($B$39,WEEK)*COUNTIF(#REF!,WEEKDAY), ROW(WEEK)-MIN(ROW(WEEK))+1),ROW(AQ66)),COLUMN(AQ66))),0,INDEX(RESULT_STARTMIN,SMALL(IF(COUNTIF($B$39,WEEK)*COUNTIF(#REF!,WEEKDAY), ROW(WEEK)-MIN(ROW(WEEK))+1),ROW(AQ66)),COLUMN(AQ66)))</f>
        <v>0</v>
      </c>
      <c r="AW104" cm="1">
        <f t="array" aca="1" ref="AW104" ca="1">IF(ISERROR(INDEX(RESULT_CATEGORIES,SMALL(IF(COUNTIF($AQ$39,WEEK)*COUNTIF($AR$39,WEEKDAY), ROW(WEEK)-MIN(ROW(WEEK))+1),ROW(A63)),COLUMN(A63))),0,INDEX(RESULT_CATEGORIES,SMALL(IF(COUNTIF($AQ$39,WEEK)*COUNTIF($AR$39,WEEKDAY), ROW(WEEK)-MIN(ROW(WEEK))+1),ROW(A63)),COLUMN(A63)))</f>
        <v>0</v>
      </c>
      <c r="BA104" t="str" cm="1">
        <f t="array" ref="BA104">IF(ISERROR(INDEX(RESULT_SUBJECT,SMALL(IF(COUNTIF($BA$3,MONTH), ROW(MONTH)-MIN(ROW(MONTH))+1),ROW(A99)),COLUMN(A99))),"",INDEX(RESULT_SUBJECT,SMALL(IF(COUNTIF($BA$3,MONTH), ROW(MONTH)-MIN(ROW(MONTH))+1),ROW(A99)),COLUMN(A99)))</f>
        <v/>
      </c>
      <c r="BB104" t="str" cm="1">
        <f t="array" ref="BB104">IF(ISERROR(INDEX(WEEK,SMALL(IF(COUNTIF($BA$3,MONTH), ROW(MONTH)-MIN(ROW(MONTH))+1),ROW(A99)),COLUMN(A99))),"",INDEX(WEEK,SMALL(IF(COUNTIF($BA$3,MONTH), ROW(MONTH)-MIN(ROW(MONTH))+1),ROW(A99)),COLUMN(A99)))</f>
        <v/>
      </c>
      <c r="BC104" t="str" cm="1">
        <f t="array" ref="BC104">IF(ISERROR(INDEX(RESULT_DAY,SMALL(IF(COUNTIF($BA$3,MONTH), ROW(MONTH)-MIN(ROW(MONTH))+1),ROW(A99)),COLUMN(A99))),"",INDEX(RESULT_DAY,SMALL(IF(COUNTIF($BA$3,MONTH), ROW(MONTH)-MIN(ROW(MONTH))+1),ROW(A99)),COLUMN(A99)))</f>
        <v/>
      </c>
      <c r="BD104" s="29" t="str">
        <f t="shared" si="51"/>
        <v/>
      </c>
      <c r="BE104" s="2" t="str" cm="1">
        <f t="array" ref="BE104">IF(ISERROR(INDEX(RESULT_DURATION,SMALL(IF(COUNTIF($BA$3,MONTH), ROW(MONTH)-MIN(ROW(MONTH))+1),ROW(A99)),COLUMN(A99))),"",INDEX(RESULT_DURATION,SMALL(IF(COUNTIF($BA$3,MONTH), ROW(MONTH)-MIN(ROW(MONTH))+1),ROW(A99)),COLUMN(A99)))</f>
        <v/>
      </c>
      <c r="BH104" t="str" cm="1">
        <f t="array" ref="BH104">IF(ISERROR(INDEX(RESULT_CATEGORIES,SMALL(IF(COUNTIF($BA$3,MONTH), ROW(MONTH)-MIN(ROW(MONTH))+1),ROW(A99)),COLUMN(A99))),"",INDEX(RESULT_CATEGORIES,SMALL(IF(COUNTIF($BA$3,MONTH), ROW(MONTH)-MIN(ROW(MONTH))+1),ROW(A99)),COLUMN(A99)))</f>
        <v/>
      </c>
      <c r="BI104" t="str" cm="1">
        <f t="array" ref="BI104">IF(ISERROR(INDEX(RESULTLOCATION,SMALL(IF(COUNTIF($BA$3,MONTH), ROW(MONTH)-MIN(ROW(MONTH))+1),ROW(A99)),COLUMN(A99))),"",INDEX(RESULTLOCATION,SMALL(IF(COUNTIF($BA$3,MONTH), ROW(MONTH)-MIN(ROW(MONTH))+1),ROW(A99)),COLUMN(A99)))</f>
        <v/>
      </c>
    </row>
    <row r="105" spans="3:61" x14ac:dyDescent="0.3">
      <c r="AT105" s="2" cm="1">
        <f t="array" aca="1" ref="AT105" ca="1">IF(ISERROR(INDEX(RESULT_DURATION,SMALL(IF(COUNTIF($AQ$39,WEEK)*COUNTIF($AR$39,WEEKDAY), ROW(WEEK)-MIN(ROW(WEEK))+1),ROW(A64)),COLUMN(A64))),0,INDEX(RESULT_DURATION,SMALL(IF(COUNTIF($AQ$39,WEEK)*COUNTIF($AR$39,WEEKDAY), ROW(WEEK)-MIN(ROW(WEEK))+1),ROW(A64)),COLUMN(A64)))</f>
        <v>0</v>
      </c>
      <c r="AU105" cm="1">
        <f t="array" aca="1" ref="AU105" ca="1">IF(ISERROR(INDEX(RESULT_START,SMALL(IF(COUNTIF($AQ$39,WEEK)*COUNTIF($AR$39,WEEKDAY), ROW(WEEK)-MIN(ROW(WEEK))+1),ROW(A64)),COLUMN(A64))),0,INDEX(RESULT_START,SMALL(IF(COUNTIF($AQ$39,WEEK)*COUNTIF($AR$39,WEEKDAY), ROW(WEEK)-MIN(ROW(WEEK))+1),ROW(A64)),COLUMN(A64)))</f>
        <v>0</v>
      </c>
      <c r="AV105" cm="1">
        <f t="array" ref="AV105">IF(ISERROR(INDEX(RESULT_STARTMIN,SMALL(IF(COUNTIF($B$39,WEEK)*COUNTIF(#REF!,WEEKDAY), ROW(WEEK)-MIN(ROW(WEEK))+1),ROW(AQ67)),COLUMN(AQ67))),0,INDEX(RESULT_STARTMIN,SMALL(IF(COUNTIF($B$39,WEEK)*COUNTIF(#REF!,WEEKDAY), ROW(WEEK)-MIN(ROW(WEEK))+1),ROW(AQ67)),COLUMN(AQ67)))</f>
        <v>0</v>
      </c>
      <c r="AW105" cm="1">
        <f t="array" aca="1" ref="AW105" ca="1">IF(ISERROR(INDEX(RESULT_CATEGORIES,SMALL(IF(COUNTIF($AQ$39,WEEK)*COUNTIF($AR$39,WEEKDAY), ROW(WEEK)-MIN(ROW(WEEK))+1),ROW(A64)),COLUMN(A64))),0,INDEX(RESULT_CATEGORIES,SMALL(IF(COUNTIF($AQ$39,WEEK)*COUNTIF($AR$39,WEEKDAY), ROW(WEEK)-MIN(ROW(WEEK))+1),ROW(A64)),COLUMN(A64)))</f>
        <v>0</v>
      </c>
      <c r="BA105" t="str" cm="1">
        <f t="array" ref="BA105">IF(ISERROR(INDEX(RESULT_SUBJECT,SMALL(IF(COUNTIF($BA$3,MONTH), ROW(MONTH)-MIN(ROW(MONTH))+1),ROW(A100)),COLUMN(A100))),"",INDEX(RESULT_SUBJECT,SMALL(IF(COUNTIF($BA$3,MONTH), ROW(MONTH)-MIN(ROW(MONTH))+1),ROW(A100)),COLUMN(A100)))</f>
        <v/>
      </c>
      <c r="BB105" t="str" cm="1">
        <f t="array" ref="BB105">IF(ISERROR(INDEX(WEEK,SMALL(IF(COUNTIF($BA$3,MONTH), ROW(MONTH)-MIN(ROW(MONTH))+1),ROW(A100)),COLUMN(A100))),"",INDEX(WEEK,SMALL(IF(COUNTIF($BA$3,MONTH), ROW(MONTH)-MIN(ROW(MONTH))+1),ROW(A100)),COLUMN(A100)))</f>
        <v/>
      </c>
      <c r="BC105" t="str" cm="1">
        <f t="array" ref="BC105">IF(ISERROR(INDEX(RESULT_DAY,SMALL(IF(COUNTIF($BA$3,MONTH), ROW(MONTH)-MIN(ROW(MONTH))+1),ROW(A100)),COLUMN(A100))),"",INDEX(RESULT_DAY,SMALL(IF(COUNTIF($BA$3,MONTH), ROW(MONTH)-MIN(ROW(MONTH))+1),ROW(A100)),COLUMN(A100)))</f>
        <v/>
      </c>
      <c r="BD105" s="29" t="str">
        <f t="shared" si="51"/>
        <v/>
      </c>
      <c r="BE105" s="2" t="str" cm="1">
        <f t="array" ref="BE105">IF(ISERROR(INDEX(RESULT_DURATION,SMALL(IF(COUNTIF($BA$3,MONTH), ROW(MONTH)-MIN(ROW(MONTH))+1),ROW(A100)),COLUMN(A100))),"",INDEX(RESULT_DURATION,SMALL(IF(COUNTIF($BA$3,MONTH), ROW(MONTH)-MIN(ROW(MONTH))+1),ROW(A100)),COLUMN(A100)))</f>
        <v/>
      </c>
      <c r="BH105" t="str" cm="1">
        <f t="array" ref="BH105">IF(ISERROR(INDEX(RESULT_CATEGORIES,SMALL(IF(COUNTIF($BA$3,MONTH), ROW(MONTH)-MIN(ROW(MONTH))+1),ROW(A100)),COLUMN(A100))),"",INDEX(RESULT_CATEGORIES,SMALL(IF(COUNTIF($BA$3,MONTH), ROW(MONTH)-MIN(ROW(MONTH))+1),ROW(A100)),COLUMN(A100)))</f>
        <v/>
      </c>
      <c r="BI105" t="str" cm="1">
        <f t="array" ref="BI105">IF(ISERROR(INDEX(RESULTLOCATION,SMALL(IF(COUNTIF($BA$3,MONTH), ROW(MONTH)-MIN(ROW(MONTH))+1),ROW(A100)),COLUMN(A100))),"",INDEX(RESULTLOCATION,SMALL(IF(COUNTIF($BA$3,MONTH), ROW(MONTH)-MIN(ROW(MONTH))+1),ROW(A100)),COLUMN(A100)))</f>
        <v/>
      </c>
    </row>
    <row r="106" spans="3:61" x14ac:dyDescent="0.3">
      <c r="AT106" s="2" cm="1">
        <f t="array" aca="1" ref="AT106" ca="1">IF(ISERROR(INDEX(RESULT_DURATION,SMALL(IF(COUNTIF($AQ$39,WEEK)*COUNTIF($AR$39,WEEKDAY), ROW(WEEK)-MIN(ROW(WEEK))+1),ROW(A65)),COLUMN(A65))),0,INDEX(RESULT_DURATION,SMALL(IF(COUNTIF($AQ$39,WEEK)*COUNTIF($AR$39,WEEKDAY), ROW(WEEK)-MIN(ROW(WEEK))+1),ROW(A65)),COLUMN(A65)))</f>
        <v>0</v>
      </c>
      <c r="AU106" cm="1">
        <f t="array" aca="1" ref="AU106" ca="1">IF(ISERROR(INDEX(RESULT_START,SMALL(IF(COUNTIF($AQ$39,WEEK)*COUNTIF($AR$39,WEEKDAY), ROW(WEEK)-MIN(ROW(WEEK))+1),ROW(A65)),COLUMN(A65))),0,INDEX(RESULT_START,SMALL(IF(COUNTIF($AQ$39,WEEK)*COUNTIF($AR$39,WEEKDAY), ROW(WEEK)-MIN(ROW(WEEK))+1),ROW(A65)),COLUMN(A65)))</f>
        <v>0</v>
      </c>
      <c r="AV106" cm="1">
        <f t="array" ref="AV106">IF(ISERROR(INDEX(RESULT_STARTMIN,SMALL(IF(COUNTIF($B$39,WEEK)*COUNTIF(#REF!,WEEKDAY), ROW(WEEK)-MIN(ROW(WEEK))+1),ROW(AQ68)),COLUMN(AQ68))),0,INDEX(RESULT_STARTMIN,SMALL(IF(COUNTIF($B$39,WEEK)*COUNTIF(#REF!,WEEKDAY), ROW(WEEK)-MIN(ROW(WEEK))+1),ROW(AQ68)),COLUMN(AQ68)))</f>
        <v>0</v>
      </c>
      <c r="AW106" cm="1">
        <f t="array" aca="1" ref="AW106" ca="1">IF(ISERROR(INDEX(RESULT_CATEGORIES,SMALL(IF(COUNTIF($AQ$39,WEEK)*COUNTIF($AR$39,WEEKDAY), ROW(WEEK)-MIN(ROW(WEEK))+1),ROW(A65)),COLUMN(A65))),0,INDEX(RESULT_CATEGORIES,SMALL(IF(COUNTIF($AQ$39,WEEK)*COUNTIF($AR$39,WEEKDAY), ROW(WEEK)-MIN(ROW(WEEK))+1),ROW(A65)),COLUMN(A65)))</f>
        <v>0</v>
      </c>
      <c r="BA106" t="str" cm="1">
        <f t="array" ref="BA106">IF(ISERROR(INDEX(RESULT_SUBJECT,SMALL(IF(COUNTIF($BA$3,MONTH), ROW(MONTH)-MIN(ROW(MONTH))+1),ROW(A101)),COLUMN(A101))),"",INDEX(RESULT_SUBJECT,SMALL(IF(COUNTIF($BA$3,MONTH), ROW(MONTH)-MIN(ROW(MONTH))+1),ROW(A101)),COLUMN(A101)))</f>
        <v/>
      </c>
      <c r="BB106" t="str" cm="1">
        <f t="array" ref="BB106">IF(ISERROR(INDEX(WEEK,SMALL(IF(COUNTIF($BA$3,MONTH), ROW(MONTH)-MIN(ROW(MONTH))+1),ROW(A101)),COLUMN(A101))),"",INDEX(WEEK,SMALL(IF(COUNTIF($BA$3,MONTH), ROW(MONTH)-MIN(ROW(MONTH))+1),ROW(A101)),COLUMN(A101)))</f>
        <v/>
      </c>
      <c r="BC106" t="str" cm="1">
        <f t="array" ref="BC106">IF(ISERROR(INDEX(RESULT_DAY,SMALL(IF(COUNTIF($BA$3,MONTH), ROW(MONTH)-MIN(ROW(MONTH))+1),ROW(A101)),COLUMN(A101))),"",INDEX(RESULT_DAY,SMALL(IF(COUNTIF($BA$3,MONTH), ROW(MONTH)-MIN(ROW(MONTH))+1),ROW(A101)),COLUMN(A101)))</f>
        <v/>
      </c>
      <c r="BD106" s="29" t="str">
        <f t="shared" si="51"/>
        <v/>
      </c>
      <c r="BE106" s="2" t="str" cm="1">
        <f t="array" ref="BE106">IF(ISERROR(INDEX(RESULT_DURATION,SMALL(IF(COUNTIF($BA$3,MONTH), ROW(MONTH)-MIN(ROW(MONTH))+1),ROW(A101)),COLUMN(A101))),"",INDEX(RESULT_DURATION,SMALL(IF(COUNTIF($BA$3,MONTH), ROW(MONTH)-MIN(ROW(MONTH))+1),ROW(A101)),COLUMN(A101)))</f>
        <v/>
      </c>
      <c r="BH106" t="str" cm="1">
        <f t="array" ref="BH106">IF(ISERROR(INDEX(RESULT_CATEGORIES,SMALL(IF(COUNTIF($BA$3,MONTH), ROW(MONTH)-MIN(ROW(MONTH))+1),ROW(A101)),COLUMN(A101))),"",INDEX(RESULT_CATEGORIES,SMALL(IF(COUNTIF($BA$3,MONTH), ROW(MONTH)-MIN(ROW(MONTH))+1),ROW(A101)),COLUMN(A101)))</f>
        <v/>
      </c>
      <c r="BI106" t="str" cm="1">
        <f t="array" ref="BI106">IF(ISERROR(INDEX(RESULTLOCATION,SMALL(IF(COUNTIF($BA$3,MONTH), ROW(MONTH)-MIN(ROW(MONTH))+1),ROW(A101)),COLUMN(A101))),"",INDEX(RESULTLOCATION,SMALL(IF(COUNTIF($BA$3,MONTH), ROW(MONTH)-MIN(ROW(MONTH))+1),ROW(A101)),COLUMN(A101)))</f>
        <v/>
      </c>
    </row>
    <row r="107" spans="3:61" x14ac:dyDescent="0.3">
      <c r="AT107" s="2" cm="1">
        <f t="array" aca="1" ref="AT107" ca="1">IF(ISERROR(INDEX(RESULT_DURATION,SMALL(IF(COUNTIF($AQ$39,WEEK)*COUNTIF($AR$39,WEEKDAY), ROW(WEEK)-MIN(ROW(WEEK))+1),ROW(A66)),COLUMN(A66))),0,INDEX(RESULT_DURATION,SMALL(IF(COUNTIF($AQ$39,WEEK)*COUNTIF($AR$39,WEEKDAY), ROW(WEEK)-MIN(ROW(WEEK))+1),ROW(A66)),COLUMN(A66)))</f>
        <v>0</v>
      </c>
      <c r="AU107" cm="1">
        <f t="array" aca="1" ref="AU107" ca="1">IF(ISERROR(INDEX(RESULT_START,SMALL(IF(COUNTIF($AQ$39,WEEK)*COUNTIF($AR$39,WEEKDAY), ROW(WEEK)-MIN(ROW(WEEK))+1),ROW(A66)),COLUMN(A66))),0,INDEX(RESULT_START,SMALL(IF(COUNTIF($AQ$39,WEEK)*COUNTIF($AR$39,WEEKDAY), ROW(WEEK)-MIN(ROW(WEEK))+1),ROW(A66)),COLUMN(A66)))</f>
        <v>0</v>
      </c>
      <c r="AV107" cm="1">
        <f t="array" ref="AV107">IF(ISERROR(INDEX(RESULT_STARTMIN,SMALL(IF(COUNTIF($B$39,WEEK)*COUNTIF(#REF!,WEEKDAY), ROW(WEEK)-MIN(ROW(WEEK))+1),ROW(AQ69)),COLUMN(AQ69))),0,INDEX(RESULT_STARTMIN,SMALL(IF(COUNTIF($B$39,WEEK)*COUNTIF(#REF!,WEEKDAY), ROW(WEEK)-MIN(ROW(WEEK))+1),ROW(AQ69)),COLUMN(AQ69)))</f>
        <v>0</v>
      </c>
      <c r="AW107" cm="1">
        <f t="array" aca="1" ref="AW107" ca="1">IF(ISERROR(INDEX(RESULT_CATEGORIES,SMALL(IF(COUNTIF($AQ$39,WEEK)*COUNTIF($AR$39,WEEKDAY), ROW(WEEK)-MIN(ROW(WEEK))+1),ROW(A66)),COLUMN(A66))),0,INDEX(RESULT_CATEGORIES,SMALL(IF(COUNTIF($AQ$39,WEEK)*COUNTIF($AR$39,WEEKDAY), ROW(WEEK)-MIN(ROW(WEEK))+1),ROW(A66)),COLUMN(A66)))</f>
        <v>0</v>
      </c>
      <c r="BA107" t="str" cm="1">
        <f t="array" ref="BA107">IF(ISERROR(INDEX(RESULT_SUBJECT,SMALL(IF(COUNTIF($BA$3,MONTH), ROW(MONTH)-MIN(ROW(MONTH))+1),ROW(A102)),COLUMN(A102))),"",INDEX(RESULT_SUBJECT,SMALL(IF(COUNTIF($BA$3,MONTH), ROW(MONTH)-MIN(ROW(MONTH))+1),ROW(A102)),COLUMN(A102)))</f>
        <v/>
      </c>
      <c r="BB107" t="str" cm="1">
        <f t="array" ref="BB107">IF(ISERROR(INDEX(WEEK,SMALL(IF(COUNTIF($BA$3,MONTH), ROW(MONTH)-MIN(ROW(MONTH))+1),ROW(A102)),COLUMN(A102))),"",INDEX(WEEK,SMALL(IF(COUNTIF($BA$3,MONTH), ROW(MONTH)-MIN(ROW(MONTH))+1),ROW(A102)),COLUMN(A102)))</f>
        <v/>
      </c>
      <c r="BC107" t="str" cm="1">
        <f t="array" ref="BC107">IF(ISERROR(INDEX(RESULT_DAY,SMALL(IF(COUNTIF($BA$3,MONTH), ROW(MONTH)-MIN(ROW(MONTH))+1),ROW(A102)),COLUMN(A102))),"",INDEX(RESULT_DAY,SMALL(IF(COUNTIF($BA$3,MONTH), ROW(MONTH)-MIN(ROW(MONTH))+1),ROW(A102)),COLUMN(A102)))</f>
        <v/>
      </c>
      <c r="BD107" s="29" t="str">
        <f t="shared" si="51"/>
        <v/>
      </c>
      <c r="BE107" s="2" t="str" cm="1">
        <f t="array" ref="BE107">IF(ISERROR(INDEX(RESULT_DURATION,SMALL(IF(COUNTIF($BA$3,MONTH), ROW(MONTH)-MIN(ROW(MONTH))+1),ROW(A102)),COLUMN(A102))),"",INDEX(RESULT_DURATION,SMALL(IF(COUNTIF($BA$3,MONTH), ROW(MONTH)-MIN(ROW(MONTH))+1),ROW(A102)),COLUMN(A102)))</f>
        <v/>
      </c>
      <c r="BH107" t="str" cm="1">
        <f t="array" ref="BH107">IF(ISERROR(INDEX(RESULT_CATEGORIES,SMALL(IF(COUNTIF($BA$3,MONTH), ROW(MONTH)-MIN(ROW(MONTH))+1),ROW(A102)),COLUMN(A102))),"",INDEX(RESULT_CATEGORIES,SMALL(IF(COUNTIF($BA$3,MONTH), ROW(MONTH)-MIN(ROW(MONTH))+1),ROW(A102)),COLUMN(A102)))</f>
        <v/>
      </c>
      <c r="BI107" t="str" cm="1">
        <f t="array" ref="BI107">IF(ISERROR(INDEX(RESULTLOCATION,SMALL(IF(COUNTIF($BA$3,MONTH), ROW(MONTH)-MIN(ROW(MONTH))+1),ROW(A102)),COLUMN(A102))),"",INDEX(RESULTLOCATION,SMALL(IF(COUNTIF($BA$3,MONTH), ROW(MONTH)-MIN(ROW(MONTH))+1),ROW(A102)),COLUMN(A102)))</f>
        <v/>
      </c>
    </row>
    <row r="108" spans="3:61" x14ac:dyDescent="0.3">
      <c r="AT108" s="2" cm="1">
        <f t="array" aca="1" ref="AT108" ca="1">IF(ISERROR(INDEX(RESULT_DURATION,SMALL(IF(COUNTIF($AQ$39,WEEK)*COUNTIF($AR$39,WEEKDAY), ROW(WEEK)-MIN(ROW(WEEK))+1),ROW(A67)),COLUMN(A67))),0,INDEX(RESULT_DURATION,SMALL(IF(COUNTIF($AQ$39,WEEK)*COUNTIF($AR$39,WEEKDAY), ROW(WEEK)-MIN(ROW(WEEK))+1),ROW(A67)),COLUMN(A67)))</f>
        <v>0</v>
      </c>
      <c r="AU108" cm="1">
        <f t="array" aca="1" ref="AU108" ca="1">IF(ISERROR(INDEX(RESULT_START,SMALL(IF(COUNTIF($AQ$39,WEEK)*COUNTIF($AR$39,WEEKDAY), ROW(WEEK)-MIN(ROW(WEEK))+1),ROW(A67)),COLUMN(A67))),0,INDEX(RESULT_START,SMALL(IF(COUNTIF($AQ$39,WEEK)*COUNTIF($AR$39,WEEKDAY), ROW(WEEK)-MIN(ROW(WEEK))+1),ROW(A67)),COLUMN(A67)))</f>
        <v>0</v>
      </c>
      <c r="AV108" cm="1">
        <f t="array" ref="AV108">IF(ISERROR(INDEX(RESULT_STARTMIN,SMALL(IF(COUNTIF($B$39,WEEK)*COUNTIF(#REF!,WEEKDAY), ROW(WEEK)-MIN(ROW(WEEK))+1),ROW(AQ70)),COLUMN(AQ70))),0,INDEX(RESULT_STARTMIN,SMALL(IF(COUNTIF($B$39,WEEK)*COUNTIF(#REF!,WEEKDAY), ROW(WEEK)-MIN(ROW(WEEK))+1),ROW(AQ70)),COLUMN(AQ70)))</f>
        <v>0</v>
      </c>
      <c r="AW108" cm="1">
        <f t="array" aca="1" ref="AW108" ca="1">IF(ISERROR(INDEX(RESULT_CATEGORIES,SMALL(IF(COUNTIF($AQ$39,WEEK)*COUNTIF($AR$39,WEEKDAY), ROW(WEEK)-MIN(ROW(WEEK))+1),ROW(A67)),COLUMN(A67))),0,INDEX(RESULT_CATEGORIES,SMALL(IF(COUNTIF($AQ$39,WEEK)*COUNTIF($AR$39,WEEKDAY), ROW(WEEK)-MIN(ROW(WEEK))+1),ROW(A67)),COLUMN(A67)))</f>
        <v>0</v>
      </c>
      <c r="BA108" t="str" cm="1">
        <f t="array" ref="BA108">IF(ISERROR(INDEX(RESULT_SUBJECT,SMALL(IF(COUNTIF($BA$3,MONTH), ROW(MONTH)-MIN(ROW(MONTH))+1),ROW(A103)),COLUMN(A103))),"",INDEX(RESULT_SUBJECT,SMALL(IF(COUNTIF($BA$3,MONTH), ROW(MONTH)-MIN(ROW(MONTH))+1),ROW(A103)),COLUMN(A103)))</f>
        <v/>
      </c>
      <c r="BB108" t="str" cm="1">
        <f t="array" ref="BB108">IF(ISERROR(INDEX(WEEK,SMALL(IF(COUNTIF($BA$3,MONTH), ROW(MONTH)-MIN(ROW(MONTH))+1),ROW(A103)),COLUMN(A103))),"",INDEX(WEEK,SMALL(IF(COUNTIF($BA$3,MONTH), ROW(MONTH)-MIN(ROW(MONTH))+1),ROW(A103)),COLUMN(A103)))</f>
        <v/>
      </c>
      <c r="BC108" t="str" cm="1">
        <f t="array" ref="BC108">IF(ISERROR(INDEX(RESULT_DAY,SMALL(IF(COUNTIF($BA$3,MONTH), ROW(MONTH)-MIN(ROW(MONTH))+1),ROW(A103)),COLUMN(A103))),"",INDEX(RESULT_DAY,SMALL(IF(COUNTIF($BA$3,MONTH), ROW(MONTH)-MIN(ROW(MONTH))+1),ROW(A103)),COLUMN(A103)))</f>
        <v/>
      </c>
      <c r="BD108" s="29" t="str">
        <f t="shared" si="51"/>
        <v/>
      </c>
      <c r="BE108" s="2" t="str" cm="1">
        <f t="array" ref="BE108">IF(ISERROR(INDEX(RESULT_DURATION,SMALL(IF(COUNTIF($BA$3,MONTH), ROW(MONTH)-MIN(ROW(MONTH))+1),ROW(A103)),COLUMN(A103))),"",INDEX(RESULT_DURATION,SMALL(IF(COUNTIF($BA$3,MONTH), ROW(MONTH)-MIN(ROW(MONTH))+1),ROW(A103)),COLUMN(A103)))</f>
        <v/>
      </c>
      <c r="BH108" t="str" cm="1">
        <f t="array" ref="BH108">IF(ISERROR(INDEX(RESULT_CATEGORIES,SMALL(IF(COUNTIF($BA$3,MONTH), ROW(MONTH)-MIN(ROW(MONTH))+1),ROW(A103)),COLUMN(A103))),"",INDEX(RESULT_CATEGORIES,SMALL(IF(COUNTIF($BA$3,MONTH), ROW(MONTH)-MIN(ROW(MONTH))+1),ROW(A103)),COLUMN(A103)))</f>
        <v/>
      </c>
      <c r="BI108" t="str" cm="1">
        <f t="array" ref="BI108">IF(ISERROR(INDEX(RESULTLOCATION,SMALL(IF(COUNTIF($BA$3,MONTH), ROW(MONTH)-MIN(ROW(MONTH))+1),ROW(A103)),COLUMN(A103))),"",INDEX(RESULTLOCATION,SMALL(IF(COUNTIF($BA$3,MONTH), ROW(MONTH)-MIN(ROW(MONTH))+1),ROW(A103)),COLUMN(A103)))</f>
        <v/>
      </c>
    </row>
    <row r="109" spans="3:61" x14ac:dyDescent="0.3">
      <c r="AT109" s="2" cm="1">
        <f t="array" aca="1" ref="AT109" ca="1">IF(ISERROR(INDEX(RESULT_DURATION,SMALL(IF(COUNTIF($AQ$39,WEEK)*COUNTIF($AR$39,WEEKDAY), ROW(WEEK)-MIN(ROW(WEEK))+1),ROW(A68)),COLUMN(A68))),0,INDEX(RESULT_DURATION,SMALL(IF(COUNTIF($AQ$39,WEEK)*COUNTIF($AR$39,WEEKDAY), ROW(WEEK)-MIN(ROW(WEEK))+1),ROW(A68)),COLUMN(A68)))</f>
        <v>0</v>
      </c>
      <c r="AU109" cm="1">
        <f t="array" aca="1" ref="AU109" ca="1">IF(ISERROR(INDEX(RESULT_START,SMALL(IF(COUNTIF($AQ$39,WEEK)*COUNTIF($AR$39,WEEKDAY), ROW(WEEK)-MIN(ROW(WEEK))+1),ROW(A68)),COLUMN(A68))),0,INDEX(RESULT_START,SMALL(IF(COUNTIF($AQ$39,WEEK)*COUNTIF($AR$39,WEEKDAY), ROW(WEEK)-MIN(ROW(WEEK))+1),ROW(A68)),COLUMN(A68)))</f>
        <v>0</v>
      </c>
      <c r="AV109" cm="1">
        <f t="array" ref="AV109">IF(ISERROR(INDEX(RESULT_STARTMIN,SMALL(IF(COUNTIF($B$39,WEEK)*COUNTIF(#REF!,WEEKDAY), ROW(WEEK)-MIN(ROW(WEEK))+1),ROW(AQ71)),COLUMN(AQ71))),0,INDEX(RESULT_STARTMIN,SMALL(IF(COUNTIF($B$39,WEEK)*COUNTIF(#REF!,WEEKDAY), ROW(WEEK)-MIN(ROW(WEEK))+1),ROW(AQ71)),COLUMN(AQ71)))</f>
        <v>0</v>
      </c>
      <c r="AW109" cm="1">
        <f t="array" aca="1" ref="AW109" ca="1">IF(ISERROR(INDEX(RESULT_CATEGORIES,SMALL(IF(COUNTIF($AQ$39,WEEK)*COUNTIF($AR$39,WEEKDAY), ROW(WEEK)-MIN(ROW(WEEK))+1),ROW(A68)),COLUMN(A68))),0,INDEX(RESULT_CATEGORIES,SMALL(IF(COUNTIF($AQ$39,WEEK)*COUNTIF($AR$39,WEEKDAY), ROW(WEEK)-MIN(ROW(WEEK))+1),ROW(A68)),COLUMN(A68)))</f>
        <v>0</v>
      </c>
      <c r="BA109" t="str" cm="1">
        <f t="array" ref="BA109">IF(ISERROR(INDEX(RESULT_SUBJECT,SMALL(IF(COUNTIF($BA$3,MONTH), ROW(MONTH)-MIN(ROW(MONTH))+1),ROW(A104)),COLUMN(A104))),"",INDEX(RESULT_SUBJECT,SMALL(IF(COUNTIF($BA$3,MONTH), ROW(MONTH)-MIN(ROW(MONTH))+1),ROW(A104)),COLUMN(A104)))</f>
        <v/>
      </c>
      <c r="BB109" t="str" cm="1">
        <f t="array" ref="BB109">IF(ISERROR(INDEX(WEEK,SMALL(IF(COUNTIF($BA$3,MONTH), ROW(MONTH)-MIN(ROW(MONTH))+1),ROW(A104)),COLUMN(A104))),"",INDEX(WEEK,SMALL(IF(COUNTIF($BA$3,MONTH), ROW(MONTH)-MIN(ROW(MONTH))+1),ROW(A104)),COLUMN(A104)))</f>
        <v/>
      </c>
      <c r="BC109" t="str" cm="1">
        <f t="array" ref="BC109">IF(ISERROR(INDEX(RESULT_DAY,SMALL(IF(COUNTIF($BA$3,MONTH), ROW(MONTH)-MIN(ROW(MONTH))+1),ROW(A104)),COLUMN(A104))),"",INDEX(RESULT_DAY,SMALL(IF(COUNTIF($BA$3,MONTH), ROW(MONTH)-MIN(ROW(MONTH))+1),ROW(A104)),COLUMN(A104)))</f>
        <v/>
      </c>
      <c r="BD109" s="29" t="str">
        <f t="shared" si="51"/>
        <v/>
      </c>
      <c r="BE109" s="2" t="str" cm="1">
        <f t="array" ref="BE109">IF(ISERROR(INDEX(RESULT_DURATION,SMALL(IF(COUNTIF($BA$3,MONTH), ROW(MONTH)-MIN(ROW(MONTH))+1),ROW(A104)),COLUMN(A104))),"",INDEX(RESULT_DURATION,SMALL(IF(COUNTIF($BA$3,MONTH), ROW(MONTH)-MIN(ROW(MONTH))+1),ROW(A104)),COLUMN(A104)))</f>
        <v/>
      </c>
      <c r="BH109" t="str" cm="1">
        <f t="array" ref="BH109">IF(ISERROR(INDEX(RESULT_CATEGORIES,SMALL(IF(COUNTIF($BA$3,MONTH), ROW(MONTH)-MIN(ROW(MONTH))+1),ROW(A104)),COLUMN(A104))),"",INDEX(RESULT_CATEGORIES,SMALL(IF(COUNTIF($BA$3,MONTH), ROW(MONTH)-MIN(ROW(MONTH))+1),ROW(A104)),COLUMN(A104)))</f>
        <v/>
      </c>
      <c r="BI109" t="str" cm="1">
        <f t="array" ref="BI109">IF(ISERROR(INDEX(RESULTLOCATION,SMALL(IF(COUNTIF($BA$3,MONTH), ROW(MONTH)-MIN(ROW(MONTH))+1),ROW(A104)),COLUMN(A104))),"",INDEX(RESULTLOCATION,SMALL(IF(COUNTIF($BA$3,MONTH), ROW(MONTH)-MIN(ROW(MONTH))+1),ROW(A104)),COLUMN(A104)))</f>
        <v/>
      </c>
    </row>
    <row r="110" spans="3:61" x14ac:dyDescent="0.3">
      <c r="AT110" s="2" cm="1">
        <f t="array" aca="1" ref="AT110" ca="1">IF(ISERROR(INDEX(RESULT_DURATION,SMALL(IF(COUNTIF($AQ$39,WEEK)*COUNTIF($AR$39,WEEKDAY), ROW(WEEK)-MIN(ROW(WEEK))+1),ROW(A69)),COLUMN(A69))),0,INDEX(RESULT_DURATION,SMALL(IF(COUNTIF($AQ$39,WEEK)*COUNTIF($AR$39,WEEKDAY), ROW(WEEK)-MIN(ROW(WEEK))+1),ROW(A69)),COLUMN(A69)))</f>
        <v>0</v>
      </c>
      <c r="AU110" cm="1">
        <f t="array" aca="1" ref="AU110" ca="1">IF(ISERROR(INDEX(RESULT_START,SMALL(IF(COUNTIF($AQ$39,WEEK)*COUNTIF($AR$39,WEEKDAY), ROW(WEEK)-MIN(ROW(WEEK))+1),ROW(A69)),COLUMN(A69))),0,INDEX(RESULT_START,SMALL(IF(COUNTIF($AQ$39,WEEK)*COUNTIF($AR$39,WEEKDAY), ROW(WEEK)-MIN(ROW(WEEK))+1),ROW(A69)),COLUMN(A69)))</f>
        <v>0</v>
      </c>
      <c r="AV110" cm="1">
        <f t="array" ref="AV110">IF(ISERROR(INDEX(RESULT_STARTMIN,SMALL(IF(COUNTIF($B$39,WEEK)*COUNTIF(#REF!,WEEKDAY), ROW(WEEK)-MIN(ROW(WEEK))+1),ROW(AQ72)),COLUMN(AQ72))),0,INDEX(RESULT_STARTMIN,SMALL(IF(COUNTIF($B$39,WEEK)*COUNTIF(#REF!,WEEKDAY), ROW(WEEK)-MIN(ROW(WEEK))+1),ROW(AQ72)),COLUMN(AQ72)))</f>
        <v>0</v>
      </c>
      <c r="AW110" cm="1">
        <f t="array" aca="1" ref="AW110" ca="1">IF(ISERROR(INDEX(RESULT_CATEGORIES,SMALL(IF(COUNTIF($AQ$39,WEEK)*COUNTIF($AR$39,WEEKDAY), ROW(WEEK)-MIN(ROW(WEEK))+1),ROW(A69)),COLUMN(A69))),0,INDEX(RESULT_CATEGORIES,SMALL(IF(COUNTIF($AQ$39,WEEK)*COUNTIF($AR$39,WEEKDAY), ROW(WEEK)-MIN(ROW(WEEK))+1),ROW(A69)),COLUMN(A69)))</f>
        <v>0</v>
      </c>
      <c r="BA110" t="str" cm="1">
        <f t="array" ref="BA110">IF(ISERROR(INDEX(RESULT_SUBJECT,SMALL(IF(COUNTIF($BA$3,MONTH), ROW(MONTH)-MIN(ROW(MONTH))+1),ROW(A105)),COLUMN(A105))),"",INDEX(RESULT_SUBJECT,SMALL(IF(COUNTIF($BA$3,MONTH), ROW(MONTH)-MIN(ROW(MONTH))+1),ROW(A105)),COLUMN(A105)))</f>
        <v/>
      </c>
      <c r="BB110" t="str" cm="1">
        <f t="array" ref="BB110">IF(ISERROR(INDEX(WEEK,SMALL(IF(COUNTIF($BA$3,MONTH), ROW(MONTH)-MIN(ROW(MONTH))+1),ROW(A105)),COLUMN(A105))),"",INDEX(WEEK,SMALL(IF(COUNTIF($BA$3,MONTH), ROW(MONTH)-MIN(ROW(MONTH))+1),ROW(A105)),COLUMN(A105)))</f>
        <v/>
      </c>
      <c r="BC110" t="str" cm="1">
        <f t="array" ref="BC110">IF(ISERROR(INDEX(RESULT_DAY,SMALL(IF(COUNTIF($BA$3,MONTH), ROW(MONTH)-MIN(ROW(MONTH))+1),ROW(A105)),COLUMN(A105))),"",INDEX(RESULT_DAY,SMALL(IF(COUNTIF($BA$3,MONTH), ROW(MONTH)-MIN(ROW(MONTH))+1),ROW(A105)),COLUMN(A105)))</f>
        <v/>
      </c>
      <c r="BD110" s="29" t="str">
        <f t="shared" si="51"/>
        <v/>
      </c>
      <c r="BE110" s="2" t="str" cm="1">
        <f t="array" ref="BE110">IF(ISERROR(INDEX(RESULT_DURATION,SMALL(IF(COUNTIF($BA$3,MONTH), ROW(MONTH)-MIN(ROW(MONTH))+1),ROW(A105)),COLUMN(A105))),"",INDEX(RESULT_DURATION,SMALL(IF(COUNTIF($BA$3,MONTH), ROW(MONTH)-MIN(ROW(MONTH))+1),ROW(A105)),COLUMN(A105)))</f>
        <v/>
      </c>
      <c r="BH110" t="str" cm="1">
        <f t="array" ref="BH110">IF(ISERROR(INDEX(RESULT_CATEGORIES,SMALL(IF(COUNTIF($BA$3,MONTH), ROW(MONTH)-MIN(ROW(MONTH))+1),ROW(A105)),COLUMN(A105))),"",INDEX(RESULT_CATEGORIES,SMALL(IF(COUNTIF($BA$3,MONTH), ROW(MONTH)-MIN(ROW(MONTH))+1),ROW(A105)),COLUMN(A105)))</f>
        <v/>
      </c>
      <c r="BI110" t="str" cm="1">
        <f t="array" ref="BI110">IF(ISERROR(INDEX(RESULTLOCATION,SMALL(IF(COUNTIF($BA$3,MONTH), ROW(MONTH)-MIN(ROW(MONTH))+1),ROW(A105)),COLUMN(A105))),"",INDEX(RESULTLOCATION,SMALL(IF(COUNTIF($BA$3,MONTH), ROW(MONTH)-MIN(ROW(MONTH))+1),ROW(A105)),COLUMN(A105)))</f>
        <v/>
      </c>
    </row>
    <row r="111" spans="3:61" x14ac:dyDescent="0.3">
      <c r="AT111" s="2" cm="1">
        <f t="array" aca="1" ref="AT111" ca="1">IF(ISERROR(INDEX(RESULT_DURATION,SMALL(IF(COUNTIF($AQ$39,WEEK)*COUNTIF($AR$39,WEEKDAY), ROW(WEEK)-MIN(ROW(WEEK))+1),ROW(A70)),COLUMN(A70))),0,INDEX(RESULT_DURATION,SMALL(IF(COUNTIF($AQ$39,WEEK)*COUNTIF($AR$39,WEEKDAY), ROW(WEEK)-MIN(ROW(WEEK))+1),ROW(A70)),COLUMN(A70)))</f>
        <v>0</v>
      </c>
      <c r="AU111" cm="1">
        <f t="array" aca="1" ref="AU111" ca="1">IF(ISERROR(INDEX(RESULT_START,SMALL(IF(COUNTIF($AQ$39,WEEK)*COUNTIF($AR$39,WEEKDAY), ROW(WEEK)-MIN(ROW(WEEK))+1),ROW(A70)),COLUMN(A70))),0,INDEX(RESULT_START,SMALL(IF(COUNTIF($AQ$39,WEEK)*COUNTIF($AR$39,WEEKDAY), ROW(WEEK)-MIN(ROW(WEEK))+1),ROW(A70)),COLUMN(A70)))</f>
        <v>0</v>
      </c>
      <c r="AV111" cm="1">
        <f t="array" ref="AV111">IF(ISERROR(INDEX(RESULT_STARTMIN,SMALL(IF(COUNTIF($B$39,WEEK)*COUNTIF(#REF!,WEEKDAY), ROW(WEEK)-MIN(ROW(WEEK))+1),ROW(AQ73)),COLUMN(AQ73))),0,INDEX(RESULT_STARTMIN,SMALL(IF(COUNTIF($B$39,WEEK)*COUNTIF(#REF!,WEEKDAY), ROW(WEEK)-MIN(ROW(WEEK))+1),ROW(AQ73)),COLUMN(AQ73)))</f>
        <v>0</v>
      </c>
      <c r="AW111" cm="1">
        <f t="array" aca="1" ref="AW111" ca="1">IF(ISERROR(INDEX(RESULT_CATEGORIES,SMALL(IF(COUNTIF($AQ$39,WEEK)*COUNTIF($AR$39,WEEKDAY), ROW(WEEK)-MIN(ROW(WEEK))+1),ROW(A70)),COLUMN(A70))),0,INDEX(RESULT_CATEGORIES,SMALL(IF(COUNTIF($AQ$39,WEEK)*COUNTIF($AR$39,WEEKDAY), ROW(WEEK)-MIN(ROW(WEEK))+1),ROW(A70)),COLUMN(A70)))</f>
        <v>0</v>
      </c>
      <c r="BA111" t="str" cm="1">
        <f t="array" ref="BA111">IF(ISERROR(INDEX(RESULT_SUBJECT,SMALL(IF(COUNTIF($BA$3,MONTH), ROW(MONTH)-MIN(ROW(MONTH))+1),ROW(A106)),COLUMN(A106))),"",INDEX(RESULT_SUBJECT,SMALL(IF(COUNTIF($BA$3,MONTH), ROW(MONTH)-MIN(ROW(MONTH))+1),ROW(A106)),COLUMN(A106)))</f>
        <v/>
      </c>
      <c r="BB111" t="str" cm="1">
        <f t="array" ref="BB111">IF(ISERROR(INDEX(WEEK,SMALL(IF(COUNTIF($BA$3,MONTH), ROW(MONTH)-MIN(ROW(MONTH))+1),ROW(A106)),COLUMN(A106))),"",INDEX(WEEK,SMALL(IF(COUNTIF($BA$3,MONTH), ROW(MONTH)-MIN(ROW(MONTH))+1),ROW(A106)),COLUMN(A106)))</f>
        <v/>
      </c>
      <c r="BC111" t="str" cm="1">
        <f t="array" ref="BC111">IF(ISERROR(INDEX(RESULT_DAY,SMALL(IF(COUNTIF($BA$3,MONTH), ROW(MONTH)-MIN(ROW(MONTH))+1),ROW(A106)),COLUMN(A106))),"",INDEX(RESULT_DAY,SMALL(IF(COUNTIF($BA$3,MONTH), ROW(MONTH)-MIN(ROW(MONTH))+1),ROW(A106)),COLUMN(A106)))</f>
        <v/>
      </c>
      <c r="BD111" s="29" t="str">
        <f t="shared" si="51"/>
        <v/>
      </c>
      <c r="BE111" s="2" t="str" cm="1">
        <f t="array" ref="BE111">IF(ISERROR(INDEX(RESULT_DURATION,SMALL(IF(COUNTIF($BA$3,MONTH), ROW(MONTH)-MIN(ROW(MONTH))+1),ROW(A106)),COLUMN(A106))),"",INDEX(RESULT_DURATION,SMALL(IF(COUNTIF($BA$3,MONTH), ROW(MONTH)-MIN(ROW(MONTH))+1),ROW(A106)),COLUMN(A106)))</f>
        <v/>
      </c>
      <c r="BH111" t="str" cm="1">
        <f t="array" ref="BH111">IF(ISERROR(INDEX(RESULT_CATEGORIES,SMALL(IF(COUNTIF($BA$3,MONTH), ROW(MONTH)-MIN(ROW(MONTH))+1),ROW(A106)),COLUMN(A106))),"",INDEX(RESULT_CATEGORIES,SMALL(IF(COUNTIF($BA$3,MONTH), ROW(MONTH)-MIN(ROW(MONTH))+1),ROW(A106)),COLUMN(A106)))</f>
        <v/>
      </c>
      <c r="BI111" t="str" cm="1">
        <f t="array" ref="BI111">IF(ISERROR(INDEX(RESULTLOCATION,SMALL(IF(COUNTIF($BA$3,MONTH), ROW(MONTH)-MIN(ROW(MONTH))+1),ROW(A106)),COLUMN(A106))),"",INDEX(RESULTLOCATION,SMALL(IF(COUNTIF($BA$3,MONTH), ROW(MONTH)-MIN(ROW(MONTH))+1),ROW(A106)),COLUMN(A106)))</f>
        <v/>
      </c>
    </row>
    <row r="112" spans="3:61" x14ac:dyDescent="0.3">
      <c r="AT112" s="2" cm="1">
        <f t="array" aca="1" ref="AT112" ca="1">IF(ISERROR(INDEX(RESULT_DURATION,SMALL(IF(COUNTIF($AQ$39,WEEK)*COUNTIF($AR$39,WEEKDAY), ROW(WEEK)-MIN(ROW(WEEK))+1),ROW(A71)),COLUMN(A71))),0,INDEX(RESULT_DURATION,SMALL(IF(COUNTIF($AQ$39,WEEK)*COUNTIF($AR$39,WEEKDAY), ROW(WEEK)-MIN(ROW(WEEK))+1),ROW(A71)),COLUMN(A71)))</f>
        <v>0</v>
      </c>
      <c r="AU112" cm="1">
        <f t="array" aca="1" ref="AU112" ca="1">IF(ISERROR(INDEX(RESULT_START,SMALL(IF(COUNTIF($AQ$39,WEEK)*COUNTIF($AR$39,WEEKDAY), ROW(WEEK)-MIN(ROW(WEEK))+1),ROW(A71)),COLUMN(A71))),0,INDEX(RESULT_START,SMALL(IF(COUNTIF($AQ$39,WEEK)*COUNTIF($AR$39,WEEKDAY), ROW(WEEK)-MIN(ROW(WEEK))+1),ROW(A71)),COLUMN(A71)))</f>
        <v>0</v>
      </c>
      <c r="AV112" cm="1">
        <f t="array" ref="AV112">IF(ISERROR(INDEX(RESULT_STARTMIN,SMALL(IF(COUNTIF($B$39,WEEK)*COUNTIF(#REF!,WEEKDAY), ROW(WEEK)-MIN(ROW(WEEK))+1),ROW(AQ74)),COLUMN(AQ74))),0,INDEX(RESULT_STARTMIN,SMALL(IF(COUNTIF($B$39,WEEK)*COUNTIF(#REF!,WEEKDAY), ROW(WEEK)-MIN(ROW(WEEK))+1),ROW(AQ74)),COLUMN(AQ74)))</f>
        <v>0</v>
      </c>
      <c r="AW112" cm="1">
        <f t="array" aca="1" ref="AW112" ca="1">IF(ISERROR(INDEX(RESULT_CATEGORIES,SMALL(IF(COUNTIF($AQ$39,WEEK)*COUNTIF($AR$39,WEEKDAY), ROW(WEEK)-MIN(ROW(WEEK))+1),ROW(A71)),COLUMN(A71))),0,INDEX(RESULT_CATEGORIES,SMALL(IF(COUNTIF($AQ$39,WEEK)*COUNTIF($AR$39,WEEKDAY), ROW(WEEK)-MIN(ROW(WEEK))+1),ROW(A71)),COLUMN(A71)))</f>
        <v>0</v>
      </c>
      <c r="BA112" t="str" cm="1">
        <f t="array" ref="BA112">IF(ISERROR(INDEX(RESULT_SUBJECT,SMALL(IF(COUNTIF($BA$3,MONTH), ROW(MONTH)-MIN(ROW(MONTH))+1),ROW(A107)),COLUMN(A107))),"",INDEX(RESULT_SUBJECT,SMALL(IF(COUNTIF($BA$3,MONTH), ROW(MONTH)-MIN(ROW(MONTH))+1),ROW(A107)),COLUMN(A107)))</f>
        <v/>
      </c>
      <c r="BB112" t="str" cm="1">
        <f t="array" ref="BB112">IF(ISERROR(INDEX(WEEK,SMALL(IF(COUNTIF($BA$3,MONTH), ROW(MONTH)-MIN(ROW(MONTH))+1),ROW(A107)),COLUMN(A107))),"",INDEX(WEEK,SMALL(IF(COUNTIF($BA$3,MONTH), ROW(MONTH)-MIN(ROW(MONTH))+1),ROW(A107)),COLUMN(A107)))</f>
        <v/>
      </c>
      <c r="BC112" t="str" cm="1">
        <f t="array" ref="BC112">IF(ISERROR(INDEX(RESULT_DAY,SMALL(IF(COUNTIF($BA$3,MONTH), ROW(MONTH)-MIN(ROW(MONTH))+1),ROW(A107)),COLUMN(A107))),"",INDEX(RESULT_DAY,SMALL(IF(COUNTIF($BA$3,MONTH), ROW(MONTH)-MIN(ROW(MONTH))+1),ROW(A107)),COLUMN(A107)))</f>
        <v/>
      </c>
      <c r="BD112" s="29" t="str">
        <f t="shared" si="51"/>
        <v/>
      </c>
      <c r="BE112" s="2" t="str" cm="1">
        <f t="array" ref="BE112">IF(ISERROR(INDEX(RESULT_DURATION,SMALL(IF(COUNTIF($BA$3,MONTH), ROW(MONTH)-MIN(ROW(MONTH))+1),ROW(A107)),COLUMN(A107))),"",INDEX(RESULT_DURATION,SMALL(IF(COUNTIF($BA$3,MONTH), ROW(MONTH)-MIN(ROW(MONTH))+1),ROW(A107)),COLUMN(A107)))</f>
        <v/>
      </c>
      <c r="BH112" t="str" cm="1">
        <f t="array" ref="BH112">IF(ISERROR(INDEX(RESULT_CATEGORIES,SMALL(IF(COUNTIF($BA$3,MONTH), ROW(MONTH)-MIN(ROW(MONTH))+1),ROW(A107)),COLUMN(A107))),"",INDEX(RESULT_CATEGORIES,SMALL(IF(COUNTIF($BA$3,MONTH), ROW(MONTH)-MIN(ROW(MONTH))+1),ROW(A107)),COLUMN(A107)))</f>
        <v/>
      </c>
      <c r="BI112" t="str" cm="1">
        <f t="array" ref="BI112">IF(ISERROR(INDEX(RESULTLOCATION,SMALL(IF(COUNTIF($BA$3,MONTH), ROW(MONTH)-MIN(ROW(MONTH))+1),ROW(A107)),COLUMN(A107))),"",INDEX(RESULTLOCATION,SMALL(IF(COUNTIF($BA$3,MONTH), ROW(MONTH)-MIN(ROW(MONTH))+1),ROW(A107)),COLUMN(A107)))</f>
        <v/>
      </c>
    </row>
    <row r="113" spans="46:61" x14ac:dyDescent="0.3">
      <c r="AT113" s="2" cm="1">
        <f t="array" aca="1" ref="AT113" ca="1">IF(ISERROR(INDEX(RESULT_DURATION,SMALL(IF(COUNTIF($AQ$39,WEEK)*COUNTIF($AR$39,WEEKDAY), ROW(WEEK)-MIN(ROW(WEEK))+1),ROW(A72)),COLUMN(A72))),0,INDEX(RESULT_DURATION,SMALL(IF(COUNTIF($AQ$39,WEEK)*COUNTIF($AR$39,WEEKDAY), ROW(WEEK)-MIN(ROW(WEEK))+1),ROW(A72)),COLUMN(A72)))</f>
        <v>0</v>
      </c>
      <c r="AU113" cm="1">
        <f t="array" aca="1" ref="AU113" ca="1">IF(ISERROR(INDEX(RESULT_START,SMALL(IF(COUNTIF($AQ$39,WEEK)*COUNTIF($AR$39,WEEKDAY), ROW(WEEK)-MIN(ROW(WEEK))+1),ROW(A72)),COLUMN(A72))),0,INDEX(RESULT_START,SMALL(IF(COUNTIF($AQ$39,WEEK)*COUNTIF($AR$39,WEEKDAY), ROW(WEEK)-MIN(ROW(WEEK))+1),ROW(A72)),COLUMN(A72)))</f>
        <v>0</v>
      </c>
      <c r="AV113" cm="1">
        <f t="array" ref="AV113">IF(ISERROR(INDEX(RESULT_STARTMIN,SMALL(IF(COUNTIF($B$39,WEEK)*COUNTIF(#REF!,WEEKDAY), ROW(WEEK)-MIN(ROW(WEEK))+1),ROW(AQ75)),COLUMN(AQ75))),0,INDEX(RESULT_STARTMIN,SMALL(IF(COUNTIF($B$39,WEEK)*COUNTIF(#REF!,WEEKDAY), ROW(WEEK)-MIN(ROW(WEEK))+1),ROW(AQ75)),COLUMN(AQ75)))</f>
        <v>0</v>
      </c>
      <c r="AW113" cm="1">
        <f t="array" aca="1" ref="AW113" ca="1">IF(ISERROR(INDEX(RESULT_CATEGORIES,SMALL(IF(COUNTIF($AQ$39,WEEK)*COUNTIF($AR$39,WEEKDAY), ROW(WEEK)-MIN(ROW(WEEK))+1),ROW(A72)),COLUMN(A72))),0,INDEX(RESULT_CATEGORIES,SMALL(IF(COUNTIF($AQ$39,WEEK)*COUNTIF($AR$39,WEEKDAY), ROW(WEEK)-MIN(ROW(WEEK))+1),ROW(A72)),COLUMN(A72)))</f>
        <v>0</v>
      </c>
      <c r="BA113" t="str" cm="1">
        <f t="array" ref="BA113">IF(ISERROR(INDEX(RESULT_SUBJECT,SMALL(IF(COUNTIF($BA$3,MONTH), ROW(MONTH)-MIN(ROW(MONTH))+1),ROW(A108)),COLUMN(A108))),"",INDEX(RESULT_SUBJECT,SMALL(IF(COUNTIF($BA$3,MONTH), ROW(MONTH)-MIN(ROW(MONTH))+1),ROW(A108)),COLUMN(A108)))</f>
        <v/>
      </c>
      <c r="BB113" t="str" cm="1">
        <f t="array" ref="BB113">IF(ISERROR(INDEX(WEEK,SMALL(IF(COUNTIF($BA$3,MONTH), ROW(MONTH)-MIN(ROW(MONTH))+1),ROW(A108)),COLUMN(A108))),"",INDEX(WEEK,SMALL(IF(COUNTIF($BA$3,MONTH), ROW(MONTH)-MIN(ROW(MONTH))+1),ROW(A108)),COLUMN(A108)))</f>
        <v/>
      </c>
      <c r="BC113" t="str" cm="1">
        <f t="array" ref="BC113">IF(ISERROR(INDEX(RESULT_DAY,SMALL(IF(COUNTIF($BA$3,MONTH), ROW(MONTH)-MIN(ROW(MONTH))+1),ROW(A108)),COLUMN(A108))),"",INDEX(RESULT_DAY,SMALL(IF(COUNTIF($BA$3,MONTH), ROW(MONTH)-MIN(ROW(MONTH))+1),ROW(A108)),COLUMN(A108)))</f>
        <v/>
      </c>
      <c r="BD113" s="29" t="str">
        <f t="shared" si="51"/>
        <v/>
      </c>
      <c r="BE113" s="2" t="str" cm="1">
        <f t="array" ref="BE113">IF(ISERROR(INDEX(RESULT_DURATION,SMALL(IF(COUNTIF($BA$3,MONTH), ROW(MONTH)-MIN(ROW(MONTH))+1),ROW(A108)),COLUMN(A108))),"",INDEX(RESULT_DURATION,SMALL(IF(COUNTIF($BA$3,MONTH), ROW(MONTH)-MIN(ROW(MONTH))+1),ROW(A108)),COLUMN(A108)))</f>
        <v/>
      </c>
      <c r="BH113" t="str" cm="1">
        <f t="array" ref="BH113">IF(ISERROR(INDEX(RESULT_CATEGORIES,SMALL(IF(COUNTIF($BA$3,MONTH), ROW(MONTH)-MIN(ROW(MONTH))+1),ROW(A108)),COLUMN(A108))),"",INDEX(RESULT_CATEGORIES,SMALL(IF(COUNTIF($BA$3,MONTH), ROW(MONTH)-MIN(ROW(MONTH))+1),ROW(A108)),COLUMN(A108)))</f>
        <v/>
      </c>
      <c r="BI113" t="str" cm="1">
        <f t="array" ref="BI113">IF(ISERROR(INDEX(RESULTLOCATION,SMALL(IF(COUNTIF($BA$3,MONTH), ROW(MONTH)-MIN(ROW(MONTH))+1),ROW(A108)),COLUMN(A108))),"",INDEX(RESULTLOCATION,SMALL(IF(COUNTIF($BA$3,MONTH), ROW(MONTH)-MIN(ROW(MONTH))+1),ROW(A108)),COLUMN(A108)))</f>
        <v/>
      </c>
    </row>
    <row r="114" spans="46:61" x14ac:dyDescent="0.3">
      <c r="AT114" s="2" cm="1">
        <f t="array" aca="1" ref="AT114" ca="1">IF(ISERROR(INDEX(RESULT_DURATION,SMALL(IF(COUNTIF($AQ$39,WEEK)*COUNTIF($AR$39,WEEKDAY), ROW(WEEK)-MIN(ROW(WEEK))+1),ROW(A73)),COLUMN(A73))),0,INDEX(RESULT_DURATION,SMALL(IF(COUNTIF($AQ$39,WEEK)*COUNTIF($AR$39,WEEKDAY), ROW(WEEK)-MIN(ROW(WEEK))+1),ROW(A73)),COLUMN(A73)))</f>
        <v>0</v>
      </c>
      <c r="AU114" cm="1">
        <f t="array" aca="1" ref="AU114" ca="1">IF(ISERROR(INDEX(RESULT_START,SMALL(IF(COUNTIF($AQ$39,WEEK)*COUNTIF($AR$39,WEEKDAY), ROW(WEEK)-MIN(ROW(WEEK))+1),ROW(A73)),COLUMN(A73))),0,INDEX(RESULT_START,SMALL(IF(COUNTIF($AQ$39,WEEK)*COUNTIF($AR$39,WEEKDAY), ROW(WEEK)-MIN(ROW(WEEK))+1),ROW(A73)),COLUMN(A73)))</f>
        <v>0</v>
      </c>
      <c r="AV114" cm="1">
        <f t="array" ref="AV114">IF(ISERROR(INDEX(RESULT_STARTMIN,SMALL(IF(COUNTIF($B$39,WEEK)*COUNTIF(#REF!,WEEKDAY), ROW(WEEK)-MIN(ROW(WEEK))+1),ROW(AQ76)),COLUMN(AQ76))),0,INDEX(RESULT_STARTMIN,SMALL(IF(COUNTIF($B$39,WEEK)*COUNTIF(#REF!,WEEKDAY), ROW(WEEK)-MIN(ROW(WEEK))+1),ROW(AQ76)),COLUMN(AQ76)))</f>
        <v>0</v>
      </c>
      <c r="AW114" cm="1">
        <f t="array" aca="1" ref="AW114" ca="1">IF(ISERROR(INDEX(RESULT_CATEGORIES,SMALL(IF(COUNTIF($AQ$39,WEEK)*COUNTIF($AR$39,WEEKDAY), ROW(WEEK)-MIN(ROW(WEEK))+1),ROW(A73)),COLUMN(A73))),0,INDEX(RESULT_CATEGORIES,SMALL(IF(COUNTIF($AQ$39,WEEK)*COUNTIF($AR$39,WEEKDAY), ROW(WEEK)-MIN(ROW(WEEK))+1),ROW(A73)),COLUMN(A73)))</f>
        <v>0</v>
      </c>
      <c r="BA114" t="str" cm="1">
        <f t="array" ref="BA114">IF(ISERROR(INDEX(RESULT_SUBJECT,SMALL(IF(COUNTIF($BA$3,MONTH), ROW(MONTH)-MIN(ROW(MONTH))+1),ROW(A109)),COLUMN(A109))),"",INDEX(RESULT_SUBJECT,SMALL(IF(COUNTIF($BA$3,MONTH), ROW(MONTH)-MIN(ROW(MONTH))+1),ROW(A109)),COLUMN(A109)))</f>
        <v/>
      </c>
      <c r="BB114" t="str" cm="1">
        <f t="array" ref="BB114">IF(ISERROR(INDEX(WEEK,SMALL(IF(COUNTIF($BA$3,MONTH), ROW(MONTH)-MIN(ROW(MONTH))+1),ROW(A109)),COLUMN(A109))),"",INDEX(WEEK,SMALL(IF(COUNTIF($BA$3,MONTH), ROW(MONTH)-MIN(ROW(MONTH))+1),ROW(A109)),COLUMN(A109)))</f>
        <v/>
      </c>
      <c r="BC114" t="str" cm="1">
        <f t="array" ref="BC114">IF(ISERROR(INDEX(RESULT_DAY,SMALL(IF(COUNTIF($BA$3,MONTH), ROW(MONTH)-MIN(ROW(MONTH))+1),ROW(A109)),COLUMN(A109))),"",INDEX(RESULT_DAY,SMALL(IF(COUNTIF($BA$3,MONTH), ROW(MONTH)-MIN(ROW(MONTH))+1),ROW(A109)),COLUMN(A109)))</f>
        <v/>
      </c>
      <c r="BD114" s="29" t="str">
        <f t="shared" si="51"/>
        <v/>
      </c>
      <c r="BE114" s="2" t="str" cm="1">
        <f t="array" ref="BE114">IF(ISERROR(INDEX(RESULT_DURATION,SMALL(IF(COUNTIF($BA$3,MONTH), ROW(MONTH)-MIN(ROW(MONTH))+1),ROW(A109)),COLUMN(A109))),"",INDEX(RESULT_DURATION,SMALL(IF(COUNTIF($BA$3,MONTH), ROW(MONTH)-MIN(ROW(MONTH))+1),ROW(A109)),COLUMN(A109)))</f>
        <v/>
      </c>
      <c r="BH114" t="str" cm="1">
        <f t="array" ref="BH114">IF(ISERROR(INDEX(RESULT_CATEGORIES,SMALL(IF(COUNTIF($BA$3,MONTH), ROW(MONTH)-MIN(ROW(MONTH))+1),ROW(A109)),COLUMN(A109))),"",INDEX(RESULT_CATEGORIES,SMALL(IF(COUNTIF($BA$3,MONTH), ROW(MONTH)-MIN(ROW(MONTH))+1),ROW(A109)),COLUMN(A109)))</f>
        <v/>
      </c>
      <c r="BI114" t="str" cm="1">
        <f t="array" ref="BI114">IF(ISERROR(INDEX(RESULTLOCATION,SMALL(IF(COUNTIF($BA$3,MONTH), ROW(MONTH)-MIN(ROW(MONTH))+1),ROW(A109)),COLUMN(A109))),"",INDEX(RESULTLOCATION,SMALL(IF(COUNTIF($BA$3,MONTH), ROW(MONTH)-MIN(ROW(MONTH))+1),ROW(A109)),COLUMN(A109)))</f>
        <v/>
      </c>
    </row>
    <row r="115" spans="46:61" x14ac:dyDescent="0.3">
      <c r="BA115" t="str" cm="1">
        <f t="array" ref="BA115">IF(ISERROR(INDEX(RESULT_SUBJECT,SMALL(IF(COUNTIF($BA$3,MONTH), ROW(MONTH)-MIN(ROW(MONTH))+1),ROW(A110)),COLUMN(A110))),"",INDEX(RESULT_SUBJECT,SMALL(IF(COUNTIF($BA$3,MONTH), ROW(MONTH)-MIN(ROW(MONTH))+1),ROW(A110)),COLUMN(A110)))</f>
        <v/>
      </c>
      <c r="BB115" t="str" cm="1">
        <f t="array" ref="BB115">IF(ISERROR(INDEX(WEEK,SMALL(IF(COUNTIF($BA$3,MONTH), ROW(MONTH)-MIN(ROW(MONTH))+1),ROW(A110)),COLUMN(A110))),"",INDEX(WEEK,SMALL(IF(COUNTIF($BA$3,MONTH), ROW(MONTH)-MIN(ROW(MONTH))+1),ROW(A110)),COLUMN(A110)))</f>
        <v/>
      </c>
      <c r="BC115" t="str" cm="1">
        <f t="array" ref="BC115">IF(ISERROR(INDEX(RESULT_DAY,SMALL(IF(COUNTIF($BA$3,MONTH), ROW(MONTH)-MIN(ROW(MONTH))+1),ROW(A110)),COLUMN(A110))),"",INDEX(RESULT_DAY,SMALL(IF(COUNTIF($BA$3,MONTH), ROW(MONTH)-MIN(ROW(MONTH))+1),ROW(A110)),COLUMN(A110)))</f>
        <v/>
      </c>
      <c r="BD115" s="29" t="str">
        <f t="shared" si="51"/>
        <v/>
      </c>
      <c r="BE115" s="2" t="str" cm="1">
        <f t="array" ref="BE115">IF(ISERROR(INDEX(RESULT_DURATION,SMALL(IF(COUNTIF($BA$3,MONTH), ROW(MONTH)-MIN(ROW(MONTH))+1),ROW(A110)),COLUMN(A110))),"",INDEX(RESULT_DURATION,SMALL(IF(COUNTIF($BA$3,MONTH), ROW(MONTH)-MIN(ROW(MONTH))+1),ROW(A110)),COLUMN(A110)))</f>
        <v/>
      </c>
      <c r="BH115" t="str" cm="1">
        <f t="array" ref="BH115">IF(ISERROR(INDEX(RESULT_CATEGORIES,SMALL(IF(COUNTIF($BA$3,MONTH), ROW(MONTH)-MIN(ROW(MONTH))+1),ROW(A110)),COLUMN(A110))),"",INDEX(RESULT_CATEGORIES,SMALL(IF(COUNTIF($BA$3,MONTH), ROW(MONTH)-MIN(ROW(MONTH))+1),ROW(A110)),COLUMN(A110)))</f>
        <v/>
      </c>
      <c r="BI115" t="str" cm="1">
        <f t="array" ref="BI115">IF(ISERROR(INDEX(RESULTLOCATION,SMALL(IF(COUNTIF($BA$3,MONTH), ROW(MONTH)-MIN(ROW(MONTH))+1),ROW(A110)),COLUMN(A110))),"",INDEX(RESULTLOCATION,SMALL(IF(COUNTIF($BA$3,MONTH), ROW(MONTH)-MIN(ROW(MONTH))+1),ROW(A110)),COLUMN(A110)))</f>
        <v/>
      </c>
    </row>
    <row r="116" spans="46:61" x14ac:dyDescent="0.3">
      <c r="BA116" t="str" cm="1">
        <f t="array" ref="BA116">IF(ISERROR(INDEX(RESULT_SUBJECT,SMALL(IF(COUNTIF($BA$3,MONTH), ROW(MONTH)-MIN(ROW(MONTH))+1),ROW(A111)),COLUMN(A111))),"",INDEX(RESULT_SUBJECT,SMALL(IF(COUNTIF($BA$3,MONTH), ROW(MONTH)-MIN(ROW(MONTH))+1),ROW(A111)),COLUMN(A111)))</f>
        <v/>
      </c>
      <c r="BB116" t="str" cm="1">
        <f t="array" ref="BB116">IF(ISERROR(INDEX(WEEK,SMALL(IF(COUNTIF($BA$3,MONTH), ROW(MONTH)-MIN(ROW(MONTH))+1),ROW(A111)),COLUMN(A111))),"",INDEX(WEEK,SMALL(IF(COUNTIF($BA$3,MONTH), ROW(MONTH)-MIN(ROW(MONTH))+1),ROW(A111)),COLUMN(A111)))</f>
        <v/>
      </c>
      <c r="BC116" t="str" cm="1">
        <f t="array" ref="BC116">IF(ISERROR(INDEX(RESULT_DAY,SMALL(IF(COUNTIF($BA$3,MONTH), ROW(MONTH)-MIN(ROW(MONTH))+1),ROW(A111)),COLUMN(A111))),"",INDEX(RESULT_DAY,SMALL(IF(COUNTIF($BA$3,MONTH), ROW(MONTH)-MIN(ROW(MONTH))+1),ROW(A111)),COLUMN(A111)))</f>
        <v/>
      </c>
      <c r="BD116" s="29" t="str">
        <f t="shared" si="51"/>
        <v/>
      </c>
      <c r="BE116" s="2" t="str" cm="1">
        <f t="array" ref="BE116">IF(ISERROR(INDEX(RESULT_DURATION,SMALL(IF(COUNTIF($BA$3,MONTH), ROW(MONTH)-MIN(ROW(MONTH))+1),ROW(A111)),COLUMN(A111))),"",INDEX(RESULT_DURATION,SMALL(IF(COUNTIF($BA$3,MONTH), ROW(MONTH)-MIN(ROW(MONTH))+1),ROW(A111)),COLUMN(A111)))</f>
        <v/>
      </c>
      <c r="BH116" t="str" cm="1">
        <f t="array" ref="BH116">IF(ISERROR(INDEX(RESULT_CATEGORIES,SMALL(IF(COUNTIF($BA$3,MONTH), ROW(MONTH)-MIN(ROW(MONTH))+1),ROW(A111)),COLUMN(A111))),"",INDEX(RESULT_CATEGORIES,SMALL(IF(COUNTIF($BA$3,MONTH), ROW(MONTH)-MIN(ROW(MONTH))+1),ROW(A111)),COLUMN(A111)))</f>
        <v/>
      </c>
      <c r="BI116" t="str" cm="1">
        <f t="array" ref="BI116">IF(ISERROR(INDEX(RESULTLOCATION,SMALL(IF(COUNTIF($BA$3,MONTH), ROW(MONTH)-MIN(ROW(MONTH))+1),ROW(A111)),COLUMN(A111))),"",INDEX(RESULTLOCATION,SMALL(IF(COUNTIF($BA$3,MONTH), ROW(MONTH)-MIN(ROW(MONTH))+1),ROW(A111)),COLUMN(A111)))</f>
        <v/>
      </c>
    </row>
    <row r="117" spans="46:61" x14ac:dyDescent="0.3">
      <c r="BA117" t="str" cm="1">
        <f t="array" ref="BA117">IF(ISERROR(INDEX(RESULT_SUBJECT,SMALL(IF(COUNTIF($BA$3,MONTH), ROW(MONTH)-MIN(ROW(MONTH))+1),ROW(A112)),COLUMN(A112))),"",INDEX(RESULT_SUBJECT,SMALL(IF(COUNTIF($BA$3,MONTH), ROW(MONTH)-MIN(ROW(MONTH))+1),ROW(A112)),COLUMN(A112)))</f>
        <v/>
      </c>
      <c r="BB117" t="str" cm="1">
        <f t="array" ref="BB117">IF(ISERROR(INDEX(WEEK,SMALL(IF(COUNTIF($BA$3,MONTH), ROW(MONTH)-MIN(ROW(MONTH))+1),ROW(A112)),COLUMN(A112))),"",INDEX(WEEK,SMALL(IF(COUNTIF($BA$3,MONTH), ROW(MONTH)-MIN(ROW(MONTH))+1),ROW(A112)),COLUMN(A112)))</f>
        <v/>
      </c>
      <c r="BC117" t="str" cm="1">
        <f t="array" ref="BC117">IF(ISERROR(INDEX(RESULT_DAY,SMALL(IF(COUNTIF($BA$3,MONTH), ROW(MONTH)-MIN(ROW(MONTH))+1),ROW(A112)),COLUMN(A112))),"",INDEX(RESULT_DAY,SMALL(IF(COUNTIF($BA$3,MONTH), ROW(MONTH)-MIN(ROW(MONTH))+1),ROW(A112)),COLUMN(A112)))</f>
        <v/>
      </c>
      <c r="BD117" s="29" t="str">
        <f t="shared" si="51"/>
        <v/>
      </c>
      <c r="BE117" s="2" t="str" cm="1">
        <f t="array" ref="BE117">IF(ISERROR(INDEX(RESULT_DURATION,SMALL(IF(COUNTIF($BA$3,MONTH), ROW(MONTH)-MIN(ROW(MONTH))+1),ROW(A112)),COLUMN(A112))),"",INDEX(RESULT_DURATION,SMALL(IF(COUNTIF($BA$3,MONTH), ROW(MONTH)-MIN(ROW(MONTH))+1),ROW(A112)),COLUMN(A112)))</f>
        <v/>
      </c>
      <c r="BH117" t="str" cm="1">
        <f t="array" ref="BH117">IF(ISERROR(INDEX(RESULT_CATEGORIES,SMALL(IF(COUNTIF($BA$3,MONTH), ROW(MONTH)-MIN(ROW(MONTH))+1),ROW(A112)),COLUMN(A112))),"",INDEX(RESULT_CATEGORIES,SMALL(IF(COUNTIF($BA$3,MONTH), ROW(MONTH)-MIN(ROW(MONTH))+1),ROW(A112)),COLUMN(A112)))</f>
        <v/>
      </c>
      <c r="BI117" t="str" cm="1">
        <f t="array" ref="BI117">IF(ISERROR(INDEX(RESULTLOCATION,SMALL(IF(COUNTIF($BA$3,MONTH), ROW(MONTH)-MIN(ROW(MONTH))+1),ROW(A112)),COLUMN(A112))),"",INDEX(RESULTLOCATION,SMALL(IF(COUNTIF($BA$3,MONTH), ROW(MONTH)-MIN(ROW(MONTH))+1),ROW(A112)),COLUMN(A112)))</f>
        <v/>
      </c>
    </row>
    <row r="118" spans="46:61" x14ac:dyDescent="0.3">
      <c r="BA118" t="str" cm="1">
        <f t="array" ref="BA118">IF(ISERROR(INDEX(RESULT_SUBJECT,SMALL(IF(COUNTIF($BA$3,MONTH), ROW(MONTH)-MIN(ROW(MONTH))+1),ROW(A113)),COLUMN(A113))),"",INDEX(RESULT_SUBJECT,SMALL(IF(COUNTIF($BA$3,MONTH), ROW(MONTH)-MIN(ROW(MONTH))+1),ROW(A113)),COLUMN(A113)))</f>
        <v/>
      </c>
      <c r="BB118" t="str" cm="1">
        <f t="array" ref="BB118">IF(ISERROR(INDEX(WEEK,SMALL(IF(COUNTIF($BA$3,MONTH), ROW(MONTH)-MIN(ROW(MONTH))+1),ROW(A113)),COLUMN(A113))),"",INDEX(WEEK,SMALL(IF(COUNTIF($BA$3,MONTH), ROW(MONTH)-MIN(ROW(MONTH))+1),ROW(A113)),COLUMN(A113)))</f>
        <v/>
      </c>
      <c r="BC118" t="str" cm="1">
        <f t="array" ref="BC118">IF(ISERROR(INDEX(RESULT_DAY,SMALL(IF(COUNTIF($BA$3,MONTH), ROW(MONTH)-MIN(ROW(MONTH))+1),ROW(A113)),COLUMN(A113))),"",INDEX(RESULT_DAY,SMALL(IF(COUNTIF($BA$3,MONTH), ROW(MONTH)-MIN(ROW(MONTH))+1),ROW(A113)),COLUMN(A113)))</f>
        <v/>
      </c>
      <c r="BD118" s="29" t="str">
        <f t="shared" si="51"/>
        <v/>
      </c>
      <c r="BE118" s="2" t="str" cm="1">
        <f t="array" ref="BE118">IF(ISERROR(INDEX(RESULT_DURATION,SMALL(IF(COUNTIF($BA$3,MONTH), ROW(MONTH)-MIN(ROW(MONTH))+1),ROW(A113)),COLUMN(A113))),"",INDEX(RESULT_DURATION,SMALL(IF(COUNTIF($BA$3,MONTH), ROW(MONTH)-MIN(ROW(MONTH))+1),ROW(A113)),COLUMN(A113)))</f>
        <v/>
      </c>
      <c r="BH118" t="str" cm="1">
        <f t="array" ref="BH118">IF(ISERROR(INDEX(RESULT_CATEGORIES,SMALL(IF(COUNTIF($BA$3,MONTH), ROW(MONTH)-MIN(ROW(MONTH))+1),ROW(A113)),COLUMN(A113))),"",INDEX(RESULT_CATEGORIES,SMALL(IF(COUNTIF($BA$3,MONTH), ROW(MONTH)-MIN(ROW(MONTH))+1),ROW(A113)),COLUMN(A113)))</f>
        <v/>
      </c>
      <c r="BI118" t="str" cm="1">
        <f t="array" ref="BI118">IF(ISERROR(INDEX(RESULTLOCATION,SMALL(IF(COUNTIF($BA$3,MONTH), ROW(MONTH)-MIN(ROW(MONTH))+1),ROW(A113)),COLUMN(A113))),"",INDEX(RESULTLOCATION,SMALL(IF(COUNTIF($BA$3,MONTH), ROW(MONTH)-MIN(ROW(MONTH))+1),ROW(A113)),COLUMN(A113)))</f>
        <v/>
      </c>
    </row>
    <row r="119" spans="46:61" x14ac:dyDescent="0.3">
      <c r="BA119" t="str" cm="1">
        <f t="array" ref="BA119">IF(ISERROR(INDEX(RESULT_SUBJECT,SMALL(IF(COUNTIF($BA$3,MONTH), ROW(MONTH)-MIN(ROW(MONTH))+1),ROW(A114)),COLUMN(A114))),"",INDEX(RESULT_SUBJECT,SMALL(IF(COUNTIF($BA$3,MONTH), ROW(MONTH)-MIN(ROW(MONTH))+1),ROW(A114)),COLUMN(A114)))</f>
        <v/>
      </c>
      <c r="BB119" t="str" cm="1">
        <f t="array" ref="BB119">IF(ISERROR(INDEX(WEEK,SMALL(IF(COUNTIF($BA$3,MONTH), ROW(MONTH)-MIN(ROW(MONTH))+1),ROW(A114)),COLUMN(A114))),"",INDEX(WEEK,SMALL(IF(COUNTIF($BA$3,MONTH), ROW(MONTH)-MIN(ROW(MONTH))+1),ROW(A114)),COLUMN(A114)))</f>
        <v/>
      </c>
      <c r="BC119" t="str" cm="1">
        <f t="array" ref="BC119">IF(ISERROR(INDEX(RESULT_DAY,SMALL(IF(COUNTIF($BA$3,MONTH), ROW(MONTH)-MIN(ROW(MONTH))+1),ROW(A114)),COLUMN(A114))),"",INDEX(RESULT_DAY,SMALL(IF(COUNTIF($BA$3,MONTH), ROW(MONTH)-MIN(ROW(MONTH))+1),ROW(A114)),COLUMN(A114)))</f>
        <v/>
      </c>
      <c r="BD119" s="29" t="str">
        <f t="shared" si="51"/>
        <v/>
      </c>
      <c r="BE119" s="2" t="str" cm="1">
        <f t="array" ref="BE119">IF(ISERROR(INDEX(RESULT_DURATION,SMALL(IF(COUNTIF($BA$3,MONTH), ROW(MONTH)-MIN(ROW(MONTH))+1),ROW(A114)),COLUMN(A114))),"",INDEX(RESULT_DURATION,SMALL(IF(COUNTIF($BA$3,MONTH), ROW(MONTH)-MIN(ROW(MONTH))+1),ROW(A114)),COLUMN(A114)))</f>
        <v/>
      </c>
      <c r="BH119" t="str" cm="1">
        <f t="array" ref="BH119">IF(ISERROR(INDEX(RESULT_CATEGORIES,SMALL(IF(COUNTIF($BA$3,MONTH), ROW(MONTH)-MIN(ROW(MONTH))+1),ROW(A114)),COLUMN(A114))),"",INDEX(RESULT_CATEGORIES,SMALL(IF(COUNTIF($BA$3,MONTH), ROW(MONTH)-MIN(ROW(MONTH))+1),ROW(A114)),COLUMN(A114)))</f>
        <v/>
      </c>
      <c r="BI119" t="str" cm="1">
        <f t="array" ref="BI119">IF(ISERROR(INDEX(RESULTLOCATION,SMALL(IF(COUNTIF($BA$3,MONTH), ROW(MONTH)-MIN(ROW(MONTH))+1),ROW(A114)),COLUMN(A114))),"",INDEX(RESULTLOCATION,SMALL(IF(COUNTIF($BA$3,MONTH), ROW(MONTH)-MIN(ROW(MONTH))+1),ROW(A114)),COLUMN(A114)))</f>
        <v/>
      </c>
    </row>
    <row r="120" spans="46:61" x14ac:dyDescent="0.3">
      <c r="BA120" t="str" cm="1">
        <f t="array" ref="BA120">IF(ISERROR(INDEX(RESULT_SUBJECT,SMALL(IF(COUNTIF($BA$3,MONTH), ROW(MONTH)-MIN(ROW(MONTH))+1),ROW(A115)),COLUMN(A115))),"",INDEX(RESULT_SUBJECT,SMALL(IF(COUNTIF($BA$3,MONTH), ROW(MONTH)-MIN(ROW(MONTH))+1),ROW(A115)),COLUMN(A115)))</f>
        <v/>
      </c>
      <c r="BB120" t="str" cm="1">
        <f t="array" ref="BB120">IF(ISERROR(INDEX(WEEK,SMALL(IF(COUNTIF($BA$3,MONTH), ROW(MONTH)-MIN(ROW(MONTH))+1),ROW(A115)),COLUMN(A115))),"",INDEX(WEEK,SMALL(IF(COUNTIF($BA$3,MONTH), ROW(MONTH)-MIN(ROW(MONTH))+1),ROW(A115)),COLUMN(A115)))</f>
        <v/>
      </c>
      <c r="BC120" t="str" cm="1">
        <f t="array" ref="BC120">IF(ISERROR(INDEX(RESULT_DAY,SMALL(IF(COUNTIF($BA$3,MONTH), ROW(MONTH)-MIN(ROW(MONTH))+1),ROW(A115)),COLUMN(A115))),"",INDEX(RESULT_DAY,SMALL(IF(COUNTIF($BA$3,MONTH), ROW(MONTH)-MIN(ROW(MONTH))+1),ROW(A115)),COLUMN(A115)))</f>
        <v/>
      </c>
      <c r="BD120" s="29" t="str">
        <f t="shared" si="51"/>
        <v/>
      </c>
      <c r="BE120" s="2" t="str" cm="1">
        <f t="array" ref="BE120">IF(ISERROR(INDEX(RESULT_DURATION,SMALL(IF(COUNTIF($BA$3,MONTH), ROW(MONTH)-MIN(ROW(MONTH))+1),ROW(A115)),COLUMN(A115))),"",INDEX(RESULT_DURATION,SMALL(IF(COUNTIF($BA$3,MONTH), ROW(MONTH)-MIN(ROW(MONTH))+1),ROW(A115)),COLUMN(A115)))</f>
        <v/>
      </c>
      <c r="BH120" t="str" cm="1">
        <f t="array" ref="BH120">IF(ISERROR(INDEX(RESULT_CATEGORIES,SMALL(IF(COUNTIF($BA$3,MONTH), ROW(MONTH)-MIN(ROW(MONTH))+1),ROW(A115)),COLUMN(A115))),"",INDEX(RESULT_CATEGORIES,SMALL(IF(COUNTIF($BA$3,MONTH), ROW(MONTH)-MIN(ROW(MONTH))+1),ROW(A115)),COLUMN(A115)))</f>
        <v/>
      </c>
      <c r="BI120" t="str" cm="1">
        <f t="array" ref="BI120">IF(ISERROR(INDEX(RESULTLOCATION,SMALL(IF(COUNTIF($BA$3,MONTH), ROW(MONTH)-MIN(ROW(MONTH))+1),ROW(A115)),COLUMN(A115))),"",INDEX(RESULTLOCATION,SMALL(IF(COUNTIF($BA$3,MONTH), ROW(MONTH)-MIN(ROW(MONTH))+1),ROW(A115)),COLUMN(A115)))</f>
        <v/>
      </c>
    </row>
    <row r="121" spans="46:61" x14ac:dyDescent="0.3">
      <c r="BA121" t="str" cm="1">
        <f t="array" ref="BA121">IF(ISERROR(INDEX(RESULT_SUBJECT,SMALL(IF(COUNTIF($BA$3,MONTH), ROW(MONTH)-MIN(ROW(MONTH))+1),ROW(A116)),COLUMN(A116))),"",INDEX(RESULT_SUBJECT,SMALL(IF(COUNTIF($BA$3,MONTH), ROW(MONTH)-MIN(ROW(MONTH))+1),ROW(A116)),COLUMN(A116)))</f>
        <v/>
      </c>
      <c r="BB121" t="str" cm="1">
        <f t="array" ref="BB121">IF(ISERROR(INDEX(WEEK,SMALL(IF(COUNTIF($BA$3,MONTH), ROW(MONTH)-MIN(ROW(MONTH))+1),ROW(A116)),COLUMN(A116))),"",INDEX(WEEK,SMALL(IF(COUNTIF($BA$3,MONTH), ROW(MONTH)-MIN(ROW(MONTH))+1),ROW(A116)),COLUMN(A116)))</f>
        <v/>
      </c>
      <c r="BC121" t="str" cm="1">
        <f t="array" ref="BC121">IF(ISERROR(INDEX(RESULT_DAY,SMALL(IF(COUNTIF($BA$3,MONTH), ROW(MONTH)-MIN(ROW(MONTH))+1),ROW(A116)),COLUMN(A116))),"",INDEX(RESULT_DAY,SMALL(IF(COUNTIF($BA$3,MONTH), ROW(MONTH)-MIN(ROW(MONTH))+1),ROW(A116)),COLUMN(A116)))</f>
        <v/>
      </c>
      <c r="BD121" s="29" t="str">
        <f t="shared" si="51"/>
        <v/>
      </c>
      <c r="BE121" s="2" t="str" cm="1">
        <f t="array" ref="BE121">IF(ISERROR(INDEX(RESULT_DURATION,SMALL(IF(COUNTIF($BA$3,MONTH), ROW(MONTH)-MIN(ROW(MONTH))+1),ROW(A116)),COLUMN(A116))),"",INDEX(RESULT_DURATION,SMALL(IF(COUNTIF($BA$3,MONTH), ROW(MONTH)-MIN(ROW(MONTH))+1),ROW(A116)),COLUMN(A116)))</f>
        <v/>
      </c>
      <c r="BH121" t="str" cm="1">
        <f t="array" ref="BH121">IF(ISERROR(INDEX(RESULT_CATEGORIES,SMALL(IF(COUNTIF($BA$3,MONTH), ROW(MONTH)-MIN(ROW(MONTH))+1),ROW(A116)),COLUMN(A116))),"",INDEX(RESULT_CATEGORIES,SMALL(IF(COUNTIF($BA$3,MONTH), ROW(MONTH)-MIN(ROW(MONTH))+1),ROW(A116)),COLUMN(A116)))</f>
        <v/>
      </c>
      <c r="BI121" t="str" cm="1">
        <f t="array" ref="BI121">IF(ISERROR(INDEX(RESULTLOCATION,SMALL(IF(COUNTIF($BA$3,MONTH), ROW(MONTH)-MIN(ROW(MONTH))+1),ROW(A116)),COLUMN(A116))),"",INDEX(RESULTLOCATION,SMALL(IF(COUNTIF($BA$3,MONTH), ROW(MONTH)-MIN(ROW(MONTH))+1),ROW(A116)),COLUMN(A116)))</f>
        <v/>
      </c>
    </row>
    <row r="122" spans="46:61" x14ac:dyDescent="0.3">
      <c r="BA122" t="str" cm="1">
        <f t="array" ref="BA122">IF(ISERROR(INDEX(RESULT_SUBJECT,SMALL(IF(COUNTIF($BA$3,MONTH), ROW(MONTH)-MIN(ROW(MONTH))+1),ROW(A117)),COLUMN(A117))),"",INDEX(RESULT_SUBJECT,SMALL(IF(COUNTIF($BA$3,MONTH), ROW(MONTH)-MIN(ROW(MONTH))+1),ROW(A117)),COLUMN(A117)))</f>
        <v/>
      </c>
      <c r="BB122" t="str" cm="1">
        <f t="array" ref="BB122">IF(ISERROR(INDEX(WEEK,SMALL(IF(COUNTIF($BA$3,MONTH), ROW(MONTH)-MIN(ROW(MONTH))+1),ROW(A117)),COLUMN(A117))),"",INDEX(WEEK,SMALL(IF(COUNTIF($BA$3,MONTH), ROW(MONTH)-MIN(ROW(MONTH))+1),ROW(A117)),COLUMN(A117)))</f>
        <v/>
      </c>
      <c r="BC122" t="str" cm="1">
        <f t="array" ref="BC122">IF(ISERROR(INDEX(RESULT_DAY,SMALL(IF(COUNTIF($BA$3,MONTH), ROW(MONTH)-MIN(ROW(MONTH))+1),ROW(A117)),COLUMN(A117))),"",INDEX(RESULT_DAY,SMALL(IF(COUNTIF($BA$3,MONTH), ROW(MONTH)-MIN(ROW(MONTH))+1),ROW(A117)),COLUMN(A117)))</f>
        <v/>
      </c>
      <c r="BD122" s="29" t="str">
        <f t="shared" si="51"/>
        <v/>
      </c>
      <c r="BE122" s="2" t="str" cm="1">
        <f t="array" ref="BE122">IF(ISERROR(INDEX(RESULT_DURATION,SMALL(IF(COUNTIF($BA$3,MONTH), ROW(MONTH)-MIN(ROW(MONTH))+1),ROW(A117)),COLUMN(A117))),"",INDEX(RESULT_DURATION,SMALL(IF(COUNTIF($BA$3,MONTH), ROW(MONTH)-MIN(ROW(MONTH))+1),ROW(A117)),COLUMN(A117)))</f>
        <v/>
      </c>
      <c r="BH122" t="str" cm="1">
        <f t="array" ref="BH122">IF(ISERROR(INDEX(RESULT_CATEGORIES,SMALL(IF(COUNTIF($BA$3,MONTH), ROW(MONTH)-MIN(ROW(MONTH))+1),ROW(A117)),COLUMN(A117))),"",INDEX(RESULT_CATEGORIES,SMALL(IF(COUNTIF($BA$3,MONTH), ROW(MONTH)-MIN(ROW(MONTH))+1),ROW(A117)),COLUMN(A117)))</f>
        <v/>
      </c>
      <c r="BI122" t="str" cm="1">
        <f t="array" ref="BI122">IF(ISERROR(INDEX(RESULTLOCATION,SMALL(IF(COUNTIF($BA$3,MONTH), ROW(MONTH)-MIN(ROW(MONTH))+1),ROW(A117)),COLUMN(A117))),"",INDEX(RESULTLOCATION,SMALL(IF(COUNTIF($BA$3,MONTH), ROW(MONTH)-MIN(ROW(MONTH))+1),ROW(A117)),COLUMN(A117)))</f>
        <v/>
      </c>
    </row>
    <row r="123" spans="46:61" x14ac:dyDescent="0.3">
      <c r="BA123" t="str" cm="1">
        <f t="array" ref="BA123">IF(ISERROR(INDEX(RESULT_SUBJECT,SMALL(IF(COUNTIF($BA$3,MONTH), ROW(MONTH)-MIN(ROW(MONTH))+1),ROW(A118)),COLUMN(A118))),"",INDEX(RESULT_SUBJECT,SMALL(IF(COUNTIF($BA$3,MONTH), ROW(MONTH)-MIN(ROW(MONTH))+1),ROW(A118)),COLUMN(A118)))</f>
        <v/>
      </c>
      <c r="BB123" t="str" cm="1">
        <f t="array" ref="BB123">IF(ISERROR(INDEX(WEEK,SMALL(IF(COUNTIF($BA$3,MONTH), ROW(MONTH)-MIN(ROW(MONTH))+1),ROW(A118)),COLUMN(A118))),"",INDEX(WEEK,SMALL(IF(COUNTIF($BA$3,MONTH), ROW(MONTH)-MIN(ROW(MONTH))+1),ROW(A118)),COLUMN(A118)))</f>
        <v/>
      </c>
      <c r="BC123" t="str" cm="1">
        <f t="array" ref="BC123">IF(ISERROR(INDEX(RESULT_DAY,SMALL(IF(COUNTIF($BA$3,MONTH), ROW(MONTH)-MIN(ROW(MONTH))+1),ROW(A118)),COLUMN(A118))),"",INDEX(RESULT_DAY,SMALL(IF(COUNTIF($BA$3,MONTH), ROW(MONTH)-MIN(ROW(MONTH))+1),ROW(A118)),COLUMN(A118)))</f>
        <v/>
      </c>
      <c r="BD123" s="29" t="str">
        <f t="shared" si="51"/>
        <v/>
      </c>
      <c r="BE123" s="2" t="str" cm="1">
        <f t="array" ref="BE123">IF(ISERROR(INDEX(RESULT_DURATION,SMALL(IF(COUNTIF($BA$3,MONTH), ROW(MONTH)-MIN(ROW(MONTH))+1),ROW(A118)),COLUMN(A118))),"",INDEX(RESULT_DURATION,SMALL(IF(COUNTIF($BA$3,MONTH), ROW(MONTH)-MIN(ROW(MONTH))+1),ROW(A118)),COLUMN(A118)))</f>
        <v/>
      </c>
      <c r="BH123" t="str" cm="1">
        <f t="array" ref="BH123">IF(ISERROR(INDEX(RESULT_CATEGORIES,SMALL(IF(COUNTIF($BA$3,MONTH), ROW(MONTH)-MIN(ROW(MONTH))+1),ROW(A118)),COLUMN(A118))),"",INDEX(RESULT_CATEGORIES,SMALL(IF(COUNTIF($BA$3,MONTH), ROW(MONTH)-MIN(ROW(MONTH))+1),ROW(A118)),COLUMN(A118)))</f>
        <v/>
      </c>
      <c r="BI123" t="str" cm="1">
        <f t="array" ref="BI123">IF(ISERROR(INDEX(RESULTLOCATION,SMALL(IF(COUNTIF($BA$3,MONTH), ROW(MONTH)-MIN(ROW(MONTH))+1),ROW(A118)),COLUMN(A118))),"",INDEX(RESULTLOCATION,SMALL(IF(COUNTIF($BA$3,MONTH), ROW(MONTH)-MIN(ROW(MONTH))+1),ROW(A118)),COLUMN(A118)))</f>
        <v/>
      </c>
    </row>
    <row r="124" spans="46:61" x14ac:dyDescent="0.3">
      <c r="BA124" t="str" cm="1">
        <f t="array" ref="BA124">IF(ISERROR(INDEX(RESULT_SUBJECT,SMALL(IF(COUNTIF($BA$3,MONTH), ROW(MONTH)-MIN(ROW(MONTH))+1),ROW(A119)),COLUMN(A119))),"",INDEX(RESULT_SUBJECT,SMALL(IF(COUNTIF($BA$3,MONTH), ROW(MONTH)-MIN(ROW(MONTH))+1),ROW(A119)),COLUMN(A119)))</f>
        <v/>
      </c>
      <c r="BB124" t="str" cm="1">
        <f t="array" ref="BB124">IF(ISERROR(INDEX(WEEK,SMALL(IF(COUNTIF($BA$3,MONTH), ROW(MONTH)-MIN(ROW(MONTH))+1),ROW(A119)),COLUMN(A119))),"",INDEX(WEEK,SMALL(IF(COUNTIF($BA$3,MONTH), ROW(MONTH)-MIN(ROW(MONTH))+1),ROW(A119)),COLUMN(A119)))</f>
        <v/>
      </c>
      <c r="BC124" t="str" cm="1">
        <f t="array" ref="BC124">IF(ISERROR(INDEX(RESULT_DAY,SMALL(IF(COUNTIF($BA$3,MONTH), ROW(MONTH)-MIN(ROW(MONTH))+1),ROW(A119)),COLUMN(A119))),"",INDEX(RESULT_DAY,SMALL(IF(COUNTIF($BA$3,MONTH), ROW(MONTH)-MIN(ROW(MONTH))+1),ROW(A119)),COLUMN(A119)))</f>
        <v/>
      </c>
      <c r="BD124" s="29" t="str">
        <f t="shared" si="51"/>
        <v/>
      </c>
      <c r="BE124" s="2" t="str" cm="1">
        <f t="array" ref="BE124">IF(ISERROR(INDEX(RESULT_DURATION,SMALL(IF(COUNTIF($BA$3,MONTH), ROW(MONTH)-MIN(ROW(MONTH))+1),ROW(A119)),COLUMN(A119))),"",INDEX(RESULT_DURATION,SMALL(IF(COUNTIF($BA$3,MONTH), ROW(MONTH)-MIN(ROW(MONTH))+1),ROW(A119)),COLUMN(A119)))</f>
        <v/>
      </c>
      <c r="BH124" t="str" cm="1">
        <f t="array" ref="BH124">IF(ISERROR(INDEX(RESULT_CATEGORIES,SMALL(IF(COUNTIF($BA$3,MONTH), ROW(MONTH)-MIN(ROW(MONTH))+1),ROW(A119)),COLUMN(A119))),"",INDEX(RESULT_CATEGORIES,SMALL(IF(COUNTIF($BA$3,MONTH), ROW(MONTH)-MIN(ROW(MONTH))+1),ROW(A119)),COLUMN(A119)))</f>
        <v/>
      </c>
      <c r="BI124" t="str" cm="1">
        <f t="array" ref="BI124">IF(ISERROR(INDEX(RESULTLOCATION,SMALL(IF(COUNTIF($BA$3,MONTH), ROW(MONTH)-MIN(ROW(MONTH))+1),ROW(A119)),COLUMN(A119))),"",INDEX(RESULTLOCATION,SMALL(IF(COUNTIF($BA$3,MONTH), ROW(MONTH)-MIN(ROW(MONTH))+1),ROW(A119)),COLUMN(A119)))</f>
        <v/>
      </c>
    </row>
    <row r="125" spans="46:61" x14ac:dyDescent="0.3">
      <c r="BA125" t="str" cm="1">
        <f t="array" ref="BA125">IF(ISERROR(INDEX(RESULT_SUBJECT,SMALL(IF(COUNTIF($BA$3,MONTH), ROW(MONTH)-MIN(ROW(MONTH))+1),ROW(A120)),COLUMN(A120))),"",INDEX(RESULT_SUBJECT,SMALL(IF(COUNTIF($BA$3,MONTH), ROW(MONTH)-MIN(ROW(MONTH))+1),ROW(A120)),COLUMN(A120)))</f>
        <v/>
      </c>
      <c r="BB125" t="str" cm="1">
        <f t="array" ref="BB125">IF(ISERROR(INDEX(WEEK,SMALL(IF(COUNTIF($BA$3,MONTH), ROW(MONTH)-MIN(ROW(MONTH))+1),ROW(A120)),COLUMN(A120))),"",INDEX(WEEK,SMALL(IF(COUNTIF($BA$3,MONTH), ROW(MONTH)-MIN(ROW(MONTH))+1),ROW(A120)),COLUMN(A120)))</f>
        <v/>
      </c>
      <c r="BC125" t="str" cm="1">
        <f t="array" ref="BC125">IF(ISERROR(INDEX(RESULT_DAY,SMALL(IF(COUNTIF($BA$3,MONTH), ROW(MONTH)-MIN(ROW(MONTH))+1),ROW(A120)),COLUMN(A120))),"",INDEX(RESULT_DAY,SMALL(IF(COUNTIF($BA$3,MONTH), ROW(MONTH)-MIN(ROW(MONTH))+1),ROW(A120)),COLUMN(A120)))</f>
        <v/>
      </c>
      <c r="BD125" s="29" t="str">
        <f t="shared" si="51"/>
        <v/>
      </c>
      <c r="BE125" s="2" t="str" cm="1">
        <f t="array" ref="BE125">IF(ISERROR(INDEX(RESULT_DURATION,SMALL(IF(COUNTIF($BA$3,MONTH), ROW(MONTH)-MIN(ROW(MONTH))+1),ROW(A120)),COLUMN(A120))),"",INDEX(RESULT_DURATION,SMALL(IF(COUNTIF($BA$3,MONTH), ROW(MONTH)-MIN(ROW(MONTH))+1),ROW(A120)),COLUMN(A120)))</f>
        <v/>
      </c>
      <c r="BH125" t="str" cm="1">
        <f t="array" ref="BH125">IF(ISERROR(INDEX(RESULT_CATEGORIES,SMALL(IF(COUNTIF($BA$3,MONTH), ROW(MONTH)-MIN(ROW(MONTH))+1),ROW(A120)),COLUMN(A120))),"",INDEX(RESULT_CATEGORIES,SMALL(IF(COUNTIF($BA$3,MONTH), ROW(MONTH)-MIN(ROW(MONTH))+1),ROW(A120)),COLUMN(A120)))</f>
        <v/>
      </c>
      <c r="BI125" t="str" cm="1">
        <f t="array" ref="BI125">IF(ISERROR(INDEX(RESULTLOCATION,SMALL(IF(COUNTIF($BA$3,MONTH), ROW(MONTH)-MIN(ROW(MONTH))+1),ROW(A120)),COLUMN(A120))),"",INDEX(RESULTLOCATION,SMALL(IF(COUNTIF($BA$3,MONTH), ROW(MONTH)-MIN(ROW(MONTH))+1),ROW(A120)),COLUMN(A120)))</f>
        <v/>
      </c>
    </row>
    <row r="126" spans="46:61" x14ac:dyDescent="0.3">
      <c r="BA126" t="str" cm="1">
        <f t="array" ref="BA126">IF(ISERROR(INDEX(RESULT_SUBJECT,SMALL(IF(COUNTIF($BA$3,MONTH), ROW(MONTH)-MIN(ROW(MONTH))+1),ROW(A121)),COLUMN(A121))),"",INDEX(RESULT_SUBJECT,SMALL(IF(COUNTIF($BA$3,MONTH), ROW(MONTH)-MIN(ROW(MONTH))+1),ROW(A121)),COLUMN(A121)))</f>
        <v/>
      </c>
      <c r="BB126" t="str" cm="1">
        <f t="array" ref="BB126">IF(ISERROR(INDEX(WEEK,SMALL(IF(COUNTIF($BA$3,MONTH), ROW(MONTH)-MIN(ROW(MONTH))+1),ROW(A121)),COLUMN(A121))),"",INDEX(WEEK,SMALL(IF(COUNTIF($BA$3,MONTH), ROW(MONTH)-MIN(ROW(MONTH))+1),ROW(A121)),COLUMN(A121)))</f>
        <v/>
      </c>
      <c r="BC126" t="str" cm="1">
        <f t="array" ref="BC126">IF(ISERROR(INDEX(RESULT_DAY,SMALL(IF(COUNTIF($BA$3,MONTH), ROW(MONTH)-MIN(ROW(MONTH))+1),ROW(A121)),COLUMN(A121))),"",INDEX(RESULT_DAY,SMALL(IF(COUNTIF($BA$3,MONTH), ROW(MONTH)-MIN(ROW(MONTH))+1),ROW(A121)),COLUMN(A121)))</f>
        <v/>
      </c>
      <c r="BD126" s="29" t="str">
        <f t="shared" si="51"/>
        <v/>
      </c>
      <c r="BE126" s="2" t="str" cm="1">
        <f t="array" ref="BE126">IF(ISERROR(INDEX(RESULT_DURATION,SMALL(IF(COUNTIF($BA$3,MONTH), ROW(MONTH)-MIN(ROW(MONTH))+1),ROW(A121)),COLUMN(A121))),"",INDEX(RESULT_DURATION,SMALL(IF(COUNTIF($BA$3,MONTH), ROW(MONTH)-MIN(ROW(MONTH))+1),ROW(A121)),COLUMN(A121)))</f>
        <v/>
      </c>
      <c r="BH126" t="str" cm="1">
        <f t="array" ref="BH126">IF(ISERROR(INDEX(RESULT_CATEGORIES,SMALL(IF(COUNTIF($BA$3,MONTH), ROW(MONTH)-MIN(ROW(MONTH))+1),ROW(A121)),COLUMN(A121))),"",INDEX(RESULT_CATEGORIES,SMALL(IF(COUNTIF($BA$3,MONTH), ROW(MONTH)-MIN(ROW(MONTH))+1),ROW(A121)),COLUMN(A121)))</f>
        <v/>
      </c>
      <c r="BI126" t="str" cm="1">
        <f t="array" ref="BI126">IF(ISERROR(INDEX(RESULTLOCATION,SMALL(IF(COUNTIF($BA$3,MONTH), ROW(MONTH)-MIN(ROW(MONTH))+1),ROW(A121)),COLUMN(A121))),"",INDEX(RESULTLOCATION,SMALL(IF(COUNTIF($BA$3,MONTH), ROW(MONTH)-MIN(ROW(MONTH))+1),ROW(A121)),COLUMN(A121)))</f>
        <v/>
      </c>
    </row>
    <row r="127" spans="46:61" x14ac:dyDescent="0.3">
      <c r="BA127" t="str" cm="1">
        <f t="array" ref="BA127">IF(ISERROR(INDEX(RESULT_SUBJECT,SMALL(IF(COUNTIF($BA$3,MONTH), ROW(MONTH)-MIN(ROW(MONTH))+1),ROW(A122)),COLUMN(A122))),"",INDEX(RESULT_SUBJECT,SMALL(IF(COUNTIF($BA$3,MONTH), ROW(MONTH)-MIN(ROW(MONTH))+1),ROW(A122)),COLUMN(A122)))</f>
        <v/>
      </c>
      <c r="BB127" t="str" cm="1">
        <f t="array" ref="BB127">IF(ISERROR(INDEX(WEEK,SMALL(IF(COUNTIF($BA$3,MONTH), ROW(MONTH)-MIN(ROW(MONTH))+1),ROW(A122)),COLUMN(A122))),"",INDEX(WEEK,SMALL(IF(COUNTIF($BA$3,MONTH), ROW(MONTH)-MIN(ROW(MONTH))+1),ROW(A122)),COLUMN(A122)))</f>
        <v/>
      </c>
      <c r="BC127" t="str" cm="1">
        <f t="array" ref="BC127">IF(ISERROR(INDEX(RESULT_DAY,SMALL(IF(COUNTIF($BA$3,MONTH), ROW(MONTH)-MIN(ROW(MONTH))+1),ROW(A122)),COLUMN(A122))),"",INDEX(RESULT_DAY,SMALL(IF(COUNTIF($BA$3,MONTH), ROW(MONTH)-MIN(ROW(MONTH))+1),ROW(A122)),COLUMN(A122)))</f>
        <v/>
      </c>
      <c r="BD127" s="29" t="str">
        <f t="shared" si="51"/>
        <v/>
      </c>
      <c r="BE127" s="2" t="str" cm="1">
        <f t="array" ref="BE127">IF(ISERROR(INDEX(RESULT_DURATION,SMALL(IF(COUNTIF($BA$3,MONTH), ROW(MONTH)-MIN(ROW(MONTH))+1),ROW(A122)),COLUMN(A122))),"",INDEX(RESULT_DURATION,SMALL(IF(COUNTIF($BA$3,MONTH), ROW(MONTH)-MIN(ROW(MONTH))+1),ROW(A122)),COLUMN(A122)))</f>
        <v/>
      </c>
      <c r="BH127" t="str" cm="1">
        <f t="array" ref="BH127">IF(ISERROR(INDEX(RESULT_CATEGORIES,SMALL(IF(COUNTIF($BA$3,MONTH), ROW(MONTH)-MIN(ROW(MONTH))+1),ROW(A122)),COLUMN(A122))),"",INDEX(RESULT_CATEGORIES,SMALL(IF(COUNTIF($BA$3,MONTH), ROW(MONTH)-MIN(ROW(MONTH))+1),ROW(A122)),COLUMN(A122)))</f>
        <v/>
      </c>
      <c r="BI127" t="str" cm="1">
        <f t="array" ref="BI127">IF(ISERROR(INDEX(RESULTLOCATION,SMALL(IF(COUNTIF($BA$3,MONTH), ROW(MONTH)-MIN(ROW(MONTH))+1),ROW(A122)),COLUMN(A122))),"",INDEX(RESULTLOCATION,SMALL(IF(COUNTIF($BA$3,MONTH), ROW(MONTH)-MIN(ROW(MONTH))+1),ROW(A122)),COLUMN(A122)))</f>
        <v/>
      </c>
    </row>
    <row r="128" spans="46:61" x14ac:dyDescent="0.3">
      <c r="BA128" t="str" cm="1">
        <f t="array" ref="BA128">IF(ISERROR(INDEX(RESULT_SUBJECT,SMALL(IF(COUNTIF($BA$3,MONTH), ROW(MONTH)-MIN(ROW(MONTH))+1),ROW(A123)),COLUMN(A123))),"",INDEX(RESULT_SUBJECT,SMALL(IF(COUNTIF($BA$3,MONTH), ROW(MONTH)-MIN(ROW(MONTH))+1),ROW(A123)),COLUMN(A123)))</f>
        <v/>
      </c>
      <c r="BB128" t="str" cm="1">
        <f t="array" ref="BB128">IF(ISERROR(INDEX(WEEK,SMALL(IF(COUNTIF($BA$3,MONTH), ROW(MONTH)-MIN(ROW(MONTH))+1),ROW(A123)),COLUMN(A123))),"",INDEX(WEEK,SMALL(IF(COUNTIF($BA$3,MONTH), ROW(MONTH)-MIN(ROW(MONTH))+1),ROW(A123)),COLUMN(A123)))</f>
        <v/>
      </c>
      <c r="BC128" t="str" cm="1">
        <f t="array" ref="BC128">IF(ISERROR(INDEX(RESULT_DAY,SMALL(IF(COUNTIF($BA$3,MONTH), ROW(MONTH)-MIN(ROW(MONTH))+1),ROW(A123)),COLUMN(A123))),"",INDEX(RESULT_DAY,SMALL(IF(COUNTIF($BA$3,MONTH), ROW(MONTH)-MIN(ROW(MONTH))+1),ROW(A123)),COLUMN(A123)))</f>
        <v/>
      </c>
      <c r="BD128" s="29" t="str">
        <f t="shared" si="51"/>
        <v/>
      </c>
      <c r="BE128" s="2" t="str" cm="1">
        <f t="array" ref="BE128">IF(ISERROR(INDEX(RESULT_DURATION,SMALL(IF(COUNTIF($BA$3,MONTH), ROW(MONTH)-MIN(ROW(MONTH))+1),ROW(A123)),COLUMN(A123))),"",INDEX(RESULT_DURATION,SMALL(IF(COUNTIF($BA$3,MONTH), ROW(MONTH)-MIN(ROW(MONTH))+1),ROW(A123)),COLUMN(A123)))</f>
        <v/>
      </c>
      <c r="BH128" t="str" cm="1">
        <f t="array" ref="BH128">IF(ISERROR(INDEX(RESULT_CATEGORIES,SMALL(IF(COUNTIF($BA$3,MONTH), ROW(MONTH)-MIN(ROW(MONTH))+1),ROW(A123)),COLUMN(A123))),"",INDEX(RESULT_CATEGORIES,SMALL(IF(COUNTIF($BA$3,MONTH), ROW(MONTH)-MIN(ROW(MONTH))+1),ROW(A123)),COLUMN(A123)))</f>
        <v/>
      </c>
      <c r="BI128" t="str" cm="1">
        <f t="array" ref="BI128">IF(ISERROR(INDEX(RESULTLOCATION,SMALL(IF(COUNTIF($BA$3,MONTH), ROW(MONTH)-MIN(ROW(MONTH))+1),ROW(A123)),COLUMN(A123))),"",INDEX(RESULTLOCATION,SMALL(IF(COUNTIF($BA$3,MONTH), ROW(MONTH)-MIN(ROW(MONTH))+1),ROW(A123)),COLUMN(A123)))</f>
        <v/>
      </c>
    </row>
    <row r="129" spans="53:61" x14ac:dyDescent="0.3">
      <c r="BA129" t="str" cm="1">
        <f t="array" ref="BA129">IF(ISERROR(INDEX(RESULT_SUBJECT,SMALL(IF(COUNTIF($BA$3,MONTH), ROW(MONTH)-MIN(ROW(MONTH))+1),ROW(A124)),COLUMN(A124))),"",INDEX(RESULT_SUBJECT,SMALL(IF(COUNTIF($BA$3,MONTH), ROW(MONTH)-MIN(ROW(MONTH))+1),ROW(A124)),COLUMN(A124)))</f>
        <v/>
      </c>
      <c r="BB129" t="str" cm="1">
        <f t="array" ref="BB129">IF(ISERROR(INDEX(WEEK,SMALL(IF(COUNTIF($BA$3,MONTH), ROW(MONTH)-MIN(ROW(MONTH))+1),ROW(A124)),COLUMN(A124))),"",INDEX(WEEK,SMALL(IF(COUNTIF($BA$3,MONTH), ROW(MONTH)-MIN(ROW(MONTH))+1),ROW(A124)),COLUMN(A124)))</f>
        <v/>
      </c>
      <c r="BC129" t="str" cm="1">
        <f t="array" ref="BC129">IF(ISERROR(INDEX(RESULT_DAY,SMALL(IF(COUNTIF($BA$3,MONTH), ROW(MONTH)-MIN(ROW(MONTH))+1),ROW(A124)),COLUMN(A124))),"",INDEX(RESULT_DAY,SMALL(IF(COUNTIF($BA$3,MONTH), ROW(MONTH)-MIN(ROW(MONTH))+1),ROW(A124)),COLUMN(A124)))</f>
        <v/>
      </c>
      <c r="BD129" s="29" t="str">
        <f t="shared" si="51"/>
        <v/>
      </c>
      <c r="BE129" s="2" t="str" cm="1">
        <f t="array" ref="BE129">IF(ISERROR(INDEX(RESULT_DURATION,SMALL(IF(COUNTIF($BA$3,MONTH), ROW(MONTH)-MIN(ROW(MONTH))+1),ROW(A124)),COLUMN(A124))),"",INDEX(RESULT_DURATION,SMALL(IF(COUNTIF($BA$3,MONTH), ROW(MONTH)-MIN(ROW(MONTH))+1),ROW(A124)),COLUMN(A124)))</f>
        <v/>
      </c>
      <c r="BH129" t="str" cm="1">
        <f t="array" ref="BH129">IF(ISERROR(INDEX(RESULT_CATEGORIES,SMALL(IF(COUNTIF($BA$3,MONTH), ROW(MONTH)-MIN(ROW(MONTH))+1),ROW(A124)),COLUMN(A124))),"",INDEX(RESULT_CATEGORIES,SMALL(IF(COUNTIF($BA$3,MONTH), ROW(MONTH)-MIN(ROW(MONTH))+1),ROW(A124)),COLUMN(A124)))</f>
        <v/>
      </c>
      <c r="BI129" t="str" cm="1">
        <f t="array" ref="BI129">IF(ISERROR(INDEX(RESULTLOCATION,SMALL(IF(COUNTIF($BA$3,MONTH), ROW(MONTH)-MIN(ROW(MONTH))+1),ROW(A124)),COLUMN(A124))),"",INDEX(RESULTLOCATION,SMALL(IF(COUNTIF($BA$3,MONTH), ROW(MONTH)-MIN(ROW(MONTH))+1),ROW(A124)),COLUMN(A124)))</f>
        <v/>
      </c>
    </row>
    <row r="130" spans="53:61" x14ac:dyDescent="0.3">
      <c r="BA130" t="str" cm="1">
        <f t="array" ref="BA130">IF(ISERROR(INDEX(RESULT_SUBJECT,SMALL(IF(COUNTIF($BA$3,MONTH), ROW(MONTH)-MIN(ROW(MONTH))+1),ROW(A125)),COLUMN(A125))),"",INDEX(RESULT_SUBJECT,SMALL(IF(COUNTIF($BA$3,MONTH), ROW(MONTH)-MIN(ROW(MONTH))+1),ROW(A125)),COLUMN(A125)))</f>
        <v/>
      </c>
      <c r="BB130" t="str" cm="1">
        <f t="array" ref="BB130">IF(ISERROR(INDEX(WEEK,SMALL(IF(COUNTIF($BA$3,MONTH), ROW(MONTH)-MIN(ROW(MONTH))+1),ROW(A125)),COLUMN(A125))),"",INDEX(WEEK,SMALL(IF(COUNTIF($BA$3,MONTH), ROW(MONTH)-MIN(ROW(MONTH))+1),ROW(A125)),COLUMN(A125)))</f>
        <v/>
      </c>
      <c r="BC130" t="str" cm="1">
        <f t="array" ref="BC130">IF(ISERROR(INDEX(RESULT_DAY,SMALL(IF(COUNTIF($BA$3,MONTH), ROW(MONTH)-MIN(ROW(MONTH))+1),ROW(A125)),COLUMN(A125))),"",INDEX(RESULT_DAY,SMALL(IF(COUNTIF($BA$3,MONTH), ROW(MONTH)-MIN(ROW(MONTH))+1),ROW(A125)),COLUMN(A125)))</f>
        <v/>
      </c>
      <c r="BD130" s="29" t="str">
        <f t="shared" si="51"/>
        <v/>
      </c>
      <c r="BE130" s="2" t="str" cm="1">
        <f t="array" ref="BE130">IF(ISERROR(INDEX(RESULT_DURATION,SMALL(IF(COUNTIF($BA$3,MONTH), ROW(MONTH)-MIN(ROW(MONTH))+1),ROW(A125)),COLUMN(A125))),"",INDEX(RESULT_DURATION,SMALL(IF(COUNTIF($BA$3,MONTH), ROW(MONTH)-MIN(ROW(MONTH))+1),ROW(A125)),COLUMN(A125)))</f>
        <v/>
      </c>
      <c r="BH130" t="str" cm="1">
        <f t="array" ref="BH130">IF(ISERROR(INDEX(RESULT_CATEGORIES,SMALL(IF(COUNTIF($BA$3,MONTH), ROW(MONTH)-MIN(ROW(MONTH))+1),ROW(A125)),COLUMN(A125))),"",INDEX(RESULT_CATEGORIES,SMALL(IF(COUNTIF($BA$3,MONTH), ROW(MONTH)-MIN(ROW(MONTH))+1),ROW(A125)),COLUMN(A125)))</f>
        <v/>
      </c>
      <c r="BI130" t="str" cm="1">
        <f t="array" ref="BI130">IF(ISERROR(INDEX(RESULTLOCATION,SMALL(IF(COUNTIF($BA$3,MONTH), ROW(MONTH)-MIN(ROW(MONTH))+1),ROW(A125)),COLUMN(A125))),"",INDEX(RESULTLOCATION,SMALL(IF(COUNTIF($BA$3,MONTH), ROW(MONTH)-MIN(ROW(MONTH))+1),ROW(A125)),COLUMN(A125)))</f>
        <v/>
      </c>
    </row>
    <row r="131" spans="53:61" x14ac:dyDescent="0.3">
      <c r="BA131" t="str" cm="1">
        <f t="array" ref="BA131">IF(ISERROR(INDEX(RESULT_SUBJECT,SMALL(IF(COUNTIF($BA$3,MONTH), ROW(MONTH)-MIN(ROW(MONTH))+1),ROW(A126)),COLUMN(A126))),"",INDEX(RESULT_SUBJECT,SMALL(IF(COUNTIF($BA$3,MONTH), ROW(MONTH)-MIN(ROW(MONTH))+1),ROW(A126)),COLUMN(A126)))</f>
        <v/>
      </c>
      <c r="BB131" t="str" cm="1">
        <f t="array" ref="BB131">IF(ISERROR(INDEX(WEEK,SMALL(IF(COUNTIF($BA$3,MONTH), ROW(MONTH)-MIN(ROW(MONTH))+1),ROW(A126)),COLUMN(A126))),"",INDEX(WEEK,SMALL(IF(COUNTIF($BA$3,MONTH), ROW(MONTH)-MIN(ROW(MONTH))+1),ROW(A126)),COLUMN(A126)))</f>
        <v/>
      </c>
      <c r="BC131" t="str" cm="1">
        <f t="array" ref="BC131">IF(ISERROR(INDEX(RESULT_DAY,SMALL(IF(COUNTIF($BA$3,MONTH), ROW(MONTH)-MIN(ROW(MONTH))+1),ROW(A126)),COLUMN(A126))),"",INDEX(RESULT_DAY,SMALL(IF(COUNTIF($BA$3,MONTH), ROW(MONTH)-MIN(ROW(MONTH))+1),ROW(A126)),COLUMN(A126)))</f>
        <v/>
      </c>
      <c r="BD131" s="29" t="str">
        <f t="shared" si="51"/>
        <v/>
      </c>
      <c r="BE131" s="2" t="str" cm="1">
        <f t="array" ref="BE131">IF(ISERROR(INDEX(RESULT_DURATION,SMALL(IF(COUNTIF($BA$3,MONTH), ROW(MONTH)-MIN(ROW(MONTH))+1),ROW(A126)),COLUMN(A126))),"",INDEX(RESULT_DURATION,SMALL(IF(COUNTIF($BA$3,MONTH), ROW(MONTH)-MIN(ROW(MONTH))+1),ROW(A126)),COLUMN(A126)))</f>
        <v/>
      </c>
      <c r="BH131" t="str" cm="1">
        <f t="array" ref="BH131">IF(ISERROR(INDEX(RESULT_CATEGORIES,SMALL(IF(COUNTIF($BA$3,MONTH), ROW(MONTH)-MIN(ROW(MONTH))+1),ROW(A126)),COLUMN(A126))),"",INDEX(RESULT_CATEGORIES,SMALL(IF(COUNTIF($BA$3,MONTH), ROW(MONTH)-MIN(ROW(MONTH))+1),ROW(A126)),COLUMN(A126)))</f>
        <v/>
      </c>
      <c r="BI131" t="str" cm="1">
        <f t="array" ref="BI131">IF(ISERROR(INDEX(RESULTLOCATION,SMALL(IF(COUNTIF($BA$3,MONTH), ROW(MONTH)-MIN(ROW(MONTH))+1),ROW(A126)),COLUMN(A126))),"",INDEX(RESULTLOCATION,SMALL(IF(COUNTIF($BA$3,MONTH), ROW(MONTH)-MIN(ROW(MONTH))+1),ROW(A126)),COLUMN(A126)))</f>
        <v/>
      </c>
    </row>
    <row r="132" spans="53:61" x14ac:dyDescent="0.3">
      <c r="BA132" t="str" cm="1">
        <f t="array" ref="BA132">IF(ISERROR(INDEX(RESULT_SUBJECT,SMALL(IF(COUNTIF($BA$3,MONTH), ROW(MONTH)-MIN(ROW(MONTH))+1),ROW(A127)),COLUMN(A127))),"",INDEX(RESULT_SUBJECT,SMALL(IF(COUNTIF($BA$3,MONTH), ROW(MONTH)-MIN(ROW(MONTH))+1),ROW(A127)),COLUMN(A127)))</f>
        <v/>
      </c>
      <c r="BB132" t="str" cm="1">
        <f t="array" ref="BB132">IF(ISERROR(INDEX(WEEK,SMALL(IF(COUNTIF($BA$3,MONTH), ROW(MONTH)-MIN(ROW(MONTH))+1),ROW(A127)),COLUMN(A127))),"",INDEX(WEEK,SMALL(IF(COUNTIF($BA$3,MONTH), ROW(MONTH)-MIN(ROW(MONTH))+1),ROW(A127)),COLUMN(A127)))</f>
        <v/>
      </c>
      <c r="BC132" t="str" cm="1">
        <f t="array" ref="BC132">IF(ISERROR(INDEX(RESULT_DAY,SMALL(IF(COUNTIF($BA$3,MONTH), ROW(MONTH)-MIN(ROW(MONTH))+1),ROW(A127)),COLUMN(A127))),"",INDEX(RESULT_DAY,SMALL(IF(COUNTIF($BA$3,MONTH), ROW(MONTH)-MIN(ROW(MONTH))+1),ROW(A127)),COLUMN(A127)))</f>
        <v/>
      </c>
      <c r="BD132" s="29" t="str">
        <f t="shared" si="51"/>
        <v/>
      </c>
      <c r="BE132" s="2" t="str" cm="1">
        <f t="array" ref="BE132">IF(ISERROR(INDEX(RESULT_DURATION,SMALL(IF(COUNTIF($BA$3,MONTH), ROW(MONTH)-MIN(ROW(MONTH))+1),ROW(A127)),COLUMN(A127))),"",INDEX(RESULT_DURATION,SMALL(IF(COUNTIF($BA$3,MONTH), ROW(MONTH)-MIN(ROW(MONTH))+1),ROW(A127)),COLUMN(A127)))</f>
        <v/>
      </c>
      <c r="BH132" t="str" cm="1">
        <f t="array" ref="BH132">IF(ISERROR(INDEX(RESULT_CATEGORIES,SMALL(IF(COUNTIF($BA$3,MONTH), ROW(MONTH)-MIN(ROW(MONTH))+1),ROW(A127)),COLUMN(A127))),"",INDEX(RESULT_CATEGORIES,SMALL(IF(COUNTIF($BA$3,MONTH), ROW(MONTH)-MIN(ROW(MONTH))+1),ROW(A127)),COLUMN(A127)))</f>
        <v/>
      </c>
      <c r="BI132" t="str" cm="1">
        <f t="array" ref="BI132">IF(ISERROR(INDEX(RESULTLOCATION,SMALL(IF(COUNTIF($BA$3,MONTH), ROW(MONTH)-MIN(ROW(MONTH))+1),ROW(A127)),COLUMN(A127))),"",INDEX(RESULTLOCATION,SMALL(IF(COUNTIF($BA$3,MONTH), ROW(MONTH)-MIN(ROW(MONTH))+1),ROW(A127)),COLUMN(A127)))</f>
        <v/>
      </c>
    </row>
    <row r="133" spans="53:61" x14ac:dyDescent="0.3">
      <c r="BA133" t="str" cm="1">
        <f t="array" ref="BA133">IF(ISERROR(INDEX(RESULT_SUBJECT,SMALL(IF(COUNTIF($BA$3,MONTH), ROW(MONTH)-MIN(ROW(MONTH))+1),ROW(A128)),COLUMN(A128))),"",INDEX(RESULT_SUBJECT,SMALL(IF(COUNTIF($BA$3,MONTH), ROW(MONTH)-MIN(ROW(MONTH))+1),ROW(A128)),COLUMN(A128)))</f>
        <v/>
      </c>
      <c r="BB133" t="str" cm="1">
        <f t="array" ref="BB133">IF(ISERROR(INDEX(WEEK,SMALL(IF(COUNTIF($BA$3,MONTH), ROW(MONTH)-MIN(ROW(MONTH))+1),ROW(A128)),COLUMN(A128))),"",INDEX(WEEK,SMALL(IF(COUNTIF($BA$3,MONTH), ROW(MONTH)-MIN(ROW(MONTH))+1),ROW(A128)),COLUMN(A128)))</f>
        <v/>
      </c>
      <c r="BC133" t="str" cm="1">
        <f t="array" ref="BC133">IF(ISERROR(INDEX(RESULT_DAY,SMALL(IF(COUNTIF($BA$3,MONTH), ROW(MONTH)-MIN(ROW(MONTH))+1),ROW(A128)),COLUMN(A128))),"",INDEX(RESULT_DAY,SMALL(IF(COUNTIF($BA$3,MONTH), ROW(MONTH)-MIN(ROW(MONTH))+1),ROW(A128)),COLUMN(A128)))</f>
        <v/>
      </c>
      <c r="BD133" s="29" t="str">
        <f t="shared" si="51"/>
        <v/>
      </c>
      <c r="BE133" s="2" t="str" cm="1">
        <f t="array" ref="BE133">IF(ISERROR(INDEX(RESULT_DURATION,SMALL(IF(COUNTIF($BA$3,MONTH), ROW(MONTH)-MIN(ROW(MONTH))+1),ROW(A128)),COLUMN(A128))),"",INDEX(RESULT_DURATION,SMALL(IF(COUNTIF($BA$3,MONTH), ROW(MONTH)-MIN(ROW(MONTH))+1),ROW(A128)),COLUMN(A128)))</f>
        <v/>
      </c>
      <c r="BH133" t="str" cm="1">
        <f t="array" ref="BH133">IF(ISERROR(INDEX(RESULT_CATEGORIES,SMALL(IF(COUNTIF($BA$3,MONTH), ROW(MONTH)-MIN(ROW(MONTH))+1),ROW(A128)),COLUMN(A128))),"",INDEX(RESULT_CATEGORIES,SMALL(IF(COUNTIF($BA$3,MONTH), ROW(MONTH)-MIN(ROW(MONTH))+1),ROW(A128)),COLUMN(A128)))</f>
        <v/>
      </c>
      <c r="BI133" t="str" cm="1">
        <f t="array" ref="BI133">IF(ISERROR(INDEX(RESULTLOCATION,SMALL(IF(COUNTIF($BA$3,MONTH), ROW(MONTH)-MIN(ROW(MONTH))+1),ROW(A128)),COLUMN(A128))),"",INDEX(RESULTLOCATION,SMALL(IF(COUNTIF($BA$3,MONTH), ROW(MONTH)-MIN(ROW(MONTH))+1),ROW(A128)),COLUMN(A128)))</f>
        <v/>
      </c>
    </row>
    <row r="134" spans="53:61" x14ac:dyDescent="0.3">
      <c r="BA134" t="str" cm="1">
        <f t="array" ref="BA134">IF(ISERROR(INDEX(RESULT_SUBJECT,SMALL(IF(COUNTIF($BA$3,MONTH), ROW(MONTH)-MIN(ROW(MONTH))+1),ROW(A129)),COLUMN(A129))),"",INDEX(RESULT_SUBJECT,SMALL(IF(COUNTIF($BA$3,MONTH), ROW(MONTH)-MIN(ROW(MONTH))+1),ROW(A129)),COLUMN(A129)))</f>
        <v/>
      </c>
      <c r="BB134" t="str" cm="1">
        <f t="array" ref="BB134">IF(ISERROR(INDEX(WEEK,SMALL(IF(COUNTIF($BA$3,MONTH), ROW(MONTH)-MIN(ROW(MONTH))+1),ROW(A129)),COLUMN(A129))),"",INDEX(WEEK,SMALL(IF(COUNTIF($BA$3,MONTH), ROW(MONTH)-MIN(ROW(MONTH))+1),ROW(A129)),COLUMN(A129)))</f>
        <v/>
      </c>
      <c r="BC134" t="str" cm="1">
        <f t="array" ref="BC134">IF(ISERROR(INDEX(RESULT_DAY,SMALL(IF(COUNTIF($BA$3,MONTH), ROW(MONTH)-MIN(ROW(MONTH))+1),ROW(A129)),COLUMN(A129))),"",INDEX(RESULT_DAY,SMALL(IF(COUNTIF($BA$3,MONTH), ROW(MONTH)-MIN(ROW(MONTH))+1),ROW(A129)),COLUMN(A129)))</f>
        <v/>
      </c>
      <c r="BD134" s="29" t="str">
        <f t="shared" si="51"/>
        <v/>
      </c>
      <c r="BE134" s="2" t="str" cm="1">
        <f t="array" ref="BE134">IF(ISERROR(INDEX(RESULT_DURATION,SMALL(IF(COUNTIF($BA$3,MONTH), ROW(MONTH)-MIN(ROW(MONTH))+1),ROW(A129)),COLUMN(A129))),"",INDEX(RESULT_DURATION,SMALL(IF(COUNTIF($BA$3,MONTH), ROW(MONTH)-MIN(ROW(MONTH))+1),ROW(A129)),COLUMN(A129)))</f>
        <v/>
      </c>
      <c r="BH134" t="str" cm="1">
        <f t="array" ref="BH134">IF(ISERROR(INDEX(RESULT_CATEGORIES,SMALL(IF(COUNTIF($BA$3,MONTH), ROW(MONTH)-MIN(ROW(MONTH))+1),ROW(A129)),COLUMN(A129))),"",INDEX(RESULT_CATEGORIES,SMALL(IF(COUNTIF($BA$3,MONTH), ROW(MONTH)-MIN(ROW(MONTH))+1),ROW(A129)),COLUMN(A129)))</f>
        <v/>
      </c>
      <c r="BI134" t="str" cm="1">
        <f t="array" ref="BI134">IF(ISERROR(INDEX(RESULTLOCATION,SMALL(IF(COUNTIF($BA$3,MONTH), ROW(MONTH)-MIN(ROW(MONTH))+1),ROW(A129)),COLUMN(A129))),"",INDEX(RESULTLOCATION,SMALL(IF(COUNTIF($BA$3,MONTH), ROW(MONTH)-MIN(ROW(MONTH))+1),ROW(A129)),COLUMN(A129)))</f>
        <v/>
      </c>
    </row>
    <row r="135" spans="53:61" x14ac:dyDescent="0.3">
      <c r="BA135" t="str" cm="1">
        <f t="array" ref="BA135">IF(ISERROR(INDEX(RESULT_SUBJECT,SMALL(IF(COUNTIF($BA$3,MONTH), ROW(MONTH)-MIN(ROW(MONTH))+1),ROW(A130)),COLUMN(A130))),"",INDEX(RESULT_SUBJECT,SMALL(IF(COUNTIF($BA$3,MONTH), ROW(MONTH)-MIN(ROW(MONTH))+1),ROW(A130)),COLUMN(A130)))</f>
        <v/>
      </c>
      <c r="BB135" t="str" cm="1">
        <f t="array" ref="BB135">IF(ISERROR(INDEX(WEEK,SMALL(IF(COUNTIF($BA$3,MONTH), ROW(MONTH)-MIN(ROW(MONTH))+1),ROW(A130)),COLUMN(A130))),"",INDEX(WEEK,SMALL(IF(COUNTIF($BA$3,MONTH), ROW(MONTH)-MIN(ROW(MONTH))+1),ROW(A130)),COLUMN(A130)))</f>
        <v/>
      </c>
      <c r="BC135" t="str" cm="1">
        <f t="array" ref="BC135">IF(ISERROR(INDEX(RESULT_DAY,SMALL(IF(COUNTIF($BA$3,MONTH), ROW(MONTH)-MIN(ROW(MONTH))+1),ROW(A130)),COLUMN(A130))),"",INDEX(RESULT_DAY,SMALL(IF(COUNTIF($BA$3,MONTH), ROW(MONTH)-MIN(ROW(MONTH))+1),ROW(A130)),COLUMN(A130)))</f>
        <v/>
      </c>
      <c r="BD135" s="29" t="str">
        <f t="shared" ref="BD135:BD198" si="52">IF(ISERROR((DATE(2021,1,1)+($BA$3-2)*7)+BC135+1),"",(DATE(2021,1,1)+($BA$3-2)*7)+BC135+1)</f>
        <v/>
      </c>
      <c r="BE135" s="2" t="str" cm="1">
        <f t="array" ref="BE135">IF(ISERROR(INDEX(RESULT_DURATION,SMALL(IF(COUNTIF($BA$3,MONTH), ROW(MONTH)-MIN(ROW(MONTH))+1),ROW(A130)),COLUMN(A130))),"",INDEX(RESULT_DURATION,SMALL(IF(COUNTIF($BA$3,MONTH), ROW(MONTH)-MIN(ROW(MONTH))+1),ROW(A130)),COLUMN(A130)))</f>
        <v/>
      </c>
      <c r="BH135" t="str" cm="1">
        <f t="array" ref="BH135">IF(ISERROR(INDEX(RESULT_CATEGORIES,SMALL(IF(COUNTIF($BA$3,MONTH), ROW(MONTH)-MIN(ROW(MONTH))+1),ROW(A130)),COLUMN(A130))),"",INDEX(RESULT_CATEGORIES,SMALL(IF(COUNTIF($BA$3,MONTH), ROW(MONTH)-MIN(ROW(MONTH))+1),ROW(A130)),COLUMN(A130)))</f>
        <v/>
      </c>
      <c r="BI135" t="str" cm="1">
        <f t="array" ref="BI135">IF(ISERROR(INDEX(RESULTLOCATION,SMALL(IF(COUNTIF($BA$3,MONTH), ROW(MONTH)-MIN(ROW(MONTH))+1),ROW(A130)),COLUMN(A130))),"",INDEX(RESULTLOCATION,SMALL(IF(COUNTIF($BA$3,MONTH), ROW(MONTH)-MIN(ROW(MONTH))+1),ROW(A130)),COLUMN(A130)))</f>
        <v/>
      </c>
    </row>
    <row r="136" spans="53:61" x14ac:dyDescent="0.3">
      <c r="BA136" t="str" cm="1">
        <f t="array" ref="BA136">IF(ISERROR(INDEX(RESULT_SUBJECT,SMALL(IF(COUNTIF($BA$3,MONTH), ROW(MONTH)-MIN(ROW(MONTH))+1),ROW(A131)),COLUMN(A131))),"",INDEX(RESULT_SUBJECT,SMALL(IF(COUNTIF($BA$3,MONTH), ROW(MONTH)-MIN(ROW(MONTH))+1),ROW(A131)),COLUMN(A131)))</f>
        <v/>
      </c>
      <c r="BB136" t="str" cm="1">
        <f t="array" ref="BB136">IF(ISERROR(INDEX(WEEK,SMALL(IF(COUNTIF($BA$3,MONTH), ROW(MONTH)-MIN(ROW(MONTH))+1),ROW(A131)),COLUMN(A131))),"",INDEX(WEEK,SMALL(IF(COUNTIF($BA$3,MONTH), ROW(MONTH)-MIN(ROW(MONTH))+1),ROW(A131)),COLUMN(A131)))</f>
        <v/>
      </c>
      <c r="BC136" t="str" cm="1">
        <f t="array" ref="BC136">IF(ISERROR(INDEX(RESULT_DAY,SMALL(IF(COUNTIF($BA$3,MONTH), ROW(MONTH)-MIN(ROW(MONTH))+1),ROW(A131)),COLUMN(A131))),"",INDEX(RESULT_DAY,SMALL(IF(COUNTIF($BA$3,MONTH), ROW(MONTH)-MIN(ROW(MONTH))+1),ROW(A131)),COLUMN(A131)))</f>
        <v/>
      </c>
      <c r="BD136" s="29" t="str">
        <f t="shared" si="52"/>
        <v/>
      </c>
      <c r="BE136" s="2" t="str" cm="1">
        <f t="array" ref="BE136">IF(ISERROR(INDEX(RESULT_DURATION,SMALL(IF(COUNTIF($BA$3,MONTH), ROW(MONTH)-MIN(ROW(MONTH))+1),ROW(A131)),COLUMN(A131))),"",INDEX(RESULT_DURATION,SMALL(IF(COUNTIF($BA$3,MONTH), ROW(MONTH)-MIN(ROW(MONTH))+1),ROW(A131)),COLUMN(A131)))</f>
        <v/>
      </c>
      <c r="BH136" t="str" cm="1">
        <f t="array" ref="BH136">IF(ISERROR(INDEX(RESULT_CATEGORIES,SMALL(IF(COUNTIF($BA$3,MONTH), ROW(MONTH)-MIN(ROW(MONTH))+1),ROW(A131)),COLUMN(A131))),"",INDEX(RESULT_CATEGORIES,SMALL(IF(COUNTIF($BA$3,MONTH), ROW(MONTH)-MIN(ROW(MONTH))+1),ROW(A131)),COLUMN(A131)))</f>
        <v/>
      </c>
      <c r="BI136" t="str" cm="1">
        <f t="array" ref="BI136">IF(ISERROR(INDEX(RESULTLOCATION,SMALL(IF(COUNTIF($BA$3,MONTH), ROW(MONTH)-MIN(ROW(MONTH))+1),ROW(A131)),COLUMN(A131))),"",INDEX(RESULTLOCATION,SMALL(IF(COUNTIF($BA$3,MONTH), ROW(MONTH)-MIN(ROW(MONTH))+1),ROW(A131)),COLUMN(A131)))</f>
        <v/>
      </c>
    </row>
    <row r="137" spans="53:61" x14ac:dyDescent="0.3">
      <c r="BA137" t="str" cm="1">
        <f t="array" ref="BA137">IF(ISERROR(INDEX(RESULT_SUBJECT,SMALL(IF(COUNTIF($BA$3,MONTH), ROW(MONTH)-MIN(ROW(MONTH))+1),ROW(A132)),COLUMN(A132))),"",INDEX(RESULT_SUBJECT,SMALL(IF(COUNTIF($BA$3,MONTH), ROW(MONTH)-MIN(ROW(MONTH))+1),ROW(A132)),COLUMN(A132)))</f>
        <v/>
      </c>
      <c r="BB137" t="str" cm="1">
        <f t="array" ref="BB137">IF(ISERROR(INDEX(WEEK,SMALL(IF(COUNTIF($BA$3,MONTH), ROW(MONTH)-MIN(ROW(MONTH))+1),ROW(A132)),COLUMN(A132))),"",INDEX(WEEK,SMALL(IF(COUNTIF($BA$3,MONTH), ROW(MONTH)-MIN(ROW(MONTH))+1),ROW(A132)),COLUMN(A132)))</f>
        <v/>
      </c>
      <c r="BC137" t="str" cm="1">
        <f t="array" ref="BC137">IF(ISERROR(INDEX(RESULT_DAY,SMALL(IF(COUNTIF($BA$3,MONTH), ROW(MONTH)-MIN(ROW(MONTH))+1),ROW(A132)),COLUMN(A132))),"",INDEX(RESULT_DAY,SMALL(IF(COUNTIF($BA$3,MONTH), ROW(MONTH)-MIN(ROW(MONTH))+1),ROW(A132)),COLUMN(A132)))</f>
        <v/>
      </c>
      <c r="BD137" s="29" t="str">
        <f t="shared" si="52"/>
        <v/>
      </c>
      <c r="BE137" s="2" t="str" cm="1">
        <f t="array" ref="BE137">IF(ISERROR(INDEX(RESULT_DURATION,SMALL(IF(COUNTIF($BA$3,MONTH), ROW(MONTH)-MIN(ROW(MONTH))+1),ROW(A132)),COLUMN(A132))),"",INDEX(RESULT_DURATION,SMALL(IF(COUNTIF($BA$3,MONTH), ROW(MONTH)-MIN(ROW(MONTH))+1),ROW(A132)),COLUMN(A132)))</f>
        <v/>
      </c>
      <c r="BH137" t="str" cm="1">
        <f t="array" ref="BH137">IF(ISERROR(INDEX(RESULT_CATEGORIES,SMALL(IF(COUNTIF($BA$3,MONTH), ROW(MONTH)-MIN(ROW(MONTH))+1),ROW(A132)),COLUMN(A132))),"",INDEX(RESULT_CATEGORIES,SMALL(IF(COUNTIF($BA$3,MONTH), ROW(MONTH)-MIN(ROW(MONTH))+1),ROW(A132)),COLUMN(A132)))</f>
        <v/>
      </c>
      <c r="BI137" t="str" cm="1">
        <f t="array" ref="BI137">IF(ISERROR(INDEX(RESULTLOCATION,SMALL(IF(COUNTIF($BA$3,MONTH), ROW(MONTH)-MIN(ROW(MONTH))+1),ROW(A132)),COLUMN(A132))),"",INDEX(RESULTLOCATION,SMALL(IF(COUNTIF($BA$3,MONTH), ROW(MONTH)-MIN(ROW(MONTH))+1),ROW(A132)),COLUMN(A132)))</f>
        <v/>
      </c>
    </row>
    <row r="138" spans="53:61" x14ac:dyDescent="0.3">
      <c r="BA138" t="str" cm="1">
        <f t="array" ref="BA138">IF(ISERROR(INDEX(RESULT_SUBJECT,SMALL(IF(COUNTIF($BA$3,MONTH), ROW(MONTH)-MIN(ROW(MONTH))+1),ROW(A133)),COLUMN(A133))),"",INDEX(RESULT_SUBJECT,SMALL(IF(COUNTIF($BA$3,MONTH), ROW(MONTH)-MIN(ROW(MONTH))+1),ROW(A133)),COLUMN(A133)))</f>
        <v/>
      </c>
      <c r="BB138" t="str" cm="1">
        <f t="array" ref="BB138">IF(ISERROR(INDEX(WEEK,SMALL(IF(COUNTIF($BA$3,MONTH), ROW(MONTH)-MIN(ROW(MONTH))+1),ROW(A133)),COLUMN(A133))),"",INDEX(WEEK,SMALL(IF(COUNTIF($BA$3,MONTH), ROW(MONTH)-MIN(ROW(MONTH))+1),ROW(A133)),COLUMN(A133)))</f>
        <v/>
      </c>
      <c r="BC138" t="str" cm="1">
        <f t="array" ref="BC138">IF(ISERROR(INDEX(RESULT_DAY,SMALL(IF(COUNTIF($BA$3,MONTH), ROW(MONTH)-MIN(ROW(MONTH))+1),ROW(A133)),COLUMN(A133))),"",INDEX(RESULT_DAY,SMALL(IF(COUNTIF($BA$3,MONTH), ROW(MONTH)-MIN(ROW(MONTH))+1),ROW(A133)),COLUMN(A133)))</f>
        <v/>
      </c>
      <c r="BD138" s="29" t="str">
        <f t="shared" si="52"/>
        <v/>
      </c>
      <c r="BE138" s="2" t="str" cm="1">
        <f t="array" ref="BE138">IF(ISERROR(INDEX(RESULT_DURATION,SMALL(IF(COUNTIF($BA$3,MONTH), ROW(MONTH)-MIN(ROW(MONTH))+1),ROW(A133)),COLUMN(A133))),"",INDEX(RESULT_DURATION,SMALL(IF(COUNTIF($BA$3,MONTH), ROW(MONTH)-MIN(ROW(MONTH))+1),ROW(A133)),COLUMN(A133)))</f>
        <v/>
      </c>
      <c r="BH138" t="str" cm="1">
        <f t="array" ref="BH138">IF(ISERROR(INDEX(RESULT_CATEGORIES,SMALL(IF(COUNTIF($BA$3,MONTH), ROW(MONTH)-MIN(ROW(MONTH))+1),ROW(A133)),COLUMN(A133))),"",INDEX(RESULT_CATEGORIES,SMALL(IF(COUNTIF($BA$3,MONTH), ROW(MONTH)-MIN(ROW(MONTH))+1),ROW(A133)),COLUMN(A133)))</f>
        <v/>
      </c>
      <c r="BI138" t="str" cm="1">
        <f t="array" ref="BI138">IF(ISERROR(INDEX(RESULTLOCATION,SMALL(IF(COUNTIF($BA$3,MONTH), ROW(MONTH)-MIN(ROW(MONTH))+1),ROW(A133)),COLUMN(A133))),"",INDEX(RESULTLOCATION,SMALL(IF(COUNTIF($BA$3,MONTH), ROW(MONTH)-MIN(ROW(MONTH))+1),ROW(A133)),COLUMN(A133)))</f>
        <v/>
      </c>
    </row>
    <row r="139" spans="53:61" x14ac:dyDescent="0.3">
      <c r="BA139" t="str" cm="1">
        <f t="array" ref="BA139">IF(ISERROR(INDEX(RESULT_SUBJECT,SMALL(IF(COUNTIF($BA$3,MONTH), ROW(MONTH)-MIN(ROW(MONTH))+1),ROW(A134)),COLUMN(A134))),"",INDEX(RESULT_SUBJECT,SMALL(IF(COUNTIF($BA$3,MONTH), ROW(MONTH)-MIN(ROW(MONTH))+1),ROW(A134)),COLUMN(A134)))</f>
        <v/>
      </c>
      <c r="BB139" t="str" cm="1">
        <f t="array" ref="BB139">IF(ISERROR(INDEX(WEEK,SMALL(IF(COUNTIF($BA$3,MONTH), ROW(MONTH)-MIN(ROW(MONTH))+1),ROW(A134)),COLUMN(A134))),"",INDEX(WEEK,SMALL(IF(COUNTIF($BA$3,MONTH), ROW(MONTH)-MIN(ROW(MONTH))+1),ROW(A134)),COLUMN(A134)))</f>
        <v/>
      </c>
      <c r="BC139" t="str" cm="1">
        <f t="array" ref="BC139">IF(ISERROR(INDEX(RESULT_DAY,SMALL(IF(COUNTIF($BA$3,MONTH), ROW(MONTH)-MIN(ROW(MONTH))+1),ROW(A134)),COLUMN(A134))),"",INDEX(RESULT_DAY,SMALL(IF(COUNTIF($BA$3,MONTH), ROW(MONTH)-MIN(ROW(MONTH))+1),ROW(A134)),COLUMN(A134)))</f>
        <v/>
      </c>
      <c r="BD139" s="29" t="str">
        <f t="shared" si="52"/>
        <v/>
      </c>
      <c r="BE139" s="2" t="str" cm="1">
        <f t="array" ref="BE139">IF(ISERROR(INDEX(RESULT_DURATION,SMALL(IF(COUNTIF($BA$3,MONTH), ROW(MONTH)-MIN(ROW(MONTH))+1),ROW(A134)),COLUMN(A134))),"",INDEX(RESULT_DURATION,SMALL(IF(COUNTIF($BA$3,MONTH), ROW(MONTH)-MIN(ROW(MONTH))+1),ROW(A134)),COLUMN(A134)))</f>
        <v/>
      </c>
      <c r="BH139" t="str" cm="1">
        <f t="array" ref="BH139">IF(ISERROR(INDEX(RESULT_CATEGORIES,SMALL(IF(COUNTIF($BA$3,MONTH), ROW(MONTH)-MIN(ROW(MONTH))+1),ROW(A134)),COLUMN(A134))),"",INDEX(RESULT_CATEGORIES,SMALL(IF(COUNTIF($BA$3,MONTH), ROW(MONTH)-MIN(ROW(MONTH))+1),ROW(A134)),COLUMN(A134)))</f>
        <v/>
      </c>
      <c r="BI139" t="str" cm="1">
        <f t="array" ref="BI139">IF(ISERROR(INDEX(RESULTLOCATION,SMALL(IF(COUNTIF($BA$3,MONTH), ROW(MONTH)-MIN(ROW(MONTH))+1),ROW(A134)),COLUMN(A134))),"",INDEX(RESULTLOCATION,SMALL(IF(COUNTIF($BA$3,MONTH), ROW(MONTH)-MIN(ROW(MONTH))+1),ROW(A134)),COLUMN(A134)))</f>
        <v/>
      </c>
    </row>
    <row r="140" spans="53:61" x14ac:dyDescent="0.3">
      <c r="BA140" t="str" cm="1">
        <f t="array" ref="BA140">IF(ISERROR(INDEX(RESULT_SUBJECT,SMALL(IF(COUNTIF($BA$3,MONTH), ROW(MONTH)-MIN(ROW(MONTH))+1),ROW(A135)),COLUMN(A135))),"",INDEX(RESULT_SUBJECT,SMALL(IF(COUNTIF($BA$3,MONTH), ROW(MONTH)-MIN(ROW(MONTH))+1),ROW(A135)),COLUMN(A135)))</f>
        <v/>
      </c>
      <c r="BB140" t="str" cm="1">
        <f t="array" ref="BB140">IF(ISERROR(INDEX(WEEK,SMALL(IF(COUNTIF($BA$3,MONTH), ROW(MONTH)-MIN(ROW(MONTH))+1),ROW(A135)),COLUMN(A135))),"",INDEX(WEEK,SMALL(IF(COUNTIF($BA$3,MONTH), ROW(MONTH)-MIN(ROW(MONTH))+1),ROW(A135)),COLUMN(A135)))</f>
        <v/>
      </c>
      <c r="BC140" t="str" cm="1">
        <f t="array" ref="BC140">IF(ISERROR(INDEX(RESULT_DAY,SMALL(IF(COUNTIF($BA$3,MONTH), ROW(MONTH)-MIN(ROW(MONTH))+1),ROW(A135)),COLUMN(A135))),"",INDEX(RESULT_DAY,SMALL(IF(COUNTIF($BA$3,MONTH), ROW(MONTH)-MIN(ROW(MONTH))+1),ROW(A135)),COLUMN(A135)))</f>
        <v/>
      </c>
      <c r="BD140" s="29" t="str">
        <f t="shared" si="52"/>
        <v/>
      </c>
      <c r="BE140" s="2" t="str" cm="1">
        <f t="array" ref="BE140">IF(ISERROR(INDEX(RESULT_DURATION,SMALL(IF(COUNTIF($BA$3,MONTH), ROW(MONTH)-MIN(ROW(MONTH))+1),ROW(A135)),COLUMN(A135))),"",INDEX(RESULT_DURATION,SMALL(IF(COUNTIF($BA$3,MONTH), ROW(MONTH)-MIN(ROW(MONTH))+1),ROW(A135)),COLUMN(A135)))</f>
        <v/>
      </c>
      <c r="BH140" t="str" cm="1">
        <f t="array" ref="BH140">IF(ISERROR(INDEX(RESULT_CATEGORIES,SMALL(IF(COUNTIF($BA$3,MONTH), ROW(MONTH)-MIN(ROW(MONTH))+1),ROW(A135)),COLUMN(A135))),"",INDEX(RESULT_CATEGORIES,SMALL(IF(COUNTIF($BA$3,MONTH), ROW(MONTH)-MIN(ROW(MONTH))+1),ROW(A135)),COLUMN(A135)))</f>
        <v/>
      </c>
      <c r="BI140" t="str" cm="1">
        <f t="array" ref="BI140">IF(ISERROR(INDEX(RESULTLOCATION,SMALL(IF(COUNTIF($BA$3,MONTH), ROW(MONTH)-MIN(ROW(MONTH))+1),ROW(A135)),COLUMN(A135))),"",INDEX(RESULTLOCATION,SMALL(IF(COUNTIF($BA$3,MONTH), ROW(MONTH)-MIN(ROW(MONTH))+1),ROW(A135)),COLUMN(A135)))</f>
        <v/>
      </c>
    </row>
    <row r="141" spans="53:61" x14ac:dyDescent="0.3">
      <c r="BA141" t="str" cm="1">
        <f t="array" ref="BA141">IF(ISERROR(INDEX(RESULT_SUBJECT,SMALL(IF(COUNTIF($BA$3,MONTH), ROW(MONTH)-MIN(ROW(MONTH))+1),ROW(A136)),COLUMN(A136))),"",INDEX(RESULT_SUBJECT,SMALL(IF(COUNTIF($BA$3,MONTH), ROW(MONTH)-MIN(ROW(MONTH))+1),ROW(A136)),COLUMN(A136)))</f>
        <v/>
      </c>
      <c r="BB141" t="str" cm="1">
        <f t="array" ref="BB141">IF(ISERROR(INDEX(WEEK,SMALL(IF(COUNTIF($BA$3,MONTH), ROW(MONTH)-MIN(ROW(MONTH))+1),ROW(A136)),COLUMN(A136))),"",INDEX(WEEK,SMALL(IF(COUNTIF($BA$3,MONTH), ROW(MONTH)-MIN(ROW(MONTH))+1),ROW(A136)),COLUMN(A136)))</f>
        <v/>
      </c>
      <c r="BC141" t="str" cm="1">
        <f t="array" ref="BC141">IF(ISERROR(INDEX(RESULT_DAY,SMALL(IF(COUNTIF($BA$3,MONTH), ROW(MONTH)-MIN(ROW(MONTH))+1),ROW(A136)),COLUMN(A136))),"",INDEX(RESULT_DAY,SMALL(IF(COUNTIF($BA$3,MONTH), ROW(MONTH)-MIN(ROW(MONTH))+1),ROW(A136)),COLUMN(A136)))</f>
        <v/>
      </c>
      <c r="BD141" s="29" t="str">
        <f t="shared" si="52"/>
        <v/>
      </c>
      <c r="BE141" s="2" t="str" cm="1">
        <f t="array" ref="BE141">IF(ISERROR(INDEX(RESULT_DURATION,SMALL(IF(COUNTIF($BA$3,MONTH), ROW(MONTH)-MIN(ROW(MONTH))+1),ROW(A136)),COLUMN(A136))),"",INDEX(RESULT_DURATION,SMALL(IF(COUNTIF($BA$3,MONTH), ROW(MONTH)-MIN(ROW(MONTH))+1),ROW(A136)),COLUMN(A136)))</f>
        <v/>
      </c>
      <c r="BH141" t="str" cm="1">
        <f t="array" ref="BH141">IF(ISERROR(INDEX(RESULT_CATEGORIES,SMALL(IF(COUNTIF($BA$3,MONTH), ROW(MONTH)-MIN(ROW(MONTH))+1),ROW(A136)),COLUMN(A136))),"",INDEX(RESULT_CATEGORIES,SMALL(IF(COUNTIF($BA$3,MONTH), ROW(MONTH)-MIN(ROW(MONTH))+1),ROW(A136)),COLUMN(A136)))</f>
        <v/>
      </c>
      <c r="BI141" t="str" cm="1">
        <f t="array" ref="BI141">IF(ISERROR(INDEX(RESULTLOCATION,SMALL(IF(COUNTIF($BA$3,MONTH), ROW(MONTH)-MIN(ROW(MONTH))+1),ROW(A136)),COLUMN(A136))),"",INDEX(RESULTLOCATION,SMALL(IF(COUNTIF($BA$3,MONTH), ROW(MONTH)-MIN(ROW(MONTH))+1),ROW(A136)),COLUMN(A136)))</f>
        <v/>
      </c>
    </row>
    <row r="142" spans="53:61" x14ac:dyDescent="0.3">
      <c r="BA142" t="str" cm="1">
        <f t="array" ref="BA142">IF(ISERROR(INDEX(RESULT_SUBJECT,SMALL(IF(COUNTIF($BA$3,MONTH), ROW(MONTH)-MIN(ROW(MONTH))+1),ROW(A137)),COLUMN(A137))),"",INDEX(RESULT_SUBJECT,SMALL(IF(COUNTIF($BA$3,MONTH), ROW(MONTH)-MIN(ROW(MONTH))+1),ROW(A137)),COLUMN(A137)))</f>
        <v/>
      </c>
      <c r="BB142" t="str" cm="1">
        <f t="array" ref="BB142">IF(ISERROR(INDEX(WEEK,SMALL(IF(COUNTIF($BA$3,MONTH), ROW(MONTH)-MIN(ROW(MONTH))+1),ROW(A137)),COLUMN(A137))),"",INDEX(WEEK,SMALL(IF(COUNTIF($BA$3,MONTH), ROW(MONTH)-MIN(ROW(MONTH))+1),ROW(A137)),COLUMN(A137)))</f>
        <v/>
      </c>
      <c r="BC142" t="str" cm="1">
        <f t="array" ref="BC142">IF(ISERROR(INDEX(RESULT_DAY,SMALL(IF(COUNTIF($BA$3,MONTH), ROW(MONTH)-MIN(ROW(MONTH))+1),ROW(A137)),COLUMN(A137))),"",INDEX(RESULT_DAY,SMALL(IF(COUNTIF($BA$3,MONTH), ROW(MONTH)-MIN(ROW(MONTH))+1),ROW(A137)),COLUMN(A137)))</f>
        <v/>
      </c>
      <c r="BD142" s="29" t="str">
        <f t="shared" si="52"/>
        <v/>
      </c>
      <c r="BE142" s="2" t="str" cm="1">
        <f t="array" ref="BE142">IF(ISERROR(INDEX(RESULT_DURATION,SMALL(IF(COUNTIF($BA$3,MONTH), ROW(MONTH)-MIN(ROW(MONTH))+1),ROW(A137)),COLUMN(A137))),"",INDEX(RESULT_DURATION,SMALL(IF(COUNTIF($BA$3,MONTH), ROW(MONTH)-MIN(ROW(MONTH))+1),ROW(A137)),COLUMN(A137)))</f>
        <v/>
      </c>
      <c r="BH142" t="str" cm="1">
        <f t="array" ref="BH142">IF(ISERROR(INDEX(RESULT_CATEGORIES,SMALL(IF(COUNTIF($BA$3,MONTH), ROW(MONTH)-MIN(ROW(MONTH))+1),ROW(A137)),COLUMN(A137))),"",INDEX(RESULT_CATEGORIES,SMALL(IF(COUNTIF($BA$3,MONTH), ROW(MONTH)-MIN(ROW(MONTH))+1),ROW(A137)),COLUMN(A137)))</f>
        <v/>
      </c>
      <c r="BI142" t="str" cm="1">
        <f t="array" ref="BI142">IF(ISERROR(INDEX(RESULTLOCATION,SMALL(IF(COUNTIF($BA$3,MONTH), ROW(MONTH)-MIN(ROW(MONTH))+1),ROW(A137)),COLUMN(A137))),"",INDEX(RESULTLOCATION,SMALL(IF(COUNTIF($BA$3,MONTH), ROW(MONTH)-MIN(ROW(MONTH))+1),ROW(A137)),COLUMN(A137)))</f>
        <v/>
      </c>
    </row>
    <row r="143" spans="53:61" x14ac:dyDescent="0.3">
      <c r="BA143" t="str" cm="1">
        <f t="array" ref="BA143">IF(ISERROR(INDEX(RESULT_SUBJECT,SMALL(IF(COUNTIF($BA$3,MONTH), ROW(MONTH)-MIN(ROW(MONTH))+1),ROW(A138)),COLUMN(A138))),"",INDEX(RESULT_SUBJECT,SMALL(IF(COUNTIF($BA$3,MONTH), ROW(MONTH)-MIN(ROW(MONTH))+1),ROW(A138)),COLUMN(A138)))</f>
        <v/>
      </c>
      <c r="BB143" t="str" cm="1">
        <f t="array" ref="BB143">IF(ISERROR(INDEX(WEEK,SMALL(IF(COUNTIF($BA$3,MONTH), ROW(MONTH)-MIN(ROW(MONTH))+1),ROW(A138)),COLUMN(A138))),"",INDEX(WEEK,SMALL(IF(COUNTIF($BA$3,MONTH), ROW(MONTH)-MIN(ROW(MONTH))+1),ROW(A138)),COLUMN(A138)))</f>
        <v/>
      </c>
      <c r="BC143" t="str" cm="1">
        <f t="array" ref="BC143">IF(ISERROR(INDEX(RESULT_DAY,SMALL(IF(COUNTIF($BA$3,MONTH), ROW(MONTH)-MIN(ROW(MONTH))+1),ROW(A138)),COLUMN(A138))),"",INDEX(RESULT_DAY,SMALL(IF(COUNTIF($BA$3,MONTH), ROW(MONTH)-MIN(ROW(MONTH))+1),ROW(A138)),COLUMN(A138)))</f>
        <v/>
      </c>
      <c r="BD143" s="29" t="str">
        <f t="shared" si="52"/>
        <v/>
      </c>
      <c r="BE143" s="2" t="str" cm="1">
        <f t="array" ref="BE143">IF(ISERROR(INDEX(RESULT_DURATION,SMALL(IF(COUNTIF($BA$3,MONTH), ROW(MONTH)-MIN(ROW(MONTH))+1),ROW(A138)),COLUMN(A138))),"",INDEX(RESULT_DURATION,SMALL(IF(COUNTIF($BA$3,MONTH), ROW(MONTH)-MIN(ROW(MONTH))+1),ROW(A138)),COLUMN(A138)))</f>
        <v/>
      </c>
      <c r="BH143" t="str" cm="1">
        <f t="array" ref="BH143">IF(ISERROR(INDEX(RESULT_CATEGORIES,SMALL(IF(COUNTIF($BA$3,MONTH), ROW(MONTH)-MIN(ROW(MONTH))+1),ROW(A138)),COLUMN(A138))),"",INDEX(RESULT_CATEGORIES,SMALL(IF(COUNTIF($BA$3,MONTH), ROW(MONTH)-MIN(ROW(MONTH))+1),ROW(A138)),COLUMN(A138)))</f>
        <v/>
      </c>
      <c r="BI143" t="str" cm="1">
        <f t="array" ref="BI143">IF(ISERROR(INDEX(RESULTLOCATION,SMALL(IF(COUNTIF($BA$3,MONTH), ROW(MONTH)-MIN(ROW(MONTH))+1),ROW(A138)),COLUMN(A138))),"",INDEX(RESULTLOCATION,SMALL(IF(COUNTIF($BA$3,MONTH), ROW(MONTH)-MIN(ROW(MONTH))+1),ROW(A138)),COLUMN(A138)))</f>
        <v/>
      </c>
    </row>
    <row r="144" spans="53:61" x14ac:dyDescent="0.3">
      <c r="BA144" t="str" cm="1">
        <f t="array" ref="BA144">IF(ISERROR(INDEX(RESULT_SUBJECT,SMALL(IF(COUNTIF($BA$3,MONTH), ROW(MONTH)-MIN(ROW(MONTH))+1),ROW(A139)),COLUMN(A139))),"",INDEX(RESULT_SUBJECT,SMALL(IF(COUNTIF($BA$3,MONTH), ROW(MONTH)-MIN(ROW(MONTH))+1),ROW(A139)),COLUMN(A139)))</f>
        <v/>
      </c>
      <c r="BB144" t="str" cm="1">
        <f t="array" ref="BB144">IF(ISERROR(INDEX(WEEK,SMALL(IF(COUNTIF($BA$3,MONTH), ROW(MONTH)-MIN(ROW(MONTH))+1),ROW(A139)),COLUMN(A139))),"",INDEX(WEEK,SMALL(IF(COUNTIF($BA$3,MONTH), ROW(MONTH)-MIN(ROW(MONTH))+1),ROW(A139)),COLUMN(A139)))</f>
        <v/>
      </c>
      <c r="BC144" t="str" cm="1">
        <f t="array" ref="BC144">IF(ISERROR(INDEX(RESULT_DAY,SMALL(IF(COUNTIF($BA$3,MONTH), ROW(MONTH)-MIN(ROW(MONTH))+1),ROW(A139)),COLUMN(A139))),"",INDEX(RESULT_DAY,SMALL(IF(COUNTIF($BA$3,MONTH), ROW(MONTH)-MIN(ROW(MONTH))+1),ROW(A139)),COLUMN(A139)))</f>
        <v/>
      </c>
      <c r="BD144" s="29" t="str">
        <f t="shared" si="52"/>
        <v/>
      </c>
      <c r="BE144" s="2" t="str" cm="1">
        <f t="array" ref="BE144">IF(ISERROR(INDEX(RESULT_DURATION,SMALL(IF(COUNTIF($BA$3,MONTH), ROW(MONTH)-MIN(ROW(MONTH))+1),ROW(A139)),COLUMN(A139))),"",INDEX(RESULT_DURATION,SMALL(IF(COUNTIF($BA$3,MONTH), ROW(MONTH)-MIN(ROW(MONTH))+1),ROW(A139)),COLUMN(A139)))</f>
        <v/>
      </c>
      <c r="BH144" t="str" cm="1">
        <f t="array" ref="BH144">IF(ISERROR(INDEX(RESULT_CATEGORIES,SMALL(IF(COUNTIF($BA$3,MONTH), ROW(MONTH)-MIN(ROW(MONTH))+1),ROW(A139)),COLUMN(A139))),"",INDEX(RESULT_CATEGORIES,SMALL(IF(COUNTIF($BA$3,MONTH), ROW(MONTH)-MIN(ROW(MONTH))+1),ROW(A139)),COLUMN(A139)))</f>
        <v/>
      </c>
      <c r="BI144" t="str" cm="1">
        <f t="array" ref="BI144">IF(ISERROR(INDEX(RESULTLOCATION,SMALL(IF(COUNTIF($BA$3,MONTH), ROW(MONTH)-MIN(ROW(MONTH))+1),ROW(A139)),COLUMN(A139))),"",INDEX(RESULTLOCATION,SMALL(IF(COUNTIF($BA$3,MONTH), ROW(MONTH)-MIN(ROW(MONTH))+1),ROW(A139)),COLUMN(A139)))</f>
        <v/>
      </c>
    </row>
    <row r="145" spans="53:61" x14ac:dyDescent="0.3">
      <c r="BA145" t="str" cm="1">
        <f t="array" ref="BA145">IF(ISERROR(INDEX(RESULT_SUBJECT,SMALL(IF(COUNTIF($BA$3,MONTH), ROW(MONTH)-MIN(ROW(MONTH))+1),ROW(A140)),COLUMN(A140))),"",INDEX(RESULT_SUBJECT,SMALL(IF(COUNTIF($BA$3,MONTH), ROW(MONTH)-MIN(ROW(MONTH))+1),ROW(A140)),COLUMN(A140)))</f>
        <v/>
      </c>
      <c r="BB145" t="str" cm="1">
        <f t="array" ref="BB145">IF(ISERROR(INDEX(WEEK,SMALL(IF(COUNTIF($BA$3,MONTH), ROW(MONTH)-MIN(ROW(MONTH))+1),ROW(A140)),COLUMN(A140))),"",INDEX(WEEK,SMALL(IF(COUNTIF($BA$3,MONTH), ROW(MONTH)-MIN(ROW(MONTH))+1),ROW(A140)),COLUMN(A140)))</f>
        <v/>
      </c>
      <c r="BC145" t="str" cm="1">
        <f t="array" ref="BC145">IF(ISERROR(INDEX(RESULT_DAY,SMALL(IF(COUNTIF($BA$3,MONTH), ROW(MONTH)-MIN(ROW(MONTH))+1),ROW(A140)),COLUMN(A140))),"",INDEX(RESULT_DAY,SMALL(IF(COUNTIF($BA$3,MONTH), ROW(MONTH)-MIN(ROW(MONTH))+1),ROW(A140)),COLUMN(A140)))</f>
        <v/>
      </c>
      <c r="BD145" s="29" t="str">
        <f t="shared" si="52"/>
        <v/>
      </c>
      <c r="BE145" s="2" t="str" cm="1">
        <f t="array" ref="BE145">IF(ISERROR(INDEX(RESULT_DURATION,SMALL(IF(COUNTIF($BA$3,MONTH), ROW(MONTH)-MIN(ROW(MONTH))+1),ROW(A140)),COLUMN(A140))),"",INDEX(RESULT_DURATION,SMALL(IF(COUNTIF($BA$3,MONTH), ROW(MONTH)-MIN(ROW(MONTH))+1),ROW(A140)),COLUMN(A140)))</f>
        <v/>
      </c>
      <c r="BH145" t="str" cm="1">
        <f t="array" ref="BH145">IF(ISERROR(INDEX(RESULT_CATEGORIES,SMALL(IF(COUNTIF($BA$3,MONTH), ROW(MONTH)-MIN(ROW(MONTH))+1),ROW(A140)),COLUMN(A140))),"",INDEX(RESULT_CATEGORIES,SMALL(IF(COUNTIF($BA$3,MONTH), ROW(MONTH)-MIN(ROW(MONTH))+1),ROW(A140)),COLUMN(A140)))</f>
        <v/>
      </c>
      <c r="BI145" t="str" cm="1">
        <f t="array" ref="BI145">IF(ISERROR(INDEX(RESULTLOCATION,SMALL(IF(COUNTIF($BA$3,MONTH), ROW(MONTH)-MIN(ROW(MONTH))+1),ROW(A140)),COLUMN(A140))),"",INDEX(RESULTLOCATION,SMALL(IF(COUNTIF($BA$3,MONTH), ROW(MONTH)-MIN(ROW(MONTH))+1),ROW(A140)),COLUMN(A140)))</f>
        <v/>
      </c>
    </row>
    <row r="146" spans="53:61" x14ac:dyDescent="0.3">
      <c r="BA146" t="str" cm="1">
        <f t="array" ref="BA146">IF(ISERROR(INDEX(RESULT_SUBJECT,SMALL(IF(COUNTIF($BA$3,MONTH), ROW(MONTH)-MIN(ROW(MONTH))+1),ROW(A141)),COLUMN(A141))),"",INDEX(RESULT_SUBJECT,SMALL(IF(COUNTIF($BA$3,MONTH), ROW(MONTH)-MIN(ROW(MONTH))+1),ROW(A141)),COLUMN(A141)))</f>
        <v/>
      </c>
      <c r="BB146" t="str" cm="1">
        <f t="array" ref="BB146">IF(ISERROR(INDEX(WEEK,SMALL(IF(COUNTIF($BA$3,MONTH), ROW(MONTH)-MIN(ROW(MONTH))+1),ROW(A141)),COLUMN(A141))),"",INDEX(WEEK,SMALL(IF(COUNTIF($BA$3,MONTH), ROW(MONTH)-MIN(ROW(MONTH))+1),ROW(A141)),COLUMN(A141)))</f>
        <v/>
      </c>
      <c r="BC146" t="str" cm="1">
        <f t="array" ref="BC146">IF(ISERROR(INDEX(RESULT_DAY,SMALL(IF(COUNTIF($BA$3,MONTH), ROW(MONTH)-MIN(ROW(MONTH))+1),ROW(A141)),COLUMN(A141))),"",INDEX(RESULT_DAY,SMALL(IF(COUNTIF($BA$3,MONTH), ROW(MONTH)-MIN(ROW(MONTH))+1),ROW(A141)),COLUMN(A141)))</f>
        <v/>
      </c>
      <c r="BD146" s="29" t="str">
        <f t="shared" si="52"/>
        <v/>
      </c>
      <c r="BE146" s="2" t="str" cm="1">
        <f t="array" ref="BE146">IF(ISERROR(INDEX(RESULT_DURATION,SMALL(IF(COUNTIF($BA$3,MONTH), ROW(MONTH)-MIN(ROW(MONTH))+1),ROW(A141)),COLUMN(A141))),"",INDEX(RESULT_DURATION,SMALL(IF(COUNTIF($BA$3,MONTH), ROW(MONTH)-MIN(ROW(MONTH))+1),ROW(A141)),COLUMN(A141)))</f>
        <v/>
      </c>
      <c r="BH146" t="str" cm="1">
        <f t="array" ref="BH146">IF(ISERROR(INDEX(RESULT_CATEGORIES,SMALL(IF(COUNTIF($BA$3,MONTH), ROW(MONTH)-MIN(ROW(MONTH))+1),ROW(A141)),COLUMN(A141))),"",INDEX(RESULT_CATEGORIES,SMALL(IF(COUNTIF($BA$3,MONTH), ROW(MONTH)-MIN(ROW(MONTH))+1),ROW(A141)),COLUMN(A141)))</f>
        <v/>
      </c>
      <c r="BI146" t="str" cm="1">
        <f t="array" ref="BI146">IF(ISERROR(INDEX(RESULTLOCATION,SMALL(IF(COUNTIF($BA$3,MONTH), ROW(MONTH)-MIN(ROW(MONTH))+1),ROW(A141)),COLUMN(A141))),"",INDEX(RESULTLOCATION,SMALL(IF(COUNTIF($BA$3,MONTH), ROW(MONTH)-MIN(ROW(MONTH))+1),ROW(A141)),COLUMN(A141)))</f>
        <v/>
      </c>
    </row>
    <row r="147" spans="53:61" x14ac:dyDescent="0.3">
      <c r="BA147" t="str" cm="1">
        <f t="array" ref="BA147">IF(ISERROR(INDEX(RESULT_SUBJECT,SMALL(IF(COUNTIF($BA$3,MONTH), ROW(MONTH)-MIN(ROW(MONTH))+1),ROW(A142)),COLUMN(A142))),"",INDEX(RESULT_SUBJECT,SMALL(IF(COUNTIF($BA$3,MONTH), ROW(MONTH)-MIN(ROW(MONTH))+1),ROW(A142)),COLUMN(A142)))</f>
        <v/>
      </c>
      <c r="BB147" t="str" cm="1">
        <f t="array" ref="BB147">IF(ISERROR(INDEX(WEEK,SMALL(IF(COUNTIF($BA$3,MONTH), ROW(MONTH)-MIN(ROW(MONTH))+1),ROW(A142)),COLUMN(A142))),"",INDEX(WEEK,SMALL(IF(COUNTIF($BA$3,MONTH), ROW(MONTH)-MIN(ROW(MONTH))+1),ROW(A142)),COLUMN(A142)))</f>
        <v/>
      </c>
      <c r="BC147" t="str" cm="1">
        <f t="array" ref="BC147">IF(ISERROR(INDEX(RESULT_DAY,SMALL(IF(COUNTIF($BA$3,MONTH), ROW(MONTH)-MIN(ROW(MONTH))+1),ROW(A142)),COLUMN(A142))),"",INDEX(RESULT_DAY,SMALL(IF(COUNTIF($BA$3,MONTH), ROW(MONTH)-MIN(ROW(MONTH))+1),ROW(A142)),COLUMN(A142)))</f>
        <v/>
      </c>
      <c r="BD147" s="29" t="str">
        <f t="shared" si="52"/>
        <v/>
      </c>
      <c r="BE147" s="2" t="str" cm="1">
        <f t="array" ref="BE147">IF(ISERROR(INDEX(RESULT_DURATION,SMALL(IF(COUNTIF($BA$3,MONTH), ROW(MONTH)-MIN(ROW(MONTH))+1),ROW(A142)),COLUMN(A142))),"",INDEX(RESULT_DURATION,SMALL(IF(COUNTIF($BA$3,MONTH), ROW(MONTH)-MIN(ROW(MONTH))+1),ROW(A142)),COLUMN(A142)))</f>
        <v/>
      </c>
      <c r="BH147" t="str" cm="1">
        <f t="array" ref="BH147">IF(ISERROR(INDEX(RESULT_CATEGORIES,SMALL(IF(COUNTIF($BA$3,MONTH), ROW(MONTH)-MIN(ROW(MONTH))+1),ROW(A142)),COLUMN(A142))),"",INDEX(RESULT_CATEGORIES,SMALL(IF(COUNTIF($BA$3,MONTH), ROW(MONTH)-MIN(ROW(MONTH))+1),ROW(A142)),COLUMN(A142)))</f>
        <v/>
      </c>
      <c r="BI147" t="str" cm="1">
        <f t="array" ref="BI147">IF(ISERROR(INDEX(RESULTLOCATION,SMALL(IF(COUNTIF($BA$3,MONTH), ROW(MONTH)-MIN(ROW(MONTH))+1),ROW(A142)),COLUMN(A142))),"",INDEX(RESULTLOCATION,SMALL(IF(COUNTIF($BA$3,MONTH), ROW(MONTH)-MIN(ROW(MONTH))+1),ROW(A142)),COLUMN(A142)))</f>
        <v/>
      </c>
    </row>
    <row r="148" spans="53:61" x14ac:dyDescent="0.3">
      <c r="BA148" t="str" cm="1">
        <f t="array" ref="BA148">IF(ISERROR(INDEX(RESULT_SUBJECT,SMALL(IF(COUNTIF($BA$3,MONTH), ROW(MONTH)-MIN(ROW(MONTH))+1),ROW(A143)),COLUMN(A143))),"",INDEX(RESULT_SUBJECT,SMALL(IF(COUNTIF($BA$3,MONTH), ROW(MONTH)-MIN(ROW(MONTH))+1),ROW(A143)),COLUMN(A143)))</f>
        <v/>
      </c>
      <c r="BB148" t="str" cm="1">
        <f t="array" ref="BB148">IF(ISERROR(INDEX(WEEK,SMALL(IF(COUNTIF($BA$3,MONTH), ROW(MONTH)-MIN(ROW(MONTH))+1),ROW(A143)),COLUMN(A143))),"",INDEX(WEEK,SMALL(IF(COUNTIF($BA$3,MONTH), ROW(MONTH)-MIN(ROW(MONTH))+1),ROW(A143)),COLUMN(A143)))</f>
        <v/>
      </c>
      <c r="BC148" t="str" cm="1">
        <f t="array" ref="BC148">IF(ISERROR(INDEX(RESULT_DAY,SMALL(IF(COUNTIF($BA$3,MONTH), ROW(MONTH)-MIN(ROW(MONTH))+1),ROW(A143)),COLUMN(A143))),"",INDEX(RESULT_DAY,SMALL(IF(COUNTIF($BA$3,MONTH), ROW(MONTH)-MIN(ROW(MONTH))+1),ROW(A143)),COLUMN(A143)))</f>
        <v/>
      </c>
      <c r="BD148" s="29" t="str">
        <f t="shared" si="52"/>
        <v/>
      </c>
      <c r="BE148" s="2" t="str" cm="1">
        <f t="array" ref="BE148">IF(ISERROR(INDEX(RESULT_DURATION,SMALL(IF(COUNTIF($BA$3,MONTH), ROW(MONTH)-MIN(ROW(MONTH))+1),ROW(A143)),COLUMN(A143))),"",INDEX(RESULT_DURATION,SMALL(IF(COUNTIF($BA$3,MONTH), ROW(MONTH)-MIN(ROW(MONTH))+1),ROW(A143)),COLUMN(A143)))</f>
        <v/>
      </c>
      <c r="BH148" t="str" cm="1">
        <f t="array" ref="BH148">IF(ISERROR(INDEX(RESULT_CATEGORIES,SMALL(IF(COUNTIF($BA$3,MONTH), ROW(MONTH)-MIN(ROW(MONTH))+1),ROW(A143)),COLUMN(A143))),"",INDEX(RESULT_CATEGORIES,SMALL(IF(COUNTIF($BA$3,MONTH), ROW(MONTH)-MIN(ROW(MONTH))+1),ROW(A143)),COLUMN(A143)))</f>
        <v/>
      </c>
      <c r="BI148" t="str" cm="1">
        <f t="array" ref="BI148">IF(ISERROR(INDEX(RESULTLOCATION,SMALL(IF(COUNTIF($BA$3,MONTH), ROW(MONTH)-MIN(ROW(MONTH))+1),ROW(A143)),COLUMN(A143))),"",INDEX(RESULTLOCATION,SMALL(IF(COUNTIF($BA$3,MONTH), ROW(MONTH)-MIN(ROW(MONTH))+1),ROW(A143)),COLUMN(A143)))</f>
        <v/>
      </c>
    </row>
    <row r="149" spans="53:61" x14ac:dyDescent="0.3">
      <c r="BA149" t="str" cm="1">
        <f t="array" ref="BA149">IF(ISERROR(INDEX(RESULT_SUBJECT,SMALL(IF(COUNTIF($BA$3,MONTH), ROW(MONTH)-MIN(ROW(MONTH))+1),ROW(A144)),COLUMN(A144))),"",INDEX(RESULT_SUBJECT,SMALL(IF(COUNTIF($BA$3,MONTH), ROW(MONTH)-MIN(ROW(MONTH))+1),ROW(A144)),COLUMN(A144)))</f>
        <v/>
      </c>
      <c r="BB149" t="str" cm="1">
        <f t="array" ref="BB149">IF(ISERROR(INDEX(WEEK,SMALL(IF(COUNTIF($BA$3,MONTH), ROW(MONTH)-MIN(ROW(MONTH))+1),ROW(A144)),COLUMN(A144))),"",INDEX(WEEK,SMALL(IF(COUNTIF($BA$3,MONTH), ROW(MONTH)-MIN(ROW(MONTH))+1),ROW(A144)),COLUMN(A144)))</f>
        <v/>
      </c>
      <c r="BC149" t="str" cm="1">
        <f t="array" ref="BC149">IF(ISERROR(INDEX(RESULT_DAY,SMALL(IF(COUNTIF($BA$3,MONTH), ROW(MONTH)-MIN(ROW(MONTH))+1),ROW(A144)),COLUMN(A144))),"",INDEX(RESULT_DAY,SMALL(IF(COUNTIF($BA$3,MONTH), ROW(MONTH)-MIN(ROW(MONTH))+1),ROW(A144)),COLUMN(A144)))</f>
        <v/>
      </c>
      <c r="BD149" s="29" t="str">
        <f t="shared" si="52"/>
        <v/>
      </c>
      <c r="BE149" s="2" t="str" cm="1">
        <f t="array" ref="BE149">IF(ISERROR(INDEX(RESULT_DURATION,SMALL(IF(COUNTIF($BA$3,MONTH), ROW(MONTH)-MIN(ROW(MONTH))+1),ROW(A144)),COLUMN(A144))),"",INDEX(RESULT_DURATION,SMALL(IF(COUNTIF($BA$3,MONTH), ROW(MONTH)-MIN(ROW(MONTH))+1),ROW(A144)),COLUMN(A144)))</f>
        <v/>
      </c>
      <c r="BH149" t="str" cm="1">
        <f t="array" ref="BH149">IF(ISERROR(INDEX(RESULT_CATEGORIES,SMALL(IF(COUNTIF($BA$3,MONTH), ROW(MONTH)-MIN(ROW(MONTH))+1),ROW(A144)),COLUMN(A144))),"",INDEX(RESULT_CATEGORIES,SMALL(IF(COUNTIF($BA$3,MONTH), ROW(MONTH)-MIN(ROW(MONTH))+1),ROW(A144)),COLUMN(A144)))</f>
        <v/>
      </c>
      <c r="BI149" t="str" cm="1">
        <f t="array" ref="BI149">IF(ISERROR(INDEX(RESULTLOCATION,SMALL(IF(COUNTIF($BA$3,MONTH), ROW(MONTH)-MIN(ROW(MONTH))+1),ROW(A144)),COLUMN(A144))),"",INDEX(RESULTLOCATION,SMALL(IF(COUNTIF($BA$3,MONTH), ROW(MONTH)-MIN(ROW(MONTH))+1),ROW(A144)),COLUMN(A144)))</f>
        <v/>
      </c>
    </row>
    <row r="150" spans="53:61" x14ac:dyDescent="0.3">
      <c r="BA150" t="str" cm="1">
        <f t="array" ref="BA150">IF(ISERROR(INDEX(RESULT_SUBJECT,SMALL(IF(COUNTIF($BA$3,MONTH), ROW(MONTH)-MIN(ROW(MONTH))+1),ROW(A145)),COLUMN(A145))),"",INDEX(RESULT_SUBJECT,SMALL(IF(COUNTIF($BA$3,MONTH), ROW(MONTH)-MIN(ROW(MONTH))+1),ROW(A145)),COLUMN(A145)))</f>
        <v/>
      </c>
      <c r="BB150" t="str" cm="1">
        <f t="array" ref="BB150">IF(ISERROR(INDEX(WEEK,SMALL(IF(COUNTIF($BA$3,MONTH), ROW(MONTH)-MIN(ROW(MONTH))+1),ROW(A145)),COLUMN(A145))),"",INDEX(WEEK,SMALL(IF(COUNTIF($BA$3,MONTH), ROW(MONTH)-MIN(ROW(MONTH))+1),ROW(A145)),COLUMN(A145)))</f>
        <v/>
      </c>
      <c r="BC150" t="str" cm="1">
        <f t="array" ref="BC150">IF(ISERROR(INDEX(RESULT_DAY,SMALL(IF(COUNTIF($BA$3,MONTH), ROW(MONTH)-MIN(ROW(MONTH))+1),ROW(A145)),COLUMN(A145))),"",INDEX(RESULT_DAY,SMALL(IF(COUNTIF($BA$3,MONTH), ROW(MONTH)-MIN(ROW(MONTH))+1),ROW(A145)),COLUMN(A145)))</f>
        <v/>
      </c>
      <c r="BD150" s="29" t="str">
        <f t="shared" si="52"/>
        <v/>
      </c>
      <c r="BE150" s="2" t="str" cm="1">
        <f t="array" ref="BE150">IF(ISERROR(INDEX(RESULT_DURATION,SMALL(IF(COUNTIF($BA$3,MONTH), ROW(MONTH)-MIN(ROW(MONTH))+1),ROW(A145)),COLUMN(A145))),"",INDEX(RESULT_DURATION,SMALL(IF(COUNTIF($BA$3,MONTH), ROW(MONTH)-MIN(ROW(MONTH))+1),ROW(A145)),COLUMN(A145)))</f>
        <v/>
      </c>
      <c r="BH150" t="str" cm="1">
        <f t="array" ref="BH150">IF(ISERROR(INDEX(RESULT_CATEGORIES,SMALL(IF(COUNTIF($BA$3,MONTH), ROW(MONTH)-MIN(ROW(MONTH))+1),ROW(A145)),COLUMN(A145))),"",INDEX(RESULT_CATEGORIES,SMALL(IF(COUNTIF($BA$3,MONTH), ROW(MONTH)-MIN(ROW(MONTH))+1),ROW(A145)),COLUMN(A145)))</f>
        <v/>
      </c>
      <c r="BI150" t="str" cm="1">
        <f t="array" ref="BI150">IF(ISERROR(INDEX(RESULTLOCATION,SMALL(IF(COUNTIF($BA$3,MONTH), ROW(MONTH)-MIN(ROW(MONTH))+1),ROW(A145)),COLUMN(A145))),"",INDEX(RESULTLOCATION,SMALL(IF(COUNTIF($BA$3,MONTH), ROW(MONTH)-MIN(ROW(MONTH))+1),ROW(A145)),COLUMN(A145)))</f>
        <v/>
      </c>
    </row>
    <row r="151" spans="53:61" x14ac:dyDescent="0.3">
      <c r="BA151" t="str" cm="1">
        <f t="array" ref="BA151">IF(ISERROR(INDEX(RESULT_SUBJECT,SMALL(IF(COUNTIF($BA$3,MONTH), ROW(MONTH)-MIN(ROW(MONTH))+1),ROW(A146)),COLUMN(A146))),"",INDEX(RESULT_SUBJECT,SMALL(IF(COUNTIF($BA$3,MONTH), ROW(MONTH)-MIN(ROW(MONTH))+1),ROW(A146)),COLUMN(A146)))</f>
        <v/>
      </c>
      <c r="BB151" t="str" cm="1">
        <f t="array" ref="BB151">IF(ISERROR(INDEX(WEEK,SMALL(IF(COUNTIF($BA$3,MONTH), ROW(MONTH)-MIN(ROW(MONTH))+1),ROW(A146)),COLUMN(A146))),"",INDEX(WEEK,SMALL(IF(COUNTIF($BA$3,MONTH), ROW(MONTH)-MIN(ROW(MONTH))+1),ROW(A146)),COLUMN(A146)))</f>
        <v/>
      </c>
      <c r="BC151" t="str" cm="1">
        <f t="array" ref="BC151">IF(ISERROR(INDEX(RESULT_DAY,SMALL(IF(COUNTIF($BA$3,MONTH), ROW(MONTH)-MIN(ROW(MONTH))+1),ROW(A146)),COLUMN(A146))),"",INDEX(RESULT_DAY,SMALL(IF(COUNTIF($BA$3,MONTH), ROW(MONTH)-MIN(ROW(MONTH))+1),ROW(A146)),COLUMN(A146)))</f>
        <v/>
      </c>
      <c r="BD151" s="29" t="str">
        <f t="shared" si="52"/>
        <v/>
      </c>
      <c r="BE151" s="2" t="str" cm="1">
        <f t="array" ref="BE151">IF(ISERROR(INDEX(RESULT_DURATION,SMALL(IF(COUNTIF($BA$3,MONTH), ROW(MONTH)-MIN(ROW(MONTH))+1),ROW(A146)),COLUMN(A146))),"",INDEX(RESULT_DURATION,SMALL(IF(COUNTIF($BA$3,MONTH), ROW(MONTH)-MIN(ROW(MONTH))+1),ROW(A146)),COLUMN(A146)))</f>
        <v/>
      </c>
      <c r="BH151" t="str" cm="1">
        <f t="array" ref="BH151">IF(ISERROR(INDEX(RESULT_CATEGORIES,SMALL(IF(COUNTIF($BA$3,MONTH), ROW(MONTH)-MIN(ROW(MONTH))+1),ROW(A146)),COLUMN(A146))),"",INDEX(RESULT_CATEGORIES,SMALL(IF(COUNTIF($BA$3,MONTH), ROW(MONTH)-MIN(ROW(MONTH))+1),ROW(A146)),COLUMN(A146)))</f>
        <v/>
      </c>
      <c r="BI151" t="str" cm="1">
        <f t="array" ref="BI151">IF(ISERROR(INDEX(RESULTLOCATION,SMALL(IF(COUNTIF($BA$3,MONTH), ROW(MONTH)-MIN(ROW(MONTH))+1),ROW(A146)),COLUMN(A146))),"",INDEX(RESULTLOCATION,SMALL(IF(COUNTIF($BA$3,MONTH), ROW(MONTH)-MIN(ROW(MONTH))+1),ROW(A146)),COLUMN(A146)))</f>
        <v/>
      </c>
    </row>
    <row r="152" spans="53:61" x14ac:dyDescent="0.3">
      <c r="BA152" t="str" cm="1">
        <f t="array" ref="BA152">IF(ISERROR(INDEX(RESULT_SUBJECT,SMALL(IF(COUNTIF($BA$3,MONTH), ROW(MONTH)-MIN(ROW(MONTH))+1),ROW(A147)),COLUMN(A147))),"",INDEX(RESULT_SUBJECT,SMALL(IF(COUNTIF($BA$3,MONTH), ROW(MONTH)-MIN(ROW(MONTH))+1),ROW(A147)),COLUMN(A147)))</f>
        <v/>
      </c>
      <c r="BB152" t="str" cm="1">
        <f t="array" ref="BB152">IF(ISERROR(INDEX(WEEK,SMALL(IF(COUNTIF($BA$3,MONTH), ROW(MONTH)-MIN(ROW(MONTH))+1),ROW(A147)),COLUMN(A147))),"",INDEX(WEEK,SMALL(IF(COUNTIF($BA$3,MONTH), ROW(MONTH)-MIN(ROW(MONTH))+1),ROW(A147)),COLUMN(A147)))</f>
        <v/>
      </c>
      <c r="BC152" t="str" cm="1">
        <f t="array" ref="BC152">IF(ISERROR(INDEX(RESULT_DAY,SMALL(IF(COUNTIF($BA$3,MONTH), ROW(MONTH)-MIN(ROW(MONTH))+1),ROW(A147)),COLUMN(A147))),"",INDEX(RESULT_DAY,SMALL(IF(COUNTIF($BA$3,MONTH), ROW(MONTH)-MIN(ROW(MONTH))+1),ROW(A147)),COLUMN(A147)))</f>
        <v/>
      </c>
      <c r="BD152" s="29" t="str">
        <f t="shared" si="52"/>
        <v/>
      </c>
      <c r="BE152" s="2" t="str" cm="1">
        <f t="array" ref="BE152">IF(ISERROR(INDEX(RESULT_DURATION,SMALL(IF(COUNTIF($BA$3,MONTH), ROW(MONTH)-MIN(ROW(MONTH))+1),ROW(A147)),COLUMN(A147))),"",INDEX(RESULT_DURATION,SMALL(IF(COUNTIF($BA$3,MONTH), ROW(MONTH)-MIN(ROW(MONTH))+1),ROW(A147)),COLUMN(A147)))</f>
        <v/>
      </c>
      <c r="BH152" t="str" cm="1">
        <f t="array" ref="BH152">IF(ISERROR(INDEX(RESULT_CATEGORIES,SMALL(IF(COUNTIF($BA$3,MONTH), ROW(MONTH)-MIN(ROW(MONTH))+1),ROW(A147)),COLUMN(A147))),"",INDEX(RESULT_CATEGORIES,SMALL(IF(COUNTIF($BA$3,MONTH), ROW(MONTH)-MIN(ROW(MONTH))+1),ROW(A147)),COLUMN(A147)))</f>
        <v/>
      </c>
      <c r="BI152" t="str" cm="1">
        <f t="array" ref="BI152">IF(ISERROR(INDEX(RESULTLOCATION,SMALL(IF(COUNTIF($BA$3,MONTH), ROW(MONTH)-MIN(ROW(MONTH))+1),ROW(A147)),COLUMN(A147))),"",INDEX(RESULTLOCATION,SMALL(IF(COUNTIF($BA$3,MONTH), ROW(MONTH)-MIN(ROW(MONTH))+1),ROW(A147)),COLUMN(A147)))</f>
        <v/>
      </c>
    </row>
    <row r="153" spans="53:61" x14ac:dyDescent="0.3">
      <c r="BA153" t="str" cm="1">
        <f t="array" ref="BA153">IF(ISERROR(INDEX(RESULT_SUBJECT,SMALL(IF(COUNTIF($BA$3,MONTH), ROW(MONTH)-MIN(ROW(MONTH))+1),ROW(A148)),COLUMN(A148))),"",INDEX(RESULT_SUBJECT,SMALL(IF(COUNTIF($BA$3,MONTH), ROW(MONTH)-MIN(ROW(MONTH))+1),ROW(A148)),COLUMN(A148)))</f>
        <v/>
      </c>
      <c r="BB153" t="str" cm="1">
        <f t="array" ref="BB153">IF(ISERROR(INDEX(WEEK,SMALL(IF(COUNTIF($BA$3,MONTH), ROW(MONTH)-MIN(ROW(MONTH))+1),ROW(A148)),COLUMN(A148))),"",INDEX(WEEK,SMALL(IF(COUNTIF($BA$3,MONTH), ROW(MONTH)-MIN(ROW(MONTH))+1),ROW(A148)),COLUMN(A148)))</f>
        <v/>
      </c>
      <c r="BC153" t="str" cm="1">
        <f t="array" ref="BC153">IF(ISERROR(INDEX(RESULT_DAY,SMALL(IF(COUNTIF($BA$3,MONTH), ROW(MONTH)-MIN(ROW(MONTH))+1),ROW(A148)),COLUMN(A148))),"",INDEX(RESULT_DAY,SMALL(IF(COUNTIF($BA$3,MONTH), ROW(MONTH)-MIN(ROW(MONTH))+1),ROW(A148)),COLUMN(A148)))</f>
        <v/>
      </c>
      <c r="BD153" s="29" t="str">
        <f t="shared" si="52"/>
        <v/>
      </c>
      <c r="BE153" s="2" t="str" cm="1">
        <f t="array" ref="BE153">IF(ISERROR(INDEX(RESULT_DURATION,SMALL(IF(COUNTIF($BA$3,MONTH), ROW(MONTH)-MIN(ROW(MONTH))+1),ROW(A148)),COLUMN(A148))),"",INDEX(RESULT_DURATION,SMALL(IF(COUNTIF($BA$3,MONTH), ROW(MONTH)-MIN(ROW(MONTH))+1),ROW(A148)),COLUMN(A148)))</f>
        <v/>
      </c>
      <c r="BH153" t="str" cm="1">
        <f t="array" ref="BH153">IF(ISERROR(INDEX(RESULT_CATEGORIES,SMALL(IF(COUNTIF($BA$3,MONTH), ROW(MONTH)-MIN(ROW(MONTH))+1),ROW(A148)),COLUMN(A148))),"",INDEX(RESULT_CATEGORIES,SMALL(IF(COUNTIF($BA$3,MONTH), ROW(MONTH)-MIN(ROW(MONTH))+1),ROW(A148)),COLUMN(A148)))</f>
        <v/>
      </c>
      <c r="BI153" t="str" cm="1">
        <f t="array" ref="BI153">IF(ISERROR(INDEX(RESULTLOCATION,SMALL(IF(COUNTIF($BA$3,MONTH), ROW(MONTH)-MIN(ROW(MONTH))+1),ROW(A148)),COLUMN(A148))),"",INDEX(RESULTLOCATION,SMALL(IF(COUNTIF($BA$3,MONTH), ROW(MONTH)-MIN(ROW(MONTH))+1),ROW(A148)),COLUMN(A148)))</f>
        <v/>
      </c>
    </row>
    <row r="154" spans="53:61" x14ac:dyDescent="0.3">
      <c r="BA154" t="str" cm="1">
        <f t="array" ref="BA154">IF(ISERROR(INDEX(RESULT_SUBJECT,SMALL(IF(COUNTIF($BA$3,MONTH), ROW(MONTH)-MIN(ROW(MONTH))+1),ROW(A149)),COLUMN(A149))),"",INDEX(RESULT_SUBJECT,SMALL(IF(COUNTIF($BA$3,MONTH), ROW(MONTH)-MIN(ROW(MONTH))+1),ROW(A149)),COLUMN(A149)))</f>
        <v/>
      </c>
      <c r="BB154" t="str" cm="1">
        <f t="array" ref="BB154">IF(ISERROR(INDEX(WEEK,SMALL(IF(COUNTIF($BA$3,MONTH), ROW(MONTH)-MIN(ROW(MONTH))+1),ROW(A149)),COLUMN(A149))),"",INDEX(WEEK,SMALL(IF(COUNTIF($BA$3,MONTH), ROW(MONTH)-MIN(ROW(MONTH))+1),ROW(A149)),COLUMN(A149)))</f>
        <v/>
      </c>
      <c r="BC154" t="str" cm="1">
        <f t="array" ref="BC154">IF(ISERROR(INDEX(RESULT_DAY,SMALL(IF(COUNTIF($BA$3,MONTH), ROW(MONTH)-MIN(ROW(MONTH))+1),ROW(A149)),COLUMN(A149))),"",INDEX(RESULT_DAY,SMALL(IF(COUNTIF($BA$3,MONTH), ROW(MONTH)-MIN(ROW(MONTH))+1),ROW(A149)),COLUMN(A149)))</f>
        <v/>
      </c>
      <c r="BD154" s="29" t="str">
        <f t="shared" si="52"/>
        <v/>
      </c>
      <c r="BE154" s="2" t="str" cm="1">
        <f t="array" ref="BE154">IF(ISERROR(INDEX(RESULT_DURATION,SMALL(IF(COUNTIF($BA$3,MONTH), ROW(MONTH)-MIN(ROW(MONTH))+1),ROW(A149)),COLUMN(A149))),"",INDEX(RESULT_DURATION,SMALL(IF(COUNTIF($BA$3,MONTH), ROW(MONTH)-MIN(ROW(MONTH))+1),ROW(A149)),COLUMN(A149)))</f>
        <v/>
      </c>
      <c r="BH154" t="str" cm="1">
        <f t="array" ref="BH154">IF(ISERROR(INDEX(RESULT_CATEGORIES,SMALL(IF(COUNTIF($BA$3,MONTH), ROW(MONTH)-MIN(ROW(MONTH))+1),ROW(A149)),COLUMN(A149))),"",INDEX(RESULT_CATEGORIES,SMALL(IF(COUNTIF($BA$3,MONTH), ROW(MONTH)-MIN(ROW(MONTH))+1),ROW(A149)),COLUMN(A149)))</f>
        <v/>
      </c>
      <c r="BI154" t="str" cm="1">
        <f t="array" ref="BI154">IF(ISERROR(INDEX(RESULTLOCATION,SMALL(IF(COUNTIF($BA$3,MONTH), ROW(MONTH)-MIN(ROW(MONTH))+1),ROW(A149)),COLUMN(A149))),"",INDEX(RESULTLOCATION,SMALL(IF(COUNTIF($BA$3,MONTH), ROW(MONTH)-MIN(ROW(MONTH))+1),ROW(A149)),COLUMN(A149)))</f>
        <v/>
      </c>
    </row>
    <row r="155" spans="53:61" x14ac:dyDescent="0.3">
      <c r="BA155" t="str" cm="1">
        <f t="array" ref="BA155">IF(ISERROR(INDEX(RESULT_SUBJECT,SMALL(IF(COUNTIF($BA$3,MONTH), ROW(MONTH)-MIN(ROW(MONTH))+1),ROW(A150)),COLUMN(A150))),"",INDEX(RESULT_SUBJECT,SMALL(IF(COUNTIF($BA$3,MONTH), ROW(MONTH)-MIN(ROW(MONTH))+1),ROW(A150)),COLUMN(A150)))</f>
        <v/>
      </c>
      <c r="BB155" t="str" cm="1">
        <f t="array" ref="BB155">IF(ISERROR(INDEX(WEEK,SMALL(IF(COUNTIF($BA$3,MONTH), ROW(MONTH)-MIN(ROW(MONTH))+1),ROW(A150)),COLUMN(A150))),"",INDEX(WEEK,SMALL(IF(COUNTIF($BA$3,MONTH), ROW(MONTH)-MIN(ROW(MONTH))+1),ROW(A150)),COLUMN(A150)))</f>
        <v/>
      </c>
      <c r="BC155" t="str" cm="1">
        <f t="array" ref="BC155">IF(ISERROR(INDEX(RESULT_DAY,SMALL(IF(COUNTIF($BA$3,MONTH), ROW(MONTH)-MIN(ROW(MONTH))+1),ROW(A150)),COLUMN(A150))),"",INDEX(RESULT_DAY,SMALL(IF(COUNTIF($BA$3,MONTH), ROW(MONTH)-MIN(ROW(MONTH))+1),ROW(A150)),COLUMN(A150)))</f>
        <v/>
      </c>
      <c r="BD155" s="29" t="str">
        <f t="shared" si="52"/>
        <v/>
      </c>
      <c r="BE155" s="2" t="str" cm="1">
        <f t="array" ref="BE155">IF(ISERROR(INDEX(RESULT_DURATION,SMALL(IF(COUNTIF($BA$3,MONTH), ROW(MONTH)-MIN(ROW(MONTH))+1),ROW(A150)),COLUMN(A150))),"",INDEX(RESULT_DURATION,SMALL(IF(COUNTIF($BA$3,MONTH), ROW(MONTH)-MIN(ROW(MONTH))+1),ROW(A150)),COLUMN(A150)))</f>
        <v/>
      </c>
      <c r="BH155" t="str" cm="1">
        <f t="array" ref="BH155">IF(ISERROR(INDEX(RESULT_CATEGORIES,SMALL(IF(COUNTIF($BA$3,MONTH), ROW(MONTH)-MIN(ROW(MONTH))+1),ROW(A150)),COLUMN(A150))),"",INDEX(RESULT_CATEGORIES,SMALL(IF(COUNTIF($BA$3,MONTH), ROW(MONTH)-MIN(ROW(MONTH))+1),ROW(A150)),COLUMN(A150)))</f>
        <v/>
      </c>
      <c r="BI155" t="str" cm="1">
        <f t="array" ref="BI155">IF(ISERROR(INDEX(RESULTLOCATION,SMALL(IF(COUNTIF($BA$3,MONTH), ROW(MONTH)-MIN(ROW(MONTH))+1),ROW(A150)),COLUMN(A150))),"",INDEX(RESULTLOCATION,SMALL(IF(COUNTIF($BA$3,MONTH), ROW(MONTH)-MIN(ROW(MONTH))+1),ROW(A150)),COLUMN(A150)))</f>
        <v/>
      </c>
    </row>
    <row r="156" spans="53:61" x14ac:dyDescent="0.3">
      <c r="BA156" t="str" cm="1">
        <f t="array" ref="BA156">IF(ISERROR(INDEX(RESULT_SUBJECT,SMALL(IF(COUNTIF($BA$3,MONTH), ROW(MONTH)-MIN(ROW(MONTH))+1),ROW(A151)),COLUMN(A151))),"",INDEX(RESULT_SUBJECT,SMALL(IF(COUNTIF($BA$3,MONTH), ROW(MONTH)-MIN(ROW(MONTH))+1),ROW(A151)),COLUMN(A151)))</f>
        <v/>
      </c>
      <c r="BB156" t="str" cm="1">
        <f t="array" ref="BB156">IF(ISERROR(INDEX(WEEK,SMALL(IF(COUNTIF($BA$3,MONTH), ROW(MONTH)-MIN(ROW(MONTH))+1),ROW(A151)),COLUMN(A151))),"",INDEX(WEEK,SMALL(IF(COUNTIF($BA$3,MONTH), ROW(MONTH)-MIN(ROW(MONTH))+1),ROW(A151)),COLUMN(A151)))</f>
        <v/>
      </c>
      <c r="BC156" t="str" cm="1">
        <f t="array" ref="BC156">IF(ISERROR(INDEX(RESULT_DAY,SMALL(IF(COUNTIF($BA$3,MONTH), ROW(MONTH)-MIN(ROW(MONTH))+1),ROW(A151)),COLUMN(A151))),"",INDEX(RESULT_DAY,SMALL(IF(COUNTIF($BA$3,MONTH), ROW(MONTH)-MIN(ROW(MONTH))+1),ROW(A151)),COLUMN(A151)))</f>
        <v/>
      </c>
      <c r="BD156" s="29" t="str">
        <f t="shared" si="52"/>
        <v/>
      </c>
      <c r="BE156" s="2" t="str" cm="1">
        <f t="array" ref="BE156">IF(ISERROR(INDEX(RESULT_DURATION,SMALL(IF(COUNTIF($BA$3,MONTH), ROW(MONTH)-MIN(ROW(MONTH))+1),ROW(A151)),COLUMN(A151))),"",INDEX(RESULT_DURATION,SMALL(IF(COUNTIF($BA$3,MONTH), ROW(MONTH)-MIN(ROW(MONTH))+1),ROW(A151)),COLUMN(A151)))</f>
        <v/>
      </c>
      <c r="BH156" t="str" cm="1">
        <f t="array" ref="BH156">IF(ISERROR(INDEX(RESULT_CATEGORIES,SMALL(IF(COUNTIF($BA$3,MONTH), ROW(MONTH)-MIN(ROW(MONTH))+1),ROW(A151)),COLUMN(A151))),"",INDEX(RESULT_CATEGORIES,SMALL(IF(COUNTIF($BA$3,MONTH), ROW(MONTH)-MIN(ROW(MONTH))+1),ROW(A151)),COLUMN(A151)))</f>
        <v/>
      </c>
      <c r="BI156" t="str" cm="1">
        <f t="array" ref="BI156">IF(ISERROR(INDEX(RESULTLOCATION,SMALL(IF(COUNTIF($BA$3,MONTH), ROW(MONTH)-MIN(ROW(MONTH))+1),ROW(A151)),COLUMN(A151))),"",INDEX(RESULTLOCATION,SMALL(IF(COUNTIF($BA$3,MONTH), ROW(MONTH)-MIN(ROW(MONTH))+1),ROW(A151)),COLUMN(A151)))</f>
        <v/>
      </c>
    </row>
    <row r="157" spans="53:61" x14ac:dyDescent="0.3">
      <c r="BA157" t="str" cm="1">
        <f t="array" ref="BA157">IF(ISERROR(INDEX(RESULT_SUBJECT,SMALL(IF(COUNTIF($BA$3,MONTH), ROW(MONTH)-MIN(ROW(MONTH))+1),ROW(A152)),COLUMN(A152))),"",INDEX(RESULT_SUBJECT,SMALL(IF(COUNTIF($BA$3,MONTH), ROW(MONTH)-MIN(ROW(MONTH))+1),ROW(A152)),COLUMN(A152)))</f>
        <v/>
      </c>
      <c r="BB157" t="str" cm="1">
        <f t="array" ref="BB157">IF(ISERROR(INDEX(WEEK,SMALL(IF(COUNTIF($BA$3,MONTH), ROW(MONTH)-MIN(ROW(MONTH))+1),ROW(A152)),COLUMN(A152))),"",INDEX(WEEK,SMALL(IF(COUNTIF($BA$3,MONTH), ROW(MONTH)-MIN(ROW(MONTH))+1),ROW(A152)),COLUMN(A152)))</f>
        <v/>
      </c>
      <c r="BC157" t="str" cm="1">
        <f t="array" ref="BC157">IF(ISERROR(INDEX(RESULT_DAY,SMALL(IF(COUNTIF($BA$3,MONTH), ROW(MONTH)-MIN(ROW(MONTH))+1),ROW(A152)),COLUMN(A152))),"",INDEX(RESULT_DAY,SMALL(IF(COUNTIF($BA$3,MONTH), ROW(MONTH)-MIN(ROW(MONTH))+1),ROW(A152)),COLUMN(A152)))</f>
        <v/>
      </c>
      <c r="BD157" s="29" t="str">
        <f t="shared" si="52"/>
        <v/>
      </c>
      <c r="BE157" s="2" t="str" cm="1">
        <f t="array" ref="BE157">IF(ISERROR(INDEX(RESULT_DURATION,SMALL(IF(COUNTIF($BA$3,MONTH), ROW(MONTH)-MIN(ROW(MONTH))+1),ROW(A152)),COLUMN(A152))),"",INDEX(RESULT_DURATION,SMALL(IF(COUNTIF($BA$3,MONTH), ROW(MONTH)-MIN(ROW(MONTH))+1),ROW(A152)),COLUMN(A152)))</f>
        <v/>
      </c>
      <c r="BH157" t="str" cm="1">
        <f t="array" ref="BH157">IF(ISERROR(INDEX(RESULT_CATEGORIES,SMALL(IF(COUNTIF($BA$3,MONTH), ROW(MONTH)-MIN(ROW(MONTH))+1),ROW(A152)),COLUMN(A152))),"",INDEX(RESULT_CATEGORIES,SMALL(IF(COUNTIF($BA$3,MONTH), ROW(MONTH)-MIN(ROW(MONTH))+1),ROW(A152)),COLUMN(A152)))</f>
        <v/>
      </c>
      <c r="BI157" t="str" cm="1">
        <f t="array" ref="BI157">IF(ISERROR(INDEX(RESULTLOCATION,SMALL(IF(COUNTIF($BA$3,MONTH), ROW(MONTH)-MIN(ROW(MONTH))+1),ROW(A152)),COLUMN(A152))),"",INDEX(RESULTLOCATION,SMALL(IF(COUNTIF($BA$3,MONTH), ROW(MONTH)-MIN(ROW(MONTH))+1),ROW(A152)),COLUMN(A152)))</f>
        <v/>
      </c>
    </row>
    <row r="158" spans="53:61" x14ac:dyDescent="0.3">
      <c r="BA158" t="str" cm="1">
        <f t="array" ref="BA158">IF(ISERROR(INDEX(RESULT_SUBJECT,SMALL(IF(COUNTIF($BA$3,MONTH), ROW(MONTH)-MIN(ROW(MONTH))+1),ROW(A153)),COLUMN(A153))),"",INDEX(RESULT_SUBJECT,SMALL(IF(COUNTIF($BA$3,MONTH), ROW(MONTH)-MIN(ROW(MONTH))+1),ROW(A153)),COLUMN(A153)))</f>
        <v/>
      </c>
      <c r="BB158" t="str" cm="1">
        <f t="array" ref="BB158">IF(ISERROR(INDEX(WEEK,SMALL(IF(COUNTIF($BA$3,MONTH), ROW(MONTH)-MIN(ROW(MONTH))+1),ROW(A153)),COLUMN(A153))),"",INDEX(WEEK,SMALL(IF(COUNTIF($BA$3,MONTH), ROW(MONTH)-MIN(ROW(MONTH))+1),ROW(A153)),COLUMN(A153)))</f>
        <v/>
      </c>
      <c r="BC158" t="str" cm="1">
        <f t="array" ref="BC158">IF(ISERROR(INDEX(RESULT_DAY,SMALL(IF(COUNTIF($BA$3,MONTH), ROW(MONTH)-MIN(ROW(MONTH))+1),ROW(A153)),COLUMN(A153))),"",INDEX(RESULT_DAY,SMALL(IF(COUNTIF($BA$3,MONTH), ROW(MONTH)-MIN(ROW(MONTH))+1),ROW(A153)),COLUMN(A153)))</f>
        <v/>
      </c>
      <c r="BD158" s="29" t="str">
        <f t="shared" si="52"/>
        <v/>
      </c>
      <c r="BE158" s="2" t="str" cm="1">
        <f t="array" ref="BE158">IF(ISERROR(INDEX(RESULT_DURATION,SMALL(IF(COUNTIF($BA$3,MONTH), ROW(MONTH)-MIN(ROW(MONTH))+1),ROW(A153)),COLUMN(A153))),"",INDEX(RESULT_DURATION,SMALL(IF(COUNTIF($BA$3,MONTH), ROW(MONTH)-MIN(ROW(MONTH))+1),ROW(A153)),COLUMN(A153)))</f>
        <v/>
      </c>
      <c r="BH158" t="str" cm="1">
        <f t="array" ref="BH158">IF(ISERROR(INDEX(RESULT_CATEGORIES,SMALL(IF(COUNTIF($BA$3,MONTH), ROW(MONTH)-MIN(ROW(MONTH))+1),ROW(A153)),COLUMN(A153))),"",INDEX(RESULT_CATEGORIES,SMALL(IF(COUNTIF($BA$3,MONTH), ROW(MONTH)-MIN(ROW(MONTH))+1),ROW(A153)),COLUMN(A153)))</f>
        <v/>
      </c>
      <c r="BI158" t="str" cm="1">
        <f t="array" ref="BI158">IF(ISERROR(INDEX(RESULTLOCATION,SMALL(IF(COUNTIF($BA$3,MONTH), ROW(MONTH)-MIN(ROW(MONTH))+1),ROW(A153)),COLUMN(A153))),"",INDEX(RESULTLOCATION,SMALL(IF(COUNTIF($BA$3,MONTH), ROW(MONTH)-MIN(ROW(MONTH))+1),ROW(A153)),COLUMN(A153)))</f>
        <v/>
      </c>
    </row>
    <row r="159" spans="53:61" x14ac:dyDescent="0.3">
      <c r="BA159" t="str" cm="1">
        <f t="array" ref="BA159">IF(ISERROR(INDEX(RESULT_SUBJECT,SMALL(IF(COUNTIF($BA$3,MONTH), ROW(MONTH)-MIN(ROW(MONTH))+1),ROW(A154)),COLUMN(A154))),"",INDEX(RESULT_SUBJECT,SMALL(IF(COUNTIF($BA$3,MONTH), ROW(MONTH)-MIN(ROW(MONTH))+1),ROW(A154)),COLUMN(A154)))</f>
        <v/>
      </c>
      <c r="BB159" t="str" cm="1">
        <f t="array" ref="BB159">IF(ISERROR(INDEX(WEEK,SMALL(IF(COUNTIF($BA$3,MONTH), ROW(MONTH)-MIN(ROW(MONTH))+1),ROW(A154)),COLUMN(A154))),"",INDEX(WEEK,SMALL(IF(COUNTIF($BA$3,MONTH), ROW(MONTH)-MIN(ROW(MONTH))+1),ROW(A154)),COLUMN(A154)))</f>
        <v/>
      </c>
      <c r="BC159" t="str" cm="1">
        <f t="array" ref="BC159">IF(ISERROR(INDEX(RESULT_DAY,SMALL(IF(COUNTIF($BA$3,MONTH), ROW(MONTH)-MIN(ROW(MONTH))+1),ROW(A154)),COLUMN(A154))),"",INDEX(RESULT_DAY,SMALL(IF(COUNTIF($BA$3,MONTH), ROW(MONTH)-MIN(ROW(MONTH))+1),ROW(A154)),COLUMN(A154)))</f>
        <v/>
      </c>
      <c r="BD159" s="29" t="str">
        <f t="shared" si="52"/>
        <v/>
      </c>
      <c r="BE159" s="2" t="str" cm="1">
        <f t="array" ref="BE159">IF(ISERROR(INDEX(RESULT_DURATION,SMALL(IF(COUNTIF($BA$3,MONTH), ROW(MONTH)-MIN(ROW(MONTH))+1),ROW(A154)),COLUMN(A154))),"",INDEX(RESULT_DURATION,SMALL(IF(COUNTIF($BA$3,MONTH), ROW(MONTH)-MIN(ROW(MONTH))+1),ROW(A154)),COLUMN(A154)))</f>
        <v/>
      </c>
      <c r="BH159" t="str" cm="1">
        <f t="array" ref="BH159">IF(ISERROR(INDEX(RESULT_CATEGORIES,SMALL(IF(COUNTIF($BA$3,MONTH), ROW(MONTH)-MIN(ROW(MONTH))+1),ROW(A154)),COLUMN(A154))),"",INDEX(RESULT_CATEGORIES,SMALL(IF(COUNTIF($BA$3,MONTH), ROW(MONTH)-MIN(ROW(MONTH))+1),ROW(A154)),COLUMN(A154)))</f>
        <v/>
      </c>
      <c r="BI159" t="str" cm="1">
        <f t="array" ref="BI159">IF(ISERROR(INDEX(RESULTLOCATION,SMALL(IF(COUNTIF($BA$3,MONTH), ROW(MONTH)-MIN(ROW(MONTH))+1),ROW(A154)),COLUMN(A154))),"",INDEX(RESULTLOCATION,SMALL(IF(COUNTIF($BA$3,MONTH), ROW(MONTH)-MIN(ROW(MONTH))+1),ROW(A154)),COLUMN(A154)))</f>
        <v/>
      </c>
    </row>
    <row r="160" spans="53:61" x14ac:dyDescent="0.3">
      <c r="BA160" t="str" cm="1">
        <f t="array" ref="BA160">IF(ISERROR(INDEX(RESULT_SUBJECT,SMALL(IF(COUNTIF($BA$3,MONTH), ROW(MONTH)-MIN(ROW(MONTH))+1),ROW(A155)),COLUMN(A155))),"",INDEX(RESULT_SUBJECT,SMALL(IF(COUNTIF($BA$3,MONTH), ROW(MONTH)-MIN(ROW(MONTH))+1),ROW(A155)),COLUMN(A155)))</f>
        <v/>
      </c>
      <c r="BB160" t="str" cm="1">
        <f t="array" ref="BB160">IF(ISERROR(INDEX(WEEK,SMALL(IF(COUNTIF($BA$3,MONTH), ROW(MONTH)-MIN(ROW(MONTH))+1),ROW(A155)),COLUMN(A155))),"",INDEX(WEEK,SMALL(IF(COUNTIF($BA$3,MONTH), ROW(MONTH)-MIN(ROW(MONTH))+1),ROW(A155)),COLUMN(A155)))</f>
        <v/>
      </c>
      <c r="BC160" t="str" cm="1">
        <f t="array" ref="BC160">IF(ISERROR(INDEX(RESULT_DAY,SMALL(IF(COUNTIF($BA$3,MONTH), ROW(MONTH)-MIN(ROW(MONTH))+1),ROW(A155)),COLUMN(A155))),"",INDEX(RESULT_DAY,SMALL(IF(COUNTIF($BA$3,MONTH), ROW(MONTH)-MIN(ROW(MONTH))+1),ROW(A155)),COLUMN(A155)))</f>
        <v/>
      </c>
      <c r="BD160" s="29" t="str">
        <f t="shared" si="52"/>
        <v/>
      </c>
      <c r="BE160" s="2" t="str" cm="1">
        <f t="array" ref="BE160">IF(ISERROR(INDEX(RESULT_DURATION,SMALL(IF(COUNTIF($BA$3,MONTH), ROW(MONTH)-MIN(ROW(MONTH))+1),ROW(A155)),COLUMN(A155))),"",INDEX(RESULT_DURATION,SMALL(IF(COUNTIF($BA$3,MONTH), ROW(MONTH)-MIN(ROW(MONTH))+1),ROW(A155)),COLUMN(A155)))</f>
        <v/>
      </c>
      <c r="BH160" t="str" cm="1">
        <f t="array" ref="BH160">IF(ISERROR(INDEX(RESULT_CATEGORIES,SMALL(IF(COUNTIF($BA$3,MONTH), ROW(MONTH)-MIN(ROW(MONTH))+1),ROW(A155)),COLUMN(A155))),"",INDEX(RESULT_CATEGORIES,SMALL(IF(COUNTIF($BA$3,MONTH), ROW(MONTH)-MIN(ROW(MONTH))+1),ROW(A155)),COLUMN(A155)))</f>
        <v/>
      </c>
      <c r="BI160" t="str" cm="1">
        <f t="array" ref="BI160">IF(ISERROR(INDEX(RESULTLOCATION,SMALL(IF(COUNTIF($BA$3,MONTH), ROW(MONTH)-MIN(ROW(MONTH))+1),ROW(A155)),COLUMN(A155))),"",INDEX(RESULTLOCATION,SMALL(IF(COUNTIF($BA$3,MONTH), ROW(MONTH)-MIN(ROW(MONTH))+1),ROW(A155)),COLUMN(A155)))</f>
        <v/>
      </c>
    </row>
    <row r="161" spans="53:61" x14ac:dyDescent="0.3">
      <c r="BA161" t="str" cm="1">
        <f t="array" ref="BA161">IF(ISERROR(INDEX(RESULT_SUBJECT,SMALL(IF(COUNTIF($BA$3,MONTH), ROW(MONTH)-MIN(ROW(MONTH))+1),ROW(A156)),COLUMN(A156))),"",INDEX(RESULT_SUBJECT,SMALL(IF(COUNTIF($BA$3,MONTH), ROW(MONTH)-MIN(ROW(MONTH))+1),ROW(A156)),COLUMN(A156)))</f>
        <v/>
      </c>
      <c r="BB161" t="str" cm="1">
        <f t="array" ref="BB161">IF(ISERROR(INDEX(WEEK,SMALL(IF(COUNTIF($BA$3,MONTH), ROW(MONTH)-MIN(ROW(MONTH))+1),ROW(A156)),COLUMN(A156))),"",INDEX(WEEK,SMALL(IF(COUNTIF($BA$3,MONTH), ROW(MONTH)-MIN(ROW(MONTH))+1),ROW(A156)),COLUMN(A156)))</f>
        <v/>
      </c>
      <c r="BC161" t="str" cm="1">
        <f t="array" ref="BC161">IF(ISERROR(INDEX(RESULT_DAY,SMALL(IF(COUNTIF($BA$3,MONTH), ROW(MONTH)-MIN(ROW(MONTH))+1),ROW(A156)),COLUMN(A156))),"",INDEX(RESULT_DAY,SMALL(IF(COUNTIF($BA$3,MONTH), ROW(MONTH)-MIN(ROW(MONTH))+1),ROW(A156)),COLUMN(A156)))</f>
        <v/>
      </c>
      <c r="BD161" s="29" t="str">
        <f t="shared" si="52"/>
        <v/>
      </c>
      <c r="BE161" s="2" t="str" cm="1">
        <f t="array" ref="BE161">IF(ISERROR(INDEX(RESULT_DURATION,SMALL(IF(COUNTIF($BA$3,MONTH), ROW(MONTH)-MIN(ROW(MONTH))+1),ROW(A156)),COLUMN(A156))),"",INDEX(RESULT_DURATION,SMALL(IF(COUNTIF($BA$3,MONTH), ROW(MONTH)-MIN(ROW(MONTH))+1),ROW(A156)),COLUMN(A156)))</f>
        <v/>
      </c>
      <c r="BH161" t="str" cm="1">
        <f t="array" ref="BH161">IF(ISERROR(INDEX(RESULT_CATEGORIES,SMALL(IF(COUNTIF($BA$3,MONTH), ROW(MONTH)-MIN(ROW(MONTH))+1),ROW(A156)),COLUMN(A156))),"",INDEX(RESULT_CATEGORIES,SMALL(IF(COUNTIF($BA$3,MONTH), ROW(MONTH)-MIN(ROW(MONTH))+1),ROW(A156)),COLUMN(A156)))</f>
        <v/>
      </c>
      <c r="BI161" t="str" cm="1">
        <f t="array" ref="BI161">IF(ISERROR(INDEX(RESULTLOCATION,SMALL(IF(COUNTIF($BA$3,MONTH), ROW(MONTH)-MIN(ROW(MONTH))+1),ROW(A156)),COLUMN(A156))),"",INDEX(RESULTLOCATION,SMALL(IF(COUNTIF($BA$3,MONTH), ROW(MONTH)-MIN(ROW(MONTH))+1),ROW(A156)),COLUMN(A156)))</f>
        <v/>
      </c>
    </row>
    <row r="162" spans="53:61" x14ac:dyDescent="0.3">
      <c r="BA162" t="str" cm="1">
        <f t="array" ref="BA162">IF(ISERROR(INDEX(RESULT_SUBJECT,SMALL(IF(COUNTIF($BA$3,MONTH), ROW(MONTH)-MIN(ROW(MONTH))+1),ROW(A157)),COLUMN(A157))),"",INDEX(RESULT_SUBJECT,SMALL(IF(COUNTIF($BA$3,MONTH), ROW(MONTH)-MIN(ROW(MONTH))+1),ROW(A157)),COLUMN(A157)))</f>
        <v/>
      </c>
      <c r="BB162" t="str" cm="1">
        <f t="array" ref="BB162">IF(ISERROR(INDEX(WEEK,SMALL(IF(COUNTIF($BA$3,MONTH), ROW(MONTH)-MIN(ROW(MONTH))+1),ROW(A157)),COLUMN(A157))),"",INDEX(WEEK,SMALL(IF(COUNTIF($BA$3,MONTH), ROW(MONTH)-MIN(ROW(MONTH))+1),ROW(A157)),COLUMN(A157)))</f>
        <v/>
      </c>
      <c r="BC162" t="str" cm="1">
        <f t="array" ref="BC162">IF(ISERROR(INDEX(RESULT_DAY,SMALL(IF(COUNTIF($BA$3,MONTH), ROW(MONTH)-MIN(ROW(MONTH))+1),ROW(A157)),COLUMN(A157))),"",INDEX(RESULT_DAY,SMALL(IF(COUNTIF($BA$3,MONTH), ROW(MONTH)-MIN(ROW(MONTH))+1),ROW(A157)),COLUMN(A157)))</f>
        <v/>
      </c>
      <c r="BD162" s="29" t="str">
        <f t="shared" si="52"/>
        <v/>
      </c>
      <c r="BE162" s="2" t="str" cm="1">
        <f t="array" ref="BE162">IF(ISERROR(INDEX(RESULT_DURATION,SMALL(IF(COUNTIF($BA$3,MONTH), ROW(MONTH)-MIN(ROW(MONTH))+1),ROW(A157)),COLUMN(A157))),"",INDEX(RESULT_DURATION,SMALL(IF(COUNTIF($BA$3,MONTH), ROW(MONTH)-MIN(ROW(MONTH))+1),ROW(A157)),COLUMN(A157)))</f>
        <v/>
      </c>
      <c r="BH162" t="str" cm="1">
        <f t="array" ref="BH162">IF(ISERROR(INDEX(RESULT_CATEGORIES,SMALL(IF(COUNTIF($BA$3,MONTH), ROW(MONTH)-MIN(ROW(MONTH))+1),ROW(A157)),COLUMN(A157))),"",INDEX(RESULT_CATEGORIES,SMALL(IF(COUNTIF($BA$3,MONTH), ROW(MONTH)-MIN(ROW(MONTH))+1),ROW(A157)),COLUMN(A157)))</f>
        <v/>
      </c>
      <c r="BI162" t="str" cm="1">
        <f t="array" ref="BI162">IF(ISERROR(INDEX(RESULTLOCATION,SMALL(IF(COUNTIF($BA$3,MONTH), ROW(MONTH)-MIN(ROW(MONTH))+1),ROW(A157)),COLUMN(A157))),"",INDEX(RESULTLOCATION,SMALL(IF(COUNTIF($BA$3,MONTH), ROW(MONTH)-MIN(ROW(MONTH))+1),ROW(A157)),COLUMN(A157)))</f>
        <v/>
      </c>
    </row>
    <row r="163" spans="53:61" x14ac:dyDescent="0.3">
      <c r="BA163" t="str" cm="1">
        <f t="array" ref="BA163">IF(ISERROR(INDEX(RESULT_SUBJECT,SMALL(IF(COUNTIF($BA$3,MONTH), ROW(MONTH)-MIN(ROW(MONTH))+1),ROW(A158)),COLUMN(A158))),"",INDEX(RESULT_SUBJECT,SMALL(IF(COUNTIF($BA$3,MONTH), ROW(MONTH)-MIN(ROW(MONTH))+1),ROW(A158)),COLUMN(A158)))</f>
        <v/>
      </c>
      <c r="BB163" t="str" cm="1">
        <f t="array" ref="BB163">IF(ISERROR(INDEX(WEEK,SMALL(IF(COUNTIF($BA$3,MONTH), ROW(MONTH)-MIN(ROW(MONTH))+1),ROW(A158)),COLUMN(A158))),"",INDEX(WEEK,SMALL(IF(COUNTIF($BA$3,MONTH), ROW(MONTH)-MIN(ROW(MONTH))+1),ROW(A158)),COLUMN(A158)))</f>
        <v/>
      </c>
      <c r="BC163" t="str" cm="1">
        <f t="array" ref="BC163">IF(ISERROR(INDEX(RESULT_DAY,SMALL(IF(COUNTIF($BA$3,MONTH), ROW(MONTH)-MIN(ROW(MONTH))+1),ROW(A158)),COLUMN(A158))),"",INDEX(RESULT_DAY,SMALL(IF(COUNTIF($BA$3,MONTH), ROW(MONTH)-MIN(ROW(MONTH))+1),ROW(A158)),COLUMN(A158)))</f>
        <v/>
      </c>
      <c r="BD163" s="29" t="str">
        <f t="shared" si="52"/>
        <v/>
      </c>
      <c r="BE163" s="2" t="str" cm="1">
        <f t="array" ref="BE163">IF(ISERROR(INDEX(RESULT_DURATION,SMALL(IF(COUNTIF($BA$3,MONTH), ROW(MONTH)-MIN(ROW(MONTH))+1),ROW(A158)),COLUMN(A158))),"",INDEX(RESULT_DURATION,SMALL(IF(COUNTIF($BA$3,MONTH), ROW(MONTH)-MIN(ROW(MONTH))+1),ROW(A158)),COLUMN(A158)))</f>
        <v/>
      </c>
      <c r="BH163" t="str" cm="1">
        <f t="array" ref="BH163">IF(ISERROR(INDEX(RESULT_CATEGORIES,SMALL(IF(COUNTIF($BA$3,MONTH), ROW(MONTH)-MIN(ROW(MONTH))+1),ROW(A158)),COLUMN(A158))),"",INDEX(RESULT_CATEGORIES,SMALL(IF(COUNTIF($BA$3,MONTH), ROW(MONTH)-MIN(ROW(MONTH))+1),ROW(A158)),COLUMN(A158)))</f>
        <v/>
      </c>
      <c r="BI163" t="str" cm="1">
        <f t="array" ref="BI163">IF(ISERROR(INDEX(RESULTLOCATION,SMALL(IF(COUNTIF($BA$3,MONTH), ROW(MONTH)-MIN(ROW(MONTH))+1),ROW(A158)),COLUMN(A158))),"",INDEX(RESULTLOCATION,SMALL(IF(COUNTIF($BA$3,MONTH), ROW(MONTH)-MIN(ROW(MONTH))+1),ROW(A158)),COLUMN(A158)))</f>
        <v/>
      </c>
    </row>
    <row r="164" spans="53:61" x14ac:dyDescent="0.3">
      <c r="BA164" t="str" cm="1">
        <f t="array" ref="BA164">IF(ISERROR(INDEX(RESULT_SUBJECT,SMALL(IF(COUNTIF($BA$3,MONTH), ROW(MONTH)-MIN(ROW(MONTH))+1),ROW(A159)),COLUMN(A159))),"",INDEX(RESULT_SUBJECT,SMALL(IF(COUNTIF($BA$3,MONTH), ROW(MONTH)-MIN(ROW(MONTH))+1),ROW(A159)),COLUMN(A159)))</f>
        <v/>
      </c>
      <c r="BB164" t="str" cm="1">
        <f t="array" ref="BB164">IF(ISERROR(INDEX(WEEK,SMALL(IF(COUNTIF($BA$3,MONTH), ROW(MONTH)-MIN(ROW(MONTH))+1),ROW(A159)),COLUMN(A159))),"",INDEX(WEEK,SMALL(IF(COUNTIF($BA$3,MONTH), ROW(MONTH)-MIN(ROW(MONTH))+1),ROW(A159)),COLUMN(A159)))</f>
        <v/>
      </c>
      <c r="BC164" t="str" cm="1">
        <f t="array" ref="BC164">IF(ISERROR(INDEX(RESULT_DAY,SMALL(IF(COUNTIF($BA$3,MONTH), ROW(MONTH)-MIN(ROW(MONTH))+1),ROW(A159)),COLUMN(A159))),"",INDEX(RESULT_DAY,SMALL(IF(COUNTIF($BA$3,MONTH), ROW(MONTH)-MIN(ROW(MONTH))+1),ROW(A159)),COLUMN(A159)))</f>
        <v/>
      </c>
      <c r="BD164" s="29" t="str">
        <f t="shared" si="52"/>
        <v/>
      </c>
      <c r="BE164" s="2" t="str" cm="1">
        <f t="array" ref="BE164">IF(ISERROR(INDEX(RESULT_DURATION,SMALL(IF(COUNTIF($BA$3,MONTH), ROW(MONTH)-MIN(ROW(MONTH))+1),ROW(A159)),COLUMN(A159))),"",INDEX(RESULT_DURATION,SMALL(IF(COUNTIF($BA$3,MONTH), ROW(MONTH)-MIN(ROW(MONTH))+1),ROW(A159)),COLUMN(A159)))</f>
        <v/>
      </c>
      <c r="BH164" t="str" cm="1">
        <f t="array" ref="BH164">IF(ISERROR(INDEX(RESULT_CATEGORIES,SMALL(IF(COUNTIF($BA$3,MONTH), ROW(MONTH)-MIN(ROW(MONTH))+1),ROW(A159)),COLUMN(A159))),"",INDEX(RESULT_CATEGORIES,SMALL(IF(COUNTIF($BA$3,MONTH), ROW(MONTH)-MIN(ROW(MONTH))+1),ROW(A159)),COLUMN(A159)))</f>
        <v/>
      </c>
      <c r="BI164" t="str" cm="1">
        <f t="array" ref="BI164">IF(ISERROR(INDEX(RESULTLOCATION,SMALL(IF(COUNTIF($BA$3,MONTH), ROW(MONTH)-MIN(ROW(MONTH))+1),ROW(A159)),COLUMN(A159))),"",INDEX(RESULTLOCATION,SMALL(IF(COUNTIF($BA$3,MONTH), ROW(MONTH)-MIN(ROW(MONTH))+1),ROW(A159)),COLUMN(A159)))</f>
        <v/>
      </c>
    </row>
    <row r="165" spans="53:61" x14ac:dyDescent="0.3">
      <c r="BA165" t="str" cm="1">
        <f t="array" ref="BA165">IF(ISERROR(INDEX(RESULT_SUBJECT,SMALL(IF(COUNTIF($BA$3,MONTH), ROW(MONTH)-MIN(ROW(MONTH))+1),ROW(A160)),COLUMN(A160))),"",INDEX(RESULT_SUBJECT,SMALL(IF(COUNTIF($BA$3,MONTH), ROW(MONTH)-MIN(ROW(MONTH))+1),ROW(A160)),COLUMN(A160)))</f>
        <v/>
      </c>
      <c r="BB165" t="str" cm="1">
        <f t="array" ref="BB165">IF(ISERROR(INDEX(WEEK,SMALL(IF(COUNTIF($BA$3,MONTH), ROW(MONTH)-MIN(ROW(MONTH))+1),ROW(A160)),COLUMN(A160))),"",INDEX(WEEK,SMALL(IF(COUNTIF($BA$3,MONTH), ROW(MONTH)-MIN(ROW(MONTH))+1),ROW(A160)),COLUMN(A160)))</f>
        <v/>
      </c>
      <c r="BC165" t="str" cm="1">
        <f t="array" ref="BC165">IF(ISERROR(INDEX(RESULT_DAY,SMALL(IF(COUNTIF($BA$3,MONTH), ROW(MONTH)-MIN(ROW(MONTH))+1),ROW(A160)),COLUMN(A160))),"",INDEX(RESULT_DAY,SMALL(IF(COUNTIF($BA$3,MONTH), ROW(MONTH)-MIN(ROW(MONTH))+1),ROW(A160)),COLUMN(A160)))</f>
        <v/>
      </c>
      <c r="BD165" s="29" t="str">
        <f t="shared" si="52"/>
        <v/>
      </c>
      <c r="BE165" s="2" t="str" cm="1">
        <f t="array" ref="BE165">IF(ISERROR(INDEX(RESULT_DURATION,SMALL(IF(COUNTIF($BA$3,MONTH), ROW(MONTH)-MIN(ROW(MONTH))+1),ROW(A160)),COLUMN(A160))),"",INDEX(RESULT_DURATION,SMALL(IF(COUNTIF($BA$3,MONTH), ROW(MONTH)-MIN(ROW(MONTH))+1),ROW(A160)),COLUMN(A160)))</f>
        <v/>
      </c>
      <c r="BH165" t="str" cm="1">
        <f t="array" ref="BH165">IF(ISERROR(INDEX(RESULT_CATEGORIES,SMALL(IF(COUNTIF($BA$3,MONTH), ROW(MONTH)-MIN(ROW(MONTH))+1),ROW(A160)),COLUMN(A160))),"",INDEX(RESULT_CATEGORIES,SMALL(IF(COUNTIF($BA$3,MONTH), ROW(MONTH)-MIN(ROW(MONTH))+1),ROW(A160)),COLUMN(A160)))</f>
        <v/>
      </c>
      <c r="BI165" t="str" cm="1">
        <f t="array" ref="BI165">IF(ISERROR(INDEX(RESULTLOCATION,SMALL(IF(COUNTIF($BA$3,MONTH), ROW(MONTH)-MIN(ROW(MONTH))+1),ROW(A160)),COLUMN(A160))),"",INDEX(RESULTLOCATION,SMALL(IF(COUNTIF($BA$3,MONTH), ROW(MONTH)-MIN(ROW(MONTH))+1),ROW(A160)),COLUMN(A160)))</f>
        <v/>
      </c>
    </row>
    <row r="166" spans="53:61" x14ac:dyDescent="0.3">
      <c r="BA166" t="str" cm="1">
        <f t="array" ref="BA166">IF(ISERROR(INDEX(RESULT_SUBJECT,SMALL(IF(COUNTIF($BA$3,MONTH), ROW(MONTH)-MIN(ROW(MONTH))+1),ROW(A161)),COLUMN(A161))),"",INDEX(RESULT_SUBJECT,SMALL(IF(COUNTIF($BA$3,MONTH), ROW(MONTH)-MIN(ROW(MONTH))+1),ROW(A161)),COLUMN(A161)))</f>
        <v/>
      </c>
      <c r="BB166" t="str" cm="1">
        <f t="array" ref="BB166">IF(ISERROR(INDEX(WEEK,SMALL(IF(COUNTIF($BA$3,MONTH), ROW(MONTH)-MIN(ROW(MONTH))+1),ROW(A161)),COLUMN(A161))),"",INDEX(WEEK,SMALL(IF(COUNTIF($BA$3,MONTH), ROW(MONTH)-MIN(ROW(MONTH))+1),ROW(A161)),COLUMN(A161)))</f>
        <v/>
      </c>
      <c r="BC166" t="str" cm="1">
        <f t="array" ref="BC166">IF(ISERROR(INDEX(RESULT_DAY,SMALL(IF(COUNTIF($BA$3,MONTH), ROW(MONTH)-MIN(ROW(MONTH))+1),ROW(A161)),COLUMN(A161))),"",INDEX(RESULT_DAY,SMALL(IF(COUNTIF($BA$3,MONTH), ROW(MONTH)-MIN(ROW(MONTH))+1),ROW(A161)),COLUMN(A161)))</f>
        <v/>
      </c>
      <c r="BD166" s="29" t="str">
        <f t="shared" si="52"/>
        <v/>
      </c>
      <c r="BE166" s="2" t="str" cm="1">
        <f t="array" ref="BE166">IF(ISERROR(INDEX(RESULT_DURATION,SMALL(IF(COUNTIF($BA$3,MONTH), ROW(MONTH)-MIN(ROW(MONTH))+1),ROW(A161)),COLUMN(A161))),"",INDEX(RESULT_DURATION,SMALL(IF(COUNTIF($BA$3,MONTH), ROW(MONTH)-MIN(ROW(MONTH))+1),ROW(A161)),COLUMN(A161)))</f>
        <v/>
      </c>
      <c r="BH166" t="str" cm="1">
        <f t="array" ref="BH166">IF(ISERROR(INDEX(RESULT_CATEGORIES,SMALL(IF(COUNTIF($BA$3,MONTH), ROW(MONTH)-MIN(ROW(MONTH))+1),ROW(A161)),COLUMN(A161))),"",INDEX(RESULT_CATEGORIES,SMALL(IF(COUNTIF($BA$3,MONTH), ROW(MONTH)-MIN(ROW(MONTH))+1),ROW(A161)),COLUMN(A161)))</f>
        <v/>
      </c>
      <c r="BI166" t="str" cm="1">
        <f t="array" ref="BI166">IF(ISERROR(INDEX(RESULTLOCATION,SMALL(IF(COUNTIF($BA$3,MONTH), ROW(MONTH)-MIN(ROW(MONTH))+1),ROW(A161)),COLUMN(A161))),"",INDEX(RESULTLOCATION,SMALL(IF(COUNTIF($BA$3,MONTH), ROW(MONTH)-MIN(ROW(MONTH))+1),ROW(A161)),COLUMN(A161)))</f>
        <v/>
      </c>
    </row>
    <row r="167" spans="53:61" x14ac:dyDescent="0.3">
      <c r="BA167" t="str" cm="1">
        <f t="array" ref="BA167">IF(ISERROR(INDEX(RESULT_SUBJECT,SMALL(IF(COUNTIF($BA$3,MONTH), ROW(MONTH)-MIN(ROW(MONTH))+1),ROW(A162)),COLUMN(A162))),"",INDEX(RESULT_SUBJECT,SMALL(IF(COUNTIF($BA$3,MONTH), ROW(MONTH)-MIN(ROW(MONTH))+1),ROW(A162)),COLUMN(A162)))</f>
        <v/>
      </c>
      <c r="BB167" t="str" cm="1">
        <f t="array" ref="BB167">IF(ISERROR(INDEX(WEEK,SMALL(IF(COUNTIF($BA$3,MONTH), ROW(MONTH)-MIN(ROW(MONTH))+1),ROW(A162)),COLUMN(A162))),"",INDEX(WEEK,SMALL(IF(COUNTIF($BA$3,MONTH), ROW(MONTH)-MIN(ROW(MONTH))+1),ROW(A162)),COLUMN(A162)))</f>
        <v/>
      </c>
      <c r="BC167" t="str" cm="1">
        <f t="array" ref="BC167">IF(ISERROR(INDEX(RESULT_DAY,SMALL(IF(COUNTIF($BA$3,MONTH), ROW(MONTH)-MIN(ROW(MONTH))+1),ROW(A162)),COLUMN(A162))),"",INDEX(RESULT_DAY,SMALL(IF(COUNTIF($BA$3,MONTH), ROW(MONTH)-MIN(ROW(MONTH))+1),ROW(A162)),COLUMN(A162)))</f>
        <v/>
      </c>
      <c r="BD167" s="29" t="str">
        <f t="shared" si="52"/>
        <v/>
      </c>
      <c r="BE167" s="2" t="str" cm="1">
        <f t="array" ref="BE167">IF(ISERROR(INDEX(RESULT_DURATION,SMALL(IF(COUNTIF($BA$3,MONTH), ROW(MONTH)-MIN(ROW(MONTH))+1),ROW(A162)),COLUMN(A162))),"",INDEX(RESULT_DURATION,SMALL(IF(COUNTIF($BA$3,MONTH), ROW(MONTH)-MIN(ROW(MONTH))+1),ROW(A162)),COLUMN(A162)))</f>
        <v/>
      </c>
      <c r="BH167" t="str" cm="1">
        <f t="array" ref="BH167">IF(ISERROR(INDEX(RESULT_CATEGORIES,SMALL(IF(COUNTIF($BA$3,MONTH), ROW(MONTH)-MIN(ROW(MONTH))+1),ROW(A162)),COLUMN(A162))),"",INDEX(RESULT_CATEGORIES,SMALL(IF(COUNTIF($BA$3,MONTH), ROW(MONTH)-MIN(ROW(MONTH))+1),ROW(A162)),COLUMN(A162)))</f>
        <v/>
      </c>
      <c r="BI167" t="str" cm="1">
        <f t="array" ref="BI167">IF(ISERROR(INDEX(RESULTLOCATION,SMALL(IF(COUNTIF($BA$3,MONTH), ROW(MONTH)-MIN(ROW(MONTH))+1),ROW(A162)),COLUMN(A162))),"",INDEX(RESULTLOCATION,SMALL(IF(COUNTIF($BA$3,MONTH), ROW(MONTH)-MIN(ROW(MONTH))+1),ROW(A162)),COLUMN(A162)))</f>
        <v/>
      </c>
    </row>
    <row r="168" spans="53:61" x14ac:dyDescent="0.3">
      <c r="BA168" t="str" cm="1">
        <f t="array" ref="BA168">IF(ISERROR(INDEX(RESULT_SUBJECT,SMALL(IF(COUNTIF($BA$3,MONTH), ROW(MONTH)-MIN(ROW(MONTH))+1),ROW(A163)),COLUMN(A163))),"",INDEX(RESULT_SUBJECT,SMALL(IF(COUNTIF($BA$3,MONTH), ROW(MONTH)-MIN(ROW(MONTH))+1),ROW(A163)),COLUMN(A163)))</f>
        <v/>
      </c>
      <c r="BB168" t="str" cm="1">
        <f t="array" ref="BB168">IF(ISERROR(INDEX(WEEK,SMALL(IF(COUNTIF($BA$3,MONTH), ROW(MONTH)-MIN(ROW(MONTH))+1),ROW(A163)),COLUMN(A163))),"",INDEX(WEEK,SMALL(IF(COUNTIF($BA$3,MONTH), ROW(MONTH)-MIN(ROW(MONTH))+1),ROW(A163)),COLUMN(A163)))</f>
        <v/>
      </c>
      <c r="BC168" t="str" cm="1">
        <f t="array" ref="BC168">IF(ISERROR(INDEX(RESULT_DAY,SMALL(IF(COUNTIF($BA$3,MONTH), ROW(MONTH)-MIN(ROW(MONTH))+1),ROW(A163)),COLUMN(A163))),"",INDEX(RESULT_DAY,SMALL(IF(COUNTIF($BA$3,MONTH), ROW(MONTH)-MIN(ROW(MONTH))+1),ROW(A163)),COLUMN(A163)))</f>
        <v/>
      </c>
      <c r="BD168" s="29" t="str">
        <f t="shared" si="52"/>
        <v/>
      </c>
      <c r="BE168" s="2" t="str" cm="1">
        <f t="array" ref="BE168">IF(ISERROR(INDEX(RESULT_DURATION,SMALL(IF(COUNTIF($BA$3,MONTH), ROW(MONTH)-MIN(ROW(MONTH))+1),ROW(A163)),COLUMN(A163))),"",INDEX(RESULT_DURATION,SMALL(IF(COUNTIF($BA$3,MONTH), ROW(MONTH)-MIN(ROW(MONTH))+1),ROW(A163)),COLUMN(A163)))</f>
        <v/>
      </c>
      <c r="BH168" t="str" cm="1">
        <f t="array" ref="BH168">IF(ISERROR(INDEX(RESULT_CATEGORIES,SMALL(IF(COUNTIF($BA$3,MONTH), ROW(MONTH)-MIN(ROW(MONTH))+1),ROW(A163)),COLUMN(A163))),"",INDEX(RESULT_CATEGORIES,SMALL(IF(COUNTIF($BA$3,MONTH), ROW(MONTH)-MIN(ROW(MONTH))+1),ROW(A163)),COLUMN(A163)))</f>
        <v/>
      </c>
      <c r="BI168" t="str" cm="1">
        <f t="array" ref="BI168">IF(ISERROR(INDEX(RESULTLOCATION,SMALL(IF(COUNTIF($BA$3,MONTH), ROW(MONTH)-MIN(ROW(MONTH))+1),ROW(A163)),COLUMN(A163))),"",INDEX(RESULTLOCATION,SMALL(IF(COUNTIF($BA$3,MONTH), ROW(MONTH)-MIN(ROW(MONTH))+1),ROW(A163)),COLUMN(A163)))</f>
        <v/>
      </c>
    </row>
    <row r="169" spans="53:61" x14ac:dyDescent="0.3">
      <c r="BA169" t="str" cm="1">
        <f t="array" ref="BA169">IF(ISERROR(INDEX(RESULT_SUBJECT,SMALL(IF(COUNTIF($BA$3,MONTH), ROW(MONTH)-MIN(ROW(MONTH))+1),ROW(A164)),COLUMN(A164))),"",INDEX(RESULT_SUBJECT,SMALL(IF(COUNTIF($BA$3,MONTH), ROW(MONTH)-MIN(ROW(MONTH))+1),ROW(A164)),COLUMN(A164)))</f>
        <v/>
      </c>
      <c r="BB169" t="str" cm="1">
        <f t="array" ref="BB169">IF(ISERROR(INDEX(WEEK,SMALL(IF(COUNTIF($BA$3,MONTH), ROW(MONTH)-MIN(ROW(MONTH))+1),ROW(A164)),COLUMN(A164))),"",INDEX(WEEK,SMALL(IF(COUNTIF($BA$3,MONTH), ROW(MONTH)-MIN(ROW(MONTH))+1),ROW(A164)),COLUMN(A164)))</f>
        <v/>
      </c>
      <c r="BC169" t="str" cm="1">
        <f t="array" ref="BC169">IF(ISERROR(INDEX(RESULT_DAY,SMALL(IF(COUNTIF($BA$3,MONTH), ROW(MONTH)-MIN(ROW(MONTH))+1),ROW(A164)),COLUMN(A164))),"",INDEX(RESULT_DAY,SMALL(IF(COUNTIF($BA$3,MONTH), ROW(MONTH)-MIN(ROW(MONTH))+1),ROW(A164)),COLUMN(A164)))</f>
        <v/>
      </c>
      <c r="BD169" s="29" t="str">
        <f t="shared" si="52"/>
        <v/>
      </c>
      <c r="BE169" s="2" t="str" cm="1">
        <f t="array" ref="BE169">IF(ISERROR(INDEX(RESULT_DURATION,SMALL(IF(COUNTIF($BA$3,MONTH), ROW(MONTH)-MIN(ROW(MONTH))+1),ROW(A164)),COLUMN(A164))),"",INDEX(RESULT_DURATION,SMALL(IF(COUNTIF($BA$3,MONTH), ROW(MONTH)-MIN(ROW(MONTH))+1),ROW(A164)),COLUMN(A164)))</f>
        <v/>
      </c>
      <c r="BH169" t="str" cm="1">
        <f t="array" ref="BH169">IF(ISERROR(INDEX(RESULT_CATEGORIES,SMALL(IF(COUNTIF($BA$3,MONTH), ROW(MONTH)-MIN(ROW(MONTH))+1),ROW(A164)),COLUMN(A164))),"",INDEX(RESULT_CATEGORIES,SMALL(IF(COUNTIF($BA$3,MONTH), ROW(MONTH)-MIN(ROW(MONTH))+1),ROW(A164)),COLUMN(A164)))</f>
        <v/>
      </c>
      <c r="BI169" t="str" cm="1">
        <f t="array" ref="BI169">IF(ISERROR(INDEX(RESULTLOCATION,SMALL(IF(COUNTIF($BA$3,MONTH), ROW(MONTH)-MIN(ROW(MONTH))+1),ROW(A164)),COLUMN(A164))),"",INDEX(RESULTLOCATION,SMALL(IF(COUNTIF($BA$3,MONTH), ROW(MONTH)-MIN(ROW(MONTH))+1),ROW(A164)),COLUMN(A164)))</f>
        <v/>
      </c>
    </row>
    <row r="170" spans="53:61" x14ac:dyDescent="0.3">
      <c r="BA170" t="str" cm="1">
        <f t="array" ref="BA170">IF(ISERROR(INDEX(RESULT_SUBJECT,SMALL(IF(COUNTIF($BA$3,MONTH), ROW(MONTH)-MIN(ROW(MONTH))+1),ROW(A165)),COLUMN(A165))),"",INDEX(RESULT_SUBJECT,SMALL(IF(COUNTIF($BA$3,MONTH), ROW(MONTH)-MIN(ROW(MONTH))+1),ROW(A165)),COLUMN(A165)))</f>
        <v/>
      </c>
      <c r="BB170" t="str" cm="1">
        <f t="array" ref="BB170">IF(ISERROR(INDEX(WEEK,SMALL(IF(COUNTIF($BA$3,MONTH), ROW(MONTH)-MIN(ROW(MONTH))+1),ROW(A165)),COLUMN(A165))),"",INDEX(WEEK,SMALL(IF(COUNTIF($BA$3,MONTH), ROW(MONTH)-MIN(ROW(MONTH))+1),ROW(A165)),COLUMN(A165)))</f>
        <v/>
      </c>
      <c r="BC170" t="str" cm="1">
        <f t="array" ref="BC170">IF(ISERROR(INDEX(RESULT_DAY,SMALL(IF(COUNTIF($BA$3,MONTH), ROW(MONTH)-MIN(ROW(MONTH))+1),ROW(A165)),COLUMN(A165))),"",INDEX(RESULT_DAY,SMALL(IF(COUNTIF($BA$3,MONTH), ROW(MONTH)-MIN(ROW(MONTH))+1),ROW(A165)),COLUMN(A165)))</f>
        <v/>
      </c>
      <c r="BD170" s="29" t="str">
        <f t="shared" si="52"/>
        <v/>
      </c>
      <c r="BE170" s="2" t="str" cm="1">
        <f t="array" ref="BE170">IF(ISERROR(INDEX(RESULT_DURATION,SMALL(IF(COUNTIF($BA$3,MONTH), ROW(MONTH)-MIN(ROW(MONTH))+1),ROW(A165)),COLUMN(A165))),"",INDEX(RESULT_DURATION,SMALL(IF(COUNTIF($BA$3,MONTH), ROW(MONTH)-MIN(ROW(MONTH))+1),ROW(A165)),COLUMN(A165)))</f>
        <v/>
      </c>
      <c r="BH170" t="str" cm="1">
        <f t="array" ref="BH170">IF(ISERROR(INDEX(RESULT_CATEGORIES,SMALL(IF(COUNTIF($BA$3,MONTH), ROW(MONTH)-MIN(ROW(MONTH))+1),ROW(A165)),COLUMN(A165))),"",INDEX(RESULT_CATEGORIES,SMALL(IF(COUNTIF($BA$3,MONTH), ROW(MONTH)-MIN(ROW(MONTH))+1),ROW(A165)),COLUMN(A165)))</f>
        <v/>
      </c>
      <c r="BI170" t="str" cm="1">
        <f t="array" ref="BI170">IF(ISERROR(INDEX(RESULTLOCATION,SMALL(IF(COUNTIF($BA$3,MONTH), ROW(MONTH)-MIN(ROW(MONTH))+1),ROW(A165)),COLUMN(A165))),"",INDEX(RESULTLOCATION,SMALL(IF(COUNTIF($BA$3,MONTH), ROW(MONTH)-MIN(ROW(MONTH))+1),ROW(A165)),COLUMN(A165)))</f>
        <v/>
      </c>
    </row>
    <row r="171" spans="53:61" x14ac:dyDescent="0.3">
      <c r="BA171" t="str" cm="1">
        <f t="array" ref="BA171">IF(ISERROR(INDEX(RESULT_SUBJECT,SMALL(IF(COUNTIF($BA$3,MONTH), ROW(MONTH)-MIN(ROW(MONTH))+1),ROW(A166)),COLUMN(A166))),"",INDEX(RESULT_SUBJECT,SMALL(IF(COUNTIF($BA$3,MONTH), ROW(MONTH)-MIN(ROW(MONTH))+1),ROW(A166)),COLUMN(A166)))</f>
        <v/>
      </c>
      <c r="BB171" t="str" cm="1">
        <f t="array" ref="BB171">IF(ISERROR(INDEX(WEEK,SMALL(IF(COUNTIF($BA$3,MONTH), ROW(MONTH)-MIN(ROW(MONTH))+1),ROW(A166)),COLUMN(A166))),"",INDEX(WEEK,SMALL(IF(COUNTIF($BA$3,MONTH), ROW(MONTH)-MIN(ROW(MONTH))+1),ROW(A166)),COLUMN(A166)))</f>
        <v/>
      </c>
      <c r="BC171" t="str" cm="1">
        <f t="array" ref="BC171">IF(ISERROR(INDEX(RESULT_DAY,SMALL(IF(COUNTIF($BA$3,MONTH), ROW(MONTH)-MIN(ROW(MONTH))+1),ROW(A166)),COLUMN(A166))),"",INDEX(RESULT_DAY,SMALL(IF(COUNTIF($BA$3,MONTH), ROW(MONTH)-MIN(ROW(MONTH))+1),ROW(A166)),COLUMN(A166)))</f>
        <v/>
      </c>
      <c r="BD171" s="29" t="str">
        <f t="shared" si="52"/>
        <v/>
      </c>
      <c r="BE171" s="2" t="str" cm="1">
        <f t="array" ref="BE171">IF(ISERROR(INDEX(RESULT_DURATION,SMALL(IF(COUNTIF($BA$3,MONTH), ROW(MONTH)-MIN(ROW(MONTH))+1),ROW(A166)),COLUMN(A166))),"",INDEX(RESULT_DURATION,SMALL(IF(COUNTIF($BA$3,MONTH), ROW(MONTH)-MIN(ROW(MONTH))+1),ROW(A166)),COLUMN(A166)))</f>
        <v/>
      </c>
      <c r="BH171" t="str" cm="1">
        <f t="array" ref="BH171">IF(ISERROR(INDEX(RESULT_CATEGORIES,SMALL(IF(COUNTIF($BA$3,MONTH), ROW(MONTH)-MIN(ROW(MONTH))+1),ROW(A166)),COLUMN(A166))),"",INDEX(RESULT_CATEGORIES,SMALL(IF(COUNTIF($BA$3,MONTH), ROW(MONTH)-MIN(ROW(MONTH))+1),ROW(A166)),COLUMN(A166)))</f>
        <v/>
      </c>
      <c r="BI171" t="str" cm="1">
        <f t="array" ref="BI171">IF(ISERROR(INDEX(RESULTLOCATION,SMALL(IF(COUNTIF($BA$3,MONTH), ROW(MONTH)-MIN(ROW(MONTH))+1),ROW(A166)),COLUMN(A166))),"",INDEX(RESULTLOCATION,SMALL(IF(COUNTIF($BA$3,MONTH), ROW(MONTH)-MIN(ROW(MONTH))+1),ROW(A166)),COLUMN(A166)))</f>
        <v/>
      </c>
    </row>
    <row r="172" spans="53:61" x14ac:dyDescent="0.3">
      <c r="BA172" t="str" cm="1">
        <f t="array" ref="BA172">IF(ISERROR(INDEX(RESULT_SUBJECT,SMALL(IF(COUNTIF($BA$3,MONTH), ROW(MONTH)-MIN(ROW(MONTH))+1),ROW(A167)),COLUMN(A167))),"",INDEX(RESULT_SUBJECT,SMALL(IF(COUNTIF($BA$3,MONTH), ROW(MONTH)-MIN(ROW(MONTH))+1),ROW(A167)),COLUMN(A167)))</f>
        <v/>
      </c>
      <c r="BB172" t="str" cm="1">
        <f t="array" ref="BB172">IF(ISERROR(INDEX(WEEK,SMALL(IF(COUNTIF($BA$3,MONTH), ROW(MONTH)-MIN(ROW(MONTH))+1),ROW(A167)),COLUMN(A167))),"",INDEX(WEEK,SMALL(IF(COUNTIF($BA$3,MONTH), ROW(MONTH)-MIN(ROW(MONTH))+1),ROW(A167)),COLUMN(A167)))</f>
        <v/>
      </c>
      <c r="BC172" t="str" cm="1">
        <f t="array" ref="BC172">IF(ISERROR(INDEX(RESULT_DAY,SMALL(IF(COUNTIF($BA$3,MONTH), ROW(MONTH)-MIN(ROW(MONTH))+1),ROW(A167)),COLUMN(A167))),"",INDEX(RESULT_DAY,SMALL(IF(COUNTIF($BA$3,MONTH), ROW(MONTH)-MIN(ROW(MONTH))+1),ROW(A167)),COLUMN(A167)))</f>
        <v/>
      </c>
      <c r="BD172" s="29" t="str">
        <f t="shared" si="52"/>
        <v/>
      </c>
      <c r="BE172" s="2" t="str" cm="1">
        <f t="array" ref="BE172">IF(ISERROR(INDEX(RESULT_DURATION,SMALL(IF(COUNTIF($BA$3,MONTH), ROW(MONTH)-MIN(ROW(MONTH))+1),ROW(A167)),COLUMN(A167))),"",INDEX(RESULT_DURATION,SMALL(IF(COUNTIF($BA$3,MONTH), ROW(MONTH)-MIN(ROW(MONTH))+1),ROW(A167)),COLUMN(A167)))</f>
        <v/>
      </c>
      <c r="BH172" t="str" cm="1">
        <f t="array" ref="BH172">IF(ISERROR(INDEX(RESULT_CATEGORIES,SMALL(IF(COUNTIF($BA$3,MONTH), ROW(MONTH)-MIN(ROW(MONTH))+1),ROW(A167)),COLUMN(A167))),"",INDEX(RESULT_CATEGORIES,SMALL(IF(COUNTIF($BA$3,MONTH), ROW(MONTH)-MIN(ROW(MONTH))+1),ROW(A167)),COLUMN(A167)))</f>
        <v/>
      </c>
      <c r="BI172" t="str" cm="1">
        <f t="array" ref="BI172">IF(ISERROR(INDEX(RESULTLOCATION,SMALL(IF(COUNTIF($BA$3,MONTH), ROW(MONTH)-MIN(ROW(MONTH))+1),ROW(A167)),COLUMN(A167))),"",INDEX(RESULTLOCATION,SMALL(IF(COUNTIF($BA$3,MONTH), ROW(MONTH)-MIN(ROW(MONTH))+1),ROW(A167)),COLUMN(A167)))</f>
        <v/>
      </c>
    </row>
    <row r="173" spans="53:61" x14ac:dyDescent="0.3">
      <c r="BA173" t="str" cm="1">
        <f t="array" ref="BA173">IF(ISERROR(INDEX(RESULT_SUBJECT,SMALL(IF(COUNTIF($BA$3,MONTH), ROW(MONTH)-MIN(ROW(MONTH))+1),ROW(A168)),COLUMN(A168))),"",INDEX(RESULT_SUBJECT,SMALL(IF(COUNTIF($BA$3,MONTH), ROW(MONTH)-MIN(ROW(MONTH))+1),ROW(A168)),COLUMN(A168)))</f>
        <v/>
      </c>
      <c r="BB173" t="str" cm="1">
        <f t="array" ref="BB173">IF(ISERROR(INDEX(WEEK,SMALL(IF(COUNTIF($BA$3,MONTH), ROW(MONTH)-MIN(ROW(MONTH))+1),ROW(A168)),COLUMN(A168))),"",INDEX(WEEK,SMALL(IF(COUNTIF($BA$3,MONTH), ROW(MONTH)-MIN(ROW(MONTH))+1),ROW(A168)),COLUMN(A168)))</f>
        <v/>
      </c>
      <c r="BC173" t="str" cm="1">
        <f t="array" ref="BC173">IF(ISERROR(INDEX(RESULT_DAY,SMALL(IF(COUNTIF($BA$3,MONTH), ROW(MONTH)-MIN(ROW(MONTH))+1),ROW(A168)),COLUMN(A168))),"",INDEX(RESULT_DAY,SMALL(IF(COUNTIF($BA$3,MONTH), ROW(MONTH)-MIN(ROW(MONTH))+1),ROW(A168)),COLUMN(A168)))</f>
        <v/>
      </c>
      <c r="BD173" s="29" t="str">
        <f t="shared" si="52"/>
        <v/>
      </c>
      <c r="BE173" s="2" t="str" cm="1">
        <f t="array" ref="BE173">IF(ISERROR(INDEX(RESULT_DURATION,SMALL(IF(COUNTIF($BA$3,MONTH), ROW(MONTH)-MIN(ROW(MONTH))+1),ROW(A168)),COLUMN(A168))),"",INDEX(RESULT_DURATION,SMALL(IF(COUNTIF($BA$3,MONTH), ROW(MONTH)-MIN(ROW(MONTH))+1),ROW(A168)),COLUMN(A168)))</f>
        <v/>
      </c>
      <c r="BH173" t="str" cm="1">
        <f t="array" ref="BH173">IF(ISERROR(INDEX(RESULT_CATEGORIES,SMALL(IF(COUNTIF($BA$3,MONTH), ROW(MONTH)-MIN(ROW(MONTH))+1),ROW(A168)),COLUMN(A168))),"",INDEX(RESULT_CATEGORIES,SMALL(IF(COUNTIF($BA$3,MONTH), ROW(MONTH)-MIN(ROW(MONTH))+1),ROW(A168)),COLUMN(A168)))</f>
        <v/>
      </c>
      <c r="BI173" t="str" cm="1">
        <f t="array" ref="BI173">IF(ISERROR(INDEX(RESULTLOCATION,SMALL(IF(COUNTIF($BA$3,MONTH), ROW(MONTH)-MIN(ROW(MONTH))+1),ROW(A168)),COLUMN(A168))),"",INDEX(RESULTLOCATION,SMALL(IF(COUNTIF($BA$3,MONTH), ROW(MONTH)-MIN(ROW(MONTH))+1),ROW(A168)),COLUMN(A168)))</f>
        <v/>
      </c>
    </row>
    <row r="174" spans="53:61" x14ac:dyDescent="0.3">
      <c r="BA174" t="str" cm="1">
        <f t="array" ref="BA174">IF(ISERROR(INDEX(RESULT_SUBJECT,SMALL(IF(COUNTIF($BA$3,MONTH), ROW(MONTH)-MIN(ROW(MONTH))+1),ROW(A169)),COLUMN(A169))),"",INDEX(RESULT_SUBJECT,SMALL(IF(COUNTIF($BA$3,MONTH), ROW(MONTH)-MIN(ROW(MONTH))+1),ROW(A169)),COLUMN(A169)))</f>
        <v/>
      </c>
      <c r="BB174" t="str" cm="1">
        <f t="array" ref="BB174">IF(ISERROR(INDEX(WEEK,SMALL(IF(COUNTIF($BA$3,MONTH), ROW(MONTH)-MIN(ROW(MONTH))+1),ROW(A169)),COLUMN(A169))),"",INDEX(WEEK,SMALL(IF(COUNTIF($BA$3,MONTH), ROW(MONTH)-MIN(ROW(MONTH))+1),ROW(A169)),COLUMN(A169)))</f>
        <v/>
      </c>
      <c r="BC174" t="str" cm="1">
        <f t="array" ref="BC174">IF(ISERROR(INDEX(RESULT_DAY,SMALL(IF(COUNTIF($BA$3,MONTH), ROW(MONTH)-MIN(ROW(MONTH))+1),ROW(A169)),COLUMN(A169))),"",INDEX(RESULT_DAY,SMALL(IF(COUNTIF($BA$3,MONTH), ROW(MONTH)-MIN(ROW(MONTH))+1),ROW(A169)),COLUMN(A169)))</f>
        <v/>
      </c>
      <c r="BD174" s="29" t="str">
        <f t="shared" si="52"/>
        <v/>
      </c>
      <c r="BE174" s="2" t="str" cm="1">
        <f t="array" ref="BE174">IF(ISERROR(INDEX(RESULT_DURATION,SMALL(IF(COUNTIF($BA$3,MONTH), ROW(MONTH)-MIN(ROW(MONTH))+1),ROW(A169)),COLUMN(A169))),"",INDEX(RESULT_DURATION,SMALL(IF(COUNTIF($BA$3,MONTH), ROW(MONTH)-MIN(ROW(MONTH))+1),ROW(A169)),COLUMN(A169)))</f>
        <v/>
      </c>
      <c r="BH174" t="str" cm="1">
        <f t="array" ref="BH174">IF(ISERROR(INDEX(RESULT_CATEGORIES,SMALL(IF(COUNTIF($BA$3,MONTH), ROW(MONTH)-MIN(ROW(MONTH))+1),ROW(A169)),COLUMN(A169))),"",INDEX(RESULT_CATEGORIES,SMALL(IF(COUNTIF($BA$3,MONTH), ROW(MONTH)-MIN(ROW(MONTH))+1),ROW(A169)),COLUMN(A169)))</f>
        <v/>
      </c>
      <c r="BI174" t="str" cm="1">
        <f t="array" ref="BI174">IF(ISERROR(INDEX(RESULTLOCATION,SMALL(IF(COUNTIF($BA$3,MONTH), ROW(MONTH)-MIN(ROW(MONTH))+1),ROW(A169)),COLUMN(A169))),"",INDEX(RESULTLOCATION,SMALL(IF(COUNTIF($BA$3,MONTH), ROW(MONTH)-MIN(ROW(MONTH))+1),ROW(A169)),COLUMN(A169)))</f>
        <v/>
      </c>
    </row>
    <row r="175" spans="53:61" x14ac:dyDescent="0.3">
      <c r="BA175" t="str" cm="1">
        <f t="array" ref="BA175">IF(ISERROR(INDEX(RESULT_SUBJECT,SMALL(IF(COUNTIF($BA$3,MONTH), ROW(MONTH)-MIN(ROW(MONTH))+1),ROW(A170)),COLUMN(A170))),"",INDEX(RESULT_SUBJECT,SMALL(IF(COUNTIF($BA$3,MONTH), ROW(MONTH)-MIN(ROW(MONTH))+1),ROW(A170)),COLUMN(A170)))</f>
        <v/>
      </c>
      <c r="BB175" t="str" cm="1">
        <f t="array" ref="BB175">IF(ISERROR(INDEX(WEEK,SMALL(IF(COUNTIF($BA$3,MONTH), ROW(MONTH)-MIN(ROW(MONTH))+1),ROW(A170)),COLUMN(A170))),"",INDEX(WEEK,SMALL(IF(COUNTIF($BA$3,MONTH), ROW(MONTH)-MIN(ROW(MONTH))+1),ROW(A170)),COLUMN(A170)))</f>
        <v/>
      </c>
      <c r="BC175" t="str" cm="1">
        <f t="array" ref="BC175">IF(ISERROR(INDEX(RESULT_DAY,SMALL(IF(COUNTIF($BA$3,MONTH), ROW(MONTH)-MIN(ROW(MONTH))+1),ROW(A170)),COLUMN(A170))),"",INDEX(RESULT_DAY,SMALL(IF(COUNTIF($BA$3,MONTH), ROW(MONTH)-MIN(ROW(MONTH))+1),ROW(A170)),COLUMN(A170)))</f>
        <v/>
      </c>
      <c r="BD175" s="29" t="str">
        <f t="shared" si="52"/>
        <v/>
      </c>
      <c r="BE175" s="2" t="str" cm="1">
        <f t="array" ref="BE175">IF(ISERROR(INDEX(RESULT_DURATION,SMALL(IF(COUNTIF($BA$3,MONTH), ROW(MONTH)-MIN(ROW(MONTH))+1),ROW(A170)),COLUMN(A170))),"",INDEX(RESULT_DURATION,SMALL(IF(COUNTIF($BA$3,MONTH), ROW(MONTH)-MIN(ROW(MONTH))+1),ROW(A170)),COLUMN(A170)))</f>
        <v/>
      </c>
      <c r="BH175" t="str" cm="1">
        <f t="array" ref="BH175">IF(ISERROR(INDEX(RESULT_CATEGORIES,SMALL(IF(COUNTIF($BA$3,MONTH), ROW(MONTH)-MIN(ROW(MONTH))+1),ROW(A170)),COLUMN(A170))),"",INDEX(RESULT_CATEGORIES,SMALL(IF(COUNTIF($BA$3,MONTH), ROW(MONTH)-MIN(ROW(MONTH))+1),ROW(A170)),COLUMN(A170)))</f>
        <v/>
      </c>
      <c r="BI175" t="str" cm="1">
        <f t="array" ref="BI175">IF(ISERROR(INDEX(RESULTLOCATION,SMALL(IF(COUNTIF($BA$3,MONTH), ROW(MONTH)-MIN(ROW(MONTH))+1),ROW(A170)),COLUMN(A170))),"",INDEX(RESULTLOCATION,SMALL(IF(COUNTIF($BA$3,MONTH), ROW(MONTH)-MIN(ROW(MONTH))+1),ROW(A170)),COLUMN(A170)))</f>
        <v/>
      </c>
    </row>
    <row r="176" spans="53:61" x14ac:dyDescent="0.3">
      <c r="BA176" t="str" cm="1">
        <f t="array" ref="BA176">IF(ISERROR(INDEX(RESULT_SUBJECT,SMALL(IF(COUNTIF($BA$3,MONTH), ROW(MONTH)-MIN(ROW(MONTH))+1),ROW(A171)),COLUMN(A171))),"",INDEX(RESULT_SUBJECT,SMALL(IF(COUNTIF($BA$3,MONTH), ROW(MONTH)-MIN(ROW(MONTH))+1),ROW(A171)),COLUMN(A171)))</f>
        <v/>
      </c>
      <c r="BB176" t="str" cm="1">
        <f t="array" ref="BB176">IF(ISERROR(INDEX(WEEK,SMALL(IF(COUNTIF($BA$3,MONTH), ROW(MONTH)-MIN(ROW(MONTH))+1),ROW(A171)),COLUMN(A171))),"",INDEX(WEEK,SMALL(IF(COUNTIF($BA$3,MONTH), ROW(MONTH)-MIN(ROW(MONTH))+1),ROW(A171)),COLUMN(A171)))</f>
        <v/>
      </c>
      <c r="BC176" t="str" cm="1">
        <f t="array" ref="BC176">IF(ISERROR(INDEX(RESULT_DAY,SMALL(IF(COUNTIF($BA$3,MONTH), ROW(MONTH)-MIN(ROW(MONTH))+1),ROW(A171)),COLUMN(A171))),"",INDEX(RESULT_DAY,SMALL(IF(COUNTIF($BA$3,MONTH), ROW(MONTH)-MIN(ROW(MONTH))+1),ROW(A171)),COLUMN(A171)))</f>
        <v/>
      </c>
      <c r="BD176" s="29" t="str">
        <f t="shared" si="52"/>
        <v/>
      </c>
      <c r="BE176" s="2" t="str" cm="1">
        <f t="array" ref="BE176">IF(ISERROR(INDEX(RESULT_DURATION,SMALL(IF(COUNTIF($BA$3,MONTH), ROW(MONTH)-MIN(ROW(MONTH))+1),ROW(A171)),COLUMN(A171))),"",INDEX(RESULT_DURATION,SMALL(IF(COUNTIF($BA$3,MONTH), ROW(MONTH)-MIN(ROW(MONTH))+1),ROW(A171)),COLUMN(A171)))</f>
        <v/>
      </c>
      <c r="BH176" t="str" cm="1">
        <f t="array" ref="BH176">IF(ISERROR(INDEX(RESULT_CATEGORIES,SMALL(IF(COUNTIF($BA$3,MONTH), ROW(MONTH)-MIN(ROW(MONTH))+1),ROW(A171)),COLUMN(A171))),"",INDEX(RESULT_CATEGORIES,SMALL(IF(COUNTIF($BA$3,MONTH), ROW(MONTH)-MIN(ROW(MONTH))+1),ROW(A171)),COLUMN(A171)))</f>
        <v/>
      </c>
      <c r="BI176" t="str" cm="1">
        <f t="array" ref="BI176">IF(ISERROR(INDEX(RESULTLOCATION,SMALL(IF(COUNTIF($BA$3,MONTH), ROW(MONTH)-MIN(ROW(MONTH))+1),ROW(A171)),COLUMN(A171))),"",INDEX(RESULTLOCATION,SMALL(IF(COUNTIF($BA$3,MONTH), ROW(MONTH)-MIN(ROW(MONTH))+1),ROW(A171)),COLUMN(A171)))</f>
        <v/>
      </c>
    </row>
    <row r="177" spans="53:61" x14ac:dyDescent="0.3">
      <c r="BA177" t="str" cm="1">
        <f t="array" ref="BA177">IF(ISERROR(INDEX(RESULT_SUBJECT,SMALL(IF(COUNTIF($BA$3,MONTH), ROW(MONTH)-MIN(ROW(MONTH))+1),ROW(A172)),COLUMN(A172))),"",INDEX(RESULT_SUBJECT,SMALL(IF(COUNTIF($BA$3,MONTH), ROW(MONTH)-MIN(ROW(MONTH))+1),ROW(A172)),COLUMN(A172)))</f>
        <v/>
      </c>
      <c r="BB177" t="str" cm="1">
        <f t="array" ref="BB177">IF(ISERROR(INDEX(WEEK,SMALL(IF(COUNTIF($BA$3,MONTH), ROW(MONTH)-MIN(ROW(MONTH))+1),ROW(A172)),COLUMN(A172))),"",INDEX(WEEK,SMALL(IF(COUNTIF($BA$3,MONTH), ROW(MONTH)-MIN(ROW(MONTH))+1),ROW(A172)),COLUMN(A172)))</f>
        <v/>
      </c>
      <c r="BC177" t="str" cm="1">
        <f t="array" ref="BC177">IF(ISERROR(INDEX(RESULT_DAY,SMALL(IF(COUNTIF($BA$3,MONTH), ROW(MONTH)-MIN(ROW(MONTH))+1),ROW(A172)),COLUMN(A172))),"",INDEX(RESULT_DAY,SMALL(IF(COUNTIF($BA$3,MONTH), ROW(MONTH)-MIN(ROW(MONTH))+1),ROW(A172)),COLUMN(A172)))</f>
        <v/>
      </c>
      <c r="BD177" s="29" t="str">
        <f t="shared" si="52"/>
        <v/>
      </c>
      <c r="BE177" s="2" t="str" cm="1">
        <f t="array" ref="BE177">IF(ISERROR(INDEX(RESULT_DURATION,SMALL(IF(COUNTIF($BA$3,MONTH), ROW(MONTH)-MIN(ROW(MONTH))+1),ROW(A172)),COLUMN(A172))),"",INDEX(RESULT_DURATION,SMALL(IF(COUNTIF($BA$3,MONTH), ROW(MONTH)-MIN(ROW(MONTH))+1),ROW(A172)),COLUMN(A172)))</f>
        <v/>
      </c>
      <c r="BH177" t="str" cm="1">
        <f t="array" ref="BH177">IF(ISERROR(INDEX(RESULT_CATEGORIES,SMALL(IF(COUNTIF($BA$3,MONTH), ROW(MONTH)-MIN(ROW(MONTH))+1),ROW(A172)),COLUMN(A172))),"",INDEX(RESULT_CATEGORIES,SMALL(IF(COUNTIF($BA$3,MONTH), ROW(MONTH)-MIN(ROW(MONTH))+1),ROW(A172)),COLUMN(A172)))</f>
        <v/>
      </c>
      <c r="BI177" t="str" cm="1">
        <f t="array" ref="BI177">IF(ISERROR(INDEX(RESULTLOCATION,SMALL(IF(COUNTIF($BA$3,MONTH), ROW(MONTH)-MIN(ROW(MONTH))+1),ROW(A172)),COLUMN(A172))),"",INDEX(RESULTLOCATION,SMALL(IF(COUNTIF($BA$3,MONTH), ROW(MONTH)-MIN(ROW(MONTH))+1),ROW(A172)),COLUMN(A172)))</f>
        <v/>
      </c>
    </row>
    <row r="178" spans="53:61" x14ac:dyDescent="0.3">
      <c r="BA178" t="str" cm="1">
        <f t="array" ref="BA178">IF(ISERROR(INDEX(RESULT_SUBJECT,SMALL(IF(COUNTIF($BA$3,MONTH), ROW(MONTH)-MIN(ROW(MONTH))+1),ROW(A173)),COLUMN(A173))),"",INDEX(RESULT_SUBJECT,SMALL(IF(COUNTIF($BA$3,MONTH), ROW(MONTH)-MIN(ROW(MONTH))+1),ROW(A173)),COLUMN(A173)))</f>
        <v/>
      </c>
      <c r="BB178" t="str" cm="1">
        <f t="array" ref="BB178">IF(ISERROR(INDEX(WEEK,SMALL(IF(COUNTIF($BA$3,MONTH), ROW(MONTH)-MIN(ROW(MONTH))+1),ROW(A173)),COLUMN(A173))),"",INDEX(WEEK,SMALL(IF(COUNTIF($BA$3,MONTH), ROW(MONTH)-MIN(ROW(MONTH))+1),ROW(A173)),COLUMN(A173)))</f>
        <v/>
      </c>
      <c r="BC178" t="str" cm="1">
        <f t="array" ref="BC178">IF(ISERROR(INDEX(RESULT_DAY,SMALL(IF(COUNTIF($BA$3,MONTH), ROW(MONTH)-MIN(ROW(MONTH))+1),ROW(A173)),COLUMN(A173))),"",INDEX(RESULT_DAY,SMALL(IF(COUNTIF($BA$3,MONTH), ROW(MONTH)-MIN(ROW(MONTH))+1),ROW(A173)),COLUMN(A173)))</f>
        <v/>
      </c>
      <c r="BD178" s="29" t="str">
        <f t="shared" si="52"/>
        <v/>
      </c>
      <c r="BE178" s="2" t="str" cm="1">
        <f t="array" ref="BE178">IF(ISERROR(INDEX(RESULT_DURATION,SMALL(IF(COUNTIF($BA$3,MONTH), ROW(MONTH)-MIN(ROW(MONTH))+1),ROW(A173)),COLUMN(A173))),"",INDEX(RESULT_DURATION,SMALL(IF(COUNTIF($BA$3,MONTH), ROW(MONTH)-MIN(ROW(MONTH))+1),ROW(A173)),COLUMN(A173)))</f>
        <v/>
      </c>
      <c r="BH178" t="str" cm="1">
        <f t="array" ref="BH178">IF(ISERROR(INDEX(RESULT_CATEGORIES,SMALL(IF(COUNTIF($BA$3,MONTH), ROW(MONTH)-MIN(ROW(MONTH))+1),ROW(A173)),COLUMN(A173))),"",INDEX(RESULT_CATEGORIES,SMALL(IF(COUNTIF($BA$3,MONTH), ROW(MONTH)-MIN(ROW(MONTH))+1),ROW(A173)),COLUMN(A173)))</f>
        <v/>
      </c>
      <c r="BI178" t="str" cm="1">
        <f t="array" ref="BI178">IF(ISERROR(INDEX(RESULTLOCATION,SMALL(IF(COUNTIF($BA$3,MONTH), ROW(MONTH)-MIN(ROW(MONTH))+1),ROW(A173)),COLUMN(A173))),"",INDEX(RESULTLOCATION,SMALL(IF(COUNTIF($BA$3,MONTH), ROW(MONTH)-MIN(ROW(MONTH))+1),ROW(A173)),COLUMN(A173)))</f>
        <v/>
      </c>
    </row>
    <row r="179" spans="53:61" x14ac:dyDescent="0.3">
      <c r="BA179" t="str" cm="1">
        <f t="array" ref="BA179">IF(ISERROR(INDEX(RESULT_SUBJECT,SMALL(IF(COUNTIF($BA$3,MONTH), ROW(MONTH)-MIN(ROW(MONTH))+1),ROW(A174)),COLUMN(A174))),"",INDEX(RESULT_SUBJECT,SMALL(IF(COUNTIF($BA$3,MONTH), ROW(MONTH)-MIN(ROW(MONTH))+1),ROW(A174)),COLUMN(A174)))</f>
        <v/>
      </c>
      <c r="BB179" t="str" cm="1">
        <f t="array" ref="BB179">IF(ISERROR(INDEX(WEEK,SMALL(IF(COUNTIF($BA$3,MONTH), ROW(MONTH)-MIN(ROW(MONTH))+1),ROW(A174)),COLUMN(A174))),"",INDEX(WEEK,SMALL(IF(COUNTIF($BA$3,MONTH), ROW(MONTH)-MIN(ROW(MONTH))+1),ROW(A174)),COLUMN(A174)))</f>
        <v/>
      </c>
      <c r="BC179" t="str" cm="1">
        <f t="array" ref="BC179">IF(ISERROR(INDEX(RESULT_DAY,SMALL(IF(COUNTIF($BA$3,MONTH), ROW(MONTH)-MIN(ROW(MONTH))+1),ROW(A174)),COLUMN(A174))),"",INDEX(RESULT_DAY,SMALL(IF(COUNTIF($BA$3,MONTH), ROW(MONTH)-MIN(ROW(MONTH))+1),ROW(A174)),COLUMN(A174)))</f>
        <v/>
      </c>
      <c r="BD179" s="29" t="str">
        <f t="shared" si="52"/>
        <v/>
      </c>
      <c r="BE179" s="2" t="str" cm="1">
        <f t="array" ref="BE179">IF(ISERROR(INDEX(RESULT_DURATION,SMALL(IF(COUNTIF($BA$3,MONTH), ROW(MONTH)-MIN(ROW(MONTH))+1),ROW(A174)),COLUMN(A174))),"",INDEX(RESULT_DURATION,SMALL(IF(COUNTIF($BA$3,MONTH), ROW(MONTH)-MIN(ROW(MONTH))+1),ROW(A174)),COLUMN(A174)))</f>
        <v/>
      </c>
      <c r="BH179" t="str" cm="1">
        <f t="array" ref="BH179">IF(ISERROR(INDEX(RESULT_CATEGORIES,SMALL(IF(COUNTIF($BA$3,MONTH), ROW(MONTH)-MIN(ROW(MONTH))+1),ROW(A174)),COLUMN(A174))),"",INDEX(RESULT_CATEGORIES,SMALL(IF(COUNTIF($BA$3,MONTH), ROW(MONTH)-MIN(ROW(MONTH))+1),ROW(A174)),COLUMN(A174)))</f>
        <v/>
      </c>
      <c r="BI179" t="str" cm="1">
        <f t="array" ref="BI179">IF(ISERROR(INDEX(RESULTLOCATION,SMALL(IF(COUNTIF($BA$3,MONTH), ROW(MONTH)-MIN(ROW(MONTH))+1),ROW(A174)),COLUMN(A174))),"",INDEX(RESULTLOCATION,SMALL(IF(COUNTIF($BA$3,MONTH), ROW(MONTH)-MIN(ROW(MONTH))+1),ROW(A174)),COLUMN(A174)))</f>
        <v/>
      </c>
    </row>
    <row r="180" spans="53:61" x14ac:dyDescent="0.3">
      <c r="BA180" t="str" cm="1">
        <f t="array" ref="BA180">IF(ISERROR(INDEX(RESULT_SUBJECT,SMALL(IF(COUNTIF($BA$3,MONTH), ROW(MONTH)-MIN(ROW(MONTH))+1),ROW(A175)),COLUMN(A175))),"",INDEX(RESULT_SUBJECT,SMALL(IF(COUNTIF($BA$3,MONTH), ROW(MONTH)-MIN(ROW(MONTH))+1),ROW(A175)),COLUMN(A175)))</f>
        <v/>
      </c>
      <c r="BB180" t="str" cm="1">
        <f t="array" ref="BB180">IF(ISERROR(INDEX(WEEK,SMALL(IF(COUNTIF($BA$3,MONTH), ROW(MONTH)-MIN(ROW(MONTH))+1),ROW(A175)),COLUMN(A175))),"",INDEX(WEEK,SMALL(IF(COUNTIF($BA$3,MONTH), ROW(MONTH)-MIN(ROW(MONTH))+1),ROW(A175)),COLUMN(A175)))</f>
        <v/>
      </c>
      <c r="BC180" t="str" cm="1">
        <f t="array" ref="BC180">IF(ISERROR(INDEX(RESULT_DAY,SMALL(IF(COUNTIF($BA$3,MONTH), ROW(MONTH)-MIN(ROW(MONTH))+1),ROW(A175)),COLUMN(A175))),"",INDEX(RESULT_DAY,SMALL(IF(COUNTIF($BA$3,MONTH), ROW(MONTH)-MIN(ROW(MONTH))+1),ROW(A175)),COLUMN(A175)))</f>
        <v/>
      </c>
      <c r="BD180" s="29" t="str">
        <f t="shared" si="52"/>
        <v/>
      </c>
      <c r="BE180" s="2" t="str" cm="1">
        <f t="array" ref="BE180">IF(ISERROR(INDEX(RESULT_DURATION,SMALL(IF(COUNTIF($BA$3,MONTH), ROW(MONTH)-MIN(ROW(MONTH))+1),ROW(A175)),COLUMN(A175))),"",INDEX(RESULT_DURATION,SMALL(IF(COUNTIF($BA$3,MONTH), ROW(MONTH)-MIN(ROW(MONTH))+1),ROW(A175)),COLUMN(A175)))</f>
        <v/>
      </c>
      <c r="BH180" t="str" cm="1">
        <f t="array" ref="BH180">IF(ISERROR(INDEX(RESULT_CATEGORIES,SMALL(IF(COUNTIF($BA$3,MONTH), ROW(MONTH)-MIN(ROW(MONTH))+1),ROW(A175)),COLUMN(A175))),"",INDEX(RESULT_CATEGORIES,SMALL(IF(COUNTIF($BA$3,MONTH), ROW(MONTH)-MIN(ROW(MONTH))+1),ROW(A175)),COLUMN(A175)))</f>
        <v/>
      </c>
      <c r="BI180" t="str" cm="1">
        <f t="array" ref="BI180">IF(ISERROR(INDEX(RESULTLOCATION,SMALL(IF(COUNTIF($BA$3,MONTH), ROW(MONTH)-MIN(ROW(MONTH))+1),ROW(A175)),COLUMN(A175))),"",INDEX(RESULTLOCATION,SMALL(IF(COUNTIF($BA$3,MONTH), ROW(MONTH)-MIN(ROW(MONTH))+1),ROW(A175)),COLUMN(A175)))</f>
        <v/>
      </c>
    </row>
    <row r="181" spans="53:61" x14ac:dyDescent="0.3">
      <c r="BA181" t="str" cm="1">
        <f t="array" ref="BA181">IF(ISERROR(INDEX(RESULT_SUBJECT,SMALL(IF(COUNTIF($BA$3,MONTH), ROW(MONTH)-MIN(ROW(MONTH))+1),ROW(A176)),COLUMN(A176))),"",INDEX(RESULT_SUBJECT,SMALL(IF(COUNTIF($BA$3,MONTH), ROW(MONTH)-MIN(ROW(MONTH))+1),ROW(A176)),COLUMN(A176)))</f>
        <v/>
      </c>
      <c r="BB181" t="str" cm="1">
        <f t="array" ref="BB181">IF(ISERROR(INDEX(WEEK,SMALL(IF(COUNTIF($BA$3,MONTH), ROW(MONTH)-MIN(ROW(MONTH))+1),ROW(A176)),COLUMN(A176))),"",INDEX(WEEK,SMALL(IF(COUNTIF($BA$3,MONTH), ROW(MONTH)-MIN(ROW(MONTH))+1),ROW(A176)),COLUMN(A176)))</f>
        <v/>
      </c>
      <c r="BC181" t="str" cm="1">
        <f t="array" ref="BC181">IF(ISERROR(INDEX(RESULT_DAY,SMALL(IF(COUNTIF($BA$3,MONTH), ROW(MONTH)-MIN(ROW(MONTH))+1),ROW(A176)),COLUMN(A176))),"",INDEX(RESULT_DAY,SMALL(IF(COUNTIF($BA$3,MONTH), ROW(MONTH)-MIN(ROW(MONTH))+1),ROW(A176)),COLUMN(A176)))</f>
        <v/>
      </c>
      <c r="BD181" s="29" t="str">
        <f t="shared" si="52"/>
        <v/>
      </c>
      <c r="BE181" s="2" t="str" cm="1">
        <f t="array" ref="BE181">IF(ISERROR(INDEX(RESULT_DURATION,SMALL(IF(COUNTIF($BA$3,MONTH), ROW(MONTH)-MIN(ROW(MONTH))+1),ROW(A176)),COLUMN(A176))),"",INDEX(RESULT_DURATION,SMALL(IF(COUNTIF($BA$3,MONTH), ROW(MONTH)-MIN(ROW(MONTH))+1),ROW(A176)),COLUMN(A176)))</f>
        <v/>
      </c>
      <c r="BH181" t="str" cm="1">
        <f t="array" ref="BH181">IF(ISERROR(INDEX(RESULT_CATEGORIES,SMALL(IF(COUNTIF($BA$3,MONTH), ROW(MONTH)-MIN(ROW(MONTH))+1),ROW(A176)),COLUMN(A176))),"",INDEX(RESULT_CATEGORIES,SMALL(IF(COUNTIF($BA$3,MONTH), ROW(MONTH)-MIN(ROW(MONTH))+1),ROW(A176)),COLUMN(A176)))</f>
        <v/>
      </c>
      <c r="BI181" t="str" cm="1">
        <f t="array" ref="BI181">IF(ISERROR(INDEX(RESULTLOCATION,SMALL(IF(COUNTIF($BA$3,MONTH), ROW(MONTH)-MIN(ROW(MONTH))+1),ROW(A176)),COLUMN(A176))),"",INDEX(RESULTLOCATION,SMALL(IF(COUNTIF($BA$3,MONTH), ROW(MONTH)-MIN(ROW(MONTH))+1),ROW(A176)),COLUMN(A176)))</f>
        <v/>
      </c>
    </row>
    <row r="182" spans="53:61" x14ac:dyDescent="0.3">
      <c r="BA182" t="str" cm="1">
        <f t="array" ref="BA182">IF(ISERROR(INDEX(RESULT_SUBJECT,SMALL(IF(COUNTIF($BA$3,MONTH), ROW(MONTH)-MIN(ROW(MONTH))+1),ROW(A177)),COLUMN(A177))),"",INDEX(RESULT_SUBJECT,SMALL(IF(COUNTIF($BA$3,MONTH), ROW(MONTH)-MIN(ROW(MONTH))+1),ROW(A177)),COLUMN(A177)))</f>
        <v/>
      </c>
      <c r="BB182" t="str" cm="1">
        <f t="array" ref="BB182">IF(ISERROR(INDEX(WEEK,SMALL(IF(COUNTIF($BA$3,MONTH), ROW(MONTH)-MIN(ROW(MONTH))+1),ROW(A177)),COLUMN(A177))),"",INDEX(WEEK,SMALL(IF(COUNTIF($BA$3,MONTH), ROW(MONTH)-MIN(ROW(MONTH))+1),ROW(A177)),COLUMN(A177)))</f>
        <v/>
      </c>
      <c r="BC182" t="str" cm="1">
        <f t="array" ref="BC182">IF(ISERROR(INDEX(RESULT_DAY,SMALL(IF(COUNTIF($BA$3,MONTH), ROW(MONTH)-MIN(ROW(MONTH))+1),ROW(A177)),COLUMN(A177))),"",INDEX(RESULT_DAY,SMALL(IF(COUNTIF($BA$3,MONTH), ROW(MONTH)-MIN(ROW(MONTH))+1),ROW(A177)),COLUMN(A177)))</f>
        <v/>
      </c>
      <c r="BD182" s="29" t="str">
        <f t="shared" si="52"/>
        <v/>
      </c>
      <c r="BE182" s="2" t="str" cm="1">
        <f t="array" ref="BE182">IF(ISERROR(INDEX(RESULT_DURATION,SMALL(IF(COUNTIF($BA$3,MONTH), ROW(MONTH)-MIN(ROW(MONTH))+1),ROW(A177)),COLUMN(A177))),"",INDEX(RESULT_DURATION,SMALL(IF(COUNTIF($BA$3,MONTH), ROW(MONTH)-MIN(ROW(MONTH))+1),ROW(A177)),COLUMN(A177)))</f>
        <v/>
      </c>
      <c r="BH182" t="str" cm="1">
        <f t="array" ref="BH182">IF(ISERROR(INDEX(RESULT_CATEGORIES,SMALL(IF(COUNTIF($BA$3,MONTH), ROW(MONTH)-MIN(ROW(MONTH))+1),ROW(A177)),COLUMN(A177))),"",INDEX(RESULT_CATEGORIES,SMALL(IF(COUNTIF($BA$3,MONTH), ROW(MONTH)-MIN(ROW(MONTH))+1),ROW(A177)),COLUMN(A177)))</f>
        <v/>
      </c>
      <c r="BI182" t="str" cm="1">
        <f t="array" ref="BI182">IF(ISERROR(INDEX(RESULTLOCATION,SMALL(IF(COUNTIF($BA$3,MONTH), ROW(MONTH)-MIN(ROW(MONTH))+1),ROW(A177)),COLUMN(A177))),"",INDEX(RESULTLOCATION,SMALL(IF(COUNTIF($BA$3,MONTH), ROW(MONTH)-MIN(ROW(MONTH))+1),ROW(A177)),COLUMN(A177)))</f>
        <v/>
      </c>
    </row>
    <row r="183" spans="53:61" x14ac:dyDescent="0.3">
      <c r="BA183" t="str" cm="1">
        <f t="array" ref="BA183">IF(ISERROR(INDEX(RESULT_SUBJECT,SMALL(IF(COUNTIF($BA$3,MONTH), ROW(MONTH)-MIN(ROW(MONTH))+1),ROW(A178)),COLUMN(A178))),"",INDEX(RESULT_SUBJECT,SMALL(IF(COUNTIF($BA$3,MONTH), ROW(MONTH)-MIN(ROW(MONTH))+1),ROW(A178)),COLUMN(A178)))</f>
        <v/>
      </c>
      <c r="BB183" t="str" cm="1">
        <f t="array" ref="BB183">IF(ISERROR(INDEX(WEEK,SMALL(IF(COUNTIF($BA$3,MONTH), ROW(MONTH)-MIN(ROW(MONTH))+1),ROW(A178)),COLUMN(A178))),"",INDEX(WEEK,SMALL(IF(COUNTIF($BA$3,MONTH), ROW(MONTH)-MIN(ROW(MONTH))+1),ROW(A178)),COLUMN(A178)))</f>
        <v/>
      </c>
      <c r="BC183" t="str" cm="1">
        <f t="array" ref="BC183">IF(ISERROR(INDEX(RESULT_DAY,SMALL(IF(COUNTIF($BA$3,MONTH), ROW(MONTH)-MIN(ROW(MONTH))+1),ROW(A178)),COLUMN(A178))),"",INDEX(RESULT_DAY,SMALL(IF(COUNTIF($BA$3,MONTH), ROW(MONTH)-MIN(ROW(MONTH))+1),ROW(A178)),COLUMN(A178)))</f>
        <v/>
      </c>
      <c r="BD183" s="29" t="str">
        <f t="shared" si="52"/>
        <v/>
      </c>
      <c r="BE183" s="2" t="str" cm="1">
        <f t="array" ref="BE183">IF(ISERROR(INDEX(RESULT_DURATION,SMALL(IF(COUNTIF($BA$3,MONTH), ROW(MONTH)-MIN(ROW(MONTH))+1),ROW(A178)),COLUMN(A178))),"",INDEX(RESULT_DURATION,SMALL(IF(COUNTIF($BA$3,MONTH), ROW(MONTH)-MIN(ROW(MONTH))+1),ROW(A178)),COLUMN(A178)))</f>
        <v/>
      </c>
      <c r="BH183" t="str" cm="1">
        <f t="array" ref="BH183">IF(ISERROR(INDEX(RESULT_CATEGORIES,SMALL(IF(COUNTIF($BA$3,MONTH), ROW(MONTH)-MIN(ROW(MONTH))+1),ROW(A178)),COLUMN(A178))),"",INDEX(RESULT_CATEGORIES,SMALL(IF(COUNTIF($BA$3,MONTH), ROW(MONTH)-MIN(ROW(MONTH))+1),ROW(A178)),COLUMN(A178)))</f>
        <v/>
      </c>
      <c r="BI183" t="str" cm="1">
        <f t="array" ref="BI183">IF(ISERROR(INDEX(RESULTLOCATION,SMALL(IF(COUNTIF($BA$3,MONTH), ROW(MONTH)-MIN(ROW(MONTH))+1),ROW(A178)),COLUMN(A178))),"",INDEX(RESULTLOCATION,SMALL(IF(COUNTIF($BA$3,MONTH), ROW(MONTH)-MIN(ROW(MONTH))+1),ROW(A178)),COLUMN(A178)))</f>
        <v/>
      </c>
    </row>
    <row r="184" spans="53:61" x14ac:dyDescent="0.3">
      <c r="BA184" t="str" cm="1">
        <f t="array" ref="BA184">IF(ISERROR(INDEX(RESULT_SUBJECT,SMALL(IF(COUNTIF($BA$3,MONTH), ROW(MONTH)-MIN(ROW(MONTH))+1),ROW(A179)),COLUMN(A179))),"",INDEX(RESULT_SUBJECT,SMALL(IF(COUNTIF($BA$3,MONTH), ROW(MONTH)-MIN(ROW(MONTH))+1),ROW(A179)),COLUMN(A179)))</f>
        <v/>
      </c>
      <c r="BB184" t="str" cm="1">
        <f t="array" ref="BB184">IF(ISERROR(INDEX(WEEK,SMALL(IF(COUNTIF($BA$3,MONTH), ROW(MONTH)-MIN(ROW(MONTH))+1),ROW(A179)),COLUMN(A179))),"",INDEX(WEEK,SMALL(IF(COUNTIF($BA$3,MONTH), ROW(MONTH)-MIN(ROW(MONTH))+1),ROW(A179)),COLUMN(A179)))</f>
        <v/>
      </c>
      <c r="BC184" t="str" cm="1">
        <f t="array" ref="BC184">IF(ISERROR(INDEX(RESULT_DAY,SMALL(IF(COUNTIF($BA$3,MONTH), ROW(MONTH)-MIN(ROW(MONTH))+1),ROW(A179)),COLUMN(A179))),"",INDEX(RESULT_DAY,SMALL(IF(COUNTIF($BA$3,MONTH), ROW(MONTH)-MIN(ROW(MONTH))+1),ROW(A179)),COLUMN(A179)))</f>
        <v/>
      </c>
      <c r="BD184" s="29" t="str">
        <f t="shared" si="52"/>
        <v/>
      </c>
      <c r="BE184" s="2" t="str" cm="1">
        <f t="array" ref="BE184">IF(ISERROR(INDEX(RESULT_DURATION,SMALL(IF(COUNTIF($BA$3,MONTH), ROW(MONTH)-MIN(ROW(MONTH))+1),ROW(A179)),COLUMN(A179))),"",INDEX(RESULT_DURATION,SMALL(IF(COUNTIF($BA$3,MONTH), ROW(MONTH)-MIN(ROW(MONTH))+1),ROW(A179)),COLUMN(A179)))</f>
        <v/>
      </c>
      <c r="BH184" t="str" cm="1">
        <f t="array" ref="BH184">IF(ISERROR(INDEX(RESULT_CATEGORIES,SMALL(IF(COUNTIF($BA$3,MONTH), ROW(MONTH)-MIN(ROW(MONTH))+1),ROW(A179)),COLUMN(A179))),"",INDEX(RESULT_CATEGORIES,SMALL(IF(COUNTIF($BA$3,MONTH), ROW(MONTH)-MIN(ROW(MONTH))+1),ROW(A179)),COLUMN(A179)))</f>
        <v/>
      </c>
      <c r="BI184" t="str" cm="1">
        <f t="array" ref="BI184">IF(ISERROR(INDEX(RESULTLOCATION,SMALL(IF(COUNTIF($BA$3,MONTH), ROW(MONTH)-MIN(ROW(MONTH))+1),ROW(A179)),COLUMN(A179))),"",INDEX(RESULTLOCATION,SMALL(IF(COUNTIF($BA$3,MONTH), ROW(MONTH)-MIN(ROW(MONTH))+1),ROW(A179)),COLUMN(A179)))</f>
        <v/>
      </c>
    </row>
    <row r="185" spans="53:61" x14ac:dyDescent="0.3">
      <c r="BA185" t="str" cm="1">
        <f t="array" ref="BA185">IF(ISERROR(INDEX(RESULT_SUBJECT,SMALL(IF(COUNTIF($BA$3,MONTH), ROW(MONTH)-MIN(ROW(MONTH))+1),ROW(A180)),COLUMN(A180))),"",INDEX(RESULT_SUBJECT,SMALL(IF(COUNTIF($BA$3,MONTH), ROW(MONTH)-MIN(ROW(MONTH))+1),ROW(A180)),COLUMN(A180)))</f>
        <v/>
      </c>
      <c r="BB185" t="str" cm="1">
        <f t="array" ref="BB185">IF(ISERROR(INDEX(WEEK,SMALL(IF(COUNTIF($BA$3,MONTH), ROW(MONTH)-MIN(ROW(MONTH))+1),ROW(A180)),COLUMN(A180))),"",INDEX(WEEK,SMALL(IF(COUNTIF($BA$3,MONTH), ROW(MONTH)-MIN(ROW(MONTH))+1),ROW(A180)),COLUMN(A180)))</f>
        <v/>
      </c>
      <c r="BC185" t="str" cm="1">
        <f t="array" ref="BC185">IF(ISERROR(INDEX(RESULT_DAY,SMALL(IF(COUNTIF($BA$3,MONTH), ROW(MONTH)-MIN(ROW(MONTH))+1),ROW(A180)),COLUMN(A180))),"",INDEX(RESULT_DAY,SMALL(IF(COUNTIF($BA$3,MONTH), ROW(MONTH)-MIN(ROW(MONTH))+1),ROW(A180)),COLUMN(A180)))</f>
        <v/>
      </c>
      <c r="BD185" s="29" t="str">
        <f t="shared" si="52"/>
        <v/>
      </c>
      <c r="BE185" s="2" t="str" cm="1">
        <f t="array" ref="BE185">IF(ISERROR(INDEX(RESULT_DURATION,SMALL(IF(COUNTIF($BA$3,MONTH), ROW(MONTH)-MIN(ROW(MONTH))+1),ROW(A180)),COLUMN(A180))),"",INDEX(RESULT_DURATION,SMALL(IF(COUNTIF($BA$3,MONTH), ROW(MONTH)-MIN(ROW(MONTH))+1),ROW(A180)),COLUMN(A180)))</f>
        <v/>
      </c>
      <c r="BH185" t="str" cm="1">
        <f t="array" ref="BH185">IF(ISERROR(INDEX(RESULT_CATEGORIES,SMALL(IF(COUNTIF($BA$3,MONTH), ROW(MONTH)-MIN(ROW(MONTH))+1),ROW(A180)),COLUMN(A180))),"",INDEX(RESULT_CATEGORIES,SMALL(IF(COUNTIF($BA$3,MONTH), ROW(MONTH)-MIN(ROW(MONTH))+1),ROW(A180)),COLUMN(A180)))</f>
        <v/>
      </c>
      <c r="BI185" t="str" cm="1">
        <f t="array" ref="BI185">IF(ISERROR(INDEX(RESULTLOCATION,SMALL(IF(COUNTIF($BA$3,MONTH), ROW(MONTH)-MIN(ROW(MONTH))+1),ROW(A180)),COLUMN(A180))),"",INDEX(RESULTLOCATION,SMALL(IF(COUNTIF($BA$3,MONTH), ROW(MONTH)-MIN(ROW(MONTH))+1),ROW(A180)),COLUMN(A180)))</f>
        <v/>
      </c>
    </row>
    <row r="186" spans="53:61" x14ac:dyDescent="0.3">
      <c r="BA186" t="str" cm="1">
        <f t="array" ref="BA186">IF(ISERROR(INDEX(RESULT_SUBJECT,SMALL(IF(COUNTIF($BA$3,MONTH), ROW(MONTH)-MIN(ROW(MONTH))+1),ROW(A181)),COLUMN(A181))),"",INDEX(RESULT_SUBJECT,SMALL(IF(COUNTIF($BA$3,MONTH), ROW(MONTH)-MIN(ROW(MONTH))+1),ROW(A181)),COLUMN(A181)))</f>
        <v/>
      </c>
      <c r="BB186" t="str" cm="1">
        <f t="array" ref="BB186">IF(ISERROR(INDEX(WEEK,SMALL(IF(COUNTIF($BA$3,MONTH), ROW(MONTH)-MIN(ROW(MONTH))+1),ROW(A181)),COLUMN(A181))),"",INDEX(WEEK,SMALL(IF(COUNTIF($BA$3,MONTH), ROW(MONTH)-MIN(ROW(MONTH))+1),ROW(A181)),COLUMN(A181)))</f>
        <v/>
      </c>
      <c r="BC186" t="str" cm="1">
        <f t="array" ref="BC186">IF(ISERROR(INDEX(RESULT_DAY,SMALL(IF(COUNTIF($BA$3,MONTH), ROW(MONTH)-MIN(ROW(MONTH))+1),ROW(A181)),COLUMN(A181))),"",INDEX(RESULT_DAY,SMALL(IF(COUNTIF($BA$3,MONTH), ROW(MONTH)-MIN(ROW(MONTH))+1),ROW(A181)),COLUMN(A181)))</f>
        <v/>
      </c>
      <c r="BD186" s="29" t="str">
        <f t="shared" si="52"/>
        <v/>
      </c>
      <c r="BE186" s="2" t="str" cm="1">
        <f t="array" ref="BE186">IF(ISERROR(INDEX(RESULT_DURATION,SMALL(IF(COUNTIF($BA$3,MONTH), ROW(MONTH)-MIN(ROW(MONTH))+1),ROW(A181)),COLUMN(A181))),"",INDEX(RESULT_DURATION,SMALL(IF(COUNTIF($BA$3,MONTH), ROW(MONTH)-MIN(ROW(MONTH))+1),ROW(A181)),COLUMN(A181)))</f>
        <v/>
      </c>
      <c r="BH186" t="str" cm="1">
        <f t="array" ref="BH186">IF(ISERROR(INDEX(RESULT_CATEGORIES,SMALL(IF(COUNTIF($BA$3,MONTH), ROW(MONTH)-MIN(ROW(MONTH))+1),ROW(A181)),COLUMN(A181))),"",INDEX(RESULT_CATEGORIES,SMALL(IF(COUNTIF($BA$3,MONTH), ROW(MONTH)-MIN(ROW(MONTH))+1),ROW(A181)),COLUMN(A181)))</f>
        <v/>
      </c>
      <c r="BI186" t="str" cm="1">
        <f t="array" ref="BI186">IF(ISERROR(INDEX(RESULTLOCATION,SMALL(IF(COUNTIF($BA$3,MONTH), ROW(MONTH)-MIN(ROW(MONTH))+1),ROW(A181)),COLUMN(A181))),"",INDEX(RESULTLOCATION,SMALL(IF(COUNTIF($BA$3,MONTH), ROW(MONTH)-MIN(ROW(MONTH))+1),ROW(A181)),COLUMN(A181)))</f>
        <v/>
      </c>
    </row>
    <row r="187" spans="53:61" x14ac:dyDescent="0.3">
      <c r="BA187" t="str" cm="1">
        <f t="array" ref="BA187">IF(ISERROR(INDEX(RESULT_SUBJECT,SMALL(IF(COUNTIF($BA$3,MONTH), ROW(MONTH)-MIN(ROW(MONTH))+1),ROW(A182)),COLUMN(A182))),"",INDEX(RESULT_SUBJECT,SMALL(IF(COUNTIF($BA$3,MONTH), ROW(MONTH)-MIN(ROW(MONTH))+1),ROW(A182)),COLUMN(A182)))</f>
        <v/>
      </c>
      <c r="BB187" t="str" cm="1">
        <f t="array" ref="BB187">IF(ISERROR(INDEX(WEEK,SMALL(IF(COUNTIF($BA$3,MONTH), ROW(MONTH)-MIN(ROW(MONTH))+1),ROW(A182)),COLUMN(A182))),"",INDEX(WEEK,SMALL(IF(COUNTIF($BA$3,MONTH), ROW(MONTH)-MIN(ROW(MONTH))+1),ROW(A182)),COLUMN(A182)))</f>
        <v/>
      </c>
      <c r="BC187" t="str" cm="1">
        <f t="array" ref="BC187">IF(ISERROR(INDEX(RESULT_DAY,SMALL(IF(COUNTIF($BA$3,MONTH), ROW(MONTH)-MIN(ROW(MONTH))+1),ROW(A182)),COLUMN(A182))),"",INDEX(RESULT_DAY,SMALL(IF(COUNTIF($BA$3,MONTH), ROW(MONTH)-MIN(ROW(MONTH))+1),ROW(A182)),COLUMN(A182)))</f>
        <v/>
      </c>
      <c r="BD187" s="29" t="str">
        <f t="shared" si="52"/>
        <v/>
      </c>
      <c r="BE187" s="2" t="str" cm="1">
        <f t="array" ref="BE187">IF(ISERROR(INDEX(RESULT_DURATION,SMALL(IF(COUNTIF($BA$3,MONTH), ROW(MONTH)-MIN(ROW(MONTH))+1),ROW(A182)),COLUMN(A182))),"",INDEX(RESULT_DURATION,SMALL(IF(COUNTIF($BA$3,MONTH), ROW(MONTH)-MIN(ROW(MONTH))+1),ROW(A182)),COLUMN(A182)))</f>
        <v/>
      </c>
      <c r="BH187" t="str" cm="1">
        <f t="array" ref="BH187">IF(ISERROR(INDEX(RESULT_CATEGORIES,SMALL(IF(COUNTIF($BA$3,MONTH), ROW(MONTH)-MIN(ROW(MONTH))+1),ROW(A182)),COLUMN(A182))),"",INDEX(RESULT_CATEGORIES,SMALL(IF(COUNTIF($BA$3,MONTH), ROW(MONTH)-MIN(ROW(MONTH))+1),ROW(A182)),COLUMN(A182)))</f>
        <v/>
      </c>
      <c r="BI187" t="str" cm="1">
        <f t="array" ref="BI187">IF(ISERROR(INDEX(RESULTLOCATION,SMALL(IF(COUNTIF($BA$3,MONTH), ROW(MONTH)-MIN(ROW(MONTH))+1),ROW(A182)),COLUMN(A182))),"",INDEX(RESULTLOCATION,SMALL(IF(COUNTIF($BA$3,MONTH), ROW(MONTH)-MIN(ROW(MONTH))+1),ROW(A182)),COLUMN(A182)))</f>
        <v/>
      </c>
    </row>
    <row r="188" spans="53:61" x14ac:dyDescent="0.3">
      <c r="BA188" t="str" cm="1">
        <f t="array" ref="BA188">IF(ISERROR(INDEX(RESULT_SUBJECT,SMALL(IF(COUNTIF($BA$3,MONTH), ROW(MONTH)-MIN(ROW(MONTH))+1),ROW(A183)),COLUMN(A183))),"",INDEX(RESULT_SUBJECT,SMALL(IF(COUNTIF($BA$3,MONTH), ROW(MONTH)-MIN(ROW(MONTH))+1),ROW(A183)),COLUMN(A183)))</f>
        <v/>
      </c>
      <c r="BB188" t="str" cm="1">
        <f t="array" ref="BB188">IF(ISERROR(INDEX(WEEK,SMALL(IF(COUNTIF($BA$3,MONTH), ROW(MONTH)-MIN(ROW(MONTH))+1),ROW(A183)),COLUMN(A183))),"",INDEX(WEEK,SMALL(IF(COUNTIF($BA$3,MONTH), ROW(MONTH)-MIN(ROW(MONTH))+1),ROW(A183)),COLUMN(A183)))</f>
        <v/>
      </c>
      <c r="BC188" t="str" cm="1">
        <f t="array" ref="BC188">IF(ISERROR(INDEX(RESULT_DAY,SMALL(IF(COUNTIF($BA$3,MONTH), ROW(MONTH)-MIN(ROW(MONTH))+1),ROW(A183)),COLUMN(A183))),"",INDEX(RESULT_DAY,SMALL(IF(COUNTIF($BA$3,MONTH), ROW(MONTH)-MIN(ROW(MONTH))+1),ROW(A183)),COLUMN(A183)))</f>
        <v/>
      </c>
      <c r="BD188" s="29" t="str">
        <f t="shared" si="52"/>
        <v/>
      </c>
      <c r="BE188" s="2" t="str" cm="1">
        <f t="array" ref="BE188">IF(ISERROR(INDEX(RESULT_DURATION,SMALL(IF(COUNTIF($BA$3,MONTH), ROW(MONTH)-MIN(ROW(MONTH))+1),ROW(A183)),COLUMN(A183))),"",INDEX(RESULT_DURATION,SMALL(IF(COUNTIF($BA$3,MONTH), ROW(MONTH)-MIN(ROW(MONTH))+1),ROW(A183)),COLUMN(A183)))</f>
        <v/>
      </c>
      <c r="BH188" t="str" cm="1">
        <f t="array" ref="BH188">IF(ISERROR(INDEX(RESULT_CATEGORIES,SMALL(IF(COUNTIF($BA$3,MONTH), ROW(MONTH)-MIN(ROW(MONTH))+1),ROW(A183)),COLUMN(A183))),"",INDEX(RESULT_CATEGORIES,SMALL(IF(COUNTIF($BA$3,MONTH), ROW(MONTH)-MIN(ROW(MONTH))+1),ROW(A183)),COLUMN(A183)))</f>
        <v/>
      </c>
      <c r="BI188" t="str" cm="1">
        <f t="array" ref="BI188">IF(ISERROR(INDEX(RESULTLOCATION,SMALL(IF(COUNTIF($BA$3,MONTH), ROW(MONTH)-MIN(ROW(MONTH))+1),ROW(A183)),COLUMN(A183))),"",INDEX(RESULTLOCATION,SMALL(IF(COUNTIF($BA$3,MONTH), ROW(MONTH)-MIN(ROW(MONTH))+1),ROW(A183)),COLUMN(A183)))</f>
        <v/>
      </c>
    </row>
    <row r="189" spans="53:61" x14ac:dyDescent="0.3">
      <c r="BA189" t="str" cm="1">
        <f t="array" ref="BA189">IF(ISERROR(INDEX(RESULT_SUBJECT,SMALL(IF(COUNTIF($BA$3,MONTH), ROW(MONTH)-MIN(ROW(MONTH))+1),ROW(A184)),COLUMN(A184))),"",INDEX(RESULT_SUBJECT,SMALL(IF(COUNTIF($BA$3,MONTH), ROW(MONTH)-MIN(ROW(MONTH))+1),ROW(A184)),COLUMN(A184)))</f>
        <v/>
      </c>
      <c r="BB189" t="str" cm="1">
        <f t="array" ref="BB189">IF(ISERROR(INDEX(WEEK,SMALL(IF(COUNTIF($BA$3,MONTH), ROW(MONTH)-MIN(ROW(MONTH))+1),ROW(A184)),COLUMN(A184))),"",INDEX(WEEK,SMALL(IF(COUNTIF($BA$3,MONTH), ROW(MONTH)-MIN(ROW(MONTH))+1),ROW(A184)),COLUMN(A184)))</f>
        <v/>
      </c>
      <c r="BC189" t="str" cm="1">
        <f t="array" ref="BC189">IF(ISERROR(INDEX(RESULT_DAY,SMALL(IF(COUNTIF($BA$3,MONTH), ROW(MONTH)-MIN(ROW(MONTH))+1),ROW(A184)),COLUMN(A184))),"",INDEX(RESULT_DAY,SMALL(IF(COUNTIF($BA$3,MONTH), ROW(MONTH)-MIN(ROW(MONTH))+1),ROW(A184)),COLUMN(A184)))</f>
        <v/>
      </c>
      <c r="BD189" s="29" t="str">
        <f t="shared" si="52"/>
        <v/>
      </c>
      <c r="BE189" s="2" t="str" cm="1">
        <f t="array" ref="BE189">IF(ISERROR(INDEX(RESULT_DURATION,SMALL(IF(COUNTIF($BA$3,MONTH), ROW(MONTH)-MIN(ROW(MONTH))+1),ROW(A184)),COLUMN(A184))),"",INDEX(RESULT_DURATION,SMALL(IF(COUNTIF($BA$3,MONTH), ROW(MONTH)-MIN(ROW(MONTH))+1),ROW(A184)),COLUMN(A184)))</f>
        <v/>
      </c>
      <c r="BH189" t="str" cm="1">
        <f t="array" ref="BH189">IF(ISERROR(INDEX(RESULT_CATEGORIES,SMALL(IF(COUNTIF($BA$3,MONTH), ROW(MONTH)-MIN(ROW(MONTH))+1),ROW(A184)),COLUMN(A184))),"",INDEX(RESULT_CATEGORIES,SMALL(IF(COUNTIF($BA$3,MONTH), ROW(MONTH)-MIN(ROW(MONTH))+1),ROW(A184)),COLUMN(A184)))</f>
        <v/>
      </c>
      <c r="BI189" t="str" cm="1">
        <f t="array" ref="BI189">IF(ISERROR(INDEX(RESULTLOCATION,SMALL(IF(COUNTIF($BA$3,MONTH), ROW(MONTH)-MIN(ROW(MONTH))+1),ROW(A184)),COLUMN(A184))),"",INDEX(RESULTLOCATION,SMALL(IF(COUNTIF($BA$3,MONTH), ROW(MONTH)-MIN(ROW(MONTH))+1),ROW(A184)),COLUMN(A184)))</f>
        <v/>
      </c>
    </row>
    <row r="190" spans="53:61" x14ac:dyDescent="0.3">
      <c r="BA190" t="str" cm="1">
        <f t="array" ref="BA190">IF(ISERROR(INDEX(RESULT_SUBJECT,SMALL(IF(COUNTIF($BA$3,MONTH), ROW(MONTH)-MIN(ROW(MONTH))+1),ROW(A185)),COLUMN(A185))),"",INDEX(RESULT_SUBJECT,SMALL(IF(COUNTIF($BA$3,MONTH), ROW(MONTH)-MIN(ROW(MONTH))+1),ROW(A185)),COLUMN(A185)))</f>
        <v/>
      </c>
      <c r="BB190" t="str" cm="1">
        <f t="array" ref="BB190">IF(ISERROR(INDEX(WEEK,SMALL(IF(COUNTIF($BA$3,MONTH), ROW(MONTH)-MIN(ROW(MONTH))+1),ROW(A185)),COLUMN(A185))),"",INDEX(WEEK,SMALL(IF(COUNTIF($BA$3,MONTH), ROW(MONTH)-MIN(ROW(MONTH))+1),ROW(A185)),COLUMN(A185)))</f>
        <v/>
      </c>
      <c r="BC190" t="str" cm="1">
        <f t="array" ref="BC190">IF(ISERROR(INDEX(RESULT_DAY,SMALL(IF(COUNTIF($BA$3,MONTH), ROW(MONTH)-MIN(ROW(MONTH))+1),ROW(A185)),COLUMN(A185))),"",INDEX(RESULT_DAY,SMALL(IF(COUNTIF($BA$3,MONTH), ROW(MONTH)-MIN(ROW(MONTH))+1),ROW(A185)),COLUMN(A185)))</f>
        <v/>
      </c>
      <c r="BD190" s="29" t="str">
        <f t="shared" si="52"/>
        <v/>
      </c>
      <c r="BE190" s="2" t="str" cm="1">
        <f t="array" ref="BE190">IF(ISERROR(INDEX(RESULT_DURATION,SMALL(IF(COUNTIF($BA$3,MONTH), ROW(MONTH)-MIN(ROW(MONTH))+1),ROW(A185)),COLUMN(A185))),"",INDEX(RESULT_DURATION,SMALL(IF(COUNTIF($BA$3,MONTH), ROW(MONTH)-MIN(ROW(MONTH))+1),ROW(A185)),COLUMN(A185)))</f>
        <v/>
      </c>
      <c r="BH190" t="str" cm="1">
        <f t="array" ref="BH190">IF(ISERROR(INDEX(RESULT_CATEGORIES,SMALL(IF(COUNTIF($BA$3,MONTH), ROW(MONTH)-MIN(ROW(MONTH))+1),ROW(A185)),COLUMN(A185))),"",INDEX(RESULT_CATEGORIES,SMALL(IF(COUNTIF($BA$3,MONTH), ROW(MONTH)-MIN(ROW(MONTH))+1),ROW(A185)),COLUMN(A185)))</f>
        <v/>
      </c>
      <c r="BI190" t="str" cm="1">
        <f t="array" ref="BI190">IF(ISERROR(INDEX(RESULTLOCATION,SMALL(IF(COUNTIF($BA$3,MONTH), ROW(MONTH)-MIN(ROW(MONTH))+1),ROW(A185)),COLUMN(A185))),"",INDEX(RESULTLOCATION,SMALL(IF(COUNTIF($BA$3,MONTH), ROW(MONTH)-MIN(ROW(MONTH))+1),ROW(A185)),COLUMN(A185)))</f>
        <v/>
      </c>
    </row>
    <row r="191" spans="53:61" x14ac:dyDescent="0.3">
      <c r="BA191" t="str" cm="1">
        <f t="array" ref="BA191">IF(ISERROR(INDEX(RESULT_SUBJECT,SMALL(IF(COUNTIF($BA$3,MONTH), ROW(MONTH)-MIN(ROW(MONTH))+1),ROW(A186)),COLUMN(A186))),"",INDEX(RESULT_SUBJECT,SMALL(IF(COUNTIF($BA$3,MONTH), ROW(MONTH)-MIN(ROW(MONTH))+1),ROW(A186)),COLUMN(A186)))</f>
        <v/>
      </c>
      <c r="BB191" t="str" cm="1">
        <f t="array" ref="BB191">IF(ISERROR(INDEX(WEEK,SMALL(IF(COUNTIF($BA$3,MONTH), ROW(MONTH)-MIN(ROW(MONTH))+1),ROW(A186)),COLUMN(A186))),"",INDEX(WEEK,SMALL(IF(COUNTIF($BA$3,MONTH), ROW(MONTH)-MIN(ROW(MONTH))+1),ROW(A186)),COLUMN(A186)))</f>
        <v/>
      </c>
      <c r="BC191" t="str" cm="1">
        <f t="array" ref="BC191">IF(ISERROR(INDEX(RESULT_DAY,SMALL(IF(COUNTIF($BA$3,MONTH), ROW(MONTH)-MIN(ROW(MONTH))+1),ROW(A186)),COLUMN(A186))),"",INDEX(RESULT_DAY,SMALL(IF(COUNTIF($BA$3,MONTH), ROW(MONTH)-MIN(ROW(MONTH))+1),ROW(A186)),COLUMN(A186)))</f>
        <v/>
      </c>
      <c r="BD191" s="29" t="str">
        <f t="shared" si="52"/>
        <v/>
      </c>
      <c r="BE191" s="2" t="str" cm="1">
        <f t="array" ref="BE191">IF(ISERROR(INDEX(RESULT_DURATION,SMALL(IF(COUNTIF($BA$3,MONTH), ROW(MONTH)-MIN(ROW(MONTH))+1),ROW(A186)),COLUMN(A186))),"",INDEX(RESULT_DURATION,SMALL(IF(COUNTIF($BA$3,MONTH), ROW(MONTH)-MIN(ROW(MONTH))+1),ROW(A186)),COLUMN(A186)))</f>
        <v/>
      </c>
      <c r="BH191" t="str" cm="1">
        <f t="array" ref="BH191">IF(ISERROR(INDEX(RESULT_CATEGORIES,SMALL(IF(COUNTIF($BA$3,MONTH), ROW(MONTH)-MIN(ROW(MONTH))+1),ROW(A186)),COLUMN(A186))),"",INDEX(RESULT_CATEGORIES,SMALL(IF(COUNTIF($BA$3,MONTH), ROW(MONTH)-MIN(ROW(MONTH))+1),ROW(A186)),COLUMN(A186)))</f>
        <v/>
      </c>
      <c r="BI191" t="str" cm="1">
        <f t="array" ref="BI191">IF(ISERROR(INDEX(RESULTLOCATION,SMALL(IF(COUNTIF($BA$3,MONTH), ROW(MONTH)-MIN(ROW(MONTH))+1),ROW(A186)),COLUMN(A186))),"",INDEX(RESULTLOCATION,SMALL(IF(COUNTIF($BA$3,MONTH), ROW(MONTH)-MIN(ROW(MONTH))+1),ROW(A186)),COLUMN(A186)))</f>
        <v/>
      </c>
    </row>
    <row r="192" spans="53:61" x14ac:dyDescent="0.3">
      <c r="BA192" t="str" cm="1">
        <f t="array" ref="BA192">IF(ISERROR(INDEX(RESULT_SUBJECT,SMALL(IF(COUNTIF($BA$3,MONTH), ROW(MONTH)-MIN(ROW(MONTH))+1),ROW(A187)),COLUMN(A187))),"",INDEX(RESULT_SUBJECT,SMALL(IF(COUNTIF($BA$3,MONTH), ROW(MONTH)-MIN(ROW(MONTH))+1),ROW(A187)),COLUMN(A187)))</f>
        <v/>
      </c>
      <c r="BB192" t="str" cm="1">
        <f t="array" ref="BB192">IF(ISERROR(INDEX(WEEK,SMALL(IF(COUNTIF($BA$3,MONTH), ROW(MONTH)-MIN(ROW(MONTH))+1),ROW(A187)),COLUMN(A187))),"",INDEX(WEEK,SMALL(IF(COUNTIF($BA$3,MONTH), ROW(MONTH)-MIN(ROW(MONTH))+1),ROW(A187)),COLUMN(A187)))</f>
        <v/>
      </c>
      <c r="BC192" t="str" cm="1">
        <f t="array" ref="BC192">IF(ISERROR(INDEX(RESULT_DAY,SMALL(IF(COUNTIF($BA$3,MONTH), ROW(MONTH)-MIN(ROW(MONTH))+1),ROW(A187)),COLUMN(A187))),"",INDEX(RESULT_DAY,SMALL(IF(COUNTIF($BA$3,MONTH), ROW(MONTH)-MIN(ROW(MONTH))+1),ROW(A187)),COLUMN(A187)))</f>
        <v/>
      </c>
      <c r="BD192" s="29" t="str">
        <f t="shared" si="52"/>
        <v/>
      </c>
      <c r="BE192" s="2" t="str" cm="1">
        <f t="array" ref="BE192">IF(ISERROR(INDEX(RESULT_DURATION,SMALL(IF(COUNTIF($BA$3,MONTH), ROW(MONTH)-MIN(ROW(MONTH))+1),ROW(A187)),COLUMN(A187))),"",INDEX(RESULT_DURATION,SMALL(IF(COUNTIF($BA$3,MONTH), ROW(MONTH)-MIN(ROW(MONTH))+1),ROW(A187)),COLUMN(A187)))</f>
        <v/>
      </c>
      <c r="BH192" t="str" cm="1">
        <f t="array" ref="BH192">IF(ISERROR(INDEX(RESULT_CATEGORIES,SMALL(IF(COUNTIF($BA$3,MONTH), ROW(MONTH)-MIN(ROW(MONTH))+1),ROW(A187)),COLUMN(A187))),"",INDEX(RESULT_CATEGORIES,SMALL(IF(COUNTIF($BA$3,MONTH), ROW(MONTH)-MIN(ROW(MONTH))+1),ROW(A187)),COLUMN(A187)))</f>
        <v/>
      </c>
      <c r="BI192" t="str" cm="1">
        <f t="array" ref="BI192">IF(ISERROR(INDEX(RESULTLOCATION,SMALL(IF(COUNTIF($BA$3,MONTH), ROW(MONTH)-MIN(ROW(MONTH))+1),ROW(A187)),COLUMN(A187))),"",INDEX(RESULTLOCATION,SMALL(IF(COUNTIF($BA$3,MONTH), ROW(MONTH)-MIN(ROW(MONTH))+1),ROW(A187)),COLUMN(A187)))</f>
        <v/>
      </c>
    </row>
    <row r="193" spans="53:61" x14ac:dyDescent="0.3">
      <c r="BA193" t="str" cm="1">
        <f t="array" ref="BA193">IF(ISERROR(INDEX(RESULT_SUBJECT,SMALL(IF(COUNTIF($BA$3,MONTH), ROW(MONTH)-MIN(ROW(MONTH))+1),ROW(A188)),COLUMN(A188))),"",INDEX(RESULT_SUBJECT,SMALL(IF(COUNTIF($BA$3,MONTH), ROW(MONTH)-MIN(ROW(MONTH))+1),ROW(A188)),COLUMN(A188)))</f>
        <v/>
      </c>
      <c r="BB193" t="str" cm="1">
        <f t="array" ref="BB193">IF(ISERROR(INDEX(WEEK,SMALL(IF(COUNTIF($BA$3,MONTH), ROW(MONTH)-MIN(ROW(MONTH))+1),ROW(A188)),COLUMN(A188))),"",INDEX(WEEK,SMALL(IF(COUNTIF($BA$3,MONTH), ROW(MONTH)-MIN(ROW(MONTH))+1),ROW(A188)),COLUMN(A188)))</f>
        <v/>
      </c>
      <c r="BC193" t="str" cm="1">
        <f t="array" ref="BC193">IF(ISERROR(INDEX(RESULT_DAY,SMALL(IF(COUNTIF($BA$3,MONTH), ROW(MONTH)-MIN(ROW(MONTH))+1),ROW(A188)),COLUMN(A188))),"",INDEX(RESULT_DAY,SMALL(IF(COUNTIF($BA$3,MONTH), ROW(MONTH)-MIN(ROW(MONTH))+1),ROW(A188)),COLUMN(A188)))</f>
        <v/>
      </c>
      <c r="BD193" s="29" t="str">
        <f t="shared" si="52"/>
        <v/>
      </c>
      <c r="BE193" s="2" t="str" cm="1">
        <f t="array" ref="BE193">IF(ISERROR(INDEX(RESULT_DURATION,SMALL(IF(COUNTIF($BA$3,MONTH), ROW(MONTH)-MIN(ROW(MONTH))+1),ROW(A188)),COLUMN(A188))),"",INDEX(RESULT_DURATION,SMALL(IF(COUNTIF($BA$3,MONTH), ROW(MONTH)-MIN(ROW(MONTH))+1),ROW(A188)),COLUMN(A188)))</f>
        <v/>
      </c>
      <c r="BH193" t="str" cm="1">
        <f t="array" ref="BH193">IF(ISERROR(INDEX(RESULT_CATEGORIES,SMALL(IF(COUNTIF($BA$3,MONTH), ROW(MONTH)-MIN(ROW(MONTH))+1),ROW(A188)),COLUMN(A188))),"",INDEX(RESULT_CATEGORIES,SMALL(IF(COUNTIF($BA$3,MONTH), ROW(MONTH)-MIN(ROW(MONTH))+1),ROW(A188)),COLUMN(A188)))</f>
        <v/>
      </c>
      <c r="BI193" t="str" cm="1">
        <f t="array" ref="BI193">IF(ISERROR(INDEX(RESULTLOCATION,SMALL(IF(COUNTIF($BA$3,MONTH), ROW(MONTH)-MIN(ROW(MONTH))+1),ROW(A188)),COLUMN(A188))),"",INDEX(RESULTLOCATION,SMALL(IF(COUNTIF($BA$3,MONTH), ROW(MONTH)-MIN(ROW(MONTH))+1),ROW(A188)),COLUMN(A188)))</f>
        <v/>
      </c>
    </row>
    <row r="194" spans="53:61" x14ac:dyDescent="0.3">
      <c r="BA194" t="str" cm="1">
        <f t="array" ref="BA194">IF(ISERROR(INDEX(RESULT_SUBJECT,SMALL(IF(COUNTIF($BA$3,MONTH), ROW(MONTH)-MIN(ROW(MONTH))+1),ROW(A189)),COLUMN(A189))),"",INDEX(RESULT_SUBJECT,SMALL(IF(COUNTIF($BA$3,MONTH), ROW(MONTH)-MIN(ROW(MONTH))+1),ROW(A189)),COLUMN(A189)))</f>
        <v/>
      </c>
      <c r="BB194" t="str" cm="1">
        <f t="array" ref="BB194">IF(ISERROR(INDEX(WEEK,SMALL(IF(COUNTIF($BA$3,MONTH), ROW(MONTH)-MIN(ROW(MONTH))+1),ROW(A189)),COLUMN(A189))),"",INDEX(WEEK,SMALL(IF(COUNTIF($BA$3,MONTH), ROW(MONTH)-MIN(ROW(MONTH))+1),ROW(A189)),COLUMN(A189)))</f>
        <v/>
      </c>
      <c r="BC194" t="str" cm="1">
        <f t="array" ref="BC194">IF(ISERROR(INDEX(RESULT_DAY,SMALL(IF(COUNTIF($BA$3,MONTH), ROW(MONTH)-MIN(ROW(MONTH))+1),ROW(A189)),COLUMN(A189))),"",INDEX(RESULT_DAY,SMALL(IF(COUNTIF($BA$3,MONTH), ROW(MONTH)-MIN(ROW(MONTH))+1),ROW(A189)),COLUMN(A189)))</f>
        <v/>
      </c>
      <c r="BD194" s="29" t="str">
        <f t="shared" si="52"/>
        <v/>
      </c>
      <c r="BE194" s="2" t="str" cm="1">
        <f t="array" ref="BE194">IF(ISERROR(INDEX(RESULT_DURATION,SMALL(IF(COUNTIF($BA$3,MONTH), ROW(MONTH)-MIN(ROW(MONTH))+1),ROW(A189)),COLUMN(A189))),"",INDEX(RESULT_DURATION,SMALL(IF(COUNTIF($BA$3,MONTH), ROW(MONTH)-MIN(ROW(MONTH))+1),ROW(A189)),COLUMN(A189)))</f>
        <v/>
      </c>
      <c r="BH194" t="str" cm="1">
        <f t="array" ref="BH194">IF(ISERROR(INDEX(RESULT_CATEGORIES,SMALL(IF(COUNTIF($BA$3,MONTH), ROW(MONTH)-MIN(ROW(MONTH))+1),ROW(A189)),COLUMN(A189))),"",INDEX(RESULT_CATEGORIES,SMALL(IF(COUNTIF($BA$3,MONTH), ROW(MONTH)-MIN(ROW(MONTH))+1),ROW(A189)),COLUMN(A189)))</f>
        <v/>
      </c>
      <c r="BI194" t="str" cm="1">
        <f t="array" ref="BI194">IF(ISERROR(INDEX(RESULTLOCATION,SMALL(IF(COUNTIF($BA$3,MONTH), ROW(MONTH)-MIN(ROW(MONTH))+1),ROW(A189)),COLUMN(A189))),"",INDEX(RESULTLOCATION,SMALL(IF(COUNTIF($BA$3,MONTH), ROW(MONTH)-MIN(ROW(MONTH))+1),ROW(A189)),COLUMN(A189)))</f>
        <v/>
      </c>
    </row>
    <row r="195" spans="53:61" x14ac:dyDescent="0.3">
      <c r="BA195" t="str" cm="1">
        <f t="array" ref="BA195">IF(ISERROR(INDEX(RESULT_SUBJECT,SMALL(IF(COUNTIF($BA$3,MONTH), ROW(MONTH)-MIN(ROW(MONTH))+1),ROW(A190)),COLUMN(A190))),"",INDEX(RESULT_SUBJECT,SMALL(IF(COUNTIF($BA$3,MONTH), ROW(MONTH)-MIN(ROW(MONTH))+1),ROW(A190)),COLUMN(A190)))</f>
        <v/>
      </c>
      <c r="BB195" t="str" cm="1">
        <f t="array" ref="BB195">IF(ISERROR(INDEX(WEEK,SMALL(IF(COUNTIF($BA$3,MONTH), ROW(MONTH)-MIN(ROW(MONTH))+1),ROW(A190)),COLUMN(A190))),"",INDEX(WEEK,SMALL(IF(COUNTIF($BA$3,MONTH), ROW(MONTH)-MIN(ROW(MONTH))+1),ROW(A190)),COLUMN(A190)))</f>
        <v/>
      </c>
      <c r="BC195" t="str" cm="1">
        <f t="array" ref="BC195">IF(ISERROR(INDEX(RESULT_DAY,SMALL(IF(COUNTIF($BA$3,MONTH), ROW(MONTH)-MIN(ROW(MONTH))+1),ROW(A190)),COLUMN(A190))),"",INDEX(RESULT_DAY,SMALL(IF(COUNTIF($BA$3,MONTH), ROW(MONTH)-MIN(ROW(MONTH))+1),ROW(A190)),COLUMN(A190)))</f>
        <v/>
      </c>
      <c r="BD195" s="29" t="str">
        <f t="shared" si="52"/>
        <v/>
      </c>
      <c r="BE195" s="2" t="str" cm="1">
        <f t="array" ref="BE195">IF(ISERROR(INDEX(RESULT_DURATION,SMALL(IF(COUNTIF($BA$3,MONTH), ROW(MONTH)-MIN(ROW(MONTH))+1),ROW(A190)),COLUMN(A190))),"",INDEX(RESULT_DURATION,SMALL(IF(COUNTIF($BA$3,MONTH), ROW(MONTH)-MIN(ROW(MONTH))+1),ROW(A190)),COLUMN(A190)))</f>
        <v/>
      </c>
      <c r="BH195" t="str" cm="1">
        <f t="array" ref="BH195">IF(ISERROR(INDEX(RESULT_CATEGORIES,SMALL(IF(COUNTIF($BA$3,MONTH), ROW(MONTH)-MIN(ROW(MONTH))+1),ROW(A190)),COLUMN(A190))),"",INDEX(RESULT_CATEGORIES,SMALL(IF(COUNTIF($BA$3,MONTH), ROW(MONTH)-MIN(ROW(MONTH))+1),ROW(A190)),COLUMN(A190)))</f>
        <v/>
      </c>
      <c r="BI195" t="str" cm="1">
        <f t="array" ref="BI195">IF(ISERROR(INDEX(RESULTLOCATION,SMALL(IF(COUNTIF($BA$3,MONTH), ROW(MONTH)-MIN(ROW(MONTH))+1),ROW(A190)),COLUMN(A190))),"",INDEX(RESULTLOCATION,SMALL(IF(COUNTIF($BA$3,MONTH), ROW(MONTH)-MIN(ROW(MONTH))+1),ROW(A190)),COLUMN(A190)))</f>
        <v/>
      </c>
    </row>
    <row r="196" spans="53:61" x14ac:dyDescent="0.3">
      <c r="BA196" t="str" cm="1">
        <f t="array" ref="BA196">IF(ISERROR(INDEX(RESULT_SUBJECT,SMALL(IF(COUNTIF($BA$3,MONTH), ROW(MONTH)-MIN(ROW(MONTH))+1),ROW(A191)),COLUMN(A191))),"",INDEX(RESULT_SUBJECT,SMALL(IF(COUNTIF($BA$3,MONTH), ROW(MONTH)-MIN(ROW(MONTH))+1),ROW(A191)),COLUMN(A191)))</f>
        <v/>
      </c>
      <c r="BB196" t="str" cm="1">
        <f t="array" ref="BB196">IF(ISERROR(INDEX(WEEK,SMALL(IF(COUNTIF($BA$3,MONTH), ROW(MONTH)-MIN(ROW(MONTH))+1),ROW(A191)),COLUMN(A191))),"",INDEX(WEEK,SMALL(IF(COUNTIF($BA$3,MONTH), ROW(MONTH)-MIN(ROW(MONTH))+1),ROW(A191)),COLUMN(A191)))</f>
        <v/>
      </c>
      <c r="BC196" t="str" cm="1">
        <f t="array" ref="BC196">IF(ISERROR(INDEX(RESULT_DAY,SMALL(IF(COUNTIF($BA$3,MONTH), ROW(MONTH)-MIN(ROW(MONTH))+1),ROW(A191)),COLUMN(A191))),"",INDEX(RESULT_DAY,SMALL(IF(COUNTIF($BA$3,MONTH), ROW(MONTH)-MIN(ROW(MONTH))+1),ROW(A191)),COLUMN(A191)))</f>
        <v/>
      </c>
      <c r="BD196" s="29" t="str">
        <f t="shared" si="52"/>
        <v/>
      </c>
      <c r="BE196" s="2" t="str" cm="1">
        <f t="array" ref="BE196">IF(ISERROR(INDEX(RESULT_DURATION,SMALL(IF(COUNTIF($BA$3,MONTH), ROW(MONTH)-MIN(ROW(MONTH))+1),ROW(A191)),COLUMN(A191))),"",INDEX(RESULT_DURATION,SMALL(IF(COUNTIF($BA$3,MONTH), ROW(MONTH)-MIN(ROW(MONTH))+1),ROW(A191)),COLUMN(A191)))</f>
        <v/>
      </c>
      <c r="BH196" t="str" cm="1">
        <f t="array" ref="BH196">IF(ISERROR(INDEX(RESULT_CATEGORIES,SMALL(IF(COUNTIF($BA$3,MONTH), ROW(MONTH)-MIN(ROW(MONTH))+1),ROW(A191)),COLUMN(A191))),"",INDEX(RESULT_CATEGORIES,SMALL(IF(COUNTIF($BA$3,MONTH), ROW(MONTH)-MIN(ROW(MONTH))+1),ROW(A191)),COLUMN(A191)))</f>
        <v/>
      </c>
      <c r="BI196" t="str" cm="1">
        <f t="array" ref="BI196">IF(ISERROR(INDEX(RESULTLOCATION,SMALL(IF(COUNTIF($BA$3,MONTH), ROW(MONTH)-MIN(ROW(MONTH))+1),ROW(A191)),COLUMN(A191))),"",INDEX(RESULTLOCATION,SMALL(IF(COUNTIF($BA$3,MONTH), ROW(MONTH)-MIN(ROW(MONTH))+1),ROW(A191)),COLUMN(A191)))</f>
        <v/>
      </c>
    </row>
    <row r="197" spans="53:61" x14ac:dyDescent="0.3">
      <c r="BA197" t="str" cm="1">
        <f t="array" ref="BA197">IF(ISERROR(INDEX(RESULT_SUBJECT,SMALL(IF(COUNTIF($BA$3,MONTH), ROW(MONTH)-MIN(ROW(MONTH))+1),ROW(A192)),COLUMN(A192))),"",INDEX(RESULT_SUBJECT,SMALL(IF(COUNTIF($BA$3,MONTH), ROW(MONTH)-MIN(ROW(MONTH))+1),ROW(A192)),COLUMN(A192)))</f>
        <v/>
      </c>
      <c r="BB197" t="str" cm="1">
        <f t="array" ref="BB197">IF(ISERROR(INDEX(WEEK,SMALL(IF(COUNTIF($BA$3,MONTH), ROW(MONTH)-MIN(ROW(MONTH))+1),ROW(A192)),COLUMN(A192))),"",INDEX(WEEK,SMALL(IF(COUNTIF($BA$3,MONTH), ROW(MONTH)-MIN(ROW(MONTH))+1),ROW(A192)),COLUMN(A192)))</f>
        <v/>
      </c>
      <c r="BC197" t="str" cm="1">
        <f t="array" ref="BC197">IF(ISERROR(INDEX(RESULT_DAY,SMALL(IF(COUNTIF($BA$3,MONTH), ROW(MONTH)-MIN(ROW(MONTH))+1),ROW(A192)),COLUMN(A192))),"",INDEX(RESULT_DAY,SMALL(IF(COUNTIF($BA$3,MONTH), ROW(MONTH)-MIN(ROW(MONTH))+1),ROW(A192)),COLUMN(A192)))</f>
        <v/>
      </c>
      <c r="BD197" s="29" t="str">
        <f t="shared" si="52"/>
        <v/>
      </c>
      <c r="BE197" s="2" t="str" cm="1">
        <f t="array" ref="BE197">IF(ISERROR(INDEX(RESULT_DURATION,SMALL(IF(COUNTIF($BA$3,MONTH), ROW(MONTH)-MIN(ROW(MONTH))+1),ROW(A192)),COLUMN(A192))),"",INDEX(RESULT_DURATION,SMALL(IF(COUNTIF($BA$3,MONTH), ROW(MONTH)-MIN(ROW(MONTH))+1),ROW(A192)),COLUMN(A192)))</f>
        <v/>
      </c>
      <c r="BH197" t="str" cm="1">
        <f t="array" ref="BH197">IF(ISERROR(INDEX(RESULT_CATEGORIES,SMALL(IF(COUNTIF($BA$3,MONTH), ROW(MONTH)-MIN(ROW(MONTH))+1),ROW(A192)),COLUMN(A192))),"",INDEX(RESULT_CATEGORIES,SMALL(IF(COUNTIF($BA$3,MONTH), ROW(MONTH)-MIN(ROW(MONTH))+1),ROW(A192)),COLUMN(A192)))</f>
        <v/>
      </c>
      <c r="BI197" t="str" cm="1">
        <f t="array" ref="BI197">IF(ISERROR(INDEX(RESULTLOCATION,SMALL(IF(COUNTIF($BA$3,MONTH), ROW(MONTH)-MIN(ROW(MONTH))+1),ROW(A192)),COLUMN(A192))),"",INDEX(RESULTLOCATION,SMALL(IF(COUNTIF($BA$3,MONTH), ROW(MONTH)-MIN(ROW(MONTH))+1),ROW(A192)),COLUMN(A192)))</f>
        <v/>
      </c>
    </row>
    <row r="198" spans="53:61" x14ac:dyDescent="0.3">
      <c r="BA198" t="str" cm="1">
        <f t="array" ref="BA198">IF(ISERROR(INDEX(RESULT_SUBJECT,SMALL(IF(COUNTIF($BA$3,MONTH), ROW(MONTH)-MIN(ROW(MONTH))+1),ROW(A193)),COLUMN(A193))),"",INDEX(RESULT_SUBJECT,SMALL(IF(COUNTIF($BA$3,MONTH), ROW(MONTH)-MIN(ROW(MONTH))+1),ROW(A193)),COLUMN(A193)))</f>
        <v/>
      </c>
      <c r="BB198" t="str" cm="1">
        <f t="array" ref="BB198">IF(ISERROR(INDEX(WEEK,SMALL(IF(COUNTIF($BA$3,MONTH), ROW(MONTH)-MIN(ROW(MONTH))+1),ROW(A193)),COLUMN(A193))),"",INDEX(WEEK,SMALL(IF(COUNTIF($BA$3,MONTH), ROW(MONTH)-MIN(ROW(MONTH))+1),ROW(A193)),COLUMN(A193)))</f>
        <v/>
      </c>
      <c r="BC198" t="str" cm="1">
        <f t="array" ref="BC198">IF(ISERROR(INDEX(RESULT_DAY,SMALL(IF(COUNTIF($BA$3,MONTH), ROW(MONTH)-MIN(ROW(MONTH))+1),ROW(A193)),COLUMN(A193))),"",INDEX(RESULT_DAY,SMALL(IF(COUNTIF($BA$3,MONTH), ROW(MONTH)-MIN(ROW(MONTH))+1),ROW(A193)),COLUMN(A193)))</f>
        <v/>
      </c>
      <c r="BD198" s="29" t="str">
        <f t="shared" si="52"/>
        <v/>
      </c>
      <c r="BE198" s="2" t="str" cm="1">
        <f t="array" ref="BE198">IF(ISERROR(INDEX(RESULT_DURATION,SMALL(IF(COUNTIF($BA$3,MONTH), ROW(MONTH)-MIN(ROW(MONTH))+1),ROW(A193)),COLUMN(A193))),"",INDEX(RESULT_DURATION,SMALL(IF(COUNTIF($BA$3,MONTH), ROW(MONTH)-MIN(ROW(MONTH))+1),ROW(A193)),COLUMN(A193)))</f>
        <v/>
      </c>
      <c r="BH198" t="str" cm="1">
        <f t="array" ref="BH198">IF(ISERROR(INDEX(RESULT_CATEGORIES,SMALL(IF(COUNTIF($BA$3,MONTH), ROW(MONTH)-MIN(ROW(MONTH))+1),ROW(A193)),COLUMN(A193))),"",INDEX(RESULT_CATEGORIES,SMALL(IF(COUNTIF($BA$3,MONTH), ROW(MONTH)-MIN(ROW(MONTH))+1),ROW(A193)),COLUMN(A193)))</f>
        <v/>
      </c>
      <c r="BI198" t="str" cm="1">
        <f t="array" ref="BI198">IF(ISERROR(INDEX(RESULTLOCATION,SMALL(IF(COUNTIF($BA$3,MONTH), ROW(MONTH)-MIN(ROW(MONTH))+1),ROW(A193)),COLUMN(A193))),"",INDEX(RESULTLOCATION,SMALL(IF(COUNTIF($BA$3,MONTH), ROW(MONTH)-MIN(ROW(MONTH))+1),ROW(A193)),COLUMN(A193)))</f>
        <v/>
      </c>
    </row>
    <row r="199" spans="53:61" x14ac:dyDescent="0.3">
      <c r="BA199" t="str" cm="1">
        <f t="array" ref="BA199">IF(ISERROR(INDEX(RESULT_SUBJECT,SMALL(IF(COUNTIF($BA$3,MONTH), ROW(MONTH)-MIN(ROW(MONTH))+1),ROW(A194)),COLUMN(A194))),"",INDEX(RESULT_SUBJECT,SMALL(IF(COUNTIF($BA$3,MONTH), ROW(MONTH)-MIN(ROW(MONTH))+1),ROW(A194)),COLUMN(A194)))</f>
        <v/>
      </c>
      <c r="BB199" t="str" cm="1">
        <f t="array" ref="BB199">IF(ISERROR(INDEX(WEEK,SMALL(IF(COUNTIF($BA$3,MONTH), ROW(MONTH)-MIN(ROW(MONTH))+1),ROW(A194)),COLUMN(A194))),"",INDEX(WEEK,SMALL(IF(COUNTIF($BA$3,MONTH), ROW(MONTH)-MIN(ROW(MONTH))+1),ROW(A194)),COLUMN(A194)))</f>
        <v/>
      </c>
      <c r="BC199" t="str" cm="1">
        <f t="array" ref="BC199">IF(ISERROR(INDEX(RESULT_DAY,SMALL(IF(COUNTIF($BA$3,MONTH), ROW(MONTH)-MIN(ROW(MONTH))+1),ROW(A194)),COLUMN(A194))),"",INDEX(RESULT_DAY,SMALL(IF(COUNTIF($BA$3,MONTH), ROW(MONTH)-MIN(ROW(MONTH))+1),ROW(A194)),COLUMN(A194)))</f>
        <v/>
      </c>
      <c r="BD199" s="29" t="str">
        <f t="shared" ref="BD199:BD249" si="53">IF(ISERROR((DATE(2021,1,1)+($BA$3-2)*7)+BC199+1),"",(DATE(2021,1,1)+($BA$3-2)*7)+BC199+1)</f>
        <v/>
      </c>
      <c r="BE199" s="2" t="str" cm="1">
        <f t="array" ref="BE199">IF(ISERROR(INDEX(RESULT_DURATION,SMALL(IF(COUNTIF($BA$3,MONTH), ROW(MONTH)-MIN(ROW(MONTH))+1),ROW(A194)),COLUMN(A194))),"",INDEX(RESULT_DURATION,SMALL(IF(COUNTIF($BA$3,MONTH), ROW(MONTH)-MIN(ROW(MONTH))+1),ROW(A194)),COLUMN(A194)))</f>
        <v/>
      </c>
      <c r="BH199" t="str" cm="1">
        <f t="array" ref="BH199">IF(ISERROR(INDEX(RESULT_CATEGORIES,SMALL(IF(COUNTIF($BA$3,MONTH), ROW(MONTH)-MIN(ROW(MONTH))+1),ROW(A194)),COLUMN(A194))),"",INDEX(RESULT_CATEGORIES,SMALL(IF(COUNTIF($BA$3,MONTH), ROW(MONTH)-MIN(ROW(MONTH))+1),ROW(A194)),COLUMN(A194)))</f>
        <v/>
      </c>
      <c r="BI199" t="str" cm="1">
        <f t="array" ref="BI199">IF(ISERROR(INDEX(RESULTLOCATION,SMALL(IF(COUNTIF($BA$3,MONTH), ROW(MONTH)-MIN(ROW(MONTH))+1),ROW(A194)),COLUMN(A194))),"",INDEX(RESULTLOCATION,SMALL(IF(COUNTIF($BA$3,MONTH), ROW(MONTH)-MIN(ROW(MONTH))+1),ROW(A194)),COLUMN(A194)))</f>
        <v/>
      </c>
    </row>
    <row r="200" spans="53:61" x14ac:dyDescent="0.3">
      <c r="BA200" t="str" cm="1">
        <f t="array" ref="BA200">IF(ISERROR(INDEX(RESULT_SUBJECT,SMALL(IF(COUNTIF($BA$3,MONTH), ROW(MONTH)-MIN(ROW(MONTH))+1),ROW(A195)),COLUMN(A195))),"",INDEX(RESULT_SUBJECT,SMALL(IF(COUNTIF($BA$3,MONTH), ROW(MONTH)-MIN(ROW(MONTH))+1),ROW(A195)),COLUMN(A195)))</f>
        <v/>
      </c>
      <c r="BB200" t="str" cm="1">
        <f t="array" ref="BB200">IF(ISERROR(INDEX(WEEK,SMALL(IF(COUNTIF($BA$3,MONTH), ROW(MONTH)-MIN(ROW(MONTH))+1),ROW(A195)),COLUMN(A195))),"",INDEX(WEEK,SMALL(IF(COUNTIF($BA$3,MONTH), ROW(MONTH)-MIN(ROW(MONTH))+1),ROW(A195)),COLUMN(A195)))</f>
        <v/>
      </c>
      <c r="BC200" t="str" cm="1">
        <f t="array" ref="BC200">IF(ISERROR(INDEX(RESULT_DAY,SMALL(IF(COUNTIF($BA$3,MONTH), ROW(MONTH)-MIN(ROW(MONTH))+1),ROW(A195)),COLUMN(A195))),"",INDEX(RESULT_DAY,SMALL(IF(COUNTIF($BA$3,MONTH), ROW(MONTH)-MIN(ROW(MONTH))+1),ROW(A195)),COLUMN(A195)))</f>
        <v/>
      </c>
      <c r="BD200" s="29" t="str">
        <f t="shared" si="53"/>
        <v/>
      </c>
      <c r="BE200" s="2" t="str" cm="1">
        <f t="array" ref="BE200">IF(ISERROR(INDEX(RESULT_DURATION,SMALL(IF(COUNTIF($BA$3,MONTH), ROW(MONTH)-MIN(ROW(MONTH))+1),ROW(A195)),COLUMN(A195))),"",INDEX(RESULT_DURATION,SMALL(IF(COUNTIF($BA$3,MONTH), ROW(MONTH)-MIN(ROW(MONTH))+1),ROW(A195)),COLUMN(A195)))</f>
        <v/>
      </c>
      <c r="BH200" t="str" cm="1">
        <f t="array" ref="BH200">IF(ISERROR(INDEX(RESULT_CATEGORIES,SMALL(IF(COUNTIF($BA$3,MONTH), ROW(MONTH)-MIN(ROW(MONTH))+1),ROW(A195)),COLUMN(A195))),"",INDEX(RESULT_CATEGORIES,SMALL(IF(COUNTIF($BA$3,MONTH), ROW(MONTH)-MIN(ROW(MONTH))+1),ROW(A195)),COLUMN(A195)))</f>
        <v/>
      </c>
      <c r="BI200" t="str" cm="1">
        <f t="array" ref="BI200">IF(ISERROR(INDEX(RESULTLOCATION,SMALL(IF(COUNTIF($BA$3,MONTH), ROW(MONTH)-MIN(ROW(MONTH))+1),ROW(A195)),COLUMN(A195))),"",INDEX(RESULTLOCATION,SMALL(IF(COUNTIF($BA$3,MONTH), ROW(MONTH)-MIN(ROW(MONTH))+1),ROW(A195)),COLUMN(A195)))</f>
        <v/>
      </c>
    </row>
    <row r="201" spans="53:61" x14ac:dyDescent="0.3">
      <c r="BA201" t="str" cm="1">
        <f t="array" ref="BA201">IF(ISERROR(INDEX(RESULT_SUBJECT,SMALL(IF(COUNTIF($BA$3,MONTH), ROW(MONTH)-MIN(ROW(MONTH))+1),ROW(A196)),COLUMN(A196))),"",INDEX(RESULT_SUBJECT,SMALL(IF(COUNTIF($BA$3,MONTH), ROW(MONTH)-MIN(ROW(MONTH))+1),ROW(A196)),COLUMN(A196)))</f>
        <v/>
      </c>
      <c r="BB201" t="str" cm="1">
        <f t="array" ref="BB201">IF(ISERROR(INDEX(WEEK,SMALL(IF(COUNTIF($BA$3,MONTH), ROW(MONTH)-MIN(ROW(MONTH))+1),ROW(A196)),COLUMN(A196))),"",INDEX(WEEK,SMALL(IF(COUNTIF($BA$3,MONTH), ROW(MONTH)-MIN(ROW(MONTH))+1),ROW(A196)),COLUMN(A196)))</f>
        <v/>
      </c>
      <c r="BC201" t="str" cm="1">
        <f t="array" ref="BC201">IF(ISERROR(INDEX(RESULT_DAY,SMALL(IF(COUNTIF($BA$3,MONTH), ROW(MONTH)-MIN(ROW(MONTH))+1),ROW(A196)),COLUMN(A196))),"",INDEX(RESULT_DAY,SMALL(IF(COUNTIF($BA$3,MONTH), ROW(MONTH)-MIN(ROW(MONTH))+1),ROW(A196)),COLUMN(A196)))</f>
        <v/>
      </c>
      <c r="BD201" s="29" t="str">
        <f t="shared" si="53"/>
        <v/>
      </c>
      <c r="BE201" s="2" t="str" cm="1">
        <f t="array" ref="BE201">IF(ISERROR(INDEX(RESULT_DURATION,SMALL(IF(COUNTIF($BA$3,MONTH), ROW(MONTH)-MIN(ROW(MONTH))+1),ROW(A196)),COLUMN(A196))),"",INDEX(RESULT_DURATION,SMALL(IF(COUNTIF($BA$3,MONTH), ROW(MONTH)-MIN(ROW(MONTH))+1),ROW(A196)),COLUMN(A196)))</f>
        <v/>
      </c>
      <c r="BH201" t="str" cm="1">
        <f t="array" ref="BH201">IF(ISERROR(INDEX(RESULT_CATEGORIES,SMALL(IF(COUNTIF($BA$3,MONTH), ROW(MONTH)-MIN(ROW(MONTH))+1),ROW(A196)),COLUMN(A196))),"",INDEX(RESULT_CATEGORIES,SMALL(IF(COUNTIF($BA$3,MONTH), ROW(MONTH)-MIN(ROW(MONTH))+1),ROW(A196)),COLUMN(A196)))</f>
        <v/>
      </c>
      <c r="BI201" t="str" cm="1">
        <f t="array" ref="BI201">IF(ISERROR(INDEX(RESULTLOCATION,SMALL(IF(COUNTIF($BA$3,MONTH), ROW(MONTH)-MIN(ROW(MONTH))+1),ROW(A196)),COLUMN(A196))),"",INDEX(RESULTLOCATION,SMALL(IF(COUNTIF($BA$3,MONTH), ROW(MONTH)-MIN(ROW(MONTH))+1),ROW(A196)),COLUMN(A196)))</f>
        <v/>
      </c>
    </row>
    <row r="202" spans="53:61" x14ac:dyDescent="0.3">
      <c r="BA202" t="str" cm="1">
        <f t="array" ref="BA202">IF(ISERROR(INDEX(RESULT_SUBJECT,SMALL(IF(COUNTIF($BA$3,MONTH), ROW(MONTH)-MIN(ROW(MONTH))+1),ROW(A197)),COLUMN(A197))),"",INDEX(RESULT_SUBJECT,SMALL(IF(COUNTIF($BA$3,MONTH), ROW(MONTH)-MIN(ROW(MONTH))+1),ROW(A197)),COLUMN(A197)))</f>
        <v/>
      </c>
      <c r="BB202" t="str" cm="1">
        <f t="array" ref="BB202">IF(ISERROR(INDEX(WEEK,SMALL(IF(COUNTIF($BA$3,MONTH), ROW(MONTH)-MIN(ROW(MONTH))+1),ROW(A197)),COLUMN(A197))),"",INDEX(WEEK,SMALL(IF(COUNTIF($BA$3,MONTH), ROW(MONTH)-MIN(ROW(MONTH))+1),ROW(A197)),COLUMN(A197)))</f>
        <v/>
      </c>
      <c r="BC202" t="str" cm="1">
        <f t="array" ref="BC202">IF(ISERROR(INDEX(RESULT_DAY,SMALL(IF(COUNTIF($BA$3,MONTH), ROW(MONTH)-MIN(ROW(MONTH))+1),ROW(A197)),COLUMN(A197))),"",INDEX(RESULT_DAY,SMALL(IF(COUNTIF($BA$3,MONTH), ROW(MONTH)-MIN(ROW(MONTH))+1),ROW(A197)),COLUMN(A197)))</f>
        <v/>
      </c>
      <c r="BD202" s="29" t="str">
        <f t="shared" si="53"/>
        <v/>
      </c>
      <c r="BE202" s="2" t="str" cm="1">
        <f t="array" ref="BE202">IF(ISERROR(INDEX(RESULT_DURATION,SMALL(IF(COUNTIF($BA$3,MONTH), ROW(MONTH)-MIN(ROW(MONTH))+1),ROW(A197)),COLUMN(A197))),"",INDEX(RESULT_DURATION,SMALL(IF(COUNTIF($BA$3,MONTH), ROW(MONTH)-MIN(ROW(MONTH))+1),ROW(A197)),COLUMN(A197)))</f>
        <v/>
      </c>
      <c r="BH202" t="str" cm="1">
        <f t="array" ref="BH202">IF(ISERROR(INDEX(RESULT_CATEGORIES,SMALL(IF(COUNTIF($BA$3,MONTH), ROW(MONTH)-MIN(ROW(MONTH))+1),ROW(A197)),COLUMN(A197))),"",INDEX(RESULT_CATEGORIES,SMALL(IF(COUNTIF($BA$3,MONTH), ROW(MONTH)-MIN(ROW(MONTH))+1),ROW(A197)),COLUMN(A197)))</f>
        <v/>
      </c>
      <c r="BI202" t="str" cm="1">
        <f t="array" ref="BI202">IF(ISERROR(INDEX(RESULTLOCATION,SMALL(IF(COUNTIF($BA$3,MONTH), ROW(MONTH)-MIN(ROW(MONTH))+1),ROW(A197)),COLUMN(A197))),"",INDEX(RESULTLOCATION,SMALL(IF(COUNTIF($BA$3,MONTH), ROW(MONTH)-MIN(ROW(MONTH))+1),ROW(A197)),COLUMN(A197)))</f>
        <v/>
      </c>
    </row>
    <row r="203" spans="53:61" x14ac:dyDescent="0.3">
      <c r="BA203" t="str" cm="1">
        <f t="array" ref="BA203">IF(ISERROR(INDEX(RESULT_SUBJECT,SMALL(IF(COUNTIF($BA$3,MONTH), ROW(MONTH)-MIN(ROW(MONTH))+1),ROW(A198)),COLUMN(A198))),"",INDEX(RESULT_SUBJECT,SMALL(IF(COUNTIF($BA$3,MONTH), ROW(MONTH)-MIN(ROW(MONTH))+1),ROW(A198)),COLUMN(A198)))</f>
        <v/>
      </c>
      <c r="BB203" t="str" cm="1">
        <f t="array" ref="BB203">IF(ISERROR(INDEX(WEEK,SMALL(IF(COUNTIF($BA$3,MONTH), ROW(MONTH)-MIN(ROW(MONTH))+1),ROW(A198)),COLUMN(A198))),"",INDEX(WEEK,SMALL(IF(COUNTIF($BA$3,MONTH), ROW(MONTH)-MIN(ROW(MONTH))+1),ROW(A198)),COLUMN(A198)))</f>
        <v/>
      </c>
      <c r="BC203" t="str" cm="1">
        <f t="array" ref="BC203">IF(ISERROR(INDEX(RESULT_DAY,SMALL(IF(COUNTIF($BA$3,MONTH), ROW(MONTH)-MIN(ROW(MONTH))+1),ROW(A198)),COLUMN(A198))),"",INDEX(RESULT_DAY,SMALL(IF(COUNTIF($BA$3,MONTH), ROW(MONTH)-MIN(ROW(MONTH))+1),ROW(A198)),COLUMN(A198)))</f>
        <v/>
      </c>
      <c r="BD203" s="29" t="str">
        <f t="shared" si="53"/>
        <v/>
      </c>
      <c r="BE203" s="2" t="str" cm="1">
        <f t="array" ref="BE203">IF(ISERROR(INDEX(RESULT_DURATION,SMALL(IF(COUNTIF($BA$3,MONTH), ROW(MONTH)-MIN(ROW(MONTH))+1),ROW(A198)),COLUMN(A198))),"",INDEX(RESULT_DURATION,SMALL(IF(COUNTIF($BA$3,MONTH), ROW(MONTH)-MIN(ROW(MONTH))+1),ROW(A198)),COLUMN(A198)))</f>
        <v/>
      </c>
      <c r="BH203" t="str" cm="1">
        <f t="array" ref="BH203">IF(ISERROR(INDEX(RESULT_CATEGORIES,SMALL(IF(COUNTIF($BA$3,MONTH), ROW(MONTH)-MIN(ROW(MONTH))+1),ROW(A198)),COLUMN(A198))),"",INDEX(RESULT_CATEGORIES,SMALL(IF(COUNTIF($BA$3,MONTH), ROW(MONTH)-MIN(ROW(MONTH))+1),ROW(A198)),COLUMN(A198)))</f>
        <v/>
      </c>
      <c r="BI203" t="str" cm="1">
        <f t="array" ref="BI203">IF(ISERROR(INDEX(RESULTLOCATION,SMALL(IF(COUNTIF($BA$3,MONTH), ROW(MONTH)-MIN(ROW(MONTH))+1),ROW(A198)),COLUMN(A198))),"",INDEX(RESULTLOCATION,SMALL(IF(COUNTIF($BA$3,MONTH), ROW(MONTH)-MIN(ROW(MONTH))+1),ROW(A198)),COLUMN(A198)))</f>
        <v/>
      </c>
    </row>
    <row r="204" spans="53:61" x14ac:dyDescent="0.3">
      <c r="BA204" t="str" cm="1">
        <f t="array" ref="BA204">IF(ISERROR(INDEX(RESULT_SUBJECT,SMALL(IF(COUNTIF($BA$3,MONTH), ROW(MONTH)-MIN(ROW(MONTH))+1),ROW(A199)),COLUMN(A199))),"",INDEX(RESULT_SUBJECT,SMALL(IF(COUNTIF($BA$3,MONTH), ROW(MONTH)-MIN(ROW(MONTH))+1),ROW(A199)),COLUMN(A199)))</f>
        <v/>
      </c>
      <c r="BB204" t="str" cm="1">
        <f t="array" ref="BB204">IF(ISERROR(INDEX(WEEK,SMALL(IF(COUNTIF($BA$3,MONTH), ROW(MONTH)-MIN(ROW(MONTH))+1),ROW(A199)),COLUMN(A199))),"",INDEX(WEEK,SMALL(IF(COUNTIF($BA$3,MONTH), ROW(MONTH)-MIN(ROW(MONTH))+1),ROW(A199)),COLUMN(A199)))</f>
        <v/>
      </c>
      <c r="BC204" t="str" cm="1">
        <f t="array" ref="BC204">IF(ISERROR(INDEX(RESULT_DAY,SMALL(IF(COUNTIF($BA$3,MONTH), ROW(MONTH)-MIN(ROW(MONTH))+1),ROW(A199)),COLUMN(A199))),"",INDEX(RESULT_DAY,SMALL(IF(COUNTIF($BA$3,MONTH), ROW(MONTH)-MIN(ROW(MONTH))+1),ROW(A199)),COLUMN(A199)))</f>
        <v/>
      </c>
      <c r="BD204" s="29" t="str">
        <f t="shared" si="53"/>
        <v/>
      </c>
      <c r="BE204" s="2" t="str" cm="1">
        <f t="array" ref="BE204">IF(ISERROR(INDEX(RESULT_DURATION,SMALL(IF(COUNTIF($BA$3,MONTH), ROW(MONTH)-MIN(ROW(MONTH))+1),ROW(A199)),COLUMN(A199))),"",INDEX(RESULT_DURATION,SMALL(IF(COUNTIF($BA$3,MONTH), ROW(MONTH)-MIN(ROW(MONTH))+1),ROW(A199)),COLUMN(A199)))</f>
        <v/>
      </c>
      <c r="BH204" t="str" cm="1">
        <f t="array" ref="BH204">IF(ISERROR(INDEX(RESULT_CATEGORIES,SMALL(IF(COUNTIF($BA$3,MONTH), ROW(MONTH)-MIN(ROW(MONTH))+1),ROW(A199)),COLUMN(A199))),"",INDEX(RESULT_CATEGORIES,SMALL(IF(COUNTIF($BA$3,MONTH), ROW(MONTH)-MIN(ROW(MONTH))+1),ROW(A199)),COLUMN(A199)))</f>
        <v/>
      </c>
      <c r="BI204" t="str" cm="1">
        <f t="array" ref="BI204">IF(ISERROR(INDEX(RESULTLOCATION,SMALL(IF(COUNTIF($BA$3,MONTH), ROW(MONTH)-MIN(ROW(MONTH))+1),ROW(A199)),COLUMN(A199))),"",INDEX(RESULTLOCATION,SMALL(IF(COUNTIF($BA$3,MONTH), ROW(MONTH)-MIN(ROW(MONTH))+1),ROW(A199)),COLUMN(A199)))</f>
        <v/>
      </c>
    </row>
    <row r="205" spans="53:61" x14ac:dyDescent="0.3">
      <c r="BA205" t="str" cm="1">
        <f t="array" ref="BA205">IF(ISERROR(INDEX(RESULT_SUBJECT,SMALL(IF(COUNTIF($BA$3,MONTH), ROW(MONTH)-MIN(ROW(MONTH))+1),ROW(A200)),COLUMN(A200))),"",INDEX(RESULT_SUBJECT,SMALL(IF(COUNTIF($BA$3,MONTH), ROW(MONTH)-MIN(ROW(MONTH))+1),ROW(A200)),COLUMN(A200)))</f>
        <v/>
      </c>
      <c r="BB205" t="str" cm="1">
        <f t="array" ref="BB205">IF(ISERROR(INDEX(WEEK,SMALL(IF(COUNTIF($BA$3,MONTH), ROW(MONTH)-MIN(ROW(MONTH))+1),ROW(A200)),COLUMN(A200))),"",INDEX(WEEK,SMALL(IF(COUNTIF($BA$3,MONTH), ROW(MONTH)-MIN(ROW(MONTH))+1),ROW(A200)),COLUMN(A200)))</f>
        <v/>
      </c>
      <c r="BC205" t="str" cm="1">
        <f t="array" ref="BC205">IF(ISERROR(INDEX(RESULT_DAY,SMALL(IF(COUNTIF($BA$3,MONTH), ROW(MONTH)-MIN(ROW(MONTH))+1),ROW(A200)),COLUMN(A200))),"",INDEX(RESULT_DAY,SMALL(IF(COUNTIF($BA$3,MONTH), ROW(MONTH)-MIN(ROW(MONTH))+1),ROW(A200)),COLUMN(A200)))</f>
        <v/>
      </c>
      <c r="BD205" s="29" t="str">
        <f t="shared" si="53"/>
        <v/>
      </c>
      <c r="BE205" s="2" t="str" cm="1">
        <f t="array" ref="BE205">IF(ISERROR(INDEX(RESULT_DURATION,SMALL(IF(COUNTIF($BA$3,MONTH), ROW(MONTH)-MIN(ROW(MONTH))+1),ROW(A200)),COLUMN(A200))),"",INDEX(RESULT_DURATION,SMALL(IF(COUNTIF($BA$3,MONTH), ROW(MONTH)-MIN(ROW(MONTH))+1),ROW(A200)),COLUMN(A200)))</f>
        <v/>
      </c>
      <c r="BH205" t="str" cm="1">
        <f t="array" ref="BH205">IF(ISERROR(INDEX(RESULT_CATEGORIES,SMALL(IF(COUNTIF($BA$3,MONTH), ROW(MONTH)-MIN(ROW(MONTH))+1),ROW(A200)),COLUMN(A200))),"",INDEX(RESULT_CATEGORIES,SMALL(IF(COUNTIF($BA$3,MONTH), ROW(MONTH)-MIN(ROW(MONTH))+1),ROW(A200)),COLUMN(A200)))</f>
        <v/>
      </c>
      <c r="BI205" t="str" cm="1">
        <f t="array" ref="BI205">IF(ISERROR(INDEX(RESULTLOCATION,SMALL(IF(COUNTIF($BA$3,MONTH), ROW(MONTH)-MIN(ROW(MONTH))+1),ROW(A200)),COLUMN(A200))),"",INDEX(RESULTLOCATION,SMALL(IF(COUNTIF($BA$3,MONTH), ROW(MONTH)-MIN(ROW(MONTH))+1),ROW(A200)),COLUMN(A200)))</f>
        <v/>
      </c>
    </row>
    <row r="206" spans="53:61" x14ac:dyDescent="0.3">
      <c r="BA206" t="str" cm="1">
        <f t="array" ref="BA206">IF(ISERROR(INDEX(RESULT_SUBJECT,SMALL(IF(COUNTIF($BA$3,MONTH), ROW(MONTH)-MIN(ROW(MONTH))+1),ROW(A201)),COLUMN(A201))),"",INDEX(RESULT_SUBJECT,SMALL(IF(COUNTIF($BA$3,MONTH), ROW(MONTH)-MIN(ROW(MONTH))+1),ROW(A201)),COLUMN(A201)))</f>
        <v/>
      </c>
      <c r="BB206" t="str" cm="1">
        <f t="array" ref="BB206">IF(ISERROR(INDEX(WEEK,SMALL(IF(COUNTIF($BA$3,MONTH), ROW(MONTH)-MIN(ROW(MONTH))+1),ROW(A201)),COLUMN(A201))),"",INDEX(WEEK,SMALL(IF(COUNTIF($BA$3,MONTH), ROW(MONTH)-MIN(ROW(MONTH))+1),ROW(A201)),COLUMN(A201)))</f>
        <v/>
      </c>
      <c r="BC206" t="str" cm="1">
        <f t="array" ref="BC206">IF(ISERROR(INDEX(RESULT_DAY,SMALL(IF(COUNTIF($BA$3,MONTH), ROW(MONTH)-MIN(ROW(MONTH))+1),ROW(A201)),COLUMN(A201))),"",INDEX(RESULT_DAY,SMALL(IF(COUNTIF($BA$3,MONTH), ROW(MONTH)-MIN(ROW(MONTH))+1),ROW(A201)),COLUMN(A201)))</f>
        <v/>
      </c>
      <c r="BD206" s="29" t="str">
        <f t="shared" si="53"/>
        <v/>
      </c>
      <c r="BE206" s="2" t="str" cm="1">
        <f t="array" ref="BE206">IF(ISERROR(INDEX(RESULT_DURATION,SMALL(IF(COUNTIF($BA$3,MONTH), ROW(MONTH)-MIN(ROW(MONTH))+1),ROW(A201)),COLUMN(A201))),"",INDEX(RESULT_DURATION,SMALL(IF(COUNTIF($BA$3,MONTH), ROW(MONTH)-MIN(ROW(MONTH))+1),ROW(A201)),COLUMN(A201)))</f>
        <v/>
      </c>
      <c r="BH206" t="str" cm="1">
        <f t="array" ref="BH206">IF(ISERROR(INDEX(RESULT_CATEGORIES,SMALL(IF(COUNTIF($BA$3,MONTH), ROW(MONTH)-MIN(ROW(MONTH))+1),ROW(A201)),COLUMN(A201))),"",INDEX(RESULT_CATEGORIES,SMALL(IF(COUNTIF($BA$3,MONTH), ROW(MONTH)-MIN(ROW(MONTH))+1),ROW(A201)),COLUMN(A201)))</f>
        <v/>
      </c>
      <c r="BI206" t="str" cm="1">
        <f t="array" ref="BI206">IF(ISERROR(INDEX(RESULTLOCATION,SMALL(IF(COUNTIF($BA$3,MONTH), ROW(MONTH)-MIN(ROW(MONTH))+1),ROW(A201)),COLUMN(A201))),"",INDEX(RESULTLOCATION,SMALL(IF(COUNTIF($BA$3,MONTH), ROW(MONTH)-MIN(ROW(MONTH))+1),ROW(A201)),COLUMN(A201)))</f>
        <v/>
      </c>
    </row>
    <row r="207" spans="53:61" x14ac:dyDescent="0.3">
      <c r="BA207" t="str" cm="1">
        <f t="array" ref="BA207">IF(ISERROR(INDEX(RESULT_SUBJECT,SMALL(IF(COUNTIF($BA$3,MONTH), ROW(MONTH)-MIN(ROW(MONTH))+1),ROW(A202)),COLUMN(A202))),"",INDEX(RESULT_SUBJECT,SMALL(IF(COUNTIF($BA$3,MONTH), ROW(MONTH)-MIN(ROW(MONTH))+1),ROW(A202)),COLUMN(A202)))</f>
        <v/>
      </c>
      <c r="BB207" t="str" cm="1">
        <f t="array" ref="BB207">IF(ISERROR(INDEX(WEEK,SMALL(IF(COUNTIF($BA$3,MONTH), ROW(MONTH)-MIN(ROW(MONTH))+1),ROW(A202)),COLUMN(A202))),"",INDEX(WEEK,SMALL(IF(COUNTIF($BA$3,MONTH), ROW(MONTH)-MIN(ROW(MONTH))+1),ROW(A202)),COLUMN(A202)))</f>
        <v/>
      </c>
      <c r="BC207" t="str" cm="1">
        <f t="array" ref="BC207">IF(ISERROR(INDEX(RESULT_DAY,SMALL(IF(COUNTIF($BA$3,MONTH), ROW(MONTH)-MIN(ROW(MONTH))+1),ROW(A202)),COLUMN(A202))),"",INDEX(RESULT_DAY,SMALL(IF(COUNTIF($BA$3,MONTH), ROW(MONTH)-MIN(ROW(MONTH))+1),ROW(A202)),COLUMN(A202)))</f>
        <v/>
      </c>
      <c r="BD207" s="29" t="str">
        <f t="shared" si="53"/>
        <v/>
      </c>
      <c r="BE207" s="2" t="str" cm="1">
        <f t="array" ref="BE207">IF(ISERROR(INDEX(RESULT_DURATION,SMALL(IF(COUNTIF($BA$3,MONTH), ROW(MONTH)-MIN(ROW(MONTH))+1),ROW(A202)),COLUMN(A202))),"",INDEX(RESULT_DURATION,SMALL(IF(COUNTIF($BA$3,MONTH), ROW(MONTH)-MIN(ROW(MONTH))+1),ROW(A202)),COLUMN(A202)))</f>
        <v/>
      </c>
      <c r="BH207" t="str" cm="1">
        <f t="array" ref="BH207">IF(ISERROR(INDEX(RESULT_CATEGORIES,SMALL(IF(COUNTIF($BA$3,MONTH), ROW(MONTH)-MIN(ROW(MONTH))+1),ROW(A202)),COLUMN(A202))),"",INDEX(RESULT_CATEGORIES,SMALL(IF(COUNTIF($BA$3,MONTH), ROW(MONTH)-MIN(ROW(MONTH))+1),ROW(A202)),COLUMN(A202)))</f>
        <v/>
      </c>
      <c r="BI207" t="str" cm="1">
        <f t="array" ref="BI207">IF(ISERROR(INDEX(RESULTLOCATION,SMALL(IF(COUNTIF($BA$3,MONTH), ROW(MONTH)-MIN(ROW(MONTH))+1),ROW(A202)),COLUMN(A202))),"",INDEX(RESULTLOCATION,SMALL(IF(COUNTIF($BA$3,MONTH), ROW(MONTH)-MIN(ROW(MONTH))+1),ROW(A202)),COLUMN(A202)))</f>
        <v/>
      </c>
    </row>
    <row r="208" spans="53:61" x14ac:dyDescent="0.3">
      <c r="BA208" t="str" cm="1">
        <f t="array" ref="BA208">IF(ISERROR(INDEX(RESULT_SUBJECT,SMALL(IF(COUNTIF($BA$3,MONTH), ROW(MONTH)-MIN(ROW(MONTH))+1),ROW(A203)),COLUMN(A203))),"",INDEX(RESULT_SUBJECT,SMALL(IF(COUNTIF($BA$3,MONTH), ROW(MONTH)-MIN(ROW(MONTH))+1),ROW(A203)),COLUMN(A203)))</f>
        <v/>
      </c>
      <c r="BB208" t="str" cm="1">
        <f t="array" ref="BB208">IF(ISERROR(INDEX(WEEK,SMALL(IF(COUNTIF($BA$3,MONTH), ROW(MONTH)-MIN(ROW(MONTH))+1),ROW(A203)),COLUMN(A203))),"",INDEX(WEEK,SMALL(IF(COUNTIF($BA$3,MONTH), ROW(MONTH)-MIN(ROW(MONTH))+1),ROW(A203)),COLUMN(A203)))</f>
        <v/>
      </c>
      <c r="BC208" t="str" cm="1">
        <f t="array" ref="BC208">IF(ISERROR(INDEX(RESULT_DAY,SMALL(IF(COUNTIF($BA$3,MONTH), ROW(MONTH)-MIN(ROW(MONTH))+1),ROW(A203)),COLUMN(A203))),"",INDEX(RESULT_DAY,SMALL(IF(COUNTIF($BA$3,MONTH), ROW(MONTH)-MIN(ROW(MONTH))+1),ROW(A203)),COLUMN(A203)))</f>
        <v/>
      </c>
      <c r="BD208" s="29" t="str">
        <f t="shared" si="53"/>
        <v/>
      </c>
      <c r="BE208" s="2" t="str" cm="1">
        <f t="array" ref="BE208">IF(ISERROR(INDEX(RESULT_DURATION,SMALL(IF(COUNTIF($BA$3,MONTH), ROW(MONTH)-MIN(ROW(MONTH))+1),ROW(A203)),COLUMN(A203))),"",INDEX(RESULT_DURATION,SMALL(IF(COUNTIF($BA$3,MONTH), ROW(MONTH)-MIN(ROW(MONTH))+1),ROW(A203)),COLUMN(A203)))</f>
        <v/>
      </c>
      <c r="BH208" t="str" cm="1">
        <f t="array" ref="BH208">IF(ISERROR(INDEX(RESULT_CATEGORIES,SMALL(IF(COUNTIF($BA$3,MONTH), ROW(MONTH)-MIN(ROW(MONTH))+1),ROW(A203)),COLUMN(A203))),"",INDEX(RESULT_CATEGORIES,SMALL(IF(COUNTIF($BA$3,MONTH), ROW(MONTH)-MIN(ROW(MONTH))+1),ROW(A203)),COLUMN(A203)))</f>
        <v/>
      </c>
      <c r="BI208" t="str" cm="1">
        <f t="array" ref="BI208">IF(ISERROR(INDEX(RESULTLOCATION,SMALL(IF(COUNTIF($BA$3,MONTH), ROW(MONTH)-MIN(ROW(MONTH))+1),ROW(A203)),COLUMN(A203))),"",INDEX(RESULTLOCATION,SMALL(IF(COUNTIF($BA$3,MONTH), ROW(MONTH)-MIN(ROW(MONTH))+1),ROW(A203)),COLUMN(A203)))</f>
        <v/>
      </c>
    </row>
    <row r="209" spans="53:61" x14ac:dyDescent="0.3">
      <c r="BA209" t="str" cm="1">
        <f t="array" ref="BA209">IF(ISERROR(INDEX(RESULT_SUBJECT,SMALL(IF(COUNTIF($BA$3,MONTH), ROW(MONTH)-MIN(ROW(MONTH))+1),ROW(A204)),COLUMN(A204))),"",INDEX(RESULT_SUBJECT,SMALL(IF(COUNTIF($BA$3,MONTH), ROW(MONTH)-MIN(ROW(MONTH))+1),ROW(A204)),COLUMN(A204)))</f>
        <v/>
      </c>
      <c r="BB209" t="str" cm="1">
        <f t="array" ref="BB209">IF(ISERROR(INDEX(WEEK,SMALL(IF(COUNTIF($BA$3,MONTH), ROW(MONTH)-MIN(ROW(MONTH))+1),ROW(A204)),COLUMN(A204))),"",INDEX(WEEK,SMALL(IF(COUNTIF($BA$3,MONTH), ROW(MONTH)-MIN(ROW(MONTH))+1),ROW(A204)),COLUMN(A204)))</f>
        <v/>
      </c>
      <c r="BC209" t="str" cm="1">
        <f t="array" ref="BC209">IF(ISERROR(INDEX(RESULT_DAY,SMALL(IF(COUNTIF($BA$3,MONTH), ROW(MONTH)-MIN(ROW(MONTH))+1),ROW(A204)),COLUMN(A204))),"",INDEX(RESULT_DAY,SMALL(IF(COUNTIF($BA$3,MONTH), ROW(MONTH)-MIN(ROW(MONTH))+1),ROW(A204)),COLUMN(A204)))</f>
        <v/>
      </c>
      <c r="BD209" s="29" t="str">
        <f t="shared" si="53"/>
        <v/>
      </c>
      <c r="BE209" s="2" t="str" cm="1">
        <f t="array" ref="BE209">IF(ISERROR(INDEX(RESULT_DURATION,SMALL(IF(COUNTIF($BA$3,MONTH), ROW(MONTH)-MIN(ROW(MONTH))+1),ROW(A204)),COLUMN(A204))),"",INDEX(RESULT_DURATION,SMALL(IF(COUNTIF($BA$3,MONTH), ROW(MONTH)-MIN(ROW(MONTH))+1),ROW(A204)),COLUMN(A204)))</f>
        <v/>
      </c>
      <c r="BH209" t="str" cm="1">
        <f t="array" ref="BH209">IF(ISERROR(INDEX(RESULT_CATEGORIES,SMALL(IF(COUNTIF($BA$3,MONTH), ROW(MONTH)-MIN(ROW(MONTH))+1),ROW(A204)),COLUMN(A204))),"",INDEX(RESULT_CATEGORIES,SMALL(IF(COUNTIF($BA$3,MONTH), ROW(MONTH)-MIN(ROW(MONTH))+1),ROW(A204)),COLUMN(A204)))</f>
        <v/>
      </c>
      <c r="BI209" t="str" cm="1">
        <f t="array" ref="BI209">IF(ISERROR(INDEX(RESULTLOCATION,SMALL(IF(COUNTIF($BA$3,MONTH), ROW(MONTH)-MIN(ROW(MONTH))+1),ROW(A204)),COLUMN(A204))),"",INDEX(RESULTLOCATION,SMALL(IF(COUNTIF($BA$3,MONTH), ROW(MONTH)-MIN(ROW(MONTH))+1),ROW(A204)),COLUMN(A204)))</f>
        <v/>
      </c>
    </row>
    <row r="210" spans="53:61" x14ac:dyDescent="0.3">
      <c r="BA210" t="str" cm="1">
        <f t="array" ref="BA210">IF(ISERROR(INDEX(RESULT_SUBJECT,SMALL(IF(COUNTIF($BA$3,MONTH), ROW(MONTH)-MIN(ROW(MONTH))+1),ROW(A205)),COLUMN(A205))),"",INDEX(RESULT_SUBJECT,SMALL(IF(COUNTIF($BA$3,MONTH), ROW(MONTH)-MIN(ROW(MONTH))+1),ROW(A205)),COLUMN(A205)))</f>
        <v/>
      </c>
      <c r="BB210" t="str" cm="1">
        <f t="array" ref="BB210">IF(ISERROR(INDEX(WEEK,SMALL(IF(COUNTIF($BA$3,MONTH), ROW(MONTH)-MIN(ROW(MONTH))+1),ROW(A205)),COLUMN(A205))),"",INDEX(WEEK,SMALL(IF(COUNTIF($BA$3,MONTH), ROW(MONTH)-MIN(ROW(MONTH))+1),ROW(A205)),COLUMN(A205)))</f>
        <v/>
      </c>
      <c r="BC210" t="str" cm="1">
        <f t="array" ref="BC210">IF(ISERROR(INDEX(RESULT_DAY,SMALL(IF(COUNTIF($BA$3,MONTH), ROW(MONTH)-MIN(ROW(MONTH))+1),ROW(A205)),COLUMN(A205))),"",INDEX(RESULT_DAY,SMALL(IF(COUNTIF($BA$3,MONTH), ROW(MONTH)-MIN(ROW(MONTH))+1),ROW(A205)),COLUMN(A205)))</f>
        <v/>
      </c>
      <c r="BD210" s="29" t="str">
        <f t="shared" si="53"/>
        <v/>
      </c>
      <c r="BE210" s="2" t="str" cm="1">
        <f t="array" ref="BE210">IF(ISERROR(INDEX(RESULT_DURATION,SMALL(IF(COUNTIF($BA$3,MONTH), ROW(MONTH)-MIN(ROW(MONTH))+1),ROW(A205)),COLUMN(A205))),"",INDEX(RESULT_DURATION,SMALL(IF(COUNTIF($BA$3,MONTH), ROW(MONTH)-MIN(ROW(MONTH))+1),ROW(A205)),COLUMN(A205)))</f>
        <v/>
      </c>
      <c r="BH210" t="str" cm="1">
        <f t="array" ref="BH210">IF(ISERROR(INDEX(RESULT_CATEGORIES,SMALL(IF(COUNTIF($BA$3,MONTH), ROW(MONTH)-MIN(ROW(MONTH))+1),ROW(A205)),COLUMN(A205))),"",INDEX(RESULT_CATEGORIES,SMALL(IF(COUNTIF($BA$3,MONTH), ROW(MONTH)-MIN(ROW(MONTH))+1),ROW(A205)),COLUMN(A205)))</f>
        <v/>
      </c>
      <c r="BI210" t="str" cm="1">
        <f t="array" ref="BI210">IF(ISERROR(INDEX(RESULTLOCATION,SMALL(IF(COUNTIF($BA$3,MONTH), ROW(MONTH)-MIN(ROW(MONTH))+1),ROW(A205)),COLUMN(A205))),"",INDEX(RESULTLOCATION,SMALL(IF(COUNTIF($BA$3,MONTH), ROW(MONTH)-MIN(ROW(MONTH))+1),ROW(A205)),COLUMN(A205)))</f>
        <v/>
      </c>
    </row>
    <row r="211" spans="53:61" x14ac:dyDescent="0.3">
      <c r="BA211" t="str" cm="1">
        <f t="array" ref="BA211">IF(ISERROR(INDEX(RESULT_SUBJECT,SMALL(IF(COUNTIF($BA$3,MONTH), ROW(MONTH)-MIN(ROW(MONTH))+1),ROW(A206)),COLUMN(A206))),"",INDEX(RESULT_SUBJECT,SMALL(IF(COUNTIF($BA$3,MONTH), ROW(MONTH)-MIN(ROW(MONTH))+1),ROW(A206)),COLUMN(A206)))</f>
        <v/>
      </c>
      <c r="BB211" t="str" cm="1">
        <f t="array" ref="BB211">IF(ISERROR(INDEX(WEEK,SMALL(IF(COUNTIF($BA$3,MONTH), ROW(MONTH)-MIN(ROW(MONTH))+1),ROW(A206)),COLUMN(A206))),"",INDEX(WEEK,SMALL(IF(COUNTIF($BA$3,MONTH), ROW(MONTH)-MIN(ROW(MONTH))+1),ROW(A206)),COLUMN(A206)))</f>
        <v/>
      </c>
      <c r="BC211" t="str" cm="1">
        <f t="array" ref="BC211">IF(ISERROR(INDEX(RESULT_DAY,SMALL(IF(COUNTIF($BA$3,MONTH), ROW(MONTH)-MIN(ROW(MONTH))+1),ROW(A206)),COLUMN(A206))),"",INDEX(RESULT_DAY,SMALL(IF(COUNTIF($BA$3,MONTH), ROW(MONTH)-MIN(ROW(MONTH))+1),ROW(A206)),COLUMN(A206)))</f>
        <v/>
      </c>
      <c r="BD211" s="29" t="str">
        <f t="shared" si="53"/>
        <v/>
      </c>
      <c r="BE211" s="2" t="str" cm="1">
        <f t="array" ref="BE211">IF(ISERROR(INDEX(RESULT_DURATION,SMALL(IF(COUNTIF($BA$3,MONTH), ROW(MONTH)-MIN(ROW(MONTH))+1),ROW(A206)),COLUMN(A206))),"",INDEX(RESULT_DURATION,SMALL(IF(COUNTIF($BA$3,MONTH), ROW(MONTH)-MIN(ROW(MONTH))+1),ROW(A206)),COLUMN(A206)))</f>
        <v/>
      </c>
      <c r="BH211" t="str" cm="1">
        <f t="array" ref="BH211">IF(ISERROR(INDEX(RESULT_CATEGORIES,SMALL(IF(COUNTIF($BA$3,MONTH), ROW(MONTH)-MIN(ROW(MONTH))+1),ROW(A206)),COLUMN(A206))),"",INDEX(RESULT_CATEGORIES,SMALL(IF(COUNTIF($BA$3,MONTH), ROW(MONTH)-MIN(ROW(MONTH))+1),ROW(A206)),COLUMN(A206)))</f>
        <v/>
      </c>
      <c r="BI211" t="str" cm="1">
        <f t="array" ref="BI211">IF(ISERROR(INDEX(RESULTLOCATION,SMALL(IF(COUNTIF($BA$3,MONTH), ROW(MONTH)-MIN(ROW(MONTH))+1),ROW(A206)),COLUMN(A206))),"",INDEX(RESULTLOCATION,SMALL(IF(COUNTIF($BA$3,MONTH), ROW(MONTH)-MIN(ROW(MONTH))+1),ROW(A206)),COLUMN(A206)))</f>
        <v/>
      </c>
    </row>
    <row r="212" spans="53:61" x14ac:dyDescent="0.3">
      <c r="BA212" t="str" cm="1">
        <f t="array" ref="BA212">IF(ISERROR(INDEX(RESULT_SUBJECT,SMALL(IF(COUNTIF($BA$3,MONTH), ROW(MONTH)-MIN(ROW(MONTH))+1),ROW(A207)),COLUMN(A207))),"",INDEX(RESULT_SUBJECT,SMALL(IF(COUNTIF($BA$3,MONTH), ROW(MONTH)-MIN(ROW(MONTH))+1),ROW(A207)),COLUMN(A207)))</f>
        <v/>
      </c>
      <c r="BB212" t="str" cm="1">
        <f t="array" ref="BB212">IF(ISERROR(INDEX(WEEK,SMALL(IF(COUNTIF($BA$3,MONTH), ROW(MONTH)-MIN(ROW(MONTH))+1),ROW(A207)),COLUMN(A207))),"",INDEX(WEEK,SMALL(IF(COUNTIF($BA$3,MONTH), ROW(MONTH)-MIN(ROW(MONTH))+1),ROW(A207)),COLUMN(A207)))</f>
        <v/>
      </c>
      <c r="BC212" t="str" cm="1">
        <f t="array" ref="BC212">IF(ISERROR(INDEX(RESULT_DAY,SMALL(IF(COUNTIF($BA$3,MONTH), ROW(MONTH)-MIN(ROW(MONTH))+1),ROW(A207)),COLUMN(A207))),"",INDEX(RESULT_DAY,SMALL(IF(COUNTIF($BA$3,MONTH), ROW(MONTH)-MIN(ROW(MONTH))+1),ROW(A207)),COLUMN(A207)))</f>
        <v/>
      </c>
      <c r="BD212" s="29" t="str">
        <f t="shared" si="53"/>
        <v/>
      </c>
      <c r="BE212" s="2" t="str" cm="1">
        <f t="array" ref="BE212">IF(ISERROR(INDEX(RESULT_DURATION,SMALL(IF(COUNTIF($BA$3,MONTH), ROW(MONTH)-MIN(ROW(MONTH))+1),ROW(A207)),COLUMN(A207))),"",INDEX(RESULT_DURATION,SMALL(IF(COUNTIF($BA$3,MONTH), ROW(MONTH)-MIN(ROW(MONTH))+1),ROW(A207)),COLUMN(A207)))</f>
        <v/>
      </c>
      <c r="BH212" t="str" cm="1">
        <f t="array" ref="BH212">IF(ISERROR(INDEX(RESULT_CATEGORIES,SMALL(IF(COUNTIF($BA$3,MONTH), ROW(MONTH)-MIN(ROW(MONTH))+1),ROW(A207)),COLUMN(A207))),"",INDEX(RESULT_CATEGORIES,SMALL(IF(COUNTIF($BA$3,MONTH), ROW(MONTH)-MIN(ROW(MONTH))+1),ROW(A207)),COLUMN(A207)))</f>
        <v/>
      </c>
      <c r="BI212" t="str" cm="1">
        <f t="array" ref="BI212">IF(ISERROR(INDEX(RESULTLOCATION,SMALL(IF(COUNTIF($BA$3,MONTH), ROW(MONTH)-MIN(ROW(MONTH))+1),ROW(A207)),COLUMN(A207))),"",INDEX(RESULTLOCATION,SMALL(IF(COUNTIF($BA$3,MONTH), ROW(MONTH)-MIN(ROW(MONTH))+1),ROW(A207)),COLUMN(A207)))</f>
        <v/>
      </c>
    </row>
    <row r="213" spans="53:61" x14ac:dyDescent="0.3">
      <c r="BA213" t="str" cm="1">
        <f t="array" ref="BA213">IF(ISERROR(INDEX(RESULT_SUBJECT,SMALL(IF(COUNTIF($BA$3,MONTH), ROW(MONTH)-MIN(ROW(MONTH))+1),ROW(A208)),COLUMN(A208))),"",INDEX(RESULT_SUBJECT,SMALL(IF(COUNTIF($BA$3,MONTH), ROW(MONTH)-MIN(ROW(MONTH))+1),ROW(A208)),COLUMN(A208)))</f>
        <v/>
      </c>
      <c r="BB213" t="str" cm="1">
        <f t="array" ref="BB213">IF(ISERROR(INDEX(WEEK,SMALL(IF(COUNTIF($BA$3,MONTH), ROW(MONTH)-MIN(ROW(MONTH))+1),ROW(A208)),COLUMN(A208))),"",INDEX(WEEK,SMALL(IF(COUNTIF($BA$3,MONTH), ROW(MONTH)-MIN(ROW(MONTH))+1),ROW(A208)),COLUMN(A208)))</f>
        <v/>
      </c>
      <c r="BC213" t="str" cm="1">
        <f t="array" ref="BC213">IF(ISERROR(INDEX(RESULT_DAY,SMALL(IF(COUNTIF($BA$3,MONTH), ROW(MONTH)-MIN(ROW(MONTH))+1),ROW(A208)),COLUMN(A208))),"",INDEX(RESULT_DAY,SMALL(IF(COUNTIF($BA$3,MONTH), ROW(MONTH)-MIN(ROW(MONTH))+1),ROW(A208)),COLUMN(A208)))</f>
        <v/>
      </c>
      <c r="BD213" s="29" t="str">
        <f t="shared" si="53"/>
        <v/>
      </c>
      <c r="BE213" s="2" t="str" cm="1">
        <f t="array" ref="BE213">IF(ISERROR(INDEX(RESULT_DURATION,SMALL(IF(COUNTIF($BA$3,MONTH), ROW(MONTH)-MIN(ROW(MONTH))+1),ROW(A208)),COLUMN(A208))),"",INDEX(RESULT_DURATION,SMALL(IF(COUNTIF($BA$3,MONTH), ROW(MONTH)-MIN(ROW(MONTH))+1),ROW(A208)),COLUMN(A208)))</f>
        <v/>
      </c>
      <c r="BH213" t="str" cm="1">
        <f t="array" ref="BH213">IF(ISERROR(INDEX(RESULT_CATEGORIES,SMALL(IF(COUNTIF($BA$3,MONTH), ROW(MONTH)-MIN(ROW(MONTH))+1),ROW(A208)),COLUMN(A208))),"",INDEX(RESULT_CATEGORIES,SMALL(IF(COUNTIF($BA$3,MONTH), ROW(MONTH)-MIN(ROW(MONTH))+1),ROW(A208)),COLUMN(A208)))</f>
        <v/>
      </c>
      <c r="BI213" t="str" cm="1">
        <f t="array" ref="BI213">IF(ISERROR(INDEX(RESULTLOCATION,SMALL(IF(COUNTIF($BA$3,MONTH), ROW(MONTH)-MIN(ROW(MONTH))+1),ROW(A208)),COLUMN(A208))),"",INDEX(RESULTLOCATION,SMALL(IF(COUNTIF($BA$3,MONTH), ROW(MONTH)-MIN(ROW(MONTH))+1),ROW(A208)),COLUMN(A208)))</f>
        <v/>
      </c>
    </row>
    <row r="214" spans="53:61" x14ac:dyDescent="0.3">
      <c r="BA214" t="str" cm="1">
        <f t="array" ref="BA214">IF(ISERROR(INDEX(RESULT_SUBJECT,SMALL(IF(COUNTIF($BA$3,MONTH), ROW(MONTH)-MIN(ROW(MONTH))+1),ROW(A209)),COLUMN(A209))),"",INDEX(RESULT_SUBJECT,SMALL(IF(COUNTIF($BA$3,MONTH), ROW(MONTH)-MIN(ROW(MONTH))+1),ROW(A209)),COLUMN(A209)))</f>
        <v/>
      </c>
      <c r="BB214" t="str" cm="1">
        <f t="array" ref="BB214">IF(ISERROR(INDEX(WEEK,SMALL(IF(COUNTIF($BA$3,MONTH), ROW(MONTH)-MIN(ROW(MONTH))+1),ROW(A209)),COLUMN(A209))),"",INDEX(WEEK,SMALL(IF(COUNTIF($BA$3,MONTH), ROW(MONTH)-MIN(ROW(MONTH))+1),ROW(A209)),COLUMN(A209)))</f>
        <v/>
      </c>
      <c r="BC214" t="str" cm="1">
        <f t="array" ref="BC214">IF(ISERROR(INDEX(RESULT_DAY,SMALL(IF(COUNTIF($BA$3,MONTH), ROW(MONTH)-MIN(ROW(MONTH))+1),ROW(A209)),COLUMN(A209))),"",INDEX(RESULT_DAY,SMALL(IF(COUNTIF($BA$3,MONTH), ROW(MONTH)-MIN(ROW(MONTH))+1),ROW(A209)),COLUMN(A209)))</f>
        <v/>
      </c>
      <c r="BD214" s="29" t="str">
        <f t="shared" si="53"/>
        <v/>
      </c>
      <c r="BE214" s="2" t="str" cm="1">
        <f t="array" ref="BE214">IF(ISERROR(INDEX(RESULT_DURATION,SMALL(IF(COUNTIF($BA$3,MONTH), ROW(MONTH)-MIN(ROW(MONTH))+1),ROW(A209)),COLUMN(A209))),"",INDEX(RESULT_DURATION,SMALL(IF(COUNTIF($BA$3,MONTH), ROW(MONTH)-MIN(ROW(MONTH))+1),ROW(A209)),COLUMN(A209)))</f>
        <v/>
      </c>
      <c r="BH214" t="str" cm="1">
        <f t="array" ref="BH214">IF(ISERROR(INDEX(RESULT_CATEGORIES,SMALL(IF(COUNTIF($BA$3,MONTH), ROW(MONTH)-MIN(ROW(MONTH))+1),ROW(A209)),COLUMN(A209))),"",INDEX(RESULT_CATEGORIES,SMALL(IF(COUNTIF($BA$3,MONTH), ROW(MONTH)-MIN(ROW(MONTH))+1),ROW(A209)),COLUMN(A209)))</f>
        <v/>
      </c>
      <c r="BI214" t="str" cm="1">
        <f t="array" ref="BI214">IF(ISERROR(INDEX(RESULTLOCATION,SMALL(IF(COUNTIF($BA$3,MONTH), ROW(MONTH)-MIN(ROW(MONTH))+1),ROW(A209)),COLUMN(A209))),"",INDEX(RESULTLOCATION,SMALL(IF(COUNTIF($BA$3,MONTH), ROW(MONTH)-MIN(ROW(MONTH))+1),ROW(A209)),COLUMN(A209)))</f>
        <v/>
      </c>
    </row>
    <row r="215" spans="53:61" x14ac:dyDescent="0.3">
      <c r="BA215" t="str" cm="1">
        <f t="array" ref="BA215">IF(ISERROR(INDEX(RESULT_SUBJECT,SMALL(IF(COUNTIF($BA$3,MONTH), ROW(MONTH)-MIN(ROW(MONTH))+1),ROW(A210)),COLUMN(A210))),"",INDEX(RESULT_SUBJECT,SMALL(IF(COUNTIF($BA$3,MONTH), ROW(MONTH)-MIN(ROW(MONTH))+1),ROW(A210)),COLUMN(A210)))</f>
        <v/>
      </c>
      <c r="BB215" t="str" cm="1">
        <f t="array" ref="BB215">IF(ISERROR(INDEX(WEEK,SMALL(IF(COUNTIF($BA$3,MONTH), ROW(MONTH)-MIN(ROW(MONTH))+1),ROW(A210)),COLUMN(A210))),"",INDEX(WEEK,SMALL(IF(COUNTIF($BA$3,MONTH), ROW(MONTH)-MIN(ROW(MONTH))+1),ROW(A210)),COLUMN(A210)))</f>
        <v/>
      </c>
      <c r="BC215" t="str" cm="1">
        <f t="array" ref="BC215">IF(ISERROR(INDEX(RESULT_DAY,SMALL(IF(COUNTIF($BA$3,MONTH), ROW(MONTH)-MIN(ROW(MONTH))+1),ROW(A210)),COLUMN(A210))),"",INDEX(RESULT_DAY,SMALL(IF(COUNTIF($BA$3,MONTH), ROW(MONTH)-MIN(ROW(MONTH))+1),ROW(A210)),COLUMN(A210)))</f>
        <v/>
      </c>
      <c r="BD215" s="29" t="str">
        <f t="shared" si="53"/>
        <v/>
      </c>
      <c r="BE215" s="2" t="str" cm="1">
        <f t="array" ref="BE215">IF(ISERROR(INDEX(RESULT_DURATION,SMALL(IF(COUNTIF($BA$3,MONTH), ROW(MONTH)-MIN(ROW(MONTH))+1),ROW(A210)),COLUMN(A210))),"",INDEX(RESULT_DURATION,SMALL(IF(COUNTIF($BA$3,MONTH), ROW(MONTH)-MIN(ROW(MONTH))+1),ROW(A210)),COLUMN(A210)))</f>
        <v/>
      </c>
      <c r="BH215" t="str" cm="1">
        <f t="array" ref="BH215">IF(ISERROR(INDEX(RESULT_CATEGORIES,SMALL(IF(COUNTIF($BA$3,MONTH), ROW(MONTH)-MIN(ROW(MONTH))+1),ROW(A210)),COLUMN(A210))),"",INDEX(RESULT_CATEGORIES,SMALL(IF(COUNTIF($BA$3,MONTH), ROW(MONTH)-MIN(ROW(MONTH))+1),ROW(A210)),COLUMN(A210)))</f>
        <v/>
      </c>
      <c r="BI215" t="str" cm="1">
        <f t="array" ref="BI215">IF(ISERROR(INDEX(RESULTLOCATION,SMALL(IF(COUNTIF($BA$3,MONTH), ROW(MONTH)-MIN(ROW(MONTH))+1),ROW(A210)),COLUMN(A210))),"",INDEX(RESULTLOCATION,SMALL(IF(COUNTIF($BA$3,MONTH), ROW(MONTH)-MIN(ROW(MONTH))+1),ROW(A210)),COLUMN(A210)))</f>
        <v/>
      </c>
    </row>
    <row r="216" spans="53:61" x14ac:dyDescent="0.3">
      <c r="BA216" t="str" cm="1">
        <f t="array" ref="BA216">IF(ISERROR(INDEX(RESULT_SUBJECT,SMALL(IF(COUNTIF($BA$3,MONTH), ROW(MONTH)-MIN(ROW(MONTH))+1),ROW(A211)),COLUMN(A211))),"",INDEX(RESULT_SUBJECT,SMALL(IF(COUNTIF($BA$3,MONTH), ROW(MONTH)-MIN(ROW(MONTH))+1),ROW(A211)),COLUMN(A211)))</f>
        <v/>
      </c>
      <c r="BB216" t="str" cm="1">
        <f t="array" ref="BB216">IF(ISERROR(INDEX(WEEK,SMALL(IF(COUNTIF($BA$3,MONTH), ROW(MONTH)-MIN(ROW(MONTH))+1),ROW(A211)),COLUMN(A211))),"",INDEX(WEEK,SMALL(IF(COUNTIF($BA$3,MONTH), ROW(MONTH)-MIN(ROW(MONTH))+1),ROW(A211)),COLUMN(A211)))</f>
        <v/>
      </c>
      <c r="BC216" t="str" cm="1">
        <f t="array" ref="BC216">IF(ISERROR(INDEX(RESULT_DAY,SMALL(IF(COUNTIF($BA$3,MONTH), ROW(MONTH)-MIN(ROW(MONTH))+1),ROW(A211)),COLUMN(A211))),"",INDEX(RESULT_DAY,SMALL(IF(COUNTIF($BA$3,MONTH), ROW(MONTH)-MIN(ROW(MONTH))+1),ROW(A211)),COLUMN(A211)))</f>
        <v/>
      </c>
      <c r="BD216" s="29" t="str">
        <f t="shared" si="53"/>
        <v/>
      </c>
      <c r="BE216" s="2" t="str" cm="1">
        <f t="array" ref="BE216">IF(ISERROR(INDEX(RESULT_DURATION,SMALL(IF(COUNTIF($BA$3,MONTH), ROW(MONTH)-MIN(ROW(MONTH))+1),ROW(A211)),COLUMN(A211))),"",INDEX(RESULT_DURATION,SMALL(IF(COUNTIF($BA$3,MONTH), ROW(MONTH)-MIN(ROW(MONTH))+1),ROW(A211)),COLUMN(A211)))</f>
        <v/>
      </c>
      <c r="BH216" t="str" cm="1">
        <f t="array" ref="BH216">IF(ISERROR(INDEX(RESULT_CATEGORIES,SMALL(IF(COUNTIF($BA$3,MONTH), ROW(MONTH)-MIN(ROW(MONTH))+1),ROW(A211)),COLUMN(A211))),"",INDEX(RESULT_CATEGORIES,SMALL(IF(COUNTIF($BA$3,MONTH), ROW(MONTH)-MIN(ROW(MONTH))+1),ROW(A211)),COLUMN(A211)))</f>
        <v/>
      </c>
      <c r="BI216" t="str" cm="1">
        <f t="array" ref="BI216">IF(ISERROR(INDEX(RESULTLOCATION,SMALL(IF(COUNTIF($BA$3,MONTH), ROW(MONTH)-MIN(ROW(MONTH))+1),ROW(A211)),COLUMN(A211))),"",INDEX(RESULTLOCATION,SMALL(IF(COUNTIF($BA$3,MONTH), ROW(MONTH)-MIN(ROW(MONTH))+1),ROW(A211)),COLUMN(A211)))</f>
        <v/>
      </c>
    </row>
    <row r="217" spans="53:61" x14ac:dyDescent="0.3">
      <c r="BA217" t="str" cm="1">
        <f t="array" ref="BA217">IF(ISERROR(INDEX(RESULT_SUBJECT,SMALL(IF(COUNTIF($BA$3,MONTH), ROW(MONTH)-MIN(ROW(MONTH))+1),ROW(A212)),COLUMN(A212))),"",INDEX(RESULT_SUBJECT,SMALL(IF(COUNTIF($BA$3,MONTH), ROW(MONTH)-MIN(ROW(MONTH))+1),ROW(A212)),COLUMN(A212)))</f>
        <v/>
      </c>
      <c r="BB217" t="str" cm="1">
        <f t="array" ref="BB217">IF(ISERROR(INDEX(WEEK,SMALL(IF(COUNTIF($BA$3,MONTH), ROW(MONTH)-MIN(ROW(MONTH))+1),ROW(A212)),COLUMN(A212))),"",INDEX(WEEK,SMALL(IF(COUNTIF($BA$3,MONTH), ROW(MONTH)-MIN(ROW(MONTH))+1),ROW(A212)),COLUMN(A212)))</f>
        <v/>
      </c>
      <c r="BC217" t="str" cm="1">
        <f t="array" ref="BC217">IF(ISERROR(INDEX(RESULT_DAY,SMALL(IF(COUNTIF($BA$3,MONTH), ROW(MONTH)-MIN(ROW(MONTH))+1),ROW(A212)),COLUMN(A212))),"",INDEX(RESULT_DAY,SMALL(IF(COUNTIF($BA$3,MONTH), ROW(MONTH)-MIN(ROW(MONTH))+1),ROW(A212)),COLUMN(A212)))</f>
        <v/>
      </c>
      <c r="BD217" s="29" t="str">
        <f t="shared" si="53"/>
        <v/>
      </c>
      <c r="BE217" s="2" t="str" cm="1">
        <f t="array" ref="BE217">IF(ISERROR(INDEX(RESULT_DURATION,SMALL(IF(COUNTIF($BA$3,MONTH), ROW(MONTH)-MIN(ROW(MONTH))+1),ROW(A212)),COLUMN(A212))),"",INDEX(RESULT_DURATION,SMALL(IF(COUNTIF($BA$3,MONTH), ROW(MONTH)-MIN(ROW(MONTH))+1),ROW(A212)),COLUMN(A212)))</f>
        <v/>
      </c>
      <c r="BH217" t="str" cm="1">
        <f t="array" ref="BH217">IF(ISERROR(INDEX(RESULT_CATEGORIES,SMALL(IF(COUNTIF($BA$3,MONTH), ROW(MONTH)-MIN(ROW(MONTH))+1),ROW(A212)),COLUMN(A212))),"",INDEX(RESULT_CATEGORIES,SMALL(IF(COUNTIF($BA$3,MONTH), ROW(MONTH)-MIN(ROW(MONTH))+1),ROW(A212)),COLUMN(A212)))</f>
        <v/>
      </c>
      <c r="BI217" t="str" cm="1">
        <f t="array" ref="BI217">IF(ISERROR(INDEX(RESULTLOCATION,SMALL(IF(COUNTIF($BA$3,MONTH), ROW(MONTH)-MIN(ROW(MONTH))+1),ROW(A212)),COLUMN(A212))),"",INDEX(RESULTLOCATION,SMALL(IF(COUNTIF($BA$3,MONTH), ROW(MONTH)-MIN(ROW(MONTH))+1),ROW(A212)),COLUMN(A212)))</f>
        <v/>
      </c>
    </row>
    <row r="218" spans="53:61" x14ac:dyDescent="0.3">
      <c r="BA218" t="str" cm="1">
        <f t="array" ref="BA218">IF(ISERROR(INDEX(RESULT_SUBJECT,SMALL(IF(COUNTIF($BA$3,MONTH), ROW(MONTH)-MIN(ROW(MONTH))+1),ROW(A213)),COLUMN(A213))),"",INDEX(RESULT_SUBJECT,SMALL(IF(COUNTIF($BA$3,MONTH), ROW(MONTH)-MIN(ROW(MONTH))+1),ROW(A213)),COLUMN(A213)))</f>
        <v/>
      </c>
      <c r="BB218" t="str" cm="1">
        <f t="array" ref="BB218">IF(ISERROR(INDEX(WEEK,SMALL(IF(COUNTIF($BA$3,MONTH), ROW(MONTH)-MIN(ROW(MONTH))+1),ROW(A213)),COLUMN(A213))),"",INDEX(WEEK,SMALL(IF(COUNTIF($BA$3,MONTH), ROW(MONTH)-MIN(ROW(MONTH))+1),ROW(A213)),COLUMN(A213)))</f>
        <v/>
      </c>
      <c r="BC218" t="str" cm="1">
        <f t="array" ref="BC218">IF(ISERROR(INDEX(RESULT_DAY,SMALL(IF(COUNTIF($BA$3,MONTH), ROW(MONTH)-MIN(ROW(MONTH))+1),ROW(A213)),COLUMN(A213))),"",INDEX(RESULT_DAY,SMALL(IF(COUNTIF($BA$3,MONTH), ROW(MONTH)-MIN(ROW(MONTH))+1),ROW(A213)),COLUMN(A213)))</f>
        <v/>
      </c>
      <c r="BD218" s="29" t="str">
        <f t="shared" si="53"/>
        <v/>
      </c>
      <c r="BE218" s="2" t="str" cm="1">
        <f t="array" ref="BE218">IF(ISERROR(INDEX(RESULT_DURATION,SMALL(IF(COUNTIF($BA$3,MONTH), ROW(MONTH)-MIN(ROW(MONTH))+1),ROW(A213)),COLUMN(A213))),"",INDEX(RESULT_DURATION,SMALL(IF(COUNTIF($BA$3,MONTH), ROW(MONTH)-MIN(ROW(MONTH))+1),ROW(A213)),COLUMN(A213)))</f>
        <v/>
      </c>
      <c r="BH218" t="str" cm="1">
        <f t="array" ref="BH218">IF(ISERROR(INDEX(RESULT_CATEGORIES,SMALL(IF(COUNTIF($BA$3,MONTH), ROW(MONTH)-MIN(ROW(MONTH))+1),ROW(A213)),COLUMN(A213))),"",INDEX(RESULT_CATEGORIES,SMALL(IF(COUNTIF($BA$3,MONTH), ROW(MONTH)-MIN(ROW(MONTH))+1),ROW(A213)),COLUMN(A213)))</f>
        <v/>
      </c>
      <c r="BI218" t="str" cm="1">
        <f t="array" ref="BI218">IF(ISERROR(INDEX(RESULTLOCATION,SMALL(IF(COUNTIF($BA$3,MONTH), ROW(MONTH)-MIN(ROW(MONTH))+1),ROW(A213)),COLUMN(A213))),"",INDEX(RESULTLOCATION,SMALL(IF(COUNTIF($BA$3,MONTH), ROW(MONTH)-MIN(ROW(MONTH))+1),ROW(A213)),COLUMN(A213)))</f>
        <v/>
      </c>
    </row>
    <row r="219" spans="53:61" x14ac:dyDescent="0.3">
      <c r="BA219" t="str" cm="1">
        <f t="array" ref="BA219">IF(ISERROR(INDEX(RESULT_SUBJECT,SMALL(IF(COUNTIF($BA$3,MONTH), ROW(MONTH)-MIN(ROW(MONTH))+1),ROW(A214)),COLUMN(A214))),"",INDEX(RESULT_SUBJECT,SMALL(IF(COUNTIF($BA$3,MONTH), ROW(MONTH)-MIN(ROW(MONTH))+1),ROW(A214)),COLUMN(A214)))</f>
        <v/>
      </c>
      <c r="BB219" t="str" cm="1">
        <f t="array" ref="BB219">IF(ISERROR(INDEX(WEEK,SMALL(IF(COUNTIF($BA$3,MONTH), ROW(MONTH)-MIN(ROW(MONTH))+1),ROW(A214)),COLUMN(A214))),"",INDEX(WEEK,SMALL(IF(COUNTIF($BA$3,MONTH), ROW(MONTH)-MIN(ROW(MONTH))+1),ROW(A214)),COLUMN(A214)))</f>
        <v/>
      </c>
      <c r="BC219" t="str" cm="1">
        <f t="array" ref="BC219">IF(ISERROR(INDEX(RESULT_DAY,SMALL(IF(COUNTIF($BA$3,MONTH), ROW(MONTH)-MIN(ROW(MONTH))+1),ROW(A214)),COLUMN(A214))),"",INDEX(RESULT_DAY,SMALL(IF(COUNTIF($BA$3,MONTH), ROW(MONTH)-MIN(ROW(MONTH))+1),ROW(A214)),COLUMN(A214)))</f>
        <v/>
      </c>
      <c r="BD219" s="29" t="str">
        <f t="shared" si="53"/>
        <v/>
      </c>
      <c r="BE219" s="2" t="str" cm="1">
        <f t="array" ref="BE219">IF(ISERROR(INDEX(RESULT_DURATION,SMALL(IF(COUNTIF($BA$3,MONTH), ROW(MONTH)-MIN(ROW(MONTH))+1),ROW(A214)),COLUMN(A214))),"",INDEX(RESULT_DURATION,SMALL(IF(COUNTIF($BA$3,MONTH), ROW(MONTH)-MIN(ROW(MONTH))+1),ROW(A214)),COLUMN(A214)))</f>
        <v/>
      </c>
      <c r="BH219" t="str" cm="1">
        <f t="array" ref="BH219">IF(ISERROR(INDEX(RESULT_CATEGORIES,SMALL(IF(COUNTIF($BA$3,MONTH), ROW(MONTH)-MIN(ROW(MONTH))+1),ROW(A214)),COLUMN(A214))),"",INDEX(RESULT_CATEGORIES,SMALL(IF(COUNTIF($BA$3,MONTH), ROW(MONTH)-MIN(ROW(MONTH))+1),ROW(A214)),COLUMN(A214)))</f>
        <v/>
      </c>
      <c r="BI219" t="str" cm="1">
        <f t="array" ref="BI219">IF(ISERROR(INDEX(RESULTLOCATION,SMALL(IF(COUNTIF($BA$3,MONTH), ROW(MONTH)-MIN(ROW(MONTH))+1),ROW(A214)),COLUMN(A214))),"",INDEX(RESULTLOCATION,SMALL(IF(COUNTIF($BA$3,MONTH), ROW(MONTH)-MIN(ROW(MONTH))+1),ROW(A214)),COLUMN(A214)))</f>
        <v/>
      </c>
    </row>
    <row r="220" spans="53:61" x14ac:dyDescent="0.3">
      <c r="BA220" t="str" cm="1">
        <f t="array" ref="BA220">IF(ISERROR(INDEX(RESULT_SUBJECT,SMALL(IF(COUNTIF($BA$3,MONTH), ROW(MONTH)-MIN(ROW(MONTH))+1),ROW(A215)),COLUMN(A215))),"",INDEX(RESULT_SUBJECT,SMALL(IF(COUNTIF($BA$3,MONTH), ROW(MONTH)-MIN(ROW(MONTH))+1),ROW(A215)),COLUMN(A215)))</f>
        <v/>
      </c>
      <c r="BB220" t="str" cm="1">
        <f t="array" ref="BB220">IF(ISERROR(INDEX(WEEK,SMALL(IF(COUNTIF($BA$3,MONTH), ROW(MONTH)-MIN(ROW(MONTH))+1),ROW(A215)),COLUMN(A215))),"",INDEX(WEEK,SMALL(IF(COUNTIF($BA$3,MONTH), ROW(MONTH)-MIN(ROW(MONTH))+1),ROW(A215)),COLUMN(A215)))</f>
        <v/>
      </c>
      <c r="BC220" t="str" cm="1">
        <f t="array" ref="BC220">IF(ISERROR(INDEX(RESULT_DAY,SMALL(IF(COUNTIF($BA$3,MONTH), ROW(MONTH)-MIN(ROW(MONTH))+1),ROW(A215)),COLUMN(A215))),"",INDEX(RESULT_DAY,SMALL(IF(COUNTIF($BA$3,MONTH), ROW(MONTH)-MIN(ROW(MONTH))+1),ROW(A215)),COLUMN(A215)))</f>
        <v/>
      </c>
      <c r="BD220" s="29" t="str">
        <f t="shared" si="53"/>
        <v/>
      </c>
      <c r="BE220" s="2" t="str" cm="1">
        <f t="array" ref="BE220">IF(ISERROR(INDEX(RESULT_DURATION,SMALL(IF(COUNTIF($BA$3,MONTH), ROW(MONTH)-MIN(ROW(MONTH))+1),ROW(A215)),COLUMN(A215))),"",INDEX(RESULT_DURATION,SMALL(IF(COUNTIF($BA$3,MONTH), ROW(MONTH)-MIN(ROW(MONTH))+1),ROW(A215)),COLUMN(A215)))</f>
        <v/>
      </c>
      <c r="BH220" t="str" cm="1">
        <f t="array" ref="BH220">IF(ISERROR(INDEX(RESULT_CATEGORIES,SMALL(IF(COUNTIF($BA$3,MONTH), ROW(MONTH)-MIN(ROW(MONTH))+1),ROW(A215)),COLUMN(A215))),"",INDEX(RESULT_CATEGORIES,SMALL(IF(COUNTIF($BA$3,MONTH), ROW(MONTH)-MIN(ROW(MONTH))+1),ROW(A215)),COLUMN(A215)))</f>
        <v/>
      </c>
      <c r="BI220" t="str" cm="1">
        <f t="array" ref="BI220">IF(ISERROR(INDEX(RESULTLOCATION,SMALL(IF(COUNTIF($BA$3,MONTH), ROW(MONTH)-MIN(ROW(MONTH))+1),ROW(A215)),COLUMN(A215))),"",INDEX(RESULTLOCATION,SMALL(IF(COUNTIF($BA$3,MONTH), ROW(MONTH)-MIN(ROW(MONTH))+1),ROW(A215)),COLUMN(A215)))</f>
        <v/>
      </c>
    </row>
    <row r="221" spans="53:61" x14ac:dyDescent="0.3">
      <c r="BA221" t="str" cm="1">
        <f t="array" ref="BA221">IF(ISERROR(INDEX(RESULT_SUBJECT,SMALL(IF(COUNTIF($BA$3,MONTH), ROW(MONTH)-MIN(ROW(MONTH))+1),ROW(A216)),COLUMN(A216))),"",INDEX(RESULT_SUBJECT,SMALL(IF(COUNTIF($BA$3,MONTH), ROW(MONTH)-MIN(ROW(MONTH))+1),ROW(A216)),COLUMN(A216)))</f>
        <v/>
      </c>
      <c r="BB221" t="str" cm="1">
        <f t="array" ref="BB221">IF(ISERROR(INDEX(WEEK,SMALL(IF(COUNTIF($BA$3,MONTH), ROW(MONTH)-MIN(ROW(MONTH))+1),ROW(A216)),COLUMN(A216))),"",INDEX(WEEK,SMALL(IF(COUNTIF($BA$3,MONTH), ROW(MONTH)-MIN(ROW(MONTH))+1),ROW(A216)),COLUMN(A216)))</f>
        <v/>
      </c>
      <c r="BC221" t="str" cm="1">
        <f t="array" ref="BC221">IF(ISERROR(INDEX(RESULT_DAY,SMALL(IF(COUNTIF($BA$3,MONTH), ROW(MONTH)-MIN(ROW(MONTH))+1),ROW(A216)),COLUMN(A216))),"",INDEX(RESULT_DAY,SMALL(IF(COUNTIF($BA$3,MONTH), ROW(MONTH)-MIN(ROW(MONTH))+1),ROW(A216)),COLUMN(A216)))</f>
        <v/>
      </c>
      <c r="BD221" s="29" t="str">
        <f t="shared" si="53"/>
        <v/>
      </c>
      <c r="BE221" s="2" t="str" cm="1">
        <f t="array" ref="BE221">IF(ISERROR(INDEX(RESULT_DURATION,SMALL(IF(COUNTIF($BA$3,MONTH), ROW(MONTH)-MIN(ROW(MONTH))+1),ROW(A216)),COLUMN(A216))),"",INDEX(RESULT_DURATION,SMALL(IF(COUNTIF($BA$3,MONTH), ROW(MONTH)-MIN(ROW(MONTH))+1),ROW(A216)),COLUMN(A216)))</f>
        <v/>
      </c>
      <c r="BH221" t="str" cm="1">
        <f t="array" ref="BH221">IF(ISERROR(INDEX(RESULT_CATEGORIES,SMALL(IF(COUNTIF($BA$3,MONTH), ROW(MONTH)-MIN(ROW(MONTH))+1),ROW(A216)),COLUMN(A216))),"",INDEX(RESULT_CATEGORIES,SMALL(IF(COUNTIF($BA$3,MONTH), ROW(MONTH)-MIN(ROW(MONTH))+1),ROW(A216)),COLUMN(A216)))</f>
        <v/>
      </c>
      <c r="BI221" t="str" cm="1">
        <f t="array" ref="BI221">IF(ISERROR(INDEX(RESULTLOCATION,SMALL(IF(COUNTIF($BA$3,MONTH), ROW(MONTH)-MIN(ROW(MONTH))+1),ROW(A216)),COLUMN(A216))),"",INDEX(RESULTLOCATION,SMALL(IF(COUNTIF($BA$3,MONTH), ROW(MONTH)-MIN(ROW(MONTH))+1),ROW(A216)),COLUMN(A216)))</f>
        <v/>
      </c>
    </row>
    <row r="222" spans="53:61" x14ac:dyDescent="0.3">
      <c r="BA222" t="str" cm="1">
        <f t="array" ref="BA222">IF(ISERROR(INDEX(RESULT_SUBJECT,SMALL(IF(COUNTIF($BA$3,MONTH), ROW(MONTH)-MIN(ROW(MONTH))+1),ROW(A217)),COLUMN(A217))),"",INDEX(RESULT_SUBJECT,SMALL(IF(COUNTIF($BA$3,MONTH), ROW(MONTH)-MIN(ROW(MONTH))+1),ROW(A217)),COLUMN(A217)))</f>
        <v/>
      </c>
      <c r="BB222" t="str" cm="1">
        <f t="array" ref="BB222">IF(ISERROR(INDEX(WEEK,SMALL(IF(COUNTIF($BA$3,MONTH), ROW(MONTH)-MIN(ROW(MONTH))+1),ROW(A217)),COLUMN(A217))),"",INDEX(WEEK,SMALL(IF(COUNTIF($BA$3,MONTH), ROW(MONTH)-MIN(ROW(MONTH))+1),ROW(A217)),COLUMN(A217)))</f>
        <v/>
      </c>
      <c r="BC222" t="str" cm="1">
        <f t="array" ref="BC222">IF(ISERROR(INDEX(RESULT_DAY,SMALL(IF(COUNTIF($BA$3,MONTH), ROW(MONTH)-MIN(ROW(MONTH))+1),ROW(A217)),COLUMN(A217))),"",INDEX(RESULT_DAY,SMALL(IF(COUNTIF($BA$3,MONTH), ROW(MONTH)-MIN(ROW(MONTH))+1),ROW(A217)),COLUMN(A217)))</f>
        <v/>
      </c>
      <c r="BD222" s="29" t="str">
        <f t="shared" si="53"/>
        <v/>
      </c>
      <c r="BE222" s="2" t="str" cm="1">
        <f t="array" ref="BE222">IF(ISERROR(INDEX(RESULT_DURATION,SMALL(IF(COUNTIF($BA$3,MONTH), ROW(MONTH)-MIN(ROW(MONTH))+1),ROW(A217)),COLUMN(A217))),"",INDEX(RESULT_DURATION,SMALL(IF(COUNTIF($BA$3,MONTH), ROW(MONTH)-MIN(ROW(MONTH))+1),ROW(A217)),COLUMN(A217)))</f>
        <v/>
      </c>
      <c r="BH222" t="str" cm="1">
        <f t="array" ref="BH222">IF(ISERROR(INDEX(RESULT_CATEGORIES,SMALL(IF(COUNTIF($BA$3,MONTH), ROW(MONTH)-MIN(ROW(MONTH))+1),ROW(A217)),COLUMN(A217))),"",INDEX(RESULT_CATEGORIES,SMALL(IF(COUNTIF($BA$3,MONTH), ROW(MONTH)-MIN(ROW(MONTH))+1),ROW(A217)),COLUMN(A217)))</f>
        <v/>
      </c>
      <c r="BI222" t="str" cm="1">
        <f t="array" ref="BI222">IF(ISERROR(INDEX(RESULTLOCATION,SMALL(IF(COUNTIF($BA$3,MONTH), ROW(MONTH)-MIN(ROW(MONTH))+1),ROW(A217)),COLUMN(A217))),"",INDEX(RESULTLOCATION,SMALL(IF(COUNTIF($BA$3,MONTH), ROW(MONTH)-MIN(ROW(MONTH))+1),ROW(A217)),COLUMN(A217)))</f>
        <v/>
      </c>
    </row>
    <row r="223" spans="53:61" x14ac:dyDescent="0.3">
      <c r="BA223" t="str" cm="1">
        <f t="array" ref="BA223">IF(ISERROR(INDEX(RESULT_SUBJECT,SMALL(IF(COUNTIF($BA$3,MONTH), ROW(MONTH)-MIN(ROW(MONTH))+1),ROW(A218)),COLUMN(A218))),"",INDEX(RESULT_SUBJECT,SMALL(IF(COUNTIF($BA$3,MONTH), ROW(MONTH)-MIN(ROW(MONTH))+1),ROW(A218)),COLUMN(A218)))</f>
        <v/>
      </c>
      <c r="BB223" t="str" cm="1">
        <f t="array" ref="BB223">IF(ISERROR(INDEX(WEEK,SMALL(IF(COUNTIF($BA$3,MONTH), ROW(MONTH)-MIN(ROW(MONTH))+1),ROW(A218)),COLUMN(A218))),"",INDEX(WEEK,SMALL(IF(COUNTIF($BA$3,MONTH), ROW(MONTH)-MIN(ROW(MONTH))+1),ROW(A218)),COLUMN(A218)))</f>
        <v/>
      </c>
      <c r="BC223" t="str" cm="1">
        <f t="array" ref="BC223">IF(ISERROR(INDEX(RESULT_DAY,SMALL(IF(COUNTIF($BA$3,MONTH), ROW(MONTH)-MIN(ROW(MONTH))+1),ROW(A218)),COLUMN(A218))),"",INDEX(RESULT_DAY,SMALL(IF(COUNTIF($BA$3,MONTH), ROW(MONTH)-MIN(ROW(MONTH))+1),ROW(A218)),COLUMN(A218)))</f>
        <v/>
      </c>
      <c r="BD223" s="29" t="str">
        <f t="shared" si="53"/>
        <v/>
      </c>
      <c r="BE223" s="2" t="str" cm="1">
        <f t="array" ref="BE223">IF(ISERROR(INDEX(RESULT_DURATION,SMALL(IF(COUNTIF($BA$3,MONTH), ROW(MONTH)-MIN(ROW(MONTH))+1),ROW(A218)),COLUMN(A218))),"",INDEX(RESULT_DURATION,SMALL(IF(COUNTIF($BA$3,MONTH), ROW(MONTH)-MIN(ROW(MONTH))+1),ROW(A218)),COLUMN(A218)))</f>
        <v/>
      </c>
      <c r="BH223" t="str" cm="1">
        <f t="array" ref="BH223">IF(ISERROR(INDEX(RESULT_CATEGORIES,SMALL(IF(COUNTIF($BA$3,MONTH), ROW(MONTH)-MIN(ROW(MONTH))+1),ROW(A218)),COLUMN(A218))),"",INDEX(RESULT_CATEGORIES,SMALL(IF(COUNTIF($BA$3,MONTH), ROW(MONTH)-MIN(ROW(MONTH))+1),ROW(A218)),COLUMN(A218)))</f>
        <v/>
      </c>
      <c r="BI223" t="str" cm="1">
        <f t="array" ref="BI223">IF(ISERROR(INDEX(RESULTLOCATION,SMALL(IF(COUNTIF($BA$3,MONTH), ROW(MONTH)-MIN(ROW(MONTH))+1),ROW(A218)),COLUMN(A218))),"",INDEX(RESULTLOCATION,SMALL(IF(COUNTIF($BA$3,MONTH), ROW(MONTH)-MIN(ROW(MONTH))+1),ROW(A218)),COLUMN(A218)))</f>
        <v/>
      </c>
    </row>
    <row r="224" spans="53:61" x14ac:dyDescent="0.3">
      <c r="BA224" t="str" cm="1">
        <f t="array" ref="BA224">IF(ISERROR(INDEX(RESULT_SUBJECT,SMALL(IF(COUNTIF($BA$3,MONTH), ROW(MONTH)-MIN(ROW(MONTH))+1),ROW(A219)),COLUMN(A219))),"",INDEX(RESULT_SUBJECT,SMALL(IF(COUNTIF($BA$3,MONTH), ROW(MONTH)-MIN(ROW(MONTH))+1),ROW(A219)),COLUMN(A219)))</f>
        <v/>
      </c>
      <c r="BB224" t="str" cm="1">
        <f t="array" ref="BB224">IF(ISERROR(INDEX(WEEK,SMALL(IF(COUNTIF($BA$3,MONTH), ROW(MONTH)-MIN(ROW(MONTH))+1),ROW(A219)),COLUMN(A219))),"",INDEX(WEEK,SMALL(IF(COUNTIF($BA$3,MONTH), ROW(MONTH)-MIN(ROW(MONTH))+1),ROW(A219)),COLUMN(A219)))</f>
        <v/>
      </c>
      <c r="BC224" t="str" cm="1">
        <f t="array" ref="BC224">IF(ISERROR(INDEX(RESULT_DAY,SMALL(IF(COUNTIF($BA$3,MONTH), ROW(MONTH)-MIN(ROW(MONTH))+1),ROW(A219)),COLUMN(A219))),"",INDEX(RESULT_DAY,SMALL(IF(COUNTIF($BA$3,MONTH), ROW(MONTH)-MIN(ROW(MONTH))+1),ROW(A219)),COLUMN(A219)))</f>
        <v/>
      </c>
      <c r="BD224" s="29" t="str">
        <f t="shared" si="53"/>
        <v/>
      </c>
      <c r="BE224" s="2" t="str" cm="1">
        <f t="array" ref="BE224">IF(ISERROR(INDEX(RESULT_DURATION,SMALL(IF(COUNTIF($BA$3,MONTH), ROW(MONTH)-MIN(ROW(MONTH))+1),ROW(A219)),COLUMN(A219))),"",INDEX(RESULT_DURATION,SMALL(IF(COUNTIF($BA$3,MONTH), ROW(MONTH)-MIN(ROW(MONTH))+1),ROW(A219)),COLUMN(A219)))</f>
        <v/>
      </c>
      <c r="BH224" t="str" cm="1">
        <f t="array" ref="BH224">IF(ISERROR(INDEX(RESULT_CATEGORIES,SMALL(IF(COUNTIF($BA$3,MONTH), ROW(MONTH)-MIN(ROW(MONTH))+1),ROW(A219)),COLUMN(A219))),"",INDEX(RESULT_CATEGORIES,SMALL(IF(COUNTIF($BA$3,MONTH), ROW(MONTH)-MIN(ROW(MONTH))+1),ROW(A219)),COLUMN(A219)))</f>
        <v/>
      </c>
      <c r="BI224" t="str" cm="1">
        <f t="array" ref="BI224">IF(ISERROR(INDEX(RESULTLOCATION,SMALL(IF(COUNTIF($BA$3,MONTH), ROW(MONTH)-MIN(ROW(MONTH))+1),ROW(A219)),COLUMN(A219))),"",INDEX(RESULTLOCATION,SMALL(IF(COUNTIF($BA$3,MONTH), ROW(MONTH)-MIN(ROW(MONTH))+1),ROW(A219)),COLUMN(A219)))</f>
        <v/>
      </c>
    </row>
    <row r="225" spans="53:61" x14ac:dyDescent="0.3">
      <c r="BA225" t="str" cm="1">
        <f t="array" ref="BA225">IF(ISERROR(INDEX(RESULT_SUBJECT,SMALL(IF(COUNTIF($BA$3,MONTH), ROW(MONTH)-MIN(ROW(MONTH))+1),ROW(A220)),COLUMN(A220))),"",INDEX(RESULT_SUBJECT,SMALL(IF(COUNTIF($BA$3,MONTH), ROW(MONTH)-MIN(ROW(MONTH))+1),ROW(A220)),COLUMN(A220)))</f>
        <v/>
      </c>
      <c r="BB225" t="str" cm="1">
        <f t="array" ref="BB225">IF(ISERROR(INDEX(WEEK,SMALL(IF(COUNTIF($BA$3,MONTH), ROW(MONTH)-MIN(ROW(MONTH))+1),ROW(A220)),COLUMN(A220))),"",INDEX(WEEK,SMALL(IF(COUNTIF($BA$3,MONTH), ROW(MONTH)-MIN(ROW(MONTH))+1),ROW(A220)),COLUMN(A220)))</f>
        <v/>
      </c>
      <c r="BC225" t="str" cm="1">
        <f t="array" ref="BC225">IF(ISERROR(INDEX(RESULT_DAY,SMALL(IF(COUNTIF($BA$3,MONTH), ROW(MONTH)-MIN(ROW(MONTH))+1),ROW(A220)),COLUMN(A220))),"",INDEX(RESULT_DAY,SMALL(IF(COUNTIF($BA$3,MONTH), ROW(MONTH)-MIN(ROW(MONTH))+1),ROW(A220)),COLUMN(A220)))</f>
        <v/>
      </c>
      <c r="BD225" s="29" t="str">
        <f t="shared" si="53"/>
        <v/>
      </c>
      <c r="BE225" s="2" t="str" cm="1">
        <f t="array" ref="BE225">IF(ISERROR(INDEX(RESULT_DURATION,SMALL(IF(COUNTIF($BA$3,MONTH), ROW(MONTH)-MIN(ROW(MONTH))+1),ROW(A220)),COLUMN(A220))),"",INDEX(RESULT_DURATION,SMALL(IF(COUNTIF($BA$3,MONTH), ROW(MONTH)-MIN(ROW(MONTH))+1),ROW(A220)),COLUMN(A220)))</f>
        <v/>
      </c>
      <c r="BH225" t="str" cm="1">
        <f t="array" ref="BH225">IF(ISERROR(INDEX(RESULT_CATEGORIES,SMALL(IF(COUNTIF($BA$3,MONTH), ROW(MONTH)-MIN(ROW(MONTH))+1),ROW(A220)),COLUMN(A220))),"",INDEX(RESULT_CATEGORIES,SMALL(IF(COUNTIF($BA$3,MONTH), ROW(MONTH)-MIN(ROW(MONTH))+1),ROW(A220)),COLUMN(A220)))</f>
        <v/>
      </c>
      <c r="BI225" t="str" cm="1">
        <f t="array" ref="BI225">IF(ISERROR(INDEX(RESULTLOCATION,SMALL(IF(COUNTIF($BA$3,MONTH), ROW(MONTH)-MIN(ROW(MONTH))+1),ROW(A220)),COLUMN(A220))),"",INDEX(RESULTLOCATION,SMALL(IF(COUNTIF($BA$3,MONTH), ROW(MONTH)-MIN(ROW(MONTH))+1),ROW(A220)),COLUMN(A220)))</f>
        <v/>
      </c>
    </row>
    <row r="226" spans="53:61" x14ac:dyDescent="0.3">
      <c r="BA226" t="str" cm="1">
        <f t="array" ref="BA226">IF(ISERROR(INDEX(RESULT_SUBJECT,SMALL(IF(COUNTIF($BA$3,MONTH), ROW(MONTH)-MIN(ROW(MONTH))+1),ROW(A221)),COLUMN(A221))),"",INDEX(RESULT_SUBJECT,SMALL(IF(COUNTIF($BA$3,MONTH), ROW(MONTH)-MIN(ROW(MONTH))+1),ROW(A221)),COLUMN(A221)))</f>
        <v/>
      </c>
      <c r="BB226" t="str" cm="1">
        <f t="array" ref="BB226">IF(ISERROR(INDEX(WEEK,SMALL(IF(COUNTIF($BA$3,MONTH), ROW(MONTH)-MIN(ROW(MONTH))+1),ROW(A221)),COLUMN(A221))),"",INDEX(WEEK,SMALL(IF(COUNTIF($BA$3,MONTH), ROW(MONTH)-MIN(ROW(MONTH))+1),ROW(A221)),COLUMN(A221)))</f>
        <v/>
      </c>
      <c r="BC226" t="str" cm="1">
        <f t="array" ref="BC226">IF(ISERROR(INDEX(RESULT_DAY,SMALL(IF(COUNTIF($BA$3,MONTH), ROW(MONTH)-MIN(ROW(MONTH))+1),ROW(A221)),COLUMN(A221))),"",INDEX(RESULT_DAY,SMALL(IF(COUNTIF($BA$3,MONTH), ROW(MONTH)-MIN(ROW(MONTH))+1),ROW(A221)),COLUMN(A221)))</f>
        <v/>
      </c>
      <c r="BD226" s="29" t="str">
        <f t="shared" si="53"/>
        <v/>
      </c>
      <c r="BE226" s="2" t="str" cm="1">
        <f t="array" ref="BE226">IF(ISERROR(INDEX(RESULT_DURATION,SMALL(IF(COUNTIF($BA$3,MONTH), ROW(MONTH)-MIN(ROW(MONTH))+1),ROW(A221)),COLUMN(A221))),"",INDEX(RESULT_DURATION,SMALL(IF(COUNTIF($BA$3,MONTH), ROW(MONTH)-MIN(ROW(MONTH))+1),ROW(A221)),COLUMN(A221)))</f>
        <v/>
      </c>
      <c r="BH226" t="str" cm="1">
        <f t="array" ref="BH226">IF(ISERROR(INDEX(RESULT_CATEGORIES,SMALL(IF(COUNTIF($BA$3,MONTH), ROW(MONTH)-MIN(ROW(MONTH))+1),ROW(A221)),COLUMN(A221))),"",INDEX(RESULT_CATEGORIES,SMALL(IF(COUNTIF($BA$3,MONTH), ROW(MONTH)-MIN(ROW(MONTH))+1),ROW(A221)),COLUMN(A221)))</f>
        <v/>
      </c>
      <c r="BI226" t="str" cm="1">
        <f t="array" ref="BI226">IF(ISERROR(INDEX(RESULTLOCATION,SMALL(IF(COUNTIF($BA$3,MONTH), ROW(MONTH)-MIN(ROW(MONTH))+1),ROW(A221)),COLUMN(A221))),"",INDEX(RESULTLOCATION,SMALL(IF(COUNTIF($BA$3,MONTH), ROW(MONTH)-MIN(ROW(MONTH))+1),ROW(A221)),COLUMN(A221)))</f>
        <v/>
      </c>
    </row>
    <row r="227" spans="53:61" x14ac:dyDescent="0.3">
      <c r="BA227" t="str" cm="1">
        <f t="array" ref="BA227">IF(ISERROR(INDEX(RESULT_SUBJECT,SMALL(IF(COUNTIF($BA$3,MONTH), ROW(MONTH)-MIN(ROW(MONTH))+1),ROW(A222)),COLUMN(A222))),"",INDEX(RESULT_SUBJECT,SMALL(IF(COUNTIF($BA$3,MONTH), ROW(MONTH)-MIN(ROW(MONTH))+1),ROW(A222)),COLUMN(A222)))</f>
        <v/>
      </c>
      <c r="BB227" t="str" cm="1">
        <f t="array" ref="BB227">IF(ISERROR(INDEX(WEEK,SMALL(IF(COUNTIF($BA$3,MONTH), ROW(MONTH)-MIN(ROW(MONTH))+1),ROW(A222)),COLUMN(A222))),"",INDEX(WEEK,SMALL(IF(COUNTIF($BA$3,MONTH), ROW(MONTH)-MIN(ROW(MONTH))+1),ROW(A222)),COLUMN(A222)))</f>
        <v/>
      </c>
      <c r="BC227" t="str" cm="1">
        <f t="array" ref="BC227">IF(ISERROR(INDEX(RESULT_DAY,SMALL(IF(COUNTIF($BA$3,MONTH), ROW(MONTH)-MIN(ROW(MONTH))+1),ROW(A222)),COLUMN(A222))),"",INDEX(RESULT_DAY,SMALL(IF(COUNTIF($BA$3,MONTH), ROW(MONTH)-MIN(ROW(MONTH))+1),ROW(A222)),COLUMN(A222)))</f>
        <v/>
      </c>
      <c r="BD227" s="29" t="str">
        <f t="shared" si="53"/>
        <v/>
      </c>
      <c r="BE227" s="2" t="str" cm="1">
        <f t="array" ref="BE227">IF(ISERROR(INDEX(RESULT_DURATION,SMALL(IF(COUNTIF($BA$3,MONTH), ROW(MONTH)-MIN(ROW(MONTH))+1),ROW(A222)),COLUMN(A222))),"",INDEX(RESULT_DURATION,SMALL(IF(COUNTIF($BA$3,MONTH), ROW(MONTH)-MIN(ROW(MONTH))+1),ROW(A222)),COLUMN(A222)))</f>
        <v/>
      </c>
      <c r="BH227" t="str" cm="1">
        <f t="array" ref="BH227">IF(ISERROR(INDEX(RESULT_CATEGORIES,SMALL(IF(COUNTIF($BA$3,MONTH), ROW(MONTH)-MIN(ROW(MONTH))+1),ROW(A222)),COLUMN(A222))),"",INDEX(RESULT_CATEGORIES,SMALL(IF(COUNTIF($BA$3,MONTH), ROW(MONTH)-MIN(ROW(MONTH))+1),ROW(A222)),COLUMN(A222)))</f>
        <v/>
      </c>
      <c r="BI227" t="str" cm="1">
        <f t="array" ref="BI227">IF(ISERROR(INDEX(RESULTLOCATION,SMALL(IF(COUNTIF($BA$3,MONTH), ROW(MONTH)-MIN(ROW(MONTH))+1),ROW(A222)),COLUMN(A222))),"",INDEX(RESULTLOCATION,SMALL(IF(COUNTIF($BA$3,MONTH), ROW(MONTH)-MIN(ROW(MONTH))+1),ROW(A222)),COLUMN(A222)))</f>
        <v/>
      </c>
    </row>
    <row r="228" spans="53:61" x14ac:dyDescent="0.3">
      <c r="BA228" t="str" cm="1">
        <f t="array" ref="BA228">IF(ISERROR(INDEX(RESULT_SUBJECT,SMALL(IF(COUNTIF($BA$3,MONTH), ROW(MONTH)-MIN(ROW(MONTH))+1),ROW(A223)),COLUMN(A223))),"",INDEX(RESULT_SUBJECT,SMALL(IF(COUNTIF($BA$3,MONTH), ROW(MONTH)-MIN(ROW(MONTH))+1),ROW(A223)),COLUMN(A223)))</f>
        <v/>
      </c>
      <c r="BB228" t="str" cm="1">
        <f t="array" ref="BB228">IF(ISERROR(INDEX(WEEK,SMALL(IF(COUNTIF($BA$3,MONTH), ROW(MONTH)-MIN(ROW(MONTH))+1),ROW(A223)),COLUMN(A223))),"",INDEX(WEEK,SMALL(IF(COUNTIF($BA$3,MONTH), ROW(MONTH)-MIN(ROW(MONTH))+1),ROW(A223)),COLUMN(A223)))</f>
        <v/>
      </c>
      <c r="BC228" t="str" cm="1">
        <f t="array" ref="BC228">IF(ISERROR(INDEX(RESULT_DAY,SMALL(IF(COUNTIF($BA$3,MONTH), ROW(MONTH)-MIN(ROW(MONTH))+1),ROW(A223)),COLUMN(A223))),"",INDEX(RESULT_DAY,SMALL(IF(COUNTIF($BA$3,MONTH), ROW(MONTH)-MIN(ROW(MONTH))+1),ROW(A223)),COLUMN(A223)))</f>
        <v/>
      </c>
      <c r="BD228" s="29" t="str">
        <f t="shared" si="53"/>
        <v/>
      </c>
      <c r="BE228" s="2" t="str" cm="1">
        <f t="array" ref="BE228">IF(ISERROR(INDEX(RESULT_DURATION,SMALL(IF(COUNTIF($BA$3,MONTH), ROW(MONTH)-MIN(ROW(MONTH))+1),ROW(A223)),COLUMN(A223))),"",INDEX(RESULT_DURATION,SMALL(IF(COUNTIF($BA$3,MONTH), ROW(MONTH)-MIN(ROW(MONTH))+1),ROW(A223)),COLUMN(A223)))</f>
        <v/>
      </c>
      <c r="BH228" t="str" cm="1">
        <f t="array" ref="BH228">IF(ISERROR(INDEX(RESULT_CATEGORIES,SMALL(IF(COUNTIF($BA$3,MONTH), ROW(MONTH)-MIN(ROW(MONTH))+1),ROW(A223)),COLUMN(A223))),"",INDEX(RESULT_CATEGORIES,SMALL(IF(COUNTIF($BA$3,MONTH), ROW(MONTH)-MIN(ROW(MONTH))+1),ROW(A223)),COLUMN(A223)))</f>
        <v/>
      </c>
      <c r="BI228" t="str" cm="1">
        <f t="array" ref="BI228">IF(ISERROR(INDEX(RESULTLOCATION,SMALL(IF(COUNTIF($BA$3,MONTH), ROW(MONTH)-MIN(ROW(MONTH))+1),ROW(A223)),COLUMN(A223))),"",INDEX(RESULTLOCATION,SMALL(IF(COUNTIF($BA$3,MONTH), ROW(MONTH)-MIN(ROW(MONTH))+1),ROW(A223)),COLUMN(A223)))</f>
        <v/>
      </c>
    </row>
    <row r="229" spans="53:61" x14ac:dyDescent="0.3">
      <c r="BA229" t="str" cm="1">
        <f t="array" ref="BA229">IF(ISERROR(INDEX(RESULT_SUBJECT,SMALL(IF(COUNTIF($BA$3,MONTH), ROW(MONTH)-MIN(ROW(MONTH))+1),ROW(A224)),COLUMN(A224))),"",INDEX(RESULT_SUBJECT,SMALL(IF(COUNTIF($BA$3,MONTH), ROW(MONTH)-MIN(ROW(MONTH))+1),ROW(A224)),COLUMN(A224)))</f>
        <v/>
      </c>
      <c r="BB229" t="str" cm="1">
        <f t="array" ref="BB229">IF(ISERROR(INDEX(WEEK,SMALL(IF(COUNTIF($BA$3,MONTH), ROW(MONTH)-MIN(ROW(MONTH))+1),ROW(A224)),COLUMN(A224))),"",INDEX(WEEK,SMALL(IF(COUNTIF($BA$3,MONTH), ROW(MONTH)-MIN(ROW(MONTH))+1),ROW(A224)),COLUMN(A224)))</f>
        <v/>
      </c>
      <c r="BC229" t="str" cm="1">
        <f t="array" ref="BC229">IF(ISERROR(INDEX(RESULT_DAY,SMALL(IF(COUNTIF($BA$3,MONTH), ROW(MONTH)-MIN(ROW(MONTH))+1),ROW(A224)),COLUMN(A224))),"",INDEX(RESULT_DAY,SMALL(IF(COUNTIF($BA$3,MONTH), ROW(MONTH)-MIN(ROW(MONTH))+1),ROW(A224)),COLUMN(A224)))</f>
        <v/>
      </c>
      <c r="BD229" s="29" t="str">
        <f t="shared" si="53"/>
        <v/>
      </c>
      <c r="BE229" s="2" t="str" cm="1">
        <f t="array" ref="BE229">IF(ISERROR(INDEX(RESULT_DURATION,SMALL(IF(COUNTIF($BA$3,MONTH), ROW(MONTH)-MIN(ROW(MONTH))+1),ROW(A224)),COLUMN(A224))),"",INDEX(RESULT_DURATION,SMALL(IF(COUNTIF($BA$3,MONTH), ROW(MONTH)-MIN(ROW(MONTH))+1),ROW(A224)),COLUMN(A224)))</f>
        <v/>
      </c>
      <c r="BH229" t="str" cm="1">
        <f t="array" ref="BH229">IF(ISERROR(INDEX(RESULT_CATEGORIES,SMALL(IF(COUNTIF($BA$3,MONTH), ROW(MONTH)-MIN(ROW(MONTH))+1),ROW(A224)),COLUMN(A224))),"",INDEX(RESULT_CATEGORIES,SMALL(IF(COUNTIF($BA$3,MONTH), ROW(MONTH)-MIN(ROW(MONTH))+1),ROW(A224)),COLUMN(A224)))</f>
        <v/>
      </c>
      <c r="BI229" t="str" cm="1">
        <f t="array" ref="BI229">IF(ISERROR(INDEX(RESULTLOCATION,SMALL(IF(COUNTIF($BA$3,MONTH), ROW(MONTH)-MIN(ROW(MONTH))+1),ROW(A224)),COLUMN(A224))),"",INDEX(RESULTLOCATION,SMALL(IF(COUNTIF($BA$3,MONTH), ROW(MONTH)-MIN(ROW(MONTH))+1),ROW(A224)),COLUMN(A224)))</f>
        <v/>
      </c>
    </row>
    <row r="230" spans="53:61" x14ac:dyDescent="0.3">
      <c r="BA230" t="str" cm="1">
        <f t="array" ref="BA230">IF(ISERROR(INDEX(RESULT_SUBJECT,SMALL(IF(COUNTIF($BA$3,MONTH), ROW(MONTH)-MIN(ROW(MONTH))+1),ROW(A225)),COLUMN(A225))),"",INDEX(RESULT_SUBJECT,SMALL(IF(COUNTIF($BA$3,MONTH), ROW(MONTH)-MIN(ROW(MONTH))+1),ROW(A225)),COLUMN(A225)))</f>
        <v/>
      </c>
      <c r="BB230" t="str" cm="1">
        <f t="array" ref="BB230">IF(ISERROR(INDEX(WEEK,SMALL(IF(COUNTIF($BA$3,MONTH), ROW(MONTH)-MIN(ROW(MONTH))+1),ROW(A225)),COLUMN(A225))),"",INDEX(WEEK,SMALL(IF(COUNTIF($BA$3,MONTH), ROW(MONTH)-MIN(ROW(MONTH))+1),ROW(A225)),COLUMN(A225)))</f>
        <v/>
      </c>
      <c r="BC230" t="str" cm="1">
        <f t="array" ref="BC230">IF(ISERROR(INDEX(RESULT_DAY,SMALL(IF(COUNTIF($BA$3,MONTH), ROW(MONTH)-MIN(ROW(MONTH))+1),ROW(A225)),COLUMN(A225))),"",INDEX(RESULT_DAY,SMALL(IF(COUNTIF($BA$3,MONTH), ROW(MONTH)-MIN(ROW(MONTH))+1),ROW(A225)),COLUMN(A225)))</f>
        <v/>
      </c>
      <c r="BD230" s="29" t="str">
        <f t="shared" si="53"/>
        <v/>
      </c>
      <c r="BE230" s="2" t="str" cm="1">
        <f t="array" ref="BE230">IF(ISERROR(INDEX(RESULT_DURATION,SMALL(IF(COUNTIF($BA$3,MONTH), ROW(MONTH)-MIN(ROW(MONTH))+1),ROW(A225)),COLUMN(A225))),"",INDEX(RESULT_DURATION,SMALL(IF(COUNTIF($BA$3,MONTH), ROW(MONTH)-MIN(ROW(MONTH))+1),ROW(A225)),COLUMN(A225)))</f>
        <v/>
      </c>
      <c r="BH230" t="str" cm="1">
        <f t="array" ref="BH230">IF(ISERROR(INDEX(RESULT_CATEGORIES,SMALL(IF(COUNTIF($BA$3,MONTH), ROW(MONTH)-MIN(ROW(MONTH))+1),ROW(A225)),COLUMN(A225))),"",INDEX(RESULT_CATEGORIES,SMALL(IF(COUNTIF($BA$3,MONTH), ROW(MONTH)-MIN(ROW(MONTH))+1),ROW(A225)),COLUMN(A225)))</f>
        <v/>
      </c>
      <c r="BI230" t="str" cm="1">
        <f t="array" ref="BI230">IF(ISERROR(INDEX(RESULTLOCATION,SMALL(IF(COUNTIF($BA$3,MONTH), ROW(MONTH)-MIN(ROW(MONTH))+1),ROW(A225)),COLUMN(A225))),"",INDEX(RESULTLOCATION,SMALL(IF(COUNTIF($BA$3,MONTH), ROW(MONTH)-MIN(ROW(MONTH))+1),ROW(A225)),COLUMN(A225)))</f>
        <v/>
      </c>
    </row>
    <row r="231" spans="53:61" x14ac:dyDescent="0.3">
      <c r="BA231" t="str" cm="1">
        <f t="array" ref="BA231">IF(ISERROR(INDEX(RESULT_SUBJECT,SMALL(IF(COUNTIF($BA$3,MONTH), ROW(MONTH)-MIN(ROW(MONTH))+1),ROW(A226)),COLUMN(A226))),"",INDEX(RESULT_SUBJECT,SMALL(IF(COUNTIF($BA$3,MONTH), ROW(MONTH)-MIN(ROW(MONTH))+1),ROW(A226)),COLUMN(A226)))</f>
        <v/>
      </c>
      <c r="BB231" t="str" cm="1">
        <f t="array" ref="BB231">IF(ISERROR(INDEX(WEEK,SMALL(IF(COUNTIF($BA$3,MONTH), ROW(MONTH)-MIN(ROW(MONTH))+1),ROW(A226)),COLUMN(A226))),"",INDEX(WEEK,SMALL(IF(COUNTIF($BA$3,MONTH), ROW(MONTH)-MIN(ROW(MONTH))+1),ROW(A226)),COLUMN(A226)))</f>
        <v/>
      </c>
      <c r="BC231" t="str" cm="1">
        <f t="array" ref="BC231">IF(ISERROR(INDEX(RESULT_DAY,SMALL(IF(COUNTIF($BA$3,MONTH), ROW(MONTH)-MIN(ROW(MONTH))+1),ROW(A226)),COLUMN(A226))),"",INDEX(RESULT_DAY,SMALL(IF(COUNTIF($BA$3,MONTH), ROW(MONTH)-MIN(ROW(MONTH))+1),ROW(A226)),COLUMN(A226)))</f>
        <v/>
      </c>
      <c r="BD231" s="29" t="str">
        <f t="shared" si="53"/>
        <v/>
      </c>
      <c r="BE231" s="2" t="str" cm="1">
        <f t="array" ref="BE231">IF(ISERROR(INDEX(RESULT_DURATION,SMALL(IF(COUNTIF($BA$3,MONTH), ROW(MONTH)-MIN(ROW(MONTH))+1),ROW(A226)),COLUMN(A226))),"",INDEX(RESULT_DURATION,SMALL(IF(COUNTIF($BA$3,MONTH), ROW(MONTH)-MIN(ROW(MONTH))+1),ROW(A226)),COLUMN(A226)))</f>
        <v/>
      </c>
      <c r="BH231" t="str" cm="1">
        <f t="array" ref="BH231">IF(ISERROR(INDEX(RESULT_CATEGORIES,SMALL(IF(COUNTIF($BA$3,MONTH), ROW(MONTH)-MIN(ROW(MONTH))+1),ROW(A226)),COLUMN(A226))),"",INDEX(RESULT_CATEGORIES,SMALL(IF(COUNTIF($BA$3,MONTH), ROW(MONTH)-MIN(ROW(MONTH))+1),ROW(A226)),COLUMN(A226)))</f>
        <v/>
      </c>
      <c r="BI231" t="str" cm="1">
        <f t="array" ref="BI231">IF(ISERROR(INDEX(RESULTLOCATION,SMALL(IF(COUNTIF($BA$3,MONTH), ROW(MONTH)-MIN(ROW(MONTH))+1),ROW(A226)),COLUMN(A226))),"",INDEX(RESULTLOCATION,SMALL(IF(COUNTIF($BA$3,MONTH), ROW(MONTH)-MIN(ROW(MONTH))+1),ROW(A226)),COLUMN(A226)))</f>
        <v/>
      </c>
    </row>
    <row r="232" spans="53:61" x14ac:dyDescent="0.3">
      <c r="BA232" t="str" cm="1">
        <f t="array" ref="BA232">IF(ISERROR(INDEX(RESULT_SUBJECT,SMALL(IF(COUNTIF($BA$3,MONTH), ROW(MONTH)-MIN(ROW(MONTH))+1),ROW(A227)),COLUMN(A227))),"",INDEX(RESULT_SUBJECT,SMALL(IF(COUNTIF($BA$3,MONTH), ROW(MONTH)-MIN(ROW(MONTH))+1),ROW(A227)),COLUMN(A227)))</f>
        <v/>
      </c>
      <c r="BB232" t="str" cm="1">
        <f t="array" ref="BB232">IF(ISERROR(INDEX(WEEK,SMALL(IF(COUNTIF($BA$3,MONTH), ROW(MONTH)-MIN(ROW(MONTH))+1),ROW(A227)),COLUMN(A227))),"",INDEX(WEEK,SMALL(IF(COUNTIF($BA$3,MONTH), ROW(MONTH)-MIN(ROW(MONTH))+1),ROW(A227)),COLUMN(A227)))</f>
        <v/>
      </c>
      <c r="BC232" t="str" cm="1">
        <f t="array" ref="BC232">IF(ISERROR(INDEX(RESULT_DAY,SMALL(IF(COUNTIF($BA$3,MONTH), ROW(MONTH)-MIN(ROW(MONTH))+1),ROW(A227)),COLUMN(A227))),"",INDEX(RESULT_DAY,SMALL(IF(COUNTIF($BA$3,MONTH), ROW(MONTH)-MIN(ROW(MONTH))+1),ROW(A227)),COLUMN(A227)))</f>
        <v/>
      </c>
      <c r="BD232" s="29" t="str">
        <f t="shared" si="53"/>
        <v/>
      </c>
      <c r="BE232" s="2" t="str" cm="1">
        <f t="array" ref="BE232">IF(ISERROR(INDEX(RESULT_DURATION,SMALL(IF(COUNTIF($BA$3,MONTH), ROW(MONTH)-MIN(ROW(MONTH))+1),ROW(A227)),COLUMN(A227))),"",INDEX(RESULT_DURATION,SMALL(IF(COUNTIF($BA$3,MONTH), ROW(MONTH)-MIN(ROW(MONTH))+1),ROW(A227)),COLUMN(A227)))</f>
        <v/>
      </c>
      <c r="BH232" t="str" cm="1">
        <f t="array" ref="BH232">IF(ISERROR(INDEX(RESULT_CATEGORIES,SMALL(IF(COUNTIF($BA$3,MONTH), ROW(MONTH)-MIN(ROW(MONTH))+1),ROW(A227)),COLUMN(A227))),"",INDEX(RESULT_CATEGORIES,SMALL(IF(COUNTIF($BA$3,MONTH), ROW(MONTH)-MIN(ROW(MONTH))+1),ROW(A227)),COLUMN(A227)))</f>
        <v/>
      </c>
      <c r="BI232" t="str" cm="1">
        <f t="array" ref="BI232">IF(ISERROR(INDEX(RESULTLOCATION,SMALL(IF(COUNTIF($BA$3,MONTH), ROW(MONTH)-MIN(ROW(MONTH))+1),ROW(A227)),COLUMN(A227))),"",INDEX(RESULTLOCATION,SMALL(IF(COUNTIF($BA$3,MONTH), ROW(MONTH)-MIN(ROW(MONTH))+1),ROW(A227)),COLUMN(A227)))</f>
        <v/>
      </c>
    </row>
    <row r="233" spans="53:61" x14ac:dyDescent="0.3">
      <c r="BA233" t="str" cm="1">
        <f t="array" ref="BA233">IF(ISERROR(INDEX(RESULT_SUBJECT,SMALL(IF(COUNTIF($BA$3,MONTH), ROW(MONTH)-MIN(ROW(MONTH))+1),ROW(A228)),COLUMN(A228))),"",INDEX(RESULT_SUBJECT,SMALL(IF(COUNTIF($BA$3,MONTH), ROW(MONTH)-MIN(ROW(MONTH))+1),ROW(A228)),COLUMN(A228)))</f>
        <v/>
      </c>
      <c r="BB233" t="str" cm="1">
        <f t="array" ref="BB233">IF(ISERROR(INDEX(WEEK,SMALL(IF(COUNTIF($BA$3,MONTH), ROW(MONTH)-MIN(ROW(MONTH))+1),ROW(A228)),COLUMN(A228))),"",INDEX(WEEK,SMALL(IF(COUNTIF($BA$3,MONTH), ROW(MONTH)-MIN(ROW(MONTH))+1),ROW(A228)),COLUMN(A228)))</f>
        <v/>
      </c>
      <c r="BC233" t="str" cm="1">
        <f t="array" ref="BC233">IF(ISERROR(INDEX(RESULT_DAY,SMALL(IF(COUNTIF($BA$3,MONTH), ROW(MONTH)-MIN(ROW(MONTH))+1),ROW(A228)),COLUMN(A228))),"",INDEX(RESULT_DAY,SMALL(IF(COUNTIF($BA$3,MONTH), ROW(MONTH)-MIN(ROW(MONTH))+1),ROW(A228)),COLUMN(A228)))</f>
        <v/>
      </c>
      <c r="BD233" s="29" t="str">
        <f t="shared" si="53"/>
        <v/>
      </c>
      <c r="BE233" s="2" t="str" cm="1">
        <f t="array" ref="BE233">IF(ISERROR(INDEX(RESULT_DURATION,SMALL(IF(COUNTIF($BA$3,MONTH), ROW(MONTH)-MIN(ROW(MONTH))+1),ROW(A228)),COLUMN(A228))),"",INDEX(RESULT_DURATION,SMALL(IF(COUNTIF($BA$3,MONTH), ROW(MONTH)-MIN(ROW(MONTH))+1),ROW(A228)),COLUMN(A228)))</f>
        <v/>
      </c>
      <c r="BH233" t="str" cm="1">
        <f t="array" ref="BH233">IF(ISERROR(INDEX(RESULT_CATEGORIES,SMALL(IF(COUNTIF($BA$3,MONTH), ROW(MONTH)-MIN(ROW(MONTH))+1),ROW(A228)),COLUMN(A228))),"",INDEX(RESULT_CATEGORIES,SMALL(IF(COUNTIF($BA$3,MONTH), ROW(MONTH)-MIN(ROW(MONTH))+1),ROW(A228)),COLUMN(A228)))</f>
        <v/>
      </c>
      <c r="BI233" t="str" cm="1">
        <f t="array" ref="BI233">IF(ISERROR(INDEX(RESULTLOCATION,SMALL(IF(COUNTIF($BA$3,MONTH), ROW(MONTH)-MIN(ROW(MONTH))+1),ROW(A228)),COLUMN(A228))),"",INDEX(RESULTLOCATION,SMALL(IF(COUNTIF($BA$3,MONTH), ROW(MONTH)-MIN(ROW(MONTH))+1),ROW(A228)),COLUMN(A228)))</f>
        <v/>
      </c>
    </row>
    <row r="234" spans="53:61" x14ac:dyDescent="0.3">
      <c r="BA234" t="str" cm="1">
        <f t="array" ref="BA234">IF(ISERROR(INDEX(RESULT_SUBJECT,SMALL(IF(COUNTIF($BA$3,MONTH), ROW(MONTH)-MIN(ROW(MONTH))+1),ROW(A229)),COLUMN(A229))),"",INDEX(RESULT_SUBJECT,SMALL(IF(COUNTIF($BA$3,MONTH), ROW(MONTH)-MIN(ROW(MONTH))+1),ROW(A229)),COLUMN(A229)))</f>
        <v/>
      </c>
      <c r="BB234" t="str" cm="1">
        <f t="array" ref="BB234">IF(ISERROR(INDEX(WEEK,SMALL(IF(COUNTIF($BA$3,MONTH), ROW(MONTH)-MIN(ROW(MONTH))+1),ROW(A229)),COLUMN(A229))),"",INDEX(WEEK,SMALL(IF(COUNTIF($BA$3,MONTH), ROW(MONTH)-MIN(ROW(MONTH))+1),ROW(A229)),COLUMN(A229)))</f>
        <v/>
      </c>
      <c r="BC234" t="str" cm="1">
        <f t="array" ref="BC234">IF(ISERROR(INDEX(RESULT_DAY,SMALL(IF(COUNTIF($BA$3,MONTH), ROW(MONTH)-MIN(ROW(MONTH))+1),ROW(A229)),COLUMN(A229))),"",INDEX(RESULT_DAY,SMALL(IF(COUNTIF($BA$3,MONTH), ROW(MONTH)-MIN(ROW(MONTH))+1),ROW(A229)),COLUMN(A229)))</f>
        <v/>
      </c>
      <c r="BD234" s="29" t="str">
        <f t="shared" si="53"/>
        <v/>
      </c>
      <c r="BE234" s="2" t="str" cm="1">
        <f t="array" ref="BE234">IF(ISERROR(INDEX(RESULT_DURATION,SMALL(IF(COUNTIF($BA$3,MONTH), ROW(MONTH)-MIN(ROW(MONTH))+1),ROW(A229)),COLUMN(A229))),"",INDEX(RESULT_DURATION,SMALL(IF(COUNTIF($BA$3,MONTH), ROW(MONTH)-MIN(ROW(MONTH))+1),ROW(A229)),COLUMN(A229)))</f>
        <v/>
      </c>
      <c r="BH234" t="str" cm="1">
        <f t="array" ref="BH234">IF(ISERROR(INDEX(RESULT_CATEGORIES,SMALL(IF(COUNTIF($BA$3,MONTH), ROW(MONTH)-MIN(ROW(MONTH))+1),ROW(A229)),COLUMN(A229))),"",INDEX(RESULT_CATEGORIES,SMALL(IF(COUNTIF($BA$3,MONTH), ROW(MONTH)-MIN(ROW(MONTH))+1),ROW(A229)),COLUMN(A229)))</f>
        <v/>
      </c>
      <c r="BI234" t="str" cm="1">
        <f t="array" ref="BI234">IF(ISERROR(INDEX(RESULTLOCATION,SMALL(IF(COUNTIF($BA$3,MONTH), ROW(MONTH)-MIN(ROW(MONTH))+1),ROW(A229)),COLUMN(A229))),"",INDEX(RESULTLOCATION,SMALL(IF(COUNTIF($BA$3,MONTH), ROW(MONTH)-MIN(ROW(MONTH))+1),ROW(A229)),COLUMN(A229)))</f>
        <v/>
      </c>
    </row>
    <row r="235" spans="53:61" x14ac:dyDescent="0.3">
      <c r="BA235" t="str" cm="1">
        <f t="array" ref="BA235">IF(ISERROR(INDEX(RESULT_SUBJECT,SMALL(IF(COUNTIF($BA$3,MONTH), ROW(MONTH)-MIN(ROW(MONTH))+1),ROW(A230)),COLUMN(A230))),"",INDEX(RESULT_SUBJECT,SMALL(IF(COUNTIF($BA$3,MONTH), ROW(MONTH)-MIN(ROW(MONTH))+1),ROW(A230)),COLUMN(A230)))</f>
        <v/>
      </c>
      <c r="BB235" t="str" cm="1">
        <f t="array" ref="BB235">IF(ISERROR(INDEX(WEEK,SMALL(IF(COUNTIF($BA$3,MONTH), ROW(MONTH)-MIN(ROW(MONTH))+1),ROW(A230)),COLUMN(A230))),"",INDEX(WEEK,SMALL(IF(COUNTIF($BA$3,MONTH), ROW(MONTH)-MIN(ROW(MONTH))+1),ROW(A230)),COLUMN(A230)))</f>
        <v/>
      </c>
      <c r="BC235" t="str" cm="1">
        <f t="array" ref="BC235">IF(ISERROR(INDEX(RESULT_DAY,SMALL(IF(COUNTIF($BA$3,MONTH), ROW(MONTH)-MIN(ROW(MONTH))+1),ROW(A230)),COLUMN(A230))),"",INDEX(RESULT_DAY,SMALL(IF(COUNTIF($BA$3,MONTH), ROW(MONTH)-MIN(ROW(MONTH))+1),ROW(A230)),COLUMN(A230)))</f>
        <v/>
      </c>
      <c r="BD235" s="29" t="str">
        <f t="shared" si="53"/>
        <v/>
      </c>
      <c r="BE235" s="2" t="str" cm="1">
        <f t="array" ref="BE235">IF(ISERROR(INDEX(RESULT_DURATION,SMALL(IF(COUNTIF($BA$3,MONTH), ROW(MONTH)-MIN(ROW(MONTH))+1),ROW(A230)),COLUMN(A230))),"",INDEX(RESULT_DURATION,SMALL(IF(COUNTIF($BA$3,MONTH), ROW(MONTH)-MIN(ROW(MONTH))+1),ROW(A230)),COLUMN(A230)))</f>
        <v/>
      </c>
      <c r="BH235" t="str" cm="1">
        <f t="array" ref="BH235">IF(ISERROR(INDEX(RESULT_CATEGORIES,SMALL(IF(COUNTIF($BA$3,MONTH), ROW(MONTH)-MIN(ROW(MONTH))+1),ROW(A230)),COLUMN(A230))),"",INDEX(RESULT_CATEGORIES,SMALL(IF(COUNTIF($BA$3,MONTH), ROW(MONTH)-MIN(ROW(MONTH))+1),ROW(A230)),COLUMN(A230)))</f>
        <v/>
      </c>
      <c r="BI235" t="str" cm="1">
        <f t="array" ref="BI235">IF(ISERROR(INDEX(RESULTLOCATION,SMALL(IF(COUNTIF($BA$3,MONTH), ROW(MONTH)-MIN(ROW(MONTH))+1),ROW(A230)),COLUMN(A230))),"",INDEX(RESULTLOCATION,SMALL(IF(COUNTIF($BA$3,MONTH), ROW(MONTH)-MIN(ROW(MONTH))+1),ROW(A230)),COLUMN(A230)))</f>
        <v/>
      </c>
    </row>
    <row r="236" spans="53:61" x14ac:dyDescent="0.3">
      <c r="BA236" t="str" cm="1">
        <f t="array" ref="BA236">IF(ISERROR(INDEX(RESULT_SUBJECT,SMALL(IF(COUNTIF($BA$3,MONTH), ROW(MONTH)-MIN(ROW(MONTH))+1),ROW(A231)),COLUMN(A231))),"",INDEX(RESULT_SUBJECT,SMALL(IF(COUNTIF($BA$3,MONTH), ROW(MONTH)-MIN(ROW(MONTH))+1),ROW(A231)),COLUMN(A231)))</f>
        <v/>
      </c>
      <c r="BB236" t="str" cm="1">
        <f t="array" ref="BB236">IF(ISERROR(INDEX(WEEK,SMALL(IF(COUNTIF($BA$3,MONTH), ROW(MONTH)-MIN(ROW(MONTH))+1),ROW(A231)),COLUMN(A231))),"",INDEX(WEEK,SMALL(IF(COUNTIF($BA$3,MONTH), ROW(MONTH)-MIN(ROW(MONTH))+1),ROW(A231)),COLUMN(A231)))</f>
        <v/>
      </c>
      <c r="BC236" t="str" cm="1">
        <f t="array" ref="BC236">IF(ISERROR(INDEX(RESULT_DAY,SMALL(IF(COUNTIF($BA$3,MONTH), ROW(MONTH)-MIN(ROW(MONTH))+1),ROW(A231)),COLUMN(A231))),"",INDEX(RESULT_DAY,SMALL(IF(COUNTIF($BA$3,MONTH), ROW(MONTH)-MIN(ROW(MONTH))+1),ROW(A231)),COLUMN(A231)))</f>
        <v/>
      </c>
      <c r="BD236" s="29" t="str">
        <f t="shared" si="53"/>
        <v/>
      </c>
      <c r="BE236" s="2" t="str" cm="1">
        <f t="array" ref="BE236">IF(ISERROR(INDEX(RESULT_DURATION,SMALL(IF(COUNTIF($BA$3,MONTH), ROW(MONTH)-MIN(ROW(MONTH))+1),ROW(A231)),COLUMN(A231))),"",INDEX(RESULT_DURATION,SMALL(IF(COUNTIF($BA$3,MONTH), ROW(MONTH)-MIN(ROW(MONTH))+1),ROW(A231)),COLUMN(A231)))</f>
        <v/>
      </c>
      <c r="BH236" t="str" cm="1">
        <f t="array" ref="BH236">IF(ISERROR(INDEX(RESULT_CATEGORIES,SMALL(IF(COUNTIF($BA$3,MONTH), ROW(MONTH)-MIN(ROW(MONTH))+1),ROW(A231)),COLUMN(A231))),"",INDEX(RESULT_CATEGORIES,SMALL(IF(COUNTIF($BA$3,MONTH), ROW(MONTH)-MIN(ROW(MONTH))+1),ROW(A231)),COLUMN(A231)))</f>
        <v/>
      </c>
      <c r="BI236" t="str" cm="1">
        <f t="array" ref="BI236">IF(ISERROR(INDEX(RESULTLOCATION,SMALL(IF(COUNTIF($BA$3,MONTH), ROW(MONTH)-MIN(ROW(MONTH))+1),ROW(A231)),COLUMN(A231))),"",INDEX(RESULTLOCATION,SMALL(IF(COUNTIF($BA$3,MONTH), ROW(MONTH)-MIN(ROW(MONTH))+1),ROW(A231)),COLUMN(A231)))</f>
        <v/>
      </c>
    </row>
    <row r="237" spans="53:61" x14ac:dyDescent="0.3">
      <c r="BA237" t="str" cm="1">
        <f t="array" ref="BA237">IF(ISERROR(INDEX(RESULT_SUBJECT,SMALL(IF(COUNTIF($BA$3,MONTH), ROW(MONTH)-MIN(ROW(MONTH))+1),ROW(A232)),COLUMN(A232))),"",INDEX(RESULT_SUBJECT,SMALL(IF(COUNTIF($BA$3,MONTH), ROW(MONTH)-MIN(ROW(MONTH))+1),ROW(A232)),COLUMN(A232)))</f>
        <v/>
      </c>
      <c r="BB237" t="str" cm="1">
        <f t="array" ref="BB237">IF(ISERROR(INDEX(WEEK,SMALL(IF(COUNTIF($BA$3,MONTH), ROW(MONTH)-MIN(ROW(MONTH))+1),ROW(A232)),COLUMN(A232))),"",INDEX(WEEK,SMALL(IF(COUNTIF($BA$3,MONTH), ROW(MONTH)-MIN(ROW(MONTH))+1),ROW(A232)),COLUMN(A232)))</f>
        <v/>
      </c>
      <c r="BC237" t="str" cm="1">
        <f t="array" ref="BC237">IF(ISERROR(INDEX(RESULT_DAY,SMALL(IF(COUNTIF($BA$3,MONTH), ROW(MONTH)-MIN(ROW(MONTH))+1),ROW(A232)),COLUMN(A232))),"",INDEX(RESULT_DAY,SMALL(IF(COUNTIF($BA$3,MONTH), ROW(MONTH)-MIN(ROW(MONTH))+1),ROW(A232)),COLUMN(A232)))</f>
        <v/>
      </c>
      <c r="BD237" s="29" t="str">
        <f t="shared" si="53"/>
        <v/>
      </c>
      <c r="BE237" s="2" t="str" cm="1">
        <f t="array" ref="BE237">IF(ISERROR(INDEX(RESULT_DURATION,SMALL(IF(COUNTIF($BA$3,MONTH), ROW(MONTH)-MIN(ROW(MONTH))+1),ROW(A232)),COLUMN(A232))),"",INDEX(RESULT_DURATION,SMALL(IF(COUNTIF($BA$3,MONTH), ROW(MONTH)-MIN(ROW(MONTH))+1),ROW(A232)),COLUMN(A232)))</f>
        <v/>
      </c>
      <c r="BH237" t="str" cm="1">
        <f t="array" ref="BH237">IF(ISERROR(INDEX(RESULT_CATEGORIES,SMALL(IF(COUNTIF($BA$3,MONTH), ROW(MONTH)-MIN(ROW(MONTH))+1),ROW(A232)),COLUMN(A232))),"",INDEX(RESULT_CATEGORIES,SMALL(IF(COUNTIF($BA$3,MONTH), ROW(MONTH)-MIN(ROW(MONTH))+1),ROW(A232)),COLUMN(A232)))</f>
        <v/>
      </c>
      <c r="BI237" t="str" cm="1">
        <f t="array" ref="BI237">IF(ISERROR(INDEX(RESULTLOCATION,SMALL(IF(COUNTIF($BA$3,MONTH), ROW(MONTH)-MIN(ROW(MONTH))+1),ROW(A232)),COLUMN(A232))),"",INDEX(RESULTLOCATION,SMALL(IF(COUNTIF($BA$3,MONTH), ROW(MONTH)-MIN(ROW(MONTH))+1),ROW(A232)),COLUMN(A232)))</f>
        <v/>
      </c>
    </row>
    <row r="238" spans="53:61" x14ac:dyDescent="0.3">
      <c r="BA238" t="str" cm="1">
        <f t="array" ref="BA238">IF(ISERROR(INDEX(RESULT_SUBJECT,SMALL(IF(COUNTIF($BA$3,MONTH), ROW(MONTH)-MIN(ROW(MONTH))+1),ROW(A233)),COLUMN(A233))),"",INDEX(RESULT_SUBJECT,SMALL(IF(COUNTIF($BA$3,MONTH), ROW(MONTH)-MIN(ROW(MONTH))+1),ROW(A233)),COLUMN(A233)))</f>
        <v/>
      </c>
      <c r="BB238" t="str" cm="1">
        <f t="array" ref="BB238">IF(ISERROR(INDEX(WEEK,SMALL(IF(COUNTIF($BA$3,MONTH), ROW(MONTH)-MIN(ROW(MONTH))+1),ROW(A233)),COLUMN(A233))),"",INDEX(WEEK,SMALL(IF(COUNTIF($BA$3,MONTH), ROW(MONTH)-MIN(ROW(MONTH))+1),ROW(A233)),COLUMN(A233)))</f>
        <v/>
      </c>
      <c r="BC238" t="str" cm="1">
        <f t="array" ref="BC238">IF(ISERROR(INDEX(RESULT_DAY,SMALL(IF(COUNTIF($BA$3,MONTH), ROW(MONTH)-MIN(ROW(MONTH))+1),ROW(A233)),COLUMN(A233))),"",INDEX(RESULT_DAY,SMALL(IF(COUNTIF($BA$3,MONTH), ROW(MONTH)-MIN(ROW(MONTH))+1),ROW(A233)),COLUMN(A233)))</f>
        <v/>
      </c>
      <c r="BD238" s="29" t="str">
        <f t="shared" si="53"/>
        <v/>
      </c>
      <c r="BE238" s="2" t="str" cm="1">
        <f t="array" ref="BE238">IF(ISERROR(INDEX(RESULT_DURATION,SMALL(IF(COUNTIF($BA$3,MONTH), ROW(MONTH)-MIN(ROW(MONTH))+1),ROW(A233)),COLUMN(A233))),"",INDEX(RESULT_DURATION,SMALL(IF(COUNTIF($BA$3,MONTH), ROW(MONTH)-MIN(ROW(MONTH))+1),ROW(A233)),COLUMN(A233)))</f>
        <v/>
      </c>
      <c r="BH238" t="str" cm="1">
        <f t="array" ref="BH238">IF(ISERROR(INDEX(RESULT_CATEGORIES,SMALL(IF(COUNTIF($BA$3,MONTH), ROW(MONTH)-MIN(ROW(MONTH))+1),ROW(A233)),COLUMN(A233))),"",INDEX(RESULT_CATEGORIES,SMALL(IF(COUNTIF($BA$3,MONTH), ROW(MONTH)-MIN(ROW(MONTH))+1),ROW(A233)),COLUMN(A233)))</f>
        <v/>
      </c>
      <c r="BI238" t="str" cm="1">
        <f t="array" ref="BI238">IF(ISERROR(INDEX(RESULTLOCATION,SMALL(IF(COUNTIF($BA$3,MONTH), ROW(MONTH)-MIN(ROW(MONTH))+1),ROW(A233)),COLUMN(A233))),"",INDEX(RESULTLOCATION,SMALL(IF(COUNTIF($BA$3,MONTH), ROW(MONTH)-MIN(ROW(MONTH))+1),ROW(A233)),COLUMN(A233)))</f>
        <v/>
      </c>
    </row>
    <row r="239" spans="53:61" x14ac:dyDescent="0.3">
      <c r="BA239" t="str" cm="1">
        <f t="array" ref="BA239">IF(ISERROR(INDEX(RESULT_SUBJECT,SMALL(IF(COUNTIF($BA$3,MONTH), ROW(MONTH)-MIN(ROW(MONTH))+1),ROW(A234)),COLUMN(A234))),"",INDEX(RESULT_SUBJECT,SMALL(IF(COUNTIF($BA$3,MONTH), ROW(MONTH)-MIN(ROW(MONTH))+1),ROW(A234)),COLUMN(A234)))</f>
        <v/>
      </c>
      <c r="BB239" t="str" cm="1">
        <f t="array" ref="BB239">IF(ISERROR(INDEX(WEEK,SMALL(IF(COUNTIF($BA$3,MONTH), ROW(MONTH)-MIN(ROW(MONTH))+1),ROW(A234)),COLUMN(A234))),"",INDEX(WEEK,SMALL(IF(COUNTIF($BA$3,MONTH), ROW(MONTH)-MIN(ROW(MONTH))+1),ROW(A234)),COLUMN(A234)))</f>
        <v/>
      </c>
      <c r="BC239" t="str" cm="1">
        <f t="array" ref="BC239">IF(ISERROR(INDEX(RESULT_DAY,SMALL(IF(COUNTIF($BA$3,MONTH), ROW(MONTH)-MIN(ROW(MONTH))+1),ROW(A234)),COLUMN(A234))),"",INDEX(RESULT_DAY,SMALL(IF(COUNTIF($BA$3,MONTH), ROW(MONTH)-MIN(ROW(MONTH))+1),ROW(A234)),COLUMN(A234)))</f>
        <v/>
      </c>
      <c r="BD239" s="29" t="str">
        <f t="shared" si="53"/>
        <v/>
      </c>
      <c r="BE239" s="2" t="str" cm="1">
        <f t="array" ref="BE239">IF(ISERROR(INDEX(RESULT_DURATION,SMALL(IF(COUNTIF($BA$3,MONTH), ROW(MONTH)-MIN(ROW(MONTH))+1),ROW(A234)),COLUMN(A234))),"",INDEX(RESULT_DURATION,SMALL(IF(COUNTIF($BA$3,MONTH), ROW(MONTH)-MIN(ROW(MONTH))+1),ROW(A234)),COLUMN(A234)))</f>
        <v/>
      </c>
      <c r="BH239" t="str" cm="1">
        <f t="array" ref="BH239">IF(ISERROR(INDEX(RESULT_CATEGORIES,SMALL(IF(COUNTIF($BA$3,MONTH), ROW(MONTH)-MIN(ROW(MONTH))+1),ROW(A234)),COLUMN(A234))),"",INDEX(RESULT_CATEGORIES,SMALL(IF(COUNTIF($BA$3,MONTH), ROW(MONTH)-MIN(ROW(MONTH))+1),ROW(A234)),COLUMN(A234)))</f>
        <v/>
      </c>
      <c r="BI239" t="str" cm="1">
        <f t="array" ref="BI239">IF(ISERROR(INDEX(RESULTLOCATION,SMALL(IF(COUNTIF($BA$3,MONTH), ROW(MONTH)-MIN(ROW(MONTH))+1),ROW(A234)),COLUMN(A234))),"",INDEX(RESULTLOCATION,SMALL(IF(COUNTIF($BA$3,MONTH), ROW(MONTH)-MIN(ROW(MONTH))+1),ROW(A234)),COLUMN(A234)))</f>
        <v/>
      </c>
    </row>
    <row r="240" spans="53:61" x14ac:dyDescent="0.3">
      <c r="BA240" t="str" cm="1">
        <f t="array" ref="BA240">IF(ISERROR(INDEX(RESULT_SUBJECT,SMALL(IF(COUNTIF($BA$3,MONTH), ROW(MONTH)-MIN(ROW(MONTH))+1),ROW(A235)),COLUMN(A235))),"",INDEX(RESULT_SUBJECT,SMALL(IF(COUNTIF($BA$3,MONTH), ROW(MONTH)-MIN(ROW(MONTH))+1),ROW(A235)),COLUMN(A235)))</f>
        <v/>
      </c>
      <c r="BB240" t="str" cm="1">
        <f t="array" ref="BB240">IF(ISERROR(INDEX(WEEK,SMALL(IF(COUNTIF($BA$3,MONTH), ROW(MONTH)-MIN(ROW(MONTH))+1),ROW(A235)),COLUMN(A235))),"",INDEX(WEEK,SMALL(IF(COUNTIF($BA$3,MONTH), ROW(MONTH)-MIN(ROW(MONTH))+1),ROW(A235)),COLUMN(A235)))</f>
        <v/>
      </c>
      <c r="BC240" t="str" cm="1">
        <f t="array" ref="BC240">IF(ISERROR(INDEX(RESULT_DAY,SMALL(IF(COUNTIF($BA$3,MONTH), ROW(MONTH)-MIN(ROW(MONTH))+1),ROW(A235)),COLUMN(A235))),"",INDEX(RESULT_DAY,SMALL(IF(COUNTIF($BA$3,MONTH), ROW(MONTH)-MIN(ROW(MONTH))+1),ROW(A235)),COLUMN(A235)))</f>
        <v/>
      </c>
      <c r="BD240" s="29" t="str">
        <f t="shared" si="53"/>
        <v/>
      </c>
      <c r="BE240" s="2" t="str" cm="1">
        <f t="array" ref="BE240">IF(ISERROR(INDEX(RESULT_DURATION,SMALL(IF(COUNTIF($BA$3,MONTH), ROW(MONTH)-MIN(ROW(MONTH))+1),ROW(A235)),COLUMN(A235))),"",INDEX(RESULT_DURATION,SMALL(IF(COUNTIF($BA$3,MONTH), ROW(MONTH)-MIN(ROW(MONTH))+1),ROW(A235)),COLUMN(A235)))</f>
        <v/>
      </c>
      <c r="BH240" t="str" cm="1">
        <f t="array" ref="BH240">IF(ISERROR(INDEX(RESULT_CATEGORIES,SMALL(IF(COUNTIF($BA$3,MONTH), ROW(MONTH)-MIN(ROW(MONTH))+1),ROW(A235)),COLUMN(A235))),"",INDEX(RESULT_CATEGORIES,SMALL(IF(COUNTIF($BA$3,MONTH), ROW(MONTH)-MIN(ROW(MONTH))+1),ROW(A235)),COLUMN(A235)))</f>
        <v/>
      </c>
      <c r="BI240" t="str" cm="1">
        <f t="array" ref="BI240">IF(ISERROR(INDEX(RESULTLOCATION,SMALL(IF(COUNTIF($BA$3,MONTH), ROW(MONTH)-MIN(ROW(MONTH))+1),ROW(A235)),COLUMN(A235))),"",INDEX(RESULTLOCATION,SMALL(IF(COUNTIF($BA$3,MONTH), ROW(MONTH)-MIN(ROW(MONTH))+1),ROW(A235)),COLUMN(A235)))</f>
        <v/>
      </c>
    </row>
    <row r="241" spans="53:61" x14ac:dyDescent="0.3">
      <c r="BA241" t="str" cm="1">
        <f t="array" ref="BA241">IF(ISERROR(INDEX(RESULT_SUBJECT,SMALL(IF(COUNTIF($BA$3,MONTH), ROW(MONTH)-MIN(ROW(MONTH))+1),ROW(A236)),COLUMN(A236))),"",INDEX(RESULT_SUBJECT,SMALL(IF(COUNTIF($BA$3,MONTH), ROW(MONTH)-MIN(ROW(MONTH))+1),ROW(A236)),COLUMN(A236)))</f>
        <v/>
      </c>
      <c r="BB241" t="str" cm="1">
        <f t="array" ref="BB241">IF(ISERROR(INDEX(WEEK,SMALL(IF(COUNTIF($BA$3,MONTH), ROW(MONTH)-MIN(ROW(MONTH))+1),ROW(A236)),COLUMN(A236))),"",INDEX(WEEK,SMALL(IF(COUNTIF($BA$3,MONTH), ROW(MONTH)-MIN(ROW(MONTH))+1),ROW(A236)),COLUMN(A236)))</f>
        <v/>
      </c>
      <c r="BC241" t="str" cm="1">
        <f t="array" ref="BC241">IF(ISERROR(INDEX(RESULT_DAY,SMALL(IF(COUNTIF($BA$3,MONTH), ROW(MONTH)-MIN(ROW(MONTH))+1),ROW(A236)),COLUMN(A236))),"",INDEX(RESULT_DAY,SMALL(IF(COUNTIF($BA$3,MONTH), ROW(MONTH)-MIN(ROW(MONTH))+1),ROW(A236)),COLUMN(A236)))</f>
        <v/>
      </c>
      <c r="BD241" s="29" t="str">
        <f t="shared" si="53"/>
        <v/>
      </c>
      <c r="BE241" s="2" t="str" cm="1">
        <f t="array" ref="BE241">IF(ISERROR(INDEX(RESULT_DURATION,SMALL(IF(COUNTIF($BA$3,MONTH), ROW(MONTH)-MIN(ROW(MONTH))+1),ROW(A236)),COLUMN(A236))),"",INDEX(RESULT_DURATION,SMALL(IF(COUNTIF($BA$3,MONTH), ROW(MONTH)-MIN(ROW(MONTH))+1),ROW(A236)),COLUMN(A236)))</f>
        <v/>
      </c>
      <c r="BH241" t="str" cm="1">
        <f t="array" ref="BH241">IF(ISERROR(INDEX(RESULT_CATEGORIES,SMALL(IF(COUNTIF($BA$3,MONTH), ROW(MONTH)-MIN(ROW(MONTH))+1),ROW(A236)),COLUMN(A236))),"",INDEX(RESULT_CATEGORIES,SMALL(IF(COUNTIF($BA$3,MONTH), ROW(MONTH)-MIN(ROW(MONTH))+1),ROW(A236)),COLUMN(A236)))</f>
        <v/>
      </c>
      <c r="BI241" t="str" cm="1">
        <f t="array" ref="BI241">IF(ISERROR(INDEX(RESULTLOCATION,SMALL(IF(COUNTIF($BA$3,MONTH), ROW(MONTH)-MIN(ROW(MONTH))+1),ROW(A236)),COLUMN(A236))),"",INDEX(RESULTLOCATION,SMALL(IF(COUNTIF($BA$3,MONTH), ROW(MONTH)-MIN(ROW(MONTH))+1),ROW(A236)),COLUMN(A236)))</f>
        <v/>
      </c>
    </row>
    <row r="242" spans="53:61" x14ac:dyDescent="0.3">
      <c r="BA242" t="str" cm="1">
        <f t="array" ref="BA242">IF(ISERROR(INDEX(RESULT_SUBJECT,SMALL(IF(COUNTIF($BA$3,MONTH), ROW(MONTH)-MIN(ROW(MONTH))+1),ROW(A237)),COLUMN(A237))),"",INDEX(RESULT_SUBJECT,SMALL(IF(COUNTIF($BA$3,MONTH), ROW(MONTH)-MIN(ROW(MONTH))+1),ROW(A237)),COLUMN(A237)))</f>
        <v/>
      </c>
      <c r="BB242" t="str" cm="1">
        <f t="array" ref="BB242">IF(ISERROR(INDEX(WEEK,SMALL(IF(COUNTIF($BA$3,MONTH), ROW(MONTH)-MIN(ROW(MONTH))+1),ROW(A237)),COLUMN(A237))),"",INDEX(WEEK,SMALL(IF(COUNTIF($BA$3,MONTH), ROW(MONTH)-MIN(ROW(MONTH))+1),ROW(A237)),COLUMN(A237)))</f>
        <v/>
      </c>
      <c r="BC242" t="str" cm="1">
        <f t="array" ref="BC242">IF(ISERROR(INDEX(RESULT_DAY,SMALL(IF(COUNTIF($BA$3,MONTH), ROW(MONTH)-MIN(ROW(MONTH))+1),ROW(A237)),COLUMN(A237))),"",INDEX(RESULT_DAY,SMALL(IF(COUNTIF($BA$3,MONTH), ROW(MONTH)-MIN(ROW(MONTH))+1),ROW(A237)),COLUMN(A237)))</f>
        <v/>
      </c>
      <c r="BD242" s="29" t="str">
        <f t="shared" si="53"/>
        <v/>
      </c>
      <c r="BE242" s="2" t="str" cm="1">
        <f t="array" ref="BE242">IF(ISERROR(INDEX(RESULT_DURATION,SMALL(IF(COUNTIF($BA$3,MONTH), ROW(MONTH)-MIN(ROW(MONTH))+1),ROW(A237)),COLUMN(A237))),"",INDEX(RESULT_DURATION,SMALL(IF(COUNTIF($BA$3,MONTH), ROW(MONTH)-MIN(ROW(MONTH))+1),ROW(A237)),COLUMN(A237)))</f>
        <v/>
      </c>
      <c r="BH242" t="str" cm="1">
        <f t="array" ref="BH242">IF(ISERROR(INDEX(RESULT_CATEGORIES,SMALL(IF(COUNTIF($BA$3,MONTH), ROW(MONTH)-MIN(ROW(MONTH))+1),ROW(A237)),COLUMN(A237))),"",INDEX(RESULT_CATEGORIES,SMALL(IF(COUNTIF($BA$3,MONTH), ROW(MONTH)-MIN(ROW(MONTH))+1),ROW(A237)),COLUMN(A237)))</f>
        <v/>
      </c>
      <c r="BI242" t="str" cm="1">
        <f t="array" ref="BI242">IF(ISERROR(INDEX(RESULTLOCATION,SMALL(IF(COUNTIF($BA$3,MONTH), ROW(MONTH)-MIN(ROW(MONTH))+1),ROW(A237)),COLUMN(A237))),"",INDEX(RESULTLOCATION,SMALL(IF(COUNTIF($BA$3,MONTH), ROW(MONTH)-MIN(ROW(MONTH))+1),ROW(A237)),COLUMN(A237)))</f>
        <v/>
      </c>
    </row>
    <row r="243" spans="53:61" x14ac:dyDescent="0.3">
      <c r="BA243" t="str" cm="1">
        <f t="array" ref="BA243">IF(ISERROR(INDEX(RESULT_SUBJECT,SMALL(IF(COUNTIF($BA$3,MONTH), ROW(MONTH)-MIN(ROW(MONTH))+1),ROW(A238)),COLUMN(A238))),"",INDEX(RESULT_SUBJECT,SMALL(IF(COUNTIF($BA$3,MONTH), ROW(MONTH)-MIN(ROW(MONTH))+1),ROW(A238)),COLUMN(A238)))</f>
        <v/>
      </c>
      <c r="BB243" t="str" cm="1">
        <f t="array" ref="BB243">IF(ISERROR(INDEX(WEEK,SMALL(IF(COUNTIF($BA$3,MONTH), ROW(MONTH)-MIN(ROW(MONTH))+1),ROW(A238)),COLUMN(A238))),"",INDEX(WEEK,SMALL(IF(COUNTIF($BA$3,MONTH), ROW(MONTH)-MIN(ROW(MONTH))+1),ROW(A238)),COLUMN(A238)))</f>
        <v/>
      </c>
      <c r="BC243" t="str" cm="1">
        <f t="array" ref="BC243">IF(ISERROR(INDEX(RESULT_DAY,SMALL(IF(COUNTIF($BA$3,MONTH), ROW(MONTH)-MIN(ROW(MONTH))+1),ROW(A238)),COLUMN(A238))),"",INDEX(RESULT_DAY,SMALL(IF(COUNTIF($BA$3,MONTH), ROW(MONTH)-MIN(ROW(MONTH))+1),ROW(A238)),COLUMN(A238)))</f>
        <v/>
      </c>
      <c r="BD243" s="29" t="str">
        <f t="shared" si="53"/>
        <v/>
      </c>
      <c r="BE243" s="2" t="str" cm="1">
        <f t="array" ref="BE243">IF(ISERROR(INDEX(RESULT_DURATION,SMALL(IF(COUNTIF($BA$3,MONTH), ROW(MONTH)-MIN(ROW(MONTH))+1),ROW(A238)),COLUMN(A238))),"",INDEX(RESULT_DURATION,SMALL(IF(COUNTIF($BA$3,MONTH), ROW(MONTH)-MIN(ROW(MONTH))+1),ROW(A238)),COLUMN(A238)))</f>
        <v/>
      </c>
      <c r="BH243" t="str" cm="1">
        <f t="array" ref="BH243">IF(ISERROR(INDEX(RESULT_CATEGORIES,SMALL(IF(COUNTIF($BA$3,MONTH), ROW(MONTH)-MIN(ROW(MONTH))+1),ROW(A238)),COLUMN(A238))),"",INDEX(RESULT_CATEGORIES,SMALL(IF(COUNTIF($BA$3,MONTH), ROW(MONTH)-MIN(ROW(MONTH))+1),ROW(A238)),COLUMN(A238)))</f>
        <v/>
      </c>
      <c r="BI243" t="str" cm="1">
        <f t="array" ref="BI243">IF(ISERROR(INDEX(RESULTLOCATION,SMALL(IF(COUNTIF($BA$3,MONTH), ROW(MONTH)-MIN(ROW(MONTH))+1),ROW(A238)),COLUMN(A238))),"",INDEX(RESULTLOCATION,SMALL(IF(COUNTIF($BA$3,MONTH), ROW(MONTH)-MIN(ROW(MONTH))+1),ROW(A238)),COLUMN(A238)))</f>
        <v/>
      </c>
    </row>
    <row r="244" spans="53:61" x14ac:dyDescent="0.3">
      <c r="BA244" t="str" cm="1">
        <f t="array" ref="BA244">IF(ISERROR(INDEX(RESULT_SUBJECT,SMALL(IF(COUNTIF($BA$3,MONTH), ROW(MONTH)-MIN(ROW(MONTH))+1),ROW(A239)),COLUMN(A239))),"",INDEX(RESULT_SUBJECT,SMALL(IF(COUNTIF($BA$3,MONTH), ROW(MONTH)-MIN(ROW(MONTH))+1),ROW(A239)),COLUMN(A239)))</f>
        <v/>
      </c>
      <c r="BB244" t="str" cm="1">
        <f t="array" ref="BB244">IF(ISERROR(INDEX(WEEK,SMALL(IF(COUNTIF($BA$3,MONTH), ROW(MONTH)-MIN(ROW(MONTH))+1),ROW(A239)),COLUMN(A239))),"",INDEX(WEEK,SMALL(IF(COUNTIF($BA$3,MONTH), ROW(MONTH)-MIN(ROW(MONTH))+1),ROW(A239)),COLUMN(A239)))</f>
        <v/>
      </c>
      <c r="BC244" t="str" cm="1">
        <f t="array" ref="BC244">IF(ISERROR(INDEX(RESULT_DAY,SMALL(IF(COUNTIF($BA$3,MONTH), ROW(MONTH)-MIN(ROW(MONTH))+1),ROW(A239)),COLUMN(A239))),"",INDEX(RESULT_DAY,SMALL(IF(COUNTIF($BA$3,MONTH), ROW(MONTH)-MIN(ROW(MONTH))+1),ROW(A239)),COLUMN(A239)))</f>
        <v/>
      </c>
      <c r="BD244" s="29" t="str">
        <f t="shared" si="53"/>
        <v/>
      </c>
      <c r="BE244" s="2" t="str" cm="1">
        <f t="array" ref="BE244">IF(ISERROR(INDEX(RESULT_DURATION,SMALL(IF(COUNTIF($BA$3,MONTH), ROW(MONTH)-MIN(ROW(MONTH))+1),ROW(A239)),COLUMN(A239))),"",INDEX(RESULT_DURATION,SMALL(IF(COUNTIF($BA$3,MONTH), ROW(MONTH)-MIN(ROW(MONTH))+1),ROW(A239)),COLUMN(A239)))</f>
        <v/>
      </c>
      <c r="BH244" t="str" cm="1">
        <f t="array" ref="BH244">IF(ISERROR(INDEX(RESULT_CATEGORIES,SMALL(IF(COUNTIF($BA$3,MONTH), ROW(MONTH)-MIN(ROW(MONTH))+1),ROW(A239)),COLUMN(A239))),"",INDEX(RESULT_CATEGORIES,SMALL(IF(COUNTIF($BA$3,MONTH), ROW(MONTH)-MIN(ROW(MONTH))+1),ROW(A239)),COLUMN(A239)))</f>
        <v/>
      </c>
      <c r="BI244" t="str" cm="1">
        <f t="array" ref="BI244">IF(ISERROR(INDEX(RESULTLOCATION,SMALL(IF(COUNTIF($BA$3,MONTH), ROW(MONTH)-MIN(ROW(MONTH))+1),ROW(A239)),COLUMN(A239))),"",INDEX(RESULTLOCATION,SMALL(IF(COUNTIF($BA$3,MONTH), ROW(MONTH)-MIN(ROW(MONTH))+1),ROW(A239)),COLUMN(A239)))</f>
        <v/>
      </c>
    </row>
    <row r="245" spans="53:61" x14ac:dyDescent="0.3">
      <c r="BA245" t="str" cm="1">
        <f t="array" ref="BA245">IF(ISERROR(INDEX(RESULT_SUBJECT,SMALL(IF(COUNTIF($BA$3,MONTH), ROW(MONTH)-MIN(ROW(MONTH))+1),ROW(A240)),COLUMN(A240))),"",INDEX(RESULT_SUBJECT,SMALL(IF(COUNTIF($BA$3,MONTH), ROW(MONTH)-MIN(ROW(MONTH))+1),ROW(A240)),COLUMN(A240)))</f>
        <v/>
      </c>
      <c r="BB245" t="str" cm="1">
        <f t="array" ref="BB245">IF(ISERROR(INDEX(WEEK,SMALL(IF(COUNTIF($BA$3,MONTH), ROW(MONTH)-MIN(ROW(MONTH))+1),ROW(A240)),COLUMN(A240))),"",INDEX(WEEK,SMALL(IF(COUNTIF($BA$3,MONTH), ROW(MONTH)-MIN(ROW(MONTH))+1),ROW(A240)),COLUMN(A240)))</f>
        <v/>
      </c>
      <c r="BC245" t="str" cm="1">
        <f t="array" ref="BC245">IF(ISERROR(INDEX(RESULT_DAY,SMALL(IF(COUNTIF($BA$3,MONTH), ROW(MONTH)-MIN(ROW(MONTH))+1),ROW(A240)),COLUMN(A240))),"",INDEX(RESULT_DAY,SMALL(IF(COUNTIF($BA$3,MONTH), ROW(MONTH)-MIN(ROW(MONTH))+1),ROW(A240)),COLUMN(A240)))</f>
        <v/>
      </c>
      <c r="BD245" s="29" t="str">
        <f t="shared" si="53"/>
        <v/>
      </c>
      <c r="BE245" s="2" t="str" cm="1">
        <f t="array" ref="BE245">IF(ISERROR(INDEX(RESULT_DURATION,SMALL(IF(COUNTIF($BA$3,MONTH), ROW(MONTH)-MIN(ROW(MONTH))+1),ROW(A240)),COLUMN(A240))),"",INDEX(RESULT_DURATION,SMALL(IF(COUNTIF($BA$3,MONTH), ROW(MONTH)-MIN(ROW(MONTH))+1),ROW(A240)),COLUMN(A240)))</f>
        <v/>
      </c>
      <c r="BH245" t="str" cm="1">
        <f t="array" ref="BH245">IF(ISERROR(INDEX(RESULT_CATEGORIES,SMALL(IF(COUNTIF($BA$3,MONTH), ROW(MONTH)-MIN(ROW(MONTH))+1),ROW(A240)),COLUMN(A240))),"",INDEX(RESULT_CATEGORIES,SMALL(IF(COUNTIF($BA$3,MONTH), ROW(MONTH)-MIN(ROW(MONTH))+1),ROW(A240)),COLUMN(A240)))</f>
        <v/>
      </c>
      <c r="BI245" t="str" cm="1">
        <f t="array" ref="BI245">IF(ISERROR(INDEX(RESULTLOCATION,SMALL(IF(COUNTIF($BA$3,MONTH), ROW(MONTH)-MIN(ROW(MONTH))+1),ROW(A240)),COLUMN(A240))),"",INDEX(RESULTLOCATION,SMALL(IF(COUNTIF($BA$3,MONTH), ROW(MONTH)-MIN(ROW(MONTH))+1),ROW(A240)),COLUMN(A240)))</f>
        <v/>
      </c>
    </row>
    <row r="246" spans="53:61" x14ac:dyDescent="0.3">
      <c r="BA246" t="str" cm="1">
        <f t="array" ref="BA246">IF(ISERROR(INDEX(RESULT_SUBJECT,SMALL(IF(COUNTIF($BA$3,MONTH), ROW(MONTH)-MIN(ROW(MONTH))+1),ROW(A241)),COLUMN(A241))),"",INDEX(RESULT_SUBJECT,SMALL(IF(COUNTIF($BA$3,MONTH), ROW(MONTH)-MIN(ROW(MONTH))+1),ROW(A241)),COLUMN(A241)))</f>
        <v/>
      </c>
      <c r="BB246" t="str" cm="1">
        <f t="array" ref="BB246">IF(ISERROR(INDEX(WEEK,SMALL(IF(COUNTIF($BA$3,MONTH), ROW(MONTH)-MIN(ROW(MONTH))+1),ROW(A241)),COLUMN(A241))),"",INDEX(WEEK,SMALL(IF(COUNTIF($BA$3,MONTH), ROW(MONTH)-MIN(ROW(MONTH))+1),ROW(A241)),COLUMN(A241)))</f>
        <v/>
      </c>
      <c r="BC246" t="str" cm="1">
        <f t="array" ref="BC246">IF(ISERROR(INDEX(RESULT_DAY,SMALL(IF(COUNTIF($BA$3,MONTH), ROW(MONTH)-MIN(ROW(MONTH))+1),ROW(A241)),COLUMN(A241))),"",INDEX(RESULT_DAY,SMALL(IF(COUNTIF($BA$3,MONTH), ROW(MONTH)-MIN(ROW(MONTH))+1),ROW(A241)),COLUMN(A241)))</f>
        <v/>
      </c>
      <c r="BD246" s="29" t="str">
        <f t="shared" si="53"/>
        <v/>
      </c>
      <c r="BE246" s="2" t="str" cm="1">
        <f t="array" ref="BE246">IF(ISERROR(INDEX(RESULT_DURATION,SMALL(IF(COUNTIF($BA$3,MONTH), ROW(MONTH)-MIN(ROW(MONTH))+1),ROW(A241)),COLUMN(A241))),"",INDEX(RESULT_DURATION,SMALL(IF(COUNTIF($BA$3,MONTH), ROW(MONTH)-MIN(ROW(MONTH))+1),ROW(A241)),COLUMN(A241)))</f>
        <v/>
      </c>
      <c r="BH246" t="str" cm="1">
        <f t="array" ref="BH246">IF(ISERROR(INDEX(RESULT_CATEGORIES,SMALL(IF(COUNTIF($BA$3,MONTH), ROW(MONTH)-MIN(ROW(MONTH))+1),ROW(A241)),COLUMN(A241))),"",INDEX(RESULT_CATEGORIES,SMALL(IF(COUNTIF($BA$3,MONTH), ROW(MONTH)-MIN(ROW(MONTH))+1),ROW(A241)),COLUMN(A241)))</f>
        <v/>
      </c>
      <c r="BI246" t="str" cm="1">
        <f t="array" ref="BI246">IF(ISERROR(INDEX(RESULTLOCATION,SMALL(IF(COUNTIF($BA$3,MONTH), ROW(MONTH)-MIN(ROW(MONTH))+1),ROW(A241)),COLUMN(A241))),"",INDEX(RESULTLOCATION,SMALL(IF(COUNTIF($BA$3,MONTH), ROW(MONTH)-MIN(ROW(MONTH))+1),ROW(A241)),COLUMN(A241)))</f>
        <v/>
      </c>
    </row>
    <row r="247" spans="53:61" x14ac:dyDescent="0.3">
      <c r="BA247" t="str" cm="1">
        <f t="array" ref="BA247">IF(ISERROR(INDEX(RESULT_SUBJECT,SMALL(IF(COUNTIF($BA$3,MONTH), ROW(MONTH)-MIN(ROW(MONTH))+1),ROW(A242)),COLUMN(A242))),"",INDEX(RESULT_SUBJECT,SMALL(IF(COUNTIF($BA$3,MONTH), ROW(MONTH)-MIN(ROW(MONTH))+1),ROW(A242)),COLUMN(A242)))</f>
        <v/>
      </c>
      <c r="BB247" t="str" cm="1">
        <f t="array" ref="BB247">IF(ISERROR(INDEX(WEEK,SMALL(IF(COUNTIF($BA$3,MONTH), ROW(MONTH)-MIN(ROW(MONTH))+1),ROW(A242)),COLUMN(A242))),"",INDEX(WEEK,SMALL(IF(COUNTIF($BA$3,MONTH), ROW(MONTH)-MIN(ROW(MONTH))+1),ROW(A242)),COLUMN(A242)))</f>
        <v/>
      </c>
      <c r="BC247" t="str" cm="1">
        <f t="array" ref="BC247">IF(ISERROR(INDEX(RESULT_DAY,SMALL(IF(COUNTIF($BA$3,MONTH), ROW(MONTH)-MIN(ROW(MONTH))+1),ROW(A242)),COLUMN(A242))),"",INDEX(RESULT_DAY,SMALL(IF(COUNTIF($BA$3,MONTH), ROW(MONTH)-MIN(ROW(MONTH))+1),ROW(A242)),COLUMN(A242)))</f>
        <v/>
      </c>
      <c r="BD247" s="29" t="str">
        <f t="shared" si="53"/>
        <v/>
      </c>
      <c r="BE247" s="2" t="str" cm="1">
        <f t="array" ref="BE247">IF(ISERROR(INDEX(RESULT_DURATION,SMALL(IF(COUNTIF($BA$3,MONTH), ROW(MONTH)-MIN(ROW(MONTH))+1),ROW(A242)),COLUMN(A242))),"",INDEX(RESULT_DURATION,SMALL(IF(COUNTIF($BA$3,MONTH), ROW(MONTH)-MIN(ROW(MONTH))+1),ROW(A242)),COLUMN(A242)))</f>
        <v/>
      </c>
      <c r="BH247" t="str" cm="1">
        <f t="array" ref="BH247">IF(ISERROR(INDEX(RESULT_CATEGORIES,SMALL(IF(COUNTIF($BA$3,MONTH), ROW(MONTH)-MIN(ROW(MONTH))+1),ROW(A242)),COLUMN(A242))),"",INDEX(RESULT_CATEGORIES,SMALL(IF(COUNTIF($BA$3,MONTH), ROW(MONTH)-MIN(ROW(MONTH))+1),ROW(A242)),COLUMN(A242)))</f>
        <v/>
      </c>
      <c r="BI247" t="str" cm="1">
        <f t="array" ref="BI247">IF(ISERROR(INDEX(RESULTLOCATION,SMALL(IF(COUNTIF($BA$3,MONTH), ROW(MONTH)-MIN(ROW(MONTH))+1),ROW(A242)),COLUMN(A242))),"",INDEX(RESULTLOCATION,SMALL(IF(COUNTIF($BA$3,MONTH), ROW(MONTH)-MIN(ROW(MONTH))+1),ROW(A242)),COLUMN(A242)))</f>
        <v/>
      </c>
    </row>
    <row r="248" spans="53:61" x14ac:dyDescent="0.3">
      <c r="BA248" t="str" cm="1">
        <f t="array" ref="BA248">IF(ISERROR(INDEX(RESULT_SUBJECT,SMALL(IF(COUNTIF($BA$3,MONTH), ROW(MONTH)-MIN(ROW(MONTH))+1),ROW(A243)),COLUMN(A243))),"",INDEX(RESULT_SUBJECT,SMALL(IF(COUNTIF($BA$3,MONTH), ROW(MONTH)-MIN(ROW(MONTH))+1),ROW(A243)),COLUMN(A243)))</f>
        <v/>
      </c>
      <c r="BB248" t="str" cm="1">
        <f t="array" ref="BB248">IF(ISERROR(INDEX(WEEK,SMALL(IF(COUNTIF($BA$3,MONTH), ROW(MONTH)-MIN(ROW(MONTH))+1),ROW(A243)),COLUMN(A243))),"",INDEX(WEEK,SMALL(IF(COUNTIF($BA$3,MONTH), ROW(MONTH)-MIN(ROW(MONTH))+1),ROW(A243)),COLUMN(A243)))</f>
        <v/>
      </c>
      <c r="BC248" t="str" cm="1">
        <f t="array" ref="BC248">IF(ISERROR(INDEX(RESULT_DAY,SMALL(IF(COUNTIF($BA$3,MONTH), ROW(MONTH)-MIN(ROW(MONTH))+1),ROW(A243)),COLUMN(A243))),"",INDEX(RESULT_DAY,SMALL(IF(COUNTIF($BA$3,MONTH), ROW(MONTH)-MIN(ROW(MONTH))+1),ROW(A243)),COLUMN(A243)))</f>
        <v/>
      </c>
      <c r="BD248" s="29" t="str">
        <f t="shared" si="53"/>
        <v/>
      </c>
      <c r="BE248" s="2" t="str" cm="1">
        <f t="array" ref="BE248">IF(ISERROR(INDEX(RESULT_DURATION,SMALL(IF(COUNTIF($BA$3,MONTH), ROW(MONTH)-MIN(ROW(MONTH))+1),ROW(A243)),COLUMN(A243))),"",INDEX(RESULT_DURATION,SMALL(IF(COUNTIF($BA$3,MONTH), ROW(MONTH)-MIN(ROW(MONTH))+1),ROW(A243)),COLUMN(A243)))</f>
        <v/>
      </c>
      <c r="BH248" t="str" cm="1">
        <f t="array" ref="BH248">IF(ISERROR(INDEX(RESULT_CATEGORIES,SMALL(IF(COUNTIF($BA$3,MONTH), ROW(MONTH)-MIN(ROW(MONTH))+1),ROW(A243)),COLUMN(A243))),"",INDEX(RESULT_CATEGORIES,SMALL(IF(COUNTIF($BA$3,MONTH), ROW(MONTH)-MIN(ROW(MONTH))+1),ROW(A243)),COLUMN(A243)))</f>
        <v/>
      </c>
      <c r="BI248" t="str" cm="1">
        <f t="array" ref="BI248">IF(ISERROR(INDEX(RESULTLOCATION,SMALL(IF(COUNTIF($BA$3,MONTH), ROW(MONTH)-MIN(ROW(MONTH))+1),ROW(A243)),COLUMN(A243))),"",INDEX(RESULTLOCATION,SMALL(IF(COUNTIF($BA$3,MONTH), ROW(MONTH)-MIN(ROW(MONTH))+1),ROW(A243)),COLUMN(A243)))</f>
        <v/>
      </c>
    </row>
    <row r="249" spans="53:61" x14ac:dyDescent="0.3">
      <c r="BA249" t="str" cm="1">
        <f t="array" ref="BA249">IF(ISERROR(INDEX(RESULT_SUBJECT,SMALL(IF(COUNTIF($BA$3,MONTH), ROW(MONTH)-MIN(ROW(MONTH))+1),ROW(A244)),COLUMN(A244))),"",INDEX(RESULT_SUBJECT,SMALL(IF(COUNTIF($BA$3,MONTH), ROW(MONTH)-MIN(ROW(MONTH))+1),ROW(A244)),COLUMN(A244)))</f>
        <v/>
      </c>
      <c r="BB249" t="str" cm="1">
        <f t="array" ref="BB249">IF(ISERROR(INDEX(WEEK,SMALL(IF(COUNTIF($BA$3,MONTH), ROW(MONTH)-MIN(ROW(MONTH))+1),ROW(A244)),COLUMN(A244))),"",INDEX(WEEK,SMALL(IF(COUNTIF($BA$3,MONTH), ROW(MONTH)-MIN(ROW(MONTH))+1),ROW(A244)),COLUMN(A244)))</f>
        <v/>
      </c>
      <c r="BC249" t="str" cm="1">
        <f t="array" ref="BC249">IF(ISERROR(INDEX(RESULT_DAY,SMALL(IF(COUNTIF($BA$3,MONTH), ROW(MONTH)-MIN(ROW(MONTH))+1),ROW(A244)),COLUMN(A244))),"",INDEX(RESULT_DAY,SMALL(IF(COUNTIF($BA$3,MONTH), ROW(MONTH)-MIN(ROW(MONTH))+1),ROW(A244)),COLUMN(A244)))</f>
        <v/>
      </c>
      <c r="BD249" s="29" t="str">
        <f t="shared" si="53"/>
        <v/>
      </c>
      <c r="BE249" s="2" t="str" cm="1">
        <f t="array" ref="BE249">IF(ISERROR(INDEX(RESULT_DURATION,SMALL(IF(COUNTIF($BA$3,MONTH), ROW(MONTH)-MIN(ROW(MONTH))+1),ROW(A244)),COLUMN(A244))),"",INDEX(RESULT_DURATION,SMALL(IF(COUNTIF($BA$3,MONTH), ROW(MONTH)-MIN(ROW(MONTH))+1),ROW(A244)),COLUMN(A244)))</f>
        <v/>
      </c>
      <c r="BH249" t="str" cm="1">
        <f t="array" ref="BH249">IF(ISERROR(INDEX(RESULT_CATEGORIES,SMALL(IF(COUNTIF($BA$3,MONTH), ROW(MONTH)-MIN(ROW(MONTH))+1),ROW(A244)),COLUMN(A244))),"",INDEX(RESULT_CATEGORIES,SMALL(IF(COUNTIF($BA$3,MONTH), ROW(MONTH)-MIN(ROW(MONTH))+1),ROW(A244)),COLUMN(A244)))</f>
        <v/>
      </c>
      <c r="BI249" t="str" cm="1">
        <f t="array" ref="BI249">IF(ISERROR(INDEX(RESULTLOCATION,SMALL(IF(COUNTIF($BA$3,MONTH), ROW(MONTH)-MIN(ROW(MONTH))+1),ROW(A244)),COLUMN(A244))),"",INDEX(RESULTLOCATION,SMALL(IF(COUNTIF($BA$3,MONTH), ROW(MONTH)-MIN(ROW(MONTH))+1),ROW(A244)),COLUMN(A244)))</f>
        <v/>
      </c>
    </row>
    <row r="250" spans="53:61" x14ac:dyDescent="0.3">
      <c r="BA250" t="str" cm="1">
        <f t="array" ref="BA250">IF(ISERROR(INDEX(RESULT_SUBJECT,SMALL(IF(COUNTIF($BA$3,MONTH), ROW(MONTH)-MIN(ROW(MONTH))+1),ROW(A246)),COLUMN(A246))),"",INDEX(RESULT_SUBJECT,SMALL(IF(COUNTIF($BA$3,MONTH), ROW(MONTH)-MIN(ROW(MONTH))+1),ROW(A246)),COLUMN(A246)))</f>
        <v/>
      </c>
      <c r="BB250" t="str" cm="1">
        <f t="array" ref="BB250">IF(ISERROR(INDEX(WEEK,SMALL(IF(COUNTIF($BA$3,MONTH), ROW(MONTH)-MIN(ROW(MONTH))+1),ROW(A246)),COLUMN(A246))),"",INDEX(WEEK,SMALL(IF(COUNTIF($BA$3,MONTH), ROW(MONTH)-MIN(ROW(MONTH))+1),ROW(A246)),COLUMN(A246)))</f>
        <v/>
      </c>
      <c r="BC250" t="str" cm="1">
        <f t="array" ref="BC250">IF(ISERROR(INDEX(RESULT_DAY,SMALL(IF(COUNTIF($BA$3,MONTH), ROW(MONTH)-MIN(ROW(MONTH))+1),ROW(A246)),COLUMN(A246))),"",INDEX(RESULT_DAY,SMALL(IF(COUNTIF($BA$3,MONTH), ROW(MONTH)-MIN(ROW(MONTH))+1),ROW(A246)),COLUMN(A246)))</f>
        <v/>
      </c>
      <c r="BD250" s="29" t="str">
        <f t="shared" ref="BD250:BD263" si="54">IF(ISERROR((DATE(2021,1,1)+($BA$3-2)*7)+BC250+1),"",(DATE(2021,1,1)+($BA$3-2)*7)+BC250+1)</f>
        <v/>
      </c>
      <c r="BE250" s="2" t="str" cm="1">
        <f t="array" ref="BE250">IF(ISERROR(INDEX(RESULT_DURATION,SMALL(IF(COUNTIF($BA$3,MONTH), ROW(MONTH)-MIN(ROW(MONTH))+1),ROW(A246)),COLUMN(A246))),"",INDEX(RESULT_DURATION,SMALL(IF(COUNTIF($BA$3,MONTH), ROW(MONTH)-MIN(ROW(MONTH))+1),ROW(A246)),COLUMN(A246)))</f>
        <v/>
      </c>
      <c r="BH250" t="str" cm="1">
        <f t="array" ref="BH250">IF(ISERROR(INDEX(RESULT_CATEGORIES,SMALL(IF(COUNTIF($BA$3,MONTH), ROW(MONTH)-MIN(ROW(MONTH))+1),ROW(A246)),COLUMN(A246))),"",INDEX(RESULT_CATEGORIES,SMALL(IF(COUNTIF($BA$3,MONTH), ROW(MONTH)-MIN(ROW(MONTH))+1),ROW(A246)),COLUMN(A246)))</f>
        <v/>
      </c>
      <c r="BI250" t="str" cm="1">
        <f t="array" ref="BI250">IF(ISERROR(INDEX(RESULTLOCATION,SMALL(IF(COUNTIF($BA$3,MONTH), ROW(MONTH)-MIN(ROW(MONTH))+1),ROW(A246)),COLUMN(A246))),"",INDEX(RESULTLOCATION,SMALL(IF(COUNTIF($BA$3,MONTH), ROW(MONTH)-MIN(ROW(MONTH))+1),ROW(A246)),COLUMN(A246)))</f>
        <v/>
      </c>
    </row>
    <row r="251" spans="53:61" x14ac:dyDescent="0.3">
      <c r="BA251" t="str" cm="1">
        <f t="array" ref="BA251">IF(ISERROR(INDEX(RESULT_SUBJECT,SMALL(IF(COUNTIF($BA$3,MONTH), ROW(MONTH)-MIN(ROW(MONTH))+1),ROW(A247)),COLUMN(A247))),"",INDEX(RESULT_SUBJECT,SMALL(IF(COUNTIF($BA$3,MONTH), ROW(MONTH)-MIN(ROW(MONTH))+1),ROW(A247)),COLUMN(A247)))</f>
        <v/>
      </c>
      <c r="BB251" t="str" cm="1">
        <f t="array" ref="BB251">IF(ISERROR(INDEX(WEEK,SMALL(IF(COUNTIF($BA$3,MONTH), ROW(MONTH)-MIN(ROW(MONTH))+1),ROW(A247)),COLUMN(A247))),"",INDEX(WEEK,SMALL(IF(COUNTIF($BA$3,MONTH), ROW(MONTH)-MIN(ROW(MONTH))+1),ROW(A247)),COLUMN(A247)))</f>
        <v/>
      </c>
      <c r="BC251" t="str" cm="1">
        <f t="array" ref="BC251">IF(ISERROR(INDEX(RESULT_DAY,SMALL(IF(COUNTIF($BA$3,MONTH), ROW(MONTH)-MIN(ROW(MONTH))+1),ROW(A247)),COLUMN(A247))),"",INDEX(RESULT_DAY,SMALL(IF(COUNTIF($BA$3,MONTH), ROW(MONTH)-MIN(ROW(MONTH))+1),ROW(A247)),COLUMN(A247)))</f>
        <v/>
      </c>
      <c r="BD251" s="29" t="str">
        <f t="shared" si="54"/>
        <v/>
      </c>
      <c r="BE251" s="2" t="str" cm="1">
        <f t="array" ref="BE251">IF(ISERROR(INDEX(RESULT_DURATION,SMALL(IF(COUNTIF($BA$3,MONTH), ROW(MONTH)-MIN(ROW(MONTH))+1),ROW(A247)),COLUMN(A247))),"",INDEX(RESULT_DURATION,SMALL(IF(COUNTIF($BA$3,MONTH), ROW(MONTH)-MIN(ROW(MONTH))+1),ROW(A247)),COLUMN(A247)))</f>
        <v/>
      </c>
      <c r="BH251" t="str" cm="1">
        <f t="array" ref="BH251">IF(ISERROR(INDEX(RESULT_CATEGORIES,SMALL(IF(COUNTIF($BA$3,MONTH), ROW(MONTH)-MIN(ROW(MONTH))+1),ROW(A247)),COLUMN(A247))),"",INDEX(RESULT_CATEGORIES,SMALL(IF(COUNTIF($BA$3,MONTH), ROW(MONTH)-MIN(ROW(MONTH))+1),ROW(A247)),COLUMN(A247)))</f>
        <v/>
      </c>
      <c r="BI251" t="str" cm="1">
        <f t="array" ref="BI251">IF(ISERROR(INDEX(RESULTLOCATION,SMALL(IF(COUNTIF($BA$3,MONTH), ROW(MONTH)-MIN(ROW(MONTH))+1),ROW(A247)),COLUMN(A247))),"",INDEX(RESULTLOCATION,SMALL(IF(COUNTIF($BA$3,MONTH), ROW(MONTH)-MIN(ROW(MONTH))+1),ROW(A247)),COLUMN(A247)))</f>
        <v/>
      </c>
    </row>
    <row r="252" spans="53:61" x14ac:dyDescent="0.3">
      <c r="BA252" t="str" cm="1">
        <f t="array" ref="BA252">IF(ISERROR(INDEX(RESULT_SUBJECT,SMALL(IF(COUNTIF($BA$3,MONTH), ROW(MONTH)-MIN(ROW(MONTH))+1),ROW(A248)),COLUMN(A248))),"",INDEX(RESULT_SUBJECT,SMALL(IF(COUNTIF($BA$3,MONTH), ROW(MONTH)-MIN(ROW(MONTH))+1),ROW(A248)),COLUMN(A248)))</f>
        <v/>
      </c>
      <c r="BB252" t="str" cm="1">
        <f t="array" ref="BB252">IF(ISERROR(INDEX(WEEK,SMALL(IF(COUNTIF($BA$3,MONTH), ROW(MONTH)-MIN(ROW(MONTH))+1),ROW(A248)),COLUMN(A248))),"",INDEX(WEEK,SMALL(IF(COUNTIF($BA$3,MONTH), ROW(MONTH)-MIN(ROW(MONTH))+1),ROW(A248)),COLUMN(A248)))</f>
        <v/>
      </c>
      <c r="BC252" t="str" cm="1">
        <f t="array" ref="BC252">IF(ISERROR(INDEX(RESULT_DAY,SMALL(IF(COUNTIF($BA$3,MONTH), ROW(MONTH)-MIN(ROW(MONTH))+1),ROW(A248)),COLUMN(A248))),"",INDEX(RESULT_DAY,SMALL(IF(COUNTIF($BA$3,MONTH), ROW(MONTH)-MIN(ROW(MONTH))+1),ROW(A248)),COLUMN(A248)))</f>
        <v/>
      </c>
      <c r="BD252" s="29" t="str">
        <f t="shared" si="54"/>
        <v/>
      </c>
      <c r="BE252" s="2" t="str" cm="1">
        <f t="array" ref="BE252">IF(ISERROR(INDEX(RESULT_DURATION,SMALL(IF(COUNTIF($BA$3,MONTH), ROW(MONTH)-MIN(ROW(MONTH))+1),ROW(A248)),COLUMN(A248))),"",INDEX(RESULT_DURATION,SMALL(IF(COUNTIF($BA$3,MONTH), ROW(MONTH)-MIN(ROW(MONTH))+1),ROW(A248)),COLUMN(A248)))</f>
        <v/>
      </c>
      <c r="BH252" t="str" cm="1">
        <f t="array" ref="BH252">IF(ISERROR(INDEX(RESULT_CATEGORIES,SMALL(IF(COUNTIF($BA$3,MONTH), ROW(MONTH)-MIN(ROW(MONTH))+1),ROW(A248)),COLUMN(A248))),"",INDEX(RESULT_CATEGORIES,SMALL(IF(COUNTIF($BA$3,MONTH), ROW(MONTH)-MIN(ROW(MONTH))+1),ROW(A248)),COLUMN(A248)))</f>
        <v/>
      </c>
      <c r="BI252" t="str" cm="1">
        <f t="array" ref="BI252">IF(ISERROR(INDEX(RESULTLOCATION,SMALL(IF(COUNTIF($BA$3,MONTH), ROW(MONTH)-MIN(ROW(MONTH))+1),ROW(A248)),COLUMN(A248))),"",INDEX(RESULTLOCATION,SMALL(IF(COUNTIF($BA$3,MONTH), ROW(MONTH)-MIN(ROW(MONTH))+1),ROW(A248)),COLUMN(A248)))</f>
        <v/>
      </c>
    </row>
    <row r="253" spans="53:61" x14ac:dyDescent="0.3">
      <c r="BA253" t="str" cm="1">
        <f t="array" ref="BA253">IF(ISERROR(INDEX(RESULT_SUBJECT,SMALL(IF(COUNTIF($BA$3,MONTH), ROW(MONTH)-MIN(ROW(MONTH))+1),ROW(A249)),COLUMN(A249))),"",INDEX(RESULT_SUBJECT,SMALL(IF(COUNTIF($BA$3,MONTH), ROW(MONTH)-MIN(ROW(MONTH))+1),ROW(A249)),COLUMN(A249)))</f>
        <v/>
      </c>
      <c r="BB253" t="str" cm="1">
        <f t="array" ref="BB253">IF(ISERROR(INDEX(WEEK,SMALL(IF(COUNTIF($BA$3,MONTH), ROW(MONTH)-MIN(ROW(MONTH))+1),ROW(A249)),COLUMN(A249))),"",INDEX(WEEK,SMALL(IF(COUNTIF($BA$3,MONTH), ROW(MONTH)-MIN(ROW(MONTH))+1),ROW(A249)),COLUMN(A249)))</f>
        <v/>
      </c>
      <c r="BC253" t="str" cm="1">
        <f t="array" ref="BC253">IF(ISERROR(INDEX(RESULT_DAY,SMALL(IF(COUNTIF($BA$3,MONTH), ROW(MONTH)-MIN(ROW(MONTH))+1),ROW(A249)),COLUMN(A249))),"",INDEX(RESULT_DAY,SMALL(IF(COUNTIF($BA$3,MONTH), ROW(MONTH)-MIN(ROW(MONTH))+1),ROW(A249)),COLUMN(A249)))</f>
        <v/>
      </c>
      <c r="BD253" s="29" t="str">
        <f t="shared" si="54"/>
        <v/>
      </c>
      <c r="BE253" s="2" t="str" cm="1">
        <f t="array" ref="BE253">IF(ISERROR(INDEX(RESULT_DURATION,SMALL(IF(COUNTIF($BA$3,MONTH), ROW(MONTH)-MIN(ROW(MONTH))+1),ROW(A249)),COLUMN(A249))),"",INDEX(RESULT_DURATION,SMALL(IF(COUNTIF($BA$3,MONTH), ROW(MONTH)-MIN(ROW(MONTH))+1),ROW(A249)),COLUMN(A249)))</f>
        <v/>
      </c>
      <c r="BH253" t="str" cm="1">
        <f t="array" ref="BH253">IF(ISERROR(INDEX(RESULT_CATEGORIES,SMALL(IF(COUNTIF($BA$3,MONTH), ROW(MONTH)-MIN(ROW(MONTH))+1),ROW(A249)),COLUMN(A249))),"",INDEX(RESULT_CATEGORIES,SMALL(IF(COUNTIF($BA$3,MONTH), ROW(MONTH)-MIN(ROW(MONTH))+1),ROW(A249)),COLUMN(A249)))</f>
        <v/>
      </c>
      <c r="BI253" t="str" cm="1">
        <f t="array" ref="BI253">IF(ISERROR(INDEX(RESULTLOCATION,SMALL(IF(COUNTIF($BA$3,MONTH), ROW(MONTH)-MIN(ROW(MONTH))+1),ROW(A249)),COLUMN(A249))),"",INDEX(RESULTLOCATION,SMALL(IF(COUNTIF($BA$3,MONTH), ROW(MONTH)-MIN(ROW(MONTH))+1),ROW(A249)),COLUMN(A249)))</f>
        <v/>
      </c>
    </row>
    <row r="254" spans="53:61" x14ac:dyDescent="0.3">
      <c r="BA254" t="str" cm="1">
        <f t="array" ref="BA254">IF(ISERROR(INDEX(RESULT_SUBJECT,SMALL(IF(COUNTIF($BA$3,MONTH), ROW(MONTH)-MIN(ROW(MONTH))+1),ROW(A250)),COLUMN(A250))),"",INDEX(RESULT_SUBJECT,SMALL(IF(COUNTIF($BA$3,MONTH), ROW(MONTH)-MIN(ROW(MONTH))+1),ROW(A250)),COLUMN(A250)))</f>
        <v/>
      </c>
      <c r="BB254" t="str" cm="1">
        <f t="array" ref="BB254">IF(ISERROR(INDEX(WEEK,SMALL(IF(COUNTIF($BA$3,MONTH), ROW(MONTH)-MIN(ROW(MONTH))+1),ROW(A250)),COLUMN(A250))),"",INDEX(WEEK,SMALL(IF(COUNTIF($BA$3,MONTH), ROW(MONTH)-MIN(ROW(MONTH))+1),ROW(A250)),COLUMN(A250)))</f>
        <v/>
      </c>
      <c r="BC254" t="str" cm="1">
        <f t="array" ref="BC254">IF(ISERROR(INDEX(RESULT_DAY,SMALL(IF(COUNTIF($BA$3,MONTH), ROW(MONTH)-MIN(ROW(MONTH))+1),ROW(A250)),COLUMN(A250))),"",INDEX(RESULT_DAY,SMALL(IF(COUNTIF($BA$3,MONTH), ROW(MONTH)-MIN(ROW(MONTH))+1),ROW(A250)),COLUMN(A250)))</f>
        <v/>
      </c>
      <c r="BD254" s="29" t="str">
        <f t="shared" si="54"/>
        <v/>
      </c>
      <c r="BE254" s="2" t="str" cm="1">
        <f t="array" ref="BE254">IF(ISERROR(INDEX(RESULT_DURATION,SMALL(IF(COUNTIF($BA$3,MONTH), ROW(MONTH)-MIN(ROW(MONTH))+1),ROW(A250)),COLUMN(A250))),"",INDEX(RESULT_DURATION,SMALL(IF(COUNTIF($BA$3,MONTH), ROW(MONTH)-MIN(ROW(MONTH))+1),ROW(A250)),COLUMN(A250)))</f>
        <v/>
      </c>
      <c r="BH254" t="str" cm="1">
        <f t="array" ref="BH254">IF(ISERROR(INDEX(RESULT_CATEGORIES,SMALL(IF(COUNTIF($BA$3,MONTH), ROW(MONTH)-MIN(ROW(MONTH))+1),ROW(A250)),COLUMN(A250))),"",INDEX(RESULT_CATEGORIES,SMALL(IF(COUNTIF($BA$3,MONTH), ROW(MONTH)-MIN(ROW(MONTH))+1),ROW(A250)),COLUMN(A250)))</f>
        <v/>
      </c>
      <c r="BI254" t="str" cm="1">
        <f t="array" ref="BI254">IF(ISERROR(INDEX(RESULTLOCATION,SMALL(IF(COUNTIF($BA$3,MONTH), ROW(MONTH)-MIN(ROW(MONTH))+1),ROW(A250)),COLUMN(A250))),"",INDEX(RESULTLOCATION,SMALL(IF(COUNTIF($BA$3,MONTH), ROW(MONTH)-MIN(ROW(MONTH))+1),ROW(A250)),COLUMN(A250)))</f>
        <v/>
      </c>
    </row>
    <row r="255" spans="53:61" x14ac:dyDescent="0.3">
      <c r="BA255" t="str" cm="1">
        <f t="array" ref="BA255">IF(ISERROR(INDEX(RESULT_SUBJECT,SMALL(IF(COUNTIF($BA$3,MONTH), ROW(MONTH)-MIN(ROW(MONTH))+1),ROW(A251)),COLUMN(A251))),"",INDEX(RESULT_SUBJECT,SMALL(IF(COUNTIF($BA$3,MONTH), ROW(MONTH)-MIN(ROW(MONTH))+1),ROW(A251)),COLUMN(A251)))</f>
        <v/>
      </c>
      <c r="BB255" t="str" cm="1">
        <f t="array" ref="BB255">IF(ISERROR(INDEX(WEEK,SMALL(IF(COUNTIF($BA$3,MONTH), ROW(MONTH)-MIN(ROW(MONTH))+1),ROW(A251)),COLUMN(A251))),"",INDEX(WEEK,SMALL(IF(COUNTIF($BA$3,MONTH), ROW(MONTH)-MIN(ROW(MONTH))+1),ROW(A251)),COLUMN(A251)))</f>
        <v/>
      </c>
      <c r="BC255" t="str" cm="1">
        <f t="array" ref="BC255">IF(ISERROR(INDEX(RESULT_DAY,SMALL(IF(COUNTIF($BA$3,MONTH), ROW(MONTH)-MIN(ROW(MONTH))+1),ROW(A251)),COLUMN(A251))),"",INDEX(RESULT_DAY,SMALL(IF(COUNTIF($BA$3,MONTH), ROW(MONTH)-MIN(ROW(MONTH))+1),ROW(A251)),COLUMN(A251)))</f>
        <v/>
      </c>
      <c r="BD255" s="29" t="str">
        <f t="shared" si="54"/>
        <v/>
      </c>
      <c r="BE255" s="2" t="str" cm="1">
        <f t="array" ref="BE255">IF(ISERROR(INDEX(RESULT_DURATION,SMALL(IF(COUNTIF($BA$3,MONTH), ROW(MONTH)-MIN(ROW(MONTH))+1),ROW(A251)),COLUMN(A251))),"",INDEX(RESULT_DURATION,SMALL(IF(COUNTIF($BA$3,MONTH), ROW(MONTH)-MIN(ROW(MONTH))+1),ROW(A251)),COLUMN(A251)))</f>
        <v/>
      </c>
      <c r="BH255" t="str" cm="1">
        <f t="array" ref="BH255">IF(ISERROR(INDEX(RESULT_CATEGORIES,SMALL(IF(COUNTIF($BA$3,MONTH), ROW(MONTH)-MIN(ROW(MONTH))+1),ROW(A251)),COLUMN(A251))),"",INDEX(RESULT_CATEGORIES,SMALL(IF(COUNTIF($BA$3,MONTH), ROW(MONTH)-MIN(ROW(MONTH))+1),ROW(A251)),COLUMN(A251)))</f>
        <v/>
      </c>
      <c r="BI255" t="str" cm="1">
        <f t="array" ref="BI255">IF(ISERROR(INDEX(RESULTLOCATION,SMALL(IF(COUNTIF($BA$3,MONTH), ROW(MONTH)-MIN(ROW(MONTH))+1),ROW(A251)),COLUMN(A251))),"",INDEX(RESULTLOCATION,SMALL(IF(COUNTIF($BA$3,MONTH), ROW(MONTH)-MIN(ROW(MONTH))+1),ROW(A251)),COLUMN(A251)))</f>
        <v/>
      </c>
    </row>
    <row r="256" spans="53:61" x14ac:dyDescent="0.3">
      <c r="BA256" t="str" cm="1">
        <f t="array" ref="BA256">IF(ISERROR(INDEX(RESULT_SUBJECT,SMALL(IF(COUNTIF($BA$3,MONTH), ROW(MONTH)-MIN(ROW(MONTH))+1),ROW(A252)),COLUMN(A252))),"",INDEX(RESULT_SUBJECT,SMALL(IF(COUNTIF($BA$3,MONTH), ROW(MONTH)-MIN(ROW(MONTH))+1),ROW(A252)),COLUMN(A252)))</f>
        <v/>
      </c>
      <c r="BB256" t="str" cm="1">
        <f t="array" ref="BB256">IF(ISERROR(INDEX(WEEK,SMALL(IF(COUNTIF($BA$3,MONTH), ROW(MONTH)-MIN(ROW(MONTH))+1),ROW(A252)),COLUMN(A252))),"",INDEX(WEEK,SMALL(IF(COUNTIF($BA$3,MONTH), ROW(MONTH)-MIN(ROW(MONTH))+1),ROW(A252)),COLUMN(A252)))</f>
        <v/>
      </c>
      <c r="BC256" t="str" cm="1">
        <f t="array" ref="BC256">IF(ISERROR(INDEX(RESULT_DAY,SMALL(IF(COUNTIF($BA$3,MONTH), ROW(MONTH)-MIN(ROW(MONTH))+1),ROW(A252)),COLUMN(A252))),"",INDEX(RESULT_DAY,SMALL(IF(COUNTIF($BA$3,MONTH), ROW(MONTH)-MIN(ROW(MONTH))+1),ROW(A252)),COLUMN(A252)))</f>
        <v/>
      </c>
      <c r="BD256" s="29" t="str">
        <f t="shared" si="54"/>
        <v/>
      </c>
      <c r="BE256" s="2" t="str" cm="1">
        <f t="array" ref="BE256">IF(ISERROR(INDEX(RESULT_DURATION,SMALL(IF(COUNTIF($BA$3,MONTH), ROW(MONTH)-MIN(ROW(MONTH))+1),ROW(A252)),COLUMN(A252))),"",INDEX(RESULT_DURATION,SMALL(IF(COUNTIF($BA$3,MONTH), ROW(MONTH)-MIN(ROW(MONTH))+1),ROW(A252)),COLUMN(A252)))</f>
        <v/>
      </c>
      <c r="BH256" t="str" cm="1">
        <f t="array" ref="BH256">IF(ISERROR(INDEX(RESULT_CATEGORIES,SMALL(IF(COUNTIF($BA$3,MONTH), ROW(MONTH)-MIN(ROW(MONTH))+1),ROW(A252)),COLUMN(A252))),"",INDEX(RESULT_CATEGORIES,SMALL(IF(COUNTIF($BA$3,MONTH), ROW(MONTH)-MIN(ROW(MONTH))+1),ROW(A252)),COLUMN(A252)))</f>
        <v/>
      </c>
      <c r="BI256" t="str" cm="1">
        <f t="array" ref="BI256">IF(ISERROR(INDEX(RESULTLOCATION,SMALL(IF(COUNTIF($BA$3,MONTH), ROW(MONTH)-MIN(ROW(MONTH))+1),ROW(A252)),COLUMN(A252))),"",INDEX(RESULTLOCATION,SMALL(IF(COUNTIF($BA$3,MONTH), ROW(MONTH)-MIN(ROW(MONTH))+1),ROW(A252)),COLUMN(A252)))</f>
        <v/>
      </c>
    </row>
    <row r="257" spans="53:61" x14ac:dyDescent="0.3">
      <c r="BA257" t="str" cm="1">
        <f t="array" ref="BA257">IF(ISERROR(INDEX(RESULT_SUBJECT,SMALL(IF(COUNTIF($BA$3,MONTH), ROW(MONTH)-MIN(ROW(MONTH))+1),ROW(A253)),COLUMN(A253))),"",INDEX(RESULT_SUBJECT,SMALL(IF(COUNTIF($BA$3,MONTH), ROW(MONTH)-MIN(ROW(MONTH))+1),ROW(A253)),COLUMN(A253)))</f>
        <v/>
      </c>
      <c r="BB257" t="str" cm="1">
        <f t="array" ref="BB257">IF(ISERROR(INDEX(WEEK,SMALL(IF(COUNTIF($BA$3,MONTH), ROW(MONTH)-MIN(ROW(MONTH))+1),ROW(A253)),COLUMN(A253))),"",INDEX(WEEK,SMALL(IF(COUNTIF($BA$3,MONTH), ROW(MONTH)-MIN(ROW(MONTH))+1),ROW(A253)),COLUMN(A253)))</f>
        <v/>
      </c>
      <c r="BC257" t="str" cm="1">
        <f t="array" ref="BC257">IF(ISERROR(INDEX(RESULT_DAY,SMALL(IF(COUNTIF($BA$3,MONTH), ROW(MONTH)-MIN(ROW(MONTH))+1),ROW(A253)),COLUMN(A253))),"",INDEX(RESULT_DAY,SMALL(IF(COUNTIF($BA$3,MONTH), ROW(MONTH)-MIN(ROW(MONTH))+1),ROW(A253)),COLUMN(A253)))</f>
        <v/>
      </c>
      <c r="BD257" s="29" t="str">
        <f t="shared" si="54"/>
        <v/>
      </c>
      <c r="BE257" s="2" t="str" cm="1">
        <f t="array" ref="BE257">IF(ISERROR(INDEX(RESULT_DURATION,SMALL(IF(COUNTIF($BA$3,MONTH), ROW(MONTH)-MIN(ROW(MONTH))+1),ROW(A253)),COLUMN(A253))),"",INDEX(RESULT_DURATION,SMALL(IF(COUNTIF($BA$3,MONTH), ROW(MONTH)-MIN(ROW(MONTH))+1),ROW(A253)),COLUMN(A253)))</f>
        <v/>
      </c>
      <c r="BH257" t="str" cm="1">
        <f t="array" ref="BH257">IF(ISERROR(INDEX(RESULT_CATEGORIES,SMALL(IF(COUNTIF($BA$3,MONTH), ROW(MONTH)-MIN(ROW(MONTH))+1),ROW(A253)),COLUMN(A253))),"",INDEX(RESULT_CATEGORIES,SMALL(IF(COUNTIF($BA$3,MONTH), ROW(MONTH)-MIN(ROW(MONTH))+1),ROW(A253)),COLUMN(A253)))</f>
        <v/>
      </c>
      <c r="BI257" t="str" cm="1">
        <f t="array" ref="BI257">IF(ISERROR(INDEX(RESULTLOCATION,SMALL(IF(COUNTIF($BA$3,MONTH), ROW(MONTH)-MIN(ROW(MONTH))+1),ROW(A253)),COLUMN(A253))),"",INDEX(RESULTLOCATION,SMALL(IF(COUNTIF($BA$3,MONTH), ROW(MONTH)-MIN(ROW(MONTH))+1),ROW(A253)),COLUMN(A253)))</f>
        <v/>
      </c>
    </row>
    <row r="258" spans="53:61" x14ac:dyDescent="0.3">
      <c r="BA258" t="str" cm="1">
        <f t="array" ref="BA258">IF(ISERROR(INDEX(RESULT_SUBJECT,SMALL(IF(COUNTIF($BA$3,MONTH), ROW(MONTH)-MIN(ROW(MONTH))+1),ROW(A254)),COLUMN(A254))),"",INDEX(RESULT_SUBJECT,SMALL(IF(COUNTIF($BA$3,MONTH), ROW(MONTH)-MIN(ROW(MONTH))+1),ROW(A254)),COLUMN(A254)))</f>
        <v/>
      </c>
      <c r="BB258" t="str" cm="1">
        <f t="array" ref="BB258">IF(ISERROR(INDEX(WEEK,SMALL(IF(COUNTIF($BA$3,MONTH), ROW(MONTH)-MIN(ROW(MONTH))+1),ROW(A254)),COLUMN(A254))),"",INDEX(WEEK,SMALL(IF(COUNTIF($BA$3,MONTH), ROW(MONTH)-MIN(ROW(MONTH))+1),ROW(A254)),COLUMN(A254)))</f>
        <v/>
      </c>
      <c r="BC258" t="str" cm="1">
        <f t="array" ref="BC258">IF(ISERROR(INDEX(RESULT_DAY,SMALL(IF(COUNTIF($BA$3,MONTH), ROW(MONTH)-MIN(ROW(MONTH))+1),ROW(A254)),COLUMN(A254))),"",INDEX(RESULT_DAY,SMALL(IF(COUNTIF($BA$3,MONTH), ROW(MONTH)-MIN(ROW(MONTH))+1),ROW(A254)),COLUMN(A254)))</f>
        <v/>
      </c>
      <c r="BD258" s="29" t="str">
        <f t="shared" si="54"/>
        <v/>
      </c>
      <c r="BE258" s="2" t="str" cm="1">
        <f t="array" ref="BE258">IF(ISERROR(INDEX(RESULT_DURATION,SMALL(IF(COUNTIF($BA$3,MONTH), ROW(MONTH)-MIN(ROW(MONTH))+1),ROW(A254)),COLUMN(A254))),"",INDEX(RESULT_DURATION,SMALL(IF(COUNTIF($BA$3,MONTH), ROW(MONTH)-MIN(ROW(MONTH))+1),ROW(A254)),COLUMN(A254)))</f>
        <v/>
      </c>
      <c r="BH258" t="str" cm="1">
        <f t="array" ref="BH258">IF(ISERROR(INDEX(RESULT_CATEGORIES,SMALL(IF(COUNTIF($BA$3,MONTH), ROW(MONTH)-MIN(ROW(MONTH))+1),ROW(A254)),COLUMN(A254))),"",INDEX(RESULT_CATEGORIES,SMALL(IF(COUNTIF($BA$3,MONTH), ROW(MONTH)-MIN(ROW(MONTH))+1),ROW(A254)),COLUMN(A254)))</f>
        <v/>
      </c>
      <c r="BI258" t="str" cm="1">
        <f t="array" ref="BI258">IF(ISERROR(INDEX(RESULTLOCATION,SMALL(IF(COUNTIF($BA$3,MONTH), ROW(MONTH)-MIN(ROW(MONTH))+1),ROW(A254)),COLUMN(A254))),"",INDEX(RESULTLOCATION,SMALL(IF(COUNTIF($BA$3,MONTH), ROW(MONTH)-MIN(ROW(MONTH))+1),ROW(A254)),COLUMN(A254)))</f>
        <v/>
      </c>
    </row>
    <row r="259" spans="53:61" x14ac:dyDescent="0.3">
      <c r="BA259" t="str" cm="1">
        <f t="array" ref="BA259">IF(ISERROR(INDEX(RESULT_SUBJECT,SMALL(IF(COUNTIF($BA$3,MONTH), ROW(MONTH)-MIN(ROW(MONTH))+1),ROW(A255)),COLUMN(A255))),"",INDEX(RESULT_SUBJECT,SMALL(IF(COUNTIF($BA$3,MONTH), ROW(MONTH)-MIN(ROW(MONTH))+1),ROW(A255)),COLUMN(A255)))</f>
        <v/>
      </c>
      <c r="BB259" t="str" cm="1">
        <f t="array" ref="BB259">IF(ISERROR(INDEX(WEEK,SMALL(IF(COUNTIF($BA$3,MONTH), ROW(MONTH)-MIN(ROW(MONTH))+1),ROW(A255)),COLUMN(A255))),"",INDEX(WEEK,SMALL(IF(COUNTIF($BA$3,MONTH), ROW(MONTH)-MIN(ROW(MONTH))+1),ROW(A255)),COLUMN(A255)))</f>
        <v/>
      </c>
      <c r="BC259" t="str" cm="1">
        <f t="array" ref="BC259">IF(ISERROR(INDEX(RESULT_DAY,SMALL(IF(COUNTIF($BA$3,MONTH), ROW(MONTH)-MIN(ROW(MONTH))+1),ROW(A255)),COLUMN(A255))),"",INDEX(RESULT_DAY,SMALL(IF(COUNTIF($BA$3,MONTH), ROW(MONTH)-MIN(ROW(MONTH))+1),ROW(A255)),COLUMN(A255)))</f>
        <v/>
      </c>
      <c r="BD259" s="29" t="str">
        <f t="shared" si="54"/>
        <v/>
      </c>
      <c r="BE259" s="2" t="str" cm="1">
        <f t="array" ref="BE259">IF(ISERROR(INDEX(RESULT_DURATION,SMALL(IF(COUNTIF($BA$3,MONTH), ROW(MONTH)-MIN(ROW(MONTH))+1),ROW(A255)),COLUMN(A255))),"",INDEX(RESULT_DURATION,SMALL(IF(COUNTIF($BA$3,MONTH), ROW(MONTH)-MIN(ROW(MONTH))+1),ROW(A255)),COLUMN(A255)))</f>
        <v/>
      </c>
      <c r="BH259" t="str" cm="1">
        <f t="array" ref="BH259">IF(ISERROR(INDEX(RESULT_CATEGORIES,SMALL(IF(COUNTIF($BA$3,MONTH), ROW(MONTH)-MIN(ROW(MONTH))+1),ROW(A255)),COLUMN(A255))),"",INDEX(RESULT_CATEGORIES,SMALL(IF(COUNTIF($BA$3,MONTH), ROW(MONTH)-MIN(ROW(MONTH))+1),ROW(A255)),COLUMN(A255)))</f>
        <v/>
      </c>
      <c r="BI259" t="str" cm="1">
        <f t="array" ref="BI259">IF(ISERROR(INDEX(RESULTLOCATION,SMALL(IF(COUNTIF($BA$3,MONTH), ROW(MONTH)-MIN(ROW(MONTH))+1),ROW(A255)),COLUMN(A255))),"",INDEX(RESULTLOCATION,SMALL(IF(COUNTIF($BA$3,MONTH), ROW(MONTH)-MIN(ROW(MONTH))+1),ROW(A255)),COLUMN(A255)))</f>
        <v/>
      </c>
    </row>
    <row r="260" spans="53:61" x14ac:dyDescent="0.3">
      <c r="BA260" t="str" cm="1">
        <f t="array" ref="BA260">IF(ISERROR(INDEX(RESULT_SUBJECT,SMALL(IF(COUNTIF($BA$3,MONTH), ROW(MONTH)-MIN(ROW(MONTH))+1),ROW(A256)),COLUMN(A256))),"",INDEX(RESULT_SUBJECT,SMALL(IF(COUNTIF($BA$3,MONTH), ROW(MONTH)-MIN(ROW(MONTH))+1),ROW(A256)),COLUMN(A256)))</f>
        <v/>
      </c>
      <c r="BB260" t="str" cm="1">
        <f t="array" ref="BB260">IF(ISERROR(INDEX(WEEK,SMALL(IF(COUNTIF($BA$3,MONTH), ROW(MONTH)-MIN(ROW(MONTH))+1),ROW(A256)),COLUMN(A256))),"",INDEX(WEEK,SMALL(IF(COUNTIF($BA$3,MONTH), ROW(MONTH)-MIN(ROW(MONTH))+1),ROW(A256)),COLUMN(A256)))</f>
        <v/>
      </c>
      <c r="BC260" t="str" cm="1">
        <f t="array" ref="BC260">IF(ISERROR(INDEX(RESULT_DAY,SMALL(IF(COUNTIF($BA$3,MONTH), ROW(MONTH)-MIN(ROW(MONTH))+1),ROW(A256)),COLUMN(A256))),"",INDEX(RESULT_DAY,SMALL(IF(COUNTIF($BA$3,MONTH), ROW(MONTH)-MIN(ROW(MONTH))+1),ROW(A256)),COLUMN(A256)))</f>
        <v/>
      </c>
      <c r="BD260" s="29" t="str">
        <f t="shared" si="54"/>
        <v/>
      </c>
      <c r="BE260" s="2" t="str" cm="1">
        <f t="array" ref="BE260">IF(ISERROR(INDEX(RESULT_DURATION,SMALL(IF(COUNTIF($BA$3,MONTH), ROW(MONTH)-MIN(ROW(MONTH))+1),ROW(A256)),COLUMN(A256))),"",INDEX(RESULT_DURATION,SMALL(IF(COUNTIF($BA$3,MONTH), ROW(MONTH)-MIN(ROW(MONTH))+1),ROW(A256)),COLUMN(A256)))</f>
        <v/>
      </c>
      <c r="BH260" t="str" cm="1">
        <f t="array" ref="BH260">IF(ISERROR(INDEX(RESULT_CATEGORIES,SMALL(IF(COUNTIF($BA$3,MONTH), ROW(MONTH)-MIN(ROW(MONTH))+1),ROW(A256)),COLUMN(A256))),"",INDEX(RESULT_CATEGORIES,SMALL(IF(COUNTIF($BA$3,MONTH), ROW(MONTH)-MIN(ROW(MONTH))+1),ROW(A256)),COLUMN(A256)))</f>
        <v/>
      </c>
      <c r="BI260" t="str" cm="1">
        <f t="array" ref="BI260">IF(ISERROR(INDEX(RESULTLOCATION,SMALL(IF(COUNTIF($BA$3,MONTH), ROW(MONTH)-MIN(ROW(MONTH))+1),ROW(A256)),COLUMN(A256))),"",INDEX(RESULTLOCATION,SMALL(IF(COUNTIF($BA$3,MONTH), ROW(MONTH)-MIN(ROW(MONTH))+1),ROW(A256)),COLUMN(A256)))</f>
        <v/>
      </c>
    </row>
    <row r="261" spans="53:61" x14ac:dyDescent="0.3">
      <c r="BA261" t="str" cm="1">
        <f t="array" ref="BA261">IF(ISERROR(INDEX(RESULT_SUBJECT,SMALL(IF(COUNTIF($BA$3,MONTH), ROW(MONTH)-MIN(ROW(MONTH))+1),ROW(A257)),COLUMN(A257))),"",INDEX(RESULT_SUBJECT,SMALL(IF(COUNTIF($BA$3,MONTH), ROW(MONTH)-MIN(ROW(MONTH))+1),ROW(A257)),COLUMN(A257)))</f>
        <v/>
      </c>
      <c r="BB261" t="str" cm="1">
        <f t="array" ref="BB261">IF(ISERROR(INDEX(WEEK,SMALL(IF(COUNTIF($BA$3,MONTH), ROW(MONTH)-MIN(ROW(MONTH))+1),ROW(A257)),COLUMN(A257))),"",INDEX(WEEK,SMALL(IF(COUNTIF($BA$3,MONTH), ROW(MONTH)-MIN(ROW(MONTH))+1),ROW(A257)),COLUMN(A257)))</f>
        <v/>
      </c>
      <c r="BC261" t="str" cm="1">
        <f t="array" ref="BC261">IF(ISERROR(INDEX(RESULT_DAY,SMALL(IF(COUNTIF($BA$3,MONTH), ROW(MONTH)-MIN(ROW(MONTH))+1),ROW(A257)),COLUMN(A257))),"",INDEX(RESULT_DAY,SMALL(IF(COUNTIF($BA$3,MONTH), ROW(MONTH)-MIN(ROW(MONTH))+1),ROW(A257)),COLUMN(A257)))</f>
        <v/>
      </c>
      <c r="BD261" s="29" t="str">
        <f t="shared" si="54"/>
        <v/>
      </c>
      <c r="BE261" s="2" t="str" cm="1">
        <f t="array" ref="BE261">IF(ISERROR(INDEX(RESULT_DURATION,SMALL(IF(COUNTIF($BA$3,MONTH), ROW(MONTH)-MIN(ROW(MONTH))+1),ROW(A257)),COLUMN(A257))),"",INDEX(RESULT_DURATION,SMALL(IF(COUNTIF($BA$3,MONTH), ROW(MONTH)-MIN(ROW(MONTH))+1),ROW(A257)),COLUMN(A257)))</f>
        <v/>
      </c>
      <c r="BH261" t="str" cm="1">
        <f t="array" ref="BH261">IF(ISERROR(INDEX(RESULT_CATEGORIES,SMALL(IF(COUNTIF($BA$3,MONTH), ROW(MONTH)-MIN(ROW(MONTH))+1),ROW(A257)),COLUMN(A257))),"",INDEX(RESULT_CATEGORIES,SMALL(IF(COUNTIF($BA$3,MONTH), ROW(MONTH)-MIN(ROW(MONTH))+1),ROW(A257)),COLUMN(A257)))</f>
        <v/>
      </c>
      <c r="BI261" t="str" cm="1">
        <f t="array" ref="BI261">IF(ISERROR(INDEX(RESULTLOCATION,SMALL(IF(COUNTIF($BA$3,MONTH), ROW(MONTH)-MIN(ROW(MONTH))+1),ROW(A257)),COLUMN(A257))),"",INDEX(RESULTLOCATION,SMALL(IF(COUNTIF($BA$3,MONTH), ROW(MONTH)-MIN(ROW(MONTH))+1),ROW(A257)),COLUMN(A257)))</f>
        <v/>
      </c>
    </row>
    <row r="262" spans="53:61" x14ac:dyDescent="0.3">
      <c r="BA262" t="str" cm="1">
        <f t="array" ref="BA262">IF(ISERROR(INDEX(RESULT_SUBJECT,SMALL(IF(COUNTIF($BA$3,MONTH), ROW(MONTH)-MIN(ROW(MONTH))+1),ROW(A258)),COLUMN(A258))),"",INDEX(RESULT_SUBJECT,SMALL(IF(COUNTIF($BA$3,MONTH), ROW(MONTH)-MIN(ROW(MONTH))+1),ROW(A258)),COLUMN(A258)))</f>
        <v/>
      </c>
      <c r="BB262" t="str" cm="1">
        <f t="array" ref="BB262">IF(ISERROR(INDEX(WEEK,SMALL(IF(COUNTIF($BA$3,MONTH), ROW(MONTH)-MIN(ROW(MONTH))+1),ROW(A258)),COLUMN(A258))),"",INDEX(WEEK,SMALL(IF(COUNTIF($BA$3,MONTH), ROW(MONTH)-MIN(ROW(MONTH))+1),ROW(A258)),COLUMN(A258)))</f>
        <v/>
      </c>
      <c r="BC262" t="str" cm="1">
        <f t="array" ref="BC262">IF(ISERROR(INDEX(RESULT_DAY,SMALL(IF(COUNTIF($BA$3,MONTH), ROW(MONTH)-MIN(ROW(MONTH))+1),ROW(A258)),COLUMN(A258))),"",INDEX(RESULT_DAY,SMALL(IF(COUNTIF($BA$3,MONTH), ROW(MONTH)-MIN(ROW(MONTH))+1),ROW(A258)),COLUMN(A258)))</f>
        <v/>
      </c>
      <c r="BD262" s="29" t="str">
        <f t="shared" si="54"/>
        <v/>
      </c>
      <c r="BE262" s="2" t="str" cm="1">
        <f t="array" ref="BE262">IF(ISERROR(INDEX(RESULT_DURATION,SMALL(IF(COUNTIF($BA$3,MONTH), ROW(MONTH)-MIN(ROW(MONTH))+1),ROW(A258)),COLUMN(A258))),"",INDEX(RESULT_DURATION,SMALL(IF(COUNTIF($BA$3,MONTH), ROW(MONTH)-MIN(ROW(MONTH))+1),ROW(A258)),COLUMN(A258)))</f>
        <v/>
      </c>
      <c r="BH262" t="str" cm="1">
        <f t="array" ref="BH262">IF(ISERROR(INDEX(RESULT_CATEGORIES,SMALL(IF(COUNTIF($BA$3,MONTH), ROW(MONTH)-MIN(ROW(MONTH))+1),ROW(A258)),COLUMN(A258))),"",INDEX(RESULT_CATEGORIES,SMALL(IF(COUNTIF($BA$3,MONTH), ROW(MONTH)-MIN(ROW(MONTH))+1),ROW(A258)),COLUMN(A258)))</f>
        <v/>
      </c>
      <c r="BI262" t="str" cm="1">
        <f t="array" ref="BI262">IF(ISERROR(INDEX(RESULTLOCATION,SMALL(IF(COUNTIF($BA$3,MONTH), ROW(MONTH)-MIN(ROW(MONTH))+1),ROW(A258)),COLUMN(A258))),"",INDEX(RESULTLOCATION,SMALL(IF(COUNTIF($BA$3,MONTH), ROW(MONTH)-MIN(ROW(MONTH))+1),ROW(A258)),COLUMN(A258)))</f>
        <v/>
      </c>
    </row>
    <row r="263" spans="53:61" x14ac:dyDescent="0.3">
      <c r="BA263" t="str" cm="1">
        <f t="array" ref="BA263">IF(ISERROR(INDEX(RESULT_SUBJECT,SMALL(IF(COUNTIF($BA$3,MONTH), ROW(MONTH)-MIN(ROW(MONTH))+1),ROW(A259)),COLUMN(A259))),"",INDEX(RESULT_SUBJECT,SMALL(IF(COUNTIF($BA$3,MONTH), ROW(MONTH)-MIN(ROW(MONTH))+1),ROW(A259)),COLUMN(A259)))</f>
        <v/>
      </c>
      <c r="BB263" t="str" cm="1">
        <f t="array" ref="BB263">IF(ISERROR(INDEX(WEEK,SMALL(IF(COUNTIF($BA$3,MONTH), ROW(MONTH)-MIN(ROW(MONTH))+1),ROW(A259)),COLUMN(A259))),"",INDEX(WEEK,SMALL(IF(COUNTIF($BA$3,MONTH), ROW(MONTH)-MIN(ROW(MONTH))+1),ROW(A259)),COLUMN(A259)))</f>
        <v/>
      </c>
      <c r="BC263" t="str" cm="1">
        <f t="array" ref="BC263">IF(ISERROR(INDEX(RESULT_DAY,SMALL(IF(COUNTIF($BA$3,MONTH), ROW(MONTH)-MIN(ROW(MONTH))+1),ROW(A259)),COLUMN(A259))),"",INDEX(RESULT_DAY,SMALL(IF(COUNTIF($BA$3,MONTH), ROW(MONTH)-MIN(ROW(MONTH))+1),ROW(A259)),COLUMN(A259)))</f>
        <v/>
      </c>
      <c r="BD263" s="29" t="str">
        <f t="shared" si="54"/>
        <v/>
      </c>
      <c r="BE263" s="2" t="str" cm="1">
        <f t="array" ref="BE263">IF(ISERROR(INDEX(RESULT_DURATION,SMALL(IF(COUNTIF($BA$3,MONTH), ROW(MONTH)-MIN(ROW(MONTH))+1),ROW(A259)),COLUMN(A259))),"",INDEX(RESULT_DURATION,SMALL(IF(COUNTIF($BA$3,MONTH), ROW(MONTH)-MIN(ROW(MONTH))+1),ROW(A259)),COLUMN(A259)))</f>
        <v/>
      </c>
      <c r="BH263" t="str" cm="1">
        <f t="array" ref="BH263">IF(ISERROR(INDEX(RESULT_CATEGORIES,SMALL(IF(COUNTIF($BA$3,MONTH), ROW(MONTH)-MIN(ROW(MONTH))+1),ROW(A259)),COLUMN(A259))),"",INDEX(RESULT_CATEGORIES,SMALL(IF(COUNTIF($BA$3,MONTH), ROW(MONTH)-MIN(ROW(MONTH))+1),ROW(A259)),COLUMN(A259)))</f>
        <v/>
      </c>
      <c r="BI263" t="str" cm="1">
        <f t="array" ref="BI263">IF(ISERROR(INDEX(RESULTLOCATION,SMALL(IF(COUNTIF($BA$3,MONTH), ROW(MONTH)-MIN(ROW(MONTH))+1),ROW(A259)),COLUMN(A259))),"",INDEX(RESULTLOCATION,SMALL(IF(COUNTIF($BA$3,MONTH), ROW(MONTH)-MIN(ROW(MONTH))+1),ROW(A259)),COLUMN(A259)))</f>
        <v/>
      </c>
    </row>
    <row r="264" spans="53:61" x14ac:dyDescent="0.3">
      <c r="BA264" t="str" cm="1">
        <f t="array" ref="BA264">IF(ISERROR(INDEX(RESULT_SUBJECT,SMALL(IF(COUNTIF($BA$3,MONTH), ROW(MONTH)-MIN(ROW(MONTH))+1),ROW(A260)),COLUMN(A260))),"",INDEX(RESULT_SUBJECT,SMALL(IF(COUNTIF($BA$3,MONTH), ROW(MONTH)-MIN(ROW(MONTH))+1),ROW(A260)),COLUMN(A260)))</f>
        <v/>
      </c>
      <c r="BB264" t="str" cm="1">
        <f t="array" ref="BB264">IF(ISERROR(INDEX(WEEK,SMALL(IF(COUNTIF($BA$3,MONTH), ROW(MONTH)-MIN(ROW(MONTH))+1),ROW(A260)),COLUMN(A260))),"",INDEX(WEEK,SMALL(IF(COUNTIF($BA$3,MONTH), ROW(MONTH)-MIN(ROW(MONTH))+1),ROW(A260)),COLUMN(A260)))</f>
        <v/>
      </c>
      <c r="BC264" t="str" cm="1">
        <f t="array" ref="BC264">IF(ISERROR(INDEX(RESULT_DAY,SMALL(IF(COUNTIF($BA$3,MONTH), ROW(MONTH)-MIN(ROW(MONTH))+1),ROW(A260)),COLUMN(A260))),"",INDEX(RESULT_DAY,SMALL(IF(COUNTIF($BA$3,MONTH), ROW(MONTH)-MIN(ROW(MONTH))+1),ROW(A260)),COLUMN(A260)))</f>
        <v/>
      </c>
      <c r="BD264" s="29" t="str">
        <f t="shared" ref="BD264:BD278" si="55">IF(ISERROR((DATE(2021,1,1)+($BA$3-2)*7)+BC264+1),"",(DATE(2021,1,1)+($BA$3-2)*7)+BC264+1)</f>
        <v/>
      </c>
      <c r="BE264" s="2" t="str" cm="1">
        <f t="array" ref="BE264">IF(ISERROR(INDEX(RESULT_DURATION,SMALL(IF(COUNTIF($BA$3,MONTH), ROW(MONTH)-MIN(ROW(MONTH))+1),ROW(A260)),COLUMN(A260))),"",INDEX(RESULT_DURATION,SMALL(IF(COUNTIF($BA$3,MONTH), ROW(MONTH)-MIN(ROW(MONTH))+1),ROW(A260)),COLUMN(A260)))</f>
        <v/>
      </c>
      <c r="BH264" t="str" cm="1">
        <f t="array" ref="BH264">IF(ISERROR(INDEX(RESULT_CATEGORIES,SMALL(IF(COUNTIF($BA$3,MONTH), ROW(MONTH)-MIN(ROW(MONTH))+1),ROW(A260)),COLUMN(A260))),"",INDEX(RESULT_CATEGORIES,SMALL(IF(COUNTIF($BA$3,MONTH), ROW(MONTH)-MIN(ROW(MONTH))+1),ROW(A260)),COLUMN(A260)))</f>
        <v/>
      </c>
      <c r="BI264" t="str" cm="1">
        <f t="array" ref="BI264">IF(ISERROR(INDEX(RESULTLOCATION,SMALL(IF(COUNTIF($BA$3,MONTH), ROW(MONTH)-MIN(ROW(MONTH))+1),ROW(A260)),COLUMN(A260))),"",INDEX(RESULTLOCATION,SMALL(IF(COUNTIF($BA$3,MONTH), ROW(MONTH)-MIN(ROW(MONTH))+1),ROW(A260)),COLUMN(A260)))</f>
        <v/>
      </c>
    </row>
    <row r="265" spans="53:61" x14ac:dyDescent="0.3">
      <c r="BA265" t="str" cm="1">
        <f t="array" ref="BA265">IF(ISERROR(INDEX(RESULT_SUBJECT,SMALL(IF(COUNTIF($BA$3,MONTH), ROW(MONTH)-MIN(ROW(MONTH))+1),ROW(A261)),COLUMN(A261))),"",INDEX(RESULT_SUBJECT,SMALL(IF(COUNTIF($BA$3,MONTH), ROW(MONTH)-MIN(ROW(MONTH))+1),ROW(A261)),COLUMN(A261)))</f>
        <v/>
      </c>
      <c r="BB265" t="str" cm="1">
        <f t="array" ref="BB265">IF(ISERROR(INDEX(WEEK,SMALL(IF(COUNTIF($BA$3,MONTH), ROW(MONTH)-MIN(ROW(MONTH))+1),ROW(A261)),COLUMN(A261))),"",INDEX(WEEK,SMALL(IF(COUNTIF($BA$3,MONTH), ROW(MONTH)-MIN(ROW(MONTH))+1),ROW(A261)),COLUMN(A261)))</f>
        <v/>
      </c>
      <c r="BC265" t="str" cm="1">
        <f t="array" ref="BC265">IF(ISERROR(INDEX(RESULT_DAY,SMALL(IF(COUNTIF($BA$3,MONTH), ROW(MONTH)-MIN(ROW(MONTH))+1),ROW(A261)),COLUMN(A261))),"",INDEX(RESULT_DAY,SMALL(IF(COUNTIF($BA$3,MONTH), ROW(MONTH)-MIN(ROW(MONTH))+1),ROW(A261)),COLUMN(A261)))</f>
        <v/>
      </c>
      <c r="BD265" s="29" t="str">
        <f t="shared" si="55"/>
        <v/>
      </c>
      <c r="BE265" s="2" t="str" cm="1">
        <f t="array" ref="BE265">IF(ISERROR(INDEX(RESULT_DURATION,SMALL(IF(COUNTIF($BA$3,MONTH), ROW(MONTH)-MIN(ROW(MONTH))+1),ROW(A261)),COLUMN(A261))),"",INDEX(RESULT_DURATION,SMALL(IF(COUNTIF($BA$3,MONTH), ROW(MONTH)-MIN(ROW(MONTH))+1),ROW(A261)),COLUMN(A261)))</f>
        <v/>
      </c>
      <c r="BH265" t="str" cm="1">
        <f t="array" ref="BH265">IF(ISERROR(INDEX(RESULT_CATEGORIES,SMALL(IF(COUNTIF($BA$3,MONTH), ROW(MONTH)-MIN(ROW(MONTH))+1),ROW(A261)),COLUMN(A261))),"",INDEX(RESULT_CATEGORIES,SMALL(IF(COUNTIF($BA$3,MONTH), ROW(MONTH)-MIN(ROW(MONTH))+1),ROW(A261)),COLUMN(A261)))</f>
        <v/>
      </c>
      <c r="BI265" t="str" cm="1">
        <f t="array" ref="BI265">IF(ISERROR(INDEX(RESULTLOCATION,SMALL(IF(COUNTIF($BA$3,MONTH), ROW(MONTH)-MIN(ROW(MONTH))+1),ROW(A261)),COLUMN(A261))),"",INDEX(RESULTLOCATION,SMALL(IF(COUNTIF($BA$3,MONTH), ROW(MONTH)-MIN(ROW(MONTH))+1),ROW(A261)),COLUMN(A261)))</f>
        <v/>
      </c>
    </row>
    <row r="266" spans="53:61" x14ac:dyDescent="0.3">
      <c r="BA266" t="str" cm="1">
        <f t="array" ref="BA266">IF(ISERROR(INDEX(RESULT_SUBJECT,SMALL(IF(COUNTIF($BA$3,MONTH), ROW(MONTH)-MIN(ROW(MONTH))+1),ROW(A262)),COLUMN(A262))),"",INDEX(RESULT_SUBJECT,SMALL(IF(COUNTIF($BA$3,MONTH), ROW(MONTH)-MIN(ROW(MONTH))+1),ROW(A262)),COLUMN(A262)))</f>
        <v/>
      </c>
      <c r="BB266" t="str" cm="1">
        <f t="array" ref="BB266">IF(ISERROR(INDEX(WEEK,SMALL(IF(COUNTIF($BA$3,MONTH), ROW(MONTH)-MIN(ROW(MONTH))+1),ROW(A262)),COLUMN(A262))),"",INDEX(WEEK,SMALL(IF(COUNTIF($BA$3,MONTH), ROW(MONTH)-MIN(ROW(MONTH))+1),ROW(A262)),COLUMN(A262)))</f>
        <v/>
      </c>
      <c r="BC266" t="str" cm="1">
        <f t="array" ref="BC266">IF(ISERROR(INDEX(RESULT_DAY,SMALL(IF(COUNTIF($BA$3,MONTH), ROW(MONTH)-MIN(ROW(MONTH))+1),ROW(A262)),COLUMN(A262))),"",INDEX(RESULT_DAY,SMALL(IF(COUNTIF($BA$3,MONTH), ROW(MONTH)-MIN(ROW(MONTH))+1),ROW(A262)),COLUMN(A262)))</f>
        <v/>
      </c>
      <c r="BD266" s="29" t="str">
        <f t="shared" si="55"/>
        <v/>
      </c>
      <c r="BE266" s="2" t="str" cm="1">
        <f t="array" ref="BE266">IF(ISERROR(INDEX(RESULT_DURATION,SMALL(IF(COUNTIF($BA$3,MONTH), ROW(MONTH)-MIN(ROW(MONTH))+1),ROW(A262)),COLUMN(A262))),"",INDEX(RESULT_DURATION,SMALL(IF(COUNTIF($BA$3,MONTH), ROW(MONTH)-MIN(ROW(MONTH))+1),ROW(A262)),COLUMN(A262)))</f>
        <v/>
      </c>
      <c r="BH266" t="str" cm="1">
        <f t="array" ref="BH266">IF(ISERROR(INDEX(RESULT_CATEGORIES,SMALL(IF(COUNTIF($BA$3,MONTH), ROW(MONTH)-MIN(ROW(MONTH))+1),ROW(A262)),COLUMN(A262))),"",INDEX(RESULT_CATEGORIES,SMALL(IF(COUNTIF($BA$3,MONTH), ROW(MONTH)-MIN(ROW(MONTH))+1),ROW(A262)),COLUMN(A262)))</f>
        <v/>
      </c>
      <c r="BI266" t="str" cm="1">
        <f t="array" ref="BI266">IF(ISERROR(INDEX(RESULTLOCATION,SMALL(IF(COUNTIF($BA$3,MONTH), ROW(MONTH)-MIN(ROW(MONTH))+1),ROW(A262)),COLUMN(A262))),"",INDEX(RESULTLOCATION,SMALL(IF(COUNTIF($BA$3,MONTH), ROW(MONTH)-MIN(ROW(MONTH))+1),ROW(A262)),COLUMN(A262)))</f>
        <v/>
      </c>
    </row>
    <row r="267" spans="53:61" x14ac:dyDescent="0.3">
      <c r="BA267" t="str" cm="1">
        <f t="array" ref="BA267">IF(ISERROR(INDEX(RESULT_SUBJECT,SMALL(IF(COUNTIF($BA$3,MONTH), ROW(MONTH)-MIN(ROW(MONTH))+1),ROW(A263)),COLUMN(A263))),"",INDEX(RESULT_SUBJECT,SMALL(IF(COUNTIF($BA$3,MONTH), ROW(MONTH)-MIN(ROW(MONTH))+1),ROW(A263)),COLUMN(A263)))</f>
        <v/>
      </c>
      <c r="BB267" t="str" cm="1">
        <f t="array" ref="BB267">IF(ISERROR(INDEX(WEEK,SMALL(IF(COUNTIF($BA$3,MONTH), ROW(MONTH)-MIN(ROW(MONTH))+1),ROW(A263)),COLUMN(A263))),"",INDEX(WEEK,SMALL(IF(COUNTIF($BA$3,MONTH), ROW(MONTH)-MIN(ROW(MONTH))+1),ROW(A263)),COLUMN(A263)))</f>
        <v/>
      </c>
      <c r="BC267" t="str" cm="1">
        <f t="array" ref="BC267">IF(ISERROR(INDEX(RESULT_DAY,SMALL(IF(COUNTIF($BA$3,MONTH), ROW(MONTH)-MIN(ROW(MONTH))+1),ROW(A263)),COLUMN(A263))),"",INDEX(RESULT_DAY,SMALL(IF(COUNTIF($BA$3,MONTH), ROW(MONTH)-MIN(ROW(MONTH))+1),ROW(A263)),COLUMN(A263)))</f>
        <v/>
      </c>
      <c r="BD267" s="29" t="str">
        <f t="shared" si="55"/>
        <v/>
      </c>
      <c r="BE267" s="2" t="str" cm="1">
        <f t="array" ref="BE267">IF(ISERROR(INDEX(RESULT_DURATION,SMALL(IF(COUNTIF($BA$3,MONTH), ROW(MONTH)-MIN(ROW(MONTH))+1),ROW(A263)),COLUMN(A263))),"",INDEX(RESULT_DURATION,SMALL(IF(COUNTIF($BA$3,MONTH), ROW(MONTH)-MIN(ROW(MONTH))+1),ROW(A263)),COLUMN(A263)))</f>
        <v/>
      </c>
      <c r="BH267" t="str" cm="1">
        <f t="array" ref="BH267">IF(ISERROR(INDEX(RESULT_CATEGORIES,SMALL(IF(COUNTIF($BA$3,MONTH), ROW(MONTH)-MIN(ROW(MONTH))+1),ROW(A263)),COLUMN(A263))),"",INDEX(RESULT_CATEGORIES,SMALL(IF(COUNTIF($BA$3,MONTH), ROW(MONTH)-MIN(ROW(MONTH))+1),ROW(A263)),COLUMN(A263)))</f>
        <v/>
      </c>
      <c r="BI267" t="str" cm="1">
        <f t="array" ref="BI267">IF(ISERROR(INDEX(RESULTLOCATION,SMALL(IF(COUNTIF($BA$3,MONTH), ROW(MONTH)-MIN(ROW(MONTH))+1),ROW(A263)),COLUMN(A263))),"",INDEX(RESULTLOCATION,SMALL(IF(COUNTIF($BA$3,MONTH), ROW(MONTH)-MIN(ROW(MONTH))+1),ROW(A263)),COLUMN(A263)))</f>
        <v/>
      </c>
    </row>
    <row r="268" spans="53:61" x14ac:dyDescent="0.3">
      <c r="BA268" t="str" cm="1">
        <f t="array" ref="BA268">IF(ISERROR(INDEX(RESULT_SUBJECT,SMALL(IF(COUNTIF($BA$3,MONTH), ROW(MONTH)-MIN(ROW(MONTH))+1),ROW(A264)),COLUMN(A264))),"",INDEX(RESULT_SUBJECT,SMALL(IF(COUNTIF($BA$3,MONTH), ROW(MONTH)-MIN(ROW(MONTH))+1),ROW(A264)),COLUMN(A264)))</f>
        <v/>
      </c>
      <c r="BB268" t="str" cm="1">
        <f t="array" ref="BB268">IF(ISERROR(INDEX(WEEK,SMALL(IF(COUNTIF($BA$3,MONTH), ROW(MONTH)-MIN(ROW(MONTH))+1),ROW(A264)),COLUMN(A264))),"",INDEX(WEEK,SMALL(IF(COUNTIF($BA$3,MONTH), ROW(MONTH)-MIN(ROW(MONTH))+1),ROW(A264)),COLUMN(A264)))</f>
        <v/>
      </c>
      <c r="BC268" t="str" cm="1">
        <f t="array" ref="BC268">IF(ISERROR(INDEX(RESULT_DAY,SMALL(IF(COUNTIF($BA$3,MONTH), ROW(MONTH)-MIN(ROW(MONTH))+1),ROW(A264)),COLUMN(A264))),"",INDEX(RESULT_DAY,SMALL(IF(COUNTIF($BA$3,MONTH), ROW(MONTH)-MIN(ROW(MONTH))+1),ROW(A264)),COLUMN(A264)))</f>
        <v/>
      </c>
      <c r="BD268" s="29" t="str">
        <f t="shared" si="55"/>
        <v/>
      </c>
      <c r="BE268" s="2" t="str" cm="1">
        <f t="array" ref="BE268">IF(ISERROR(INDEX(RESULT_DURATION,SMALL(IF(COUNTIF($BA$3,MONTH), ROW(MONTH)-MIN(ROW(MONTH))+1),ROW(A264)),COLUMN(A264))),"",INDEX(RESULT_DURATION,SMALL(IF(COUNTIF($BA$3,MONTH), ROW(MONTH)-MIN(ROW(MONTH))+1),ROW(A264)),COLUMN(A264)))</f>
        <v/>
      </c>
      <c r="BH268" t="str" cm="1">
        <f t="array" ref="BH268">IF(ISERROR(INDEX(RESULT_CATEGORIES,SMALL(IF(COUNTIF($BA$3,MONTH), ROW(MONTH)-MIN(ROW(MONTH))+1),ROW(A264)),COLUMN(A264))),"",INDEX(RESULT_CATEGORIES,SMALL(IF(COUNTIF($BA$3,MONTH), ROW(MONTH)-MIN(ROW(MONTH))+1),ROW(A264)),COLUMN(A264)))</f>
        <v/>
      </c>
      <c r="BI268" t="str" cm="1">
        <f t="array" ref="BI268">IF(ISERROR(INDEX(RESULTLOCATION,SMALL(IF(COUNTIF($BA$3,MONTH), ROW(MONTH)-MIN(ROW(MONTH))+1),ROW(A264)),COLUMN(A264))),"",INDEX(RESULTLOCATION,SMALL(IF(COUNTIF($BA$3,MONTH), ROW(MONTH)-MIN(ROW(MONTH))+1),ROW(A264)),COLUMN(A264)))</f>
        <v/>
      </c>
    </row>
    <row r="269" spans="53:61" x14ac:dyDescent="0.3">
      <c r="BA269" t="str" cm="1">
        <f t="array" ref="BA269">IF(ISERROR(INDEX(RESULT_SUBJECT,SMALL(IF(COUNTIF($BA$3,MONTH), ROW(MONTH)-MIN(ROW(MONTH))+1),ROW(A265)),COLUMN(A265))),"",INDEX(RESULT_SUBJECT,SMALL(IF(COUNTIF($BA$3,MONTH), ROW(MONTH)-MIN(ROW(MONTH))+1),ROW(A265)),COLUMN(A265)))</f>
        <v/>
      </c>
      <c r="BB269" t="str" cm="1">
        <f t="array" ref="BB269">IF(ISERROR(INDEX(WEEK,SMALL(IF(COUNTIF($BA$3,MONTH), ROW(MONTH)-MIN(ROW(MONTH))+1),ROW(A265)),COLUMN(A265))),"",INDEX(WEEK,SMALL(IF(COUNTIF($BA$3,MONTH), ROW(MONTH)-MIN(ROW(MONTH))+1),ROW(A265)),COLUMN(A265)))</f>
        <v/>
      </c>
      <c r="BC269" t="str" cm="1">
        <f t="array" ref="BC269">IF(ISERROR(INDEX(RESULT_DAY,SMALL(IF(COUNTIF($BA$3,MONTH), ROW(MONTH)-MIN(ROW(MONTH))+1),ROW(A265)),COLUMN(A265))),"",INDEX(RESULT_DAY,SMALL(IF(COUNTIF($BA$3,MONTH), ROW(MONTH)-MIN(ROW(MONTH))+1),ROW(A265)),COLUMN(A265)))</f>
        <v/>
      </c>
      <c r="BD269" s="29" t="str">
        <f t="shared" si="55"/>
        <v/>
      </c>
      <c r="BE269" s="2" t="str" cm="1">
        <f t="array" ref="BE269">IF(ISERROR(INDEX(RESULT_DURATION,SMALL(IF(COUNTIF($BA$3,MONTH), ROW(MONTH)-MIN(ROW(MONTH))+1),ROW(A265)),COLUMN(A265))),"",INDEX(RESULT_DURATION,SMALL(IF(COUNTIF($BA$3,MONTH), ROW(MONTH)-MIN(ROW(MONTH))+1),ROW(A265)),COLUMN(A265)))</f>
        <v/>
      </c>
      <c r="BH269" t="str" cm="1">
        <f t="array" ref="BH269">IF(ISERROR(INDEX(RESULT_CATEGORIES,SMALL(IF(COUNTIF($BA$3,MONTH), ROW(MONTH)-MIN(ROW(MONTH))+1),ROW(A265)),COLUMN(A265))),"",INDEX(RESULT_CATEGORIES,SMALL(IF(COUNTIF($BA$3,MONTH), ROW(MONTH)-MIN(ROW(MONTH))+1),ROW(A265)),COLUMN(A265)))</f>
        <v/>
      </c>
      <c r="BI269" t="str" cm="1">
        <f t="array" ref="BI269">IF(ISERROR(INDEX(RESULTLOCATION,SMALL(IF(COUNTIF($BA$3,MONTH), ROW(MONTH)-MIN(ROW(MONTH))+1),ROW(A265)),COLUMN(A265))),"",INDEX(RESULTLOCATION,SMALL(IF(COUNTIF($BA$3,MONTH), ROW(MONTH)-MIN(ROW(MONTH))+1),ROW(A265)),COLUMN(A265)))</f>
        <v/>
      </c>
    </row>
    <row r="270" spans="53:61" x14ac:dyDescent="0.3">
      <c r="BA270" t="str" cm="1">
        <f t="array" ref="BA270">IF(ISERROR(INDEX(RESULT_SUBJECT,SMALL(IF(COUNTIF($BA$3,MONTH), ROW(MONTH)-MIN(ROW(MONTH))+1),ROW(A266)),COLUMN(A266))),"",INDEX(RESULT_SUBJECT,SMALL(IF(COUNTIF($BA$3,MONTH), ROW(MONTH)-MIN(ROW(MONTH))+1),ROW(A266)),COLUMN(A266)))</f>
        <v/>
      </c>
      <c r="BB270" t="str" cm="1">
        <f t="array" ref="BB270">IF(ISERROR(INDEX(WEEK,SMALL(IF(COUNTIF($BA$3,MONTH), ROW(MONTH)-MIN(ROW(MONTH))+1),ROW(A266)),COLUMN(A266))),"",INDEX(WEEK,SMALL(IF(COUNTIF($BA$3,MONTH), ROW(MONTH)-MIN(ROW(MONTH))+1),ROW(A266)),COLUMN(A266)))</f>
        <v/>
      </c>
      <c r="BC270" t="str" cm="1">
        <f t="array" ref="BC270">IF(ISERROR(INDEX(RESULT_DAY,SMALL(IF(COUNTIF($BA$3,MONTH), ROW(MONTH)-MIN(ROW(MONTH))+1),ROW(A266)),COLUMN(A266))),"",INDEX(RESULT_DAY,SMALL(IF(COUNTIF($BA$3,MONTH), ROW(MONTH)-MIN(ROW(MONTH))+1),ROW(A266)),COLUMN(A266)))</f>
        <v/>
      </c>
      <c r="BD270" s="29" t="str">
        <f t="shared" si="55"/>
        <v/>
      </c>
      <c r="BE270" s="2" t="str" cm="1">
        <f t="array" ref="BE270">IF(ISERROR(INDEX(RESULT_DURATION,SMALL(IF(COUNTIF($BA$3,MONTH), ROW(MONTH)-MIN(ROW(MONTH))+1),ROW(A266)),COLUMN(A266))),"",INDEX(RESULT_DURATION,SMALL(IF(COUNTIF($BA$3,MONTH), ROW(MONTH)-MIN(ROW(MONTH))+1),ROW(A266)),COLUMN(A266)))</f>
        <v/>
      </c>
      <c r="BH270" t="str" cm="1">
        <f t="array" ref="BH270">IF(ISERROR(INDEX(RESULT_CATEGORIES,SMALL(IF(COUNTIF($BA$3,MONTH), ROW(MONTH)-MIN(ROW(MONTH))+1),ROW(A266)),COLUMN(A266))),"",INDEX(RESULT_CATEGORIES,SMALL(IF(COUNTIF($BA$3,MONTH), ROW(MONTH)-MIN(ROW(MONTH))+1),ROW(A266)),COLUMN(A266)))</f>
        <v/>
      </c>
      <c r="BI270" t="str" cm="1">
        <f t="array" ref="BI270">IF(ISERROR(INDEX(RESULTLOCATION,SMALL(IF(COUNTIF($BA$3,MONTH), ROW(MONTH)-MIN(ROW(MONTH))+1),ROW(A266)),COLUMN(A266))),"",INDEX(RESULTLOCATION,SMALL(IF(COUNTIF($BA$3,MONTH), ROW(MONTH)-MIN(ROW(MONTH))+1),ROW(A266)),COLUMN(A266)))</f>
        <v/>
      </c>
    </row>
    <row r="271" spans="53:61" x14ac:dyDescent="0.3">
      <c r="BA271" t="str" cm="1">
        <f t="array" ref="BA271">IF(ISERROR(INDEX(RESULT_SUBJECT,SMALL(IF(COUNTIF($BA$3,MONTH), ROW(MONTH)-MIN(ROW(MONTH))+1),ROW(A267)),COLUMN(A267))),"",INDEX(RESULT_SUBJECT,SMALL(IF(COUNTIF($BA$3,MONTH), ROW(MONTH)-MIN(ROW(MONTH))+1),ROW(A267)),COLUMN(A267)))</f>
        <v/>
      </c>
      <c r="BB271" t="str" cm="1">
        <f t="array" ref="BB271">IF(ISERROR(INDEX(WEEK,SMALL(IF(COUNTIF($BA$3,MONTH), ROW(MONTH)-MIN(ROW(MONTH))+1),ROW(A267)),COLUMN(A267))),"",INDEX(WEEK,SMALL(IF(COUNTIF($BA$3,MONTH), ROW(MONTH)-MIN(ROW(MONTH))+1),ROW(A267)),COLUMN(A267)))</f>
        <v/>
      </c>
      <c r="BC271" t="str" cm="1">
        <f t="array" ref="BC271">IF(ISERROR(INDEX(RESULT_DAY,SMALL(IF(COUNTIF($BA$3,MONTH), ROW(MONTH)-MIN(ROW(MONTH))+1),ROW(A267)),COLUMN(A267))),"",INDEX(RESULT_DAY,SMALL(IF(COUNTIF($BA$3,MONTH), ROW(MONTH)-MIN(ROW(MONTH))+1),ROW(A267)),COLUMN(A267)))</f>
        <v/>
      </c>
      <c r="BD271" s="29" t="str">
        <f t="shared" si="55"/>
        <v/>
      </c>
      <c r="BE271" s="2" t="str" cm="1">
        <f t="array" ref="BE271">IF(ISERROR(INDEX(RESULT_DURATION,SMALL(IF(COUNTIF($BA$3,MONTH), ROW(MONTH)-MIN(ROW(MONTH))+1),ROW(A267)),COLUMN(A267))),"",INDEX(RESULT_DURATION,SMALL(IF(COUNTIF($BA$3,MONTH), ROW(MONTH)-MIN(ROW(MONTH))+1),ROW(A267)),COLUMN(A267)))</f>
        <v/>
      </c>
      <c r="BH271" t="str" cm="1">
        <f t="array" ref="BH271">IF(ISERROR(INDEX(RESULT_CATEGORIES,SMALL(IF(COUNTIF($BA$3,MONTH), ROW(MONTH)-MIN(ROW(MONTH))+1),ROW(A267)),COLUMN(A267))),"",INDEX(RESULT_CATEGORIES,SMALL(IF(COUNTIF($BA$3,MONTH), ROW(MONTH)-MIN(ROW(MONTH))+1),ROW(A267)),COLUMN(A267)))</f>
        <v/>
      </c>
      <c r="BI271" t="str" cm="1">
        <f t="array" ref="BI271">IF(ISERROR(INDEX(RESULTLOCATION,SMALL(IF(COUNTIF($BA$3,MONTH), ROW(MONTH)-MIN(ROW(MONTH))+1),ROW(A267)),COLUMN(A267))),"",INDEX(RESULTLOCATION,SMALL(IF(COUNTIF($BA$3,MONTH), ROW(MONTH)-MIN(ROW(MONTH))+1),ROW(A267)),COLUMN(A267)))</f>
        <v/>
      </c>
    </row>
    <row r="272" spans="53:61" x14ac:dyDescent="0.3">
      <c r="BA272" t="str" cm="1">
        <f t="array" ref="BA272">IF(ISERROR(INDEX(RESULT_SUBJECT,SMALL(IF(COUNTIF($BA$3,MONTH), ROW(MONTH)-MIN(ROW(MONTH))+1),ROW(A268)),COLUMN(A268))),"",INDEX(RESULT_SUBJECT,SMALL(IF(COUNTIF($BA$3,MONTH), ROW(MONTH)-MIN(ROW(MONTH))+1),ROW(A268)),COLUMN(A268)))</f>
        <v/>
      </c>
      <c r="BB272" t="str" cm="1">
        <f t="array" ref="BB272">IF(ISERROR(INDEX(WEEK,SMALL(IF(COUNTIF($BA$3,MONTH), ROW(MONTH)-MIN(ROW(MONTH))+1),ROW(A268)),COLUMN(A268))),"",INDEX(WEEK,SMALL(IF(COUNTIF($BA$3,MONTH), ROW(MONTH)-MIN(ROW(MONTH))+1),ROW(A268)),COLUMN(A268)))</f>
        <v/>
      </c>
      <c r="BC272" t="str" cm="1">
        <f t="array" ref="BC272">IF(ISERROR(INDEX(RESULT_DAY,SMALL(IF(COUNTIF($BA$3,MONTH), ROW(MONTH)-MIN(ROW(MONTH))+1),ROW(A268)),COLUMN(A268))),"",INDEX(RESULT_DAY,SMALL(IF(COUNTIF($BA$3,MONTH), ROW(MONTH)-MIN(ROW(MONTH))+1),ROW(A268)),COLUMN(A268)))</f>
        <v/>
      </c>
      <c r="BD272" s="29" t="str">
        <f t="shared" si="55"/>
        <v/>
      </c>
      <c r="BE272" s="2" t="str" cm="1">
        <f t="array" ref="BE272">IF(ISERROR(INDEX(RESULT_DURATION,SMALL(IF(COUNTIF($BA$3,MONTH), ROW(MONTH)-MIN(ROW(MONTH))+1),ROW(A268)),COLUMN(A268))),"",INDEX(RESULT_DURATION,SMALL(IF(COUNTIF($BA$3,MONTH), ROW(MONTH)-MIN(ROW(MONTH))+1),ROW(A268)),COLUMN(A268)))</f>
        <v/>
      </c>
      <c r="BH272" t="str" cm="1">
        <f t="array" ref="BH272">IF(ISERROR(INDEX(RESULT_CATEGORIES,SMALL(IF(COUNTIF($BA$3,MONTH), ROW(MONTH)-MIN(ROW(MONTH))+1),ROW(A268)),COLUMN(A268))),"",INDEX(RESULT_CATEGORIES,SMALL(IF(COUNTIF($BA$3,MONTH), ROW(MONTH)-MIN(ROW(MONTH))+1),ROW(A268)),COLUMN(A268)))</f>
        <v/>
      </c>
      <c r="BI272" t="str" cm="1">
        <f t="array" ref="BI272">IF(ISERROR(INDEX(RESULTLOCATION,SMALL(IF(COUNTIF($BA$3,MONTH), ROW(MONTH)-MIN(ROW(MONTH))+1),ROW(A268)),COLUMN(A268))),"",INDEX(RESULTLOCATION,SMALL(IF(COUNTIF($BA$3,MONTH), ROW(MONTH)-MIN(ROW(MONTH))+1),ROW(A268)),COLUMN(A268)))</f>
        <v/>
      </c>
    </row>
    <row r="273" spans="53:61" x14ac:dyDescent="0.3">
      <c r="BA273" t="str" cm="1">
        <f t="array" ref="BA273">IF(ISERROR(INDEX(RESULT_SUBJECT,SMALL(IF(COUNTIF($BA$3,MONTH), ROW(MONTH)-MIN(ROW(MONTH))+1),ROW(A269)),COLUMN(A269))),"",INDEX(RESULT_SUBJECT,SMALL(IF(COUNTIF($BA$3,MONTH), ROW(MONTH)-MIN(ROW(MONTH))+1),ROW(A269)),COLUMN(A269)))</f>
        <v/>
      </c>
      <c r="BB273" t="str" cm="1">
        <f t="array" ref="BB273">IF(ISERROR(INDEX(WEEK,SMALL(IF(COUNTIF($BA$3,MONTH), ROW(MONTH)-MIN(ROW(MONTH))+1),ROW(A269)),COLUMN(A269))),"",INDEX(WEEK,SMALL(IF(COUNTIF($BA$3,MONTH), ROW(MONTH)-MIN(ROW(MONTH))+1),ROW(A269)),COLUMN(A269)))</f>
        <v/>
      </c>
      <c r="BC273" t="str" cm="1">
        <f t="array" ref="BC273">IF(ISERROR(INDEX(RESULT_DAY,SMALL(IF(COUNTIF($BA$3,MONTH), ROW(MONTH)-MIN(ROW(MONTH))+1),ROW(A269)),COLUMN(A269))),"",INDEX(RESULT_DAY,SMALL(IF(COUNTIF($BA$3,MONTH), ROW(MONTH)-MIN(ROW(MONTH))+1),ROW(A269)),COLUMN(A269)))</f>
        <v/>
      </c>
      <c r="BD273" s="29" t="str">
        <f t="shared" si="55"/>
        <v/>
      </c>
      <c r="BE273" s="2" t="str" cm="1">
        <f t="array" ref="BE273">IF(ISERROR(INDEX(RESULT_DURATION,SMALL(IF(COUNTIF($BA$3,MONTH), ROW(MONTH)-MIN(ROW(MONTH))+1),ROW(A269)),COLUMN(A269))),"",INDEX(RESULT_DURATION,SMALL(IF(COUNTIF($BA$3,MONTH), ROW(MONTH)-MIN(ROW(MONTH))+1),ROW(A269)),COLUMN(A269)))</f>
        <v/>
      </c>
      <c r="BH273" t="str" cm="1">
        <f t="array" ref="BH273">IF(ISERROR(INDEX(RESULT_CATEGORIES,SMALL(IF(COUNTIF($BA$3,MONTH), ROW(MONTH)-MIN(ROW(MONTH))+1),ROW(A269)),COLUMN(A269))),"",INDEX(RESULT_CATEGORIES,SMALL(IF(COUNTIF($BA$3,MONTH), ROW(MONTH)-MIN(ROW(MONTH))+1),ROW(A269)),COLUMN(A269)))</f>
        <v/>
      </c>
      <c r="BI273" t="str" cm="1">
        <f t="array" ref="BI273">IF(ISERROR(INDEX(RESULTLOCATION,SMALL(IF(COUNTIF($BA$3,MONTH), ROW(MONTH)-MIN(ROW(MONTH))+1),ROW(A269)),COLUMN(A269))),"",INDEX(RESULTLOCATION,SMALL(IF(COUNTIF($BA$3,MONTH), ROW(MONTH)-MIN(ROW(MONTH))+1),ROW(A269)),COLUMN(A269)))</f>
        <v/>
      </c>
    </row>
    <row r="274" spans="53:61" x14ac:dyDescent="0.3">
      <c r="BA274" t="str" cm="1">
        <f t="array" ref="BA274">IF(ISERROR(INDEX(RESULT_SUBJECT,SMALL(IF(COUNTIF($BA$3,MONTH), ROW(MONTH)-MIN(ROW(MONTH))+1),ROW(A270)),COLUMN(A270))),"",INDEX(RESULT_SUBJECT,SMALL(IF(COUNTIF($BA$3,MONTH), ROW(MONTH)-MIN(ROW(MONTH))+1),ROW(A270)),COLUMN(A270)))</f>
        <v/>
      </c>
      <c r="BB274" t="str" cm="1">
        <f t="array" ref="BB274">IF(ISERROR(INDEX(WEEK,SMALL(IF(COUNTIF($BA$3,MONTH), ROW(MONTH)-MIN(ROW(MONTH))+1),ROW(A270)),COLUMN(A270))),"",INDEX(WEEK,SMALL(IF(COUNTIF($BA$3,MONTH), ROW(MONTH)-MIN(ROW(MONTH))+1),ROW(A270)),COLUMN(A270)))</f>
        <v/>
      </c>
      <c r="BC274" t="str" cm="1">
        <f t="array" ref="BC274">IF(ISERROR(INDEX(RESULT_DAY,SMALL(IF(COUNTIF($BA$3,MONTH), ROW(MONTH)-MIN(ROW(MONTH))+1),ROW(A270)),COLUMN(A270))),"",INDEX(RESULT_DAY,SMALL(IF(COUNTIF($BA$3,MONTH), ROW(MONTH)-MIN(ROW(MONTH))+1),ROW(A270)),COLUMN(A270)))</f>
        <v/>
      </c>
      <c r="BD274" s="29" t="str">
        <f t="shared" si="55"/>
        <v/>
      </c>
      <c r="BE274" s="2" t="str" cm="1">
        <f t="array" ref="BE274">IF(ISERROR(INDEX(RESULT_DURATION,SMALL(IF(COUNTIF($BA$3,MONTH), ROW(MONTH)-MIN(ROW(MONTH))+1),ROW(A270)),COLUMN(A270))),"",INDEX(RESULT_DURATION,SMALL(IF(COUNTIF($BA$3,MONTH), ROW(MONTH)-MIN(ROW(MONTH))+1),ROW(A270)),COLUMN(A270)))</f>
        <v/>
      </c>
      <c r="BH274" t="str" cm="1">
        <f t="array" ref="BH274">IF(ISERROR(INDEX(RESULT_CATEGORIES,SMALL(IF(COUNTIF($BA$3,MONTH), ROW(MONTH)-MIN(ROW(MONTH))+1),ROW(A270)),COLUMN(A270))),"",INDEX(RESULT_CATEGORIES,SMALL(IF(COUNTIF($BA$3,MONTH), ROW(MONTH)-MIN(ROW(MONTH))+1),ROW(A270)),COLUMN(A270)))</f>
        <v/>
      </c>
      <c r="BI274" t="str" cm="1">
        <f t="array" ref="BI274">IF(ISERROR(INDEX(RESULTLOCATION,SMALL(IF(COUNTIF($BA$3,MONTH), ROW(MONTH)-MIN(ROW(MONTH))+1),ROW(A270)),COLUMN(A270))),"",INDEX(RESULTLOCATION,SMALL(IF(COUNTIF($BA$3,MONTH), ROW(MONTH)-MIN(ROW(MONTH))+1),ROW(A270)),COLUMN(A270)))</f>
        <v/>
      </c>
    </row>
    <row r="275" spans="53:61" x14ac:dyDescent="0.3">
      <c r="BA275" t="str" cm="1">
        <f t="array" ref="BA275">IF(ISERROR(INDEX(RESULT_SUBJECT,SMALL(IF(COUNTIF($BA$3,MONTH), ROW(MONTH)-MIN(ROW(MONTH))+1),ROW(A271)),COLUMN(A271))),"",INDEX(RESULT_SUBJECT,SMALL(IF(COUNTIF($BA$3,MONTH), ROW(MONTH)-MIN(ROW(MONTH))+1),ROW(A271)),COLUMN(A271)))</f>
        <v/>
      </c>
      <c r="BB275" t="str" cm="1">
        <f t="array" ref="BB275">IF(ISERROR(INDEX(WEEK,SMALL(IF(COUNTIF($BA$3,MONTH), ROW(MONTH)-MIN(ROW(MONTH))+1),ROW(A271)),COLUMN(A271))),"",INDEX(WEEK,SMALL(IF(COUNTIF($BA$3,MONTH), ROW(MONTH)-MIN(ROW(MONTH))+1),ROW(A271)),COLUMN(A271)))</f>
        <v/>
      </c>
      <c r="BC275" t="str" cm="1">
        <f t="array" ref="BC275">IF(ISERROR(INDEX(RESULT_DAY,SMALL(IF(COUNTIF($BA$3,MONTH), ROW(MONTH)-MIN(ROW(MONTH))+1),ROW(A271)),COLUMN(A271))),"",INDEX(RESULT_DAY,SMALL(IF(COUNTIF($BA$3,MONTH), ROW(MONTH)-MIN(ROW(MONTH))+1),ROW(A271)),COLUMN(A271)))</f>
        <v/>
      </c>
      <c r="BD275" s="29" t="str">
        <f t="shared" si="55"/>
        <v/>
      </c>
      <c r="BE275" s="2" t="str" cm="1">
        <f t="array" ref="BE275">IF(ISERROR(INDEX(RESULT_DURATION,SMALL(IF(COUNTIF($BA$3,MONTH), ROW(MONTH)-MIN(ROW(MONTH))+1),ROW(A271)),COLUMN(A271))),"",INDEX(RESULT_DURATION,SMALL(IF(COUNTIF($BA$3,MONTH), ROW(MONTH)-MIN(ROW(MONTH))+1),ROW(A271)),COLUMN(A271)))</f>
        <v/>
      </c>
      <c r="BH275" t="str" cm="1">
        <f t="array" ref="BH275">IF(ISERROR(INDEX(RESULT_CATEGORIES,SMALL(IF(COUNTIF($BA$3,MONTH), ROW(MONTH)-MIN(ROW(MONTH))+1),ROW(A271)),COLUMN(A271))),"",INDEX(RESULT_CATEGORIES,SMALL(IF(COUNTIF($BA$3,MONTH), ROW(MONTH)-MIN(ROW(MONTH))+1),ROW(A271)),COLUMN(A271)))</f>
        <v/>
      </c>
      <c r="BI275" t="str" cm="1">
        <f t="array" ref="BI275">IF(ISERROR(INDEX(RESULTLOCATION,SMALL(IF(COUNTIF($BA$3,MONTH), ROW(MONTH)-MIN(ROW(MONTH))+1),ROW(A271)),COLUMN(A271))),"",INDEX(RESULTLOCATION,SMALL(IF(COUNTIF($BA$3,MONTH), ROW(MONTH)-MIN(ROW(MONTH))+1),ROW(A271)),COLUMN(A271)))</f>
        <v/>
      </c>
    </row>
    <row r="276" spans="53:61" x14ac:dyDescent="0.3">
      <c r="BA276" t="str" cm="1">
        <f t="array" ref="BA276">IF(ISERROR(INDEX(RESULT_SUBJECT,SMALL(IF(COUNTIF($BA$3,MONTH), ROW(MONTH)-MIN(ROW(MONTH))+1),ROW(A272)),COLUMN(A272))),"",INDEX(RESULT_SUBJECT,SMALL(IF(COUNTIF($BA$3,MONTH), ROW(MONTH)-MIN(ROW(MONTH))+1),ROW(A272)),COLUMN(A272)))</f>
        <v/>
      </c>
      <c r="BB276" t="str" cm="1">
        <f t="array" ref="BB276">IF(ISERROR(INDEX(WEEK,SMALL(IF(COUNTIF($BA$3,MONTH), ROW(MONTH)-MIN(ROW(MONTH))+1),ROW(A272)),COLUMN(A272))),"",INDEX(WEEK,SMALL(IF(COUNTIF($BA$3,MONTH), ROW(MONTH)-MIN(ROW(MONTH))+1),ROW(A272)),COLUMN(A272)))</f>
        <v/>
      </c>
      <c r="BC276" t="str" cm="1">
        <f t="array" ref="BC276">IF(ISERROR(INDEX(RESULT_DAY,SMALL(IF(COUNTIF($BA$3,MONTH), ROW(MONTH)-MIN(ROW(MONTH))+1),ROW(A272)),COLUMN(A272))),"",INDEX(RESULT_DAY,SMALL(IF(COUNTIF($BA$3,MONTH), ROW(MONTH)-MIN(ROW(MONTH))+1),ROW(A272)),COLUMN(A272)))</f>
        <v/>
      </c>
      <c r="BD276" s="29" t="str">
        <f t="shared" si="55"/>
        <v/>
      </c>
      <c r="BE276" s="2" t="str" cm="1">
        <f t="array" ref="BE276">IF(ISERROR(INDEX(RESULT_DURATION,SMALL(IF(COUNTIF($BA$3,MONTH), ROW(MONTH)-MIN(ROW(MONTH))+1),ROW(A272)),COLUMN(A272))),"",INDEX(RESULT_DURATION,SMALL(IF(COUNTIF($BA$3,MONTH), ROW(MONTH)-MIN(ROW(MONTH))+1),ROW(A272)),COLUMN(A272)))</f>
        <v/>
      </c>
      <c r="BH276" t="str" cm="1">
        <f t="array" ref="BH276">IF(ISERROR(INDEX(RESULT_CATEGORIES,SMALL(IF(COUNTIF($BA$3,MONTH), ROW(MONTH)-MIN(ROW(MONTH))+1),ROW(A272)),COLUMN(A272))),"",INDEX(RESULT_CATEGORIES,SMALL(IF(COUNTIF($BA$3,MONTH), ROW(MONTH)-MIN(ROW(MONTH))+1),ROW(A272)),COLUMN(A272)))</f>
        <v/>
      </c>
      <c r="BI276" t="str" cm="1">
        <f t="array" ref="BI276">IF(ISERROR(INDEX(RESULTLOCATION,SMALL(IF(COUNTIF($BA$3,MONTH), ROW(MONTH)-MIN(ROW(MONTH))+1),ROW(A272)),COLUMN(A272))),"",INDEX(RESULTLOCATION,SMALL(IF(COUNTIF($BA$3,MONTH), ROW(MONTH)-MIN(ROW(MONTH))+1),ROW(A272)),COLUMN(A272)))</f>
        <v/>
      </c>
    </row>
    <row r="277" spans="53:61" x14ac:dyDescent="0.3">
      <c r="BA277" t="str" cm="1">
        <f t="array" ref="BA277">IF(ISERROR(INDEX(RESULT_SUBJECT,SMALL(IF(COUNTIF($BA$3,MONTH), ROW(MONTH)-MIN(ROW(MONTH))+1),ROW(A273)),COLUMN(A273))),"",INDEX(RESULT_SUBJECT,SMALL(IF(COUNTIF($BA$3,MONTH), ROW(MONTH)-MIN(ROW(MONTH))+1),ROW(A273)),COLUMN(A273)))</f>
        <v/>
      </c>
      <c r="BB277" t="str" cm="1">
        <f t="array" ref="BB277">IF(ISERROR(INDEX(WEEK,SMALL(IF(COUNTIF($BA$3,MONTH), ROW(MONTH)-MIN(ROW(MONTH))+1),ROW(A273)),COLUMN(A273))),"",INDEX(WEEK,SMALL(IF(COUNTIF($BA$3,MONTH), ROW(MONTH)-MIN(ROW(MONTH))+1),ROW(A273)),COLUMN(A273)))</f>
        <v/>
      </c>
      <c r="BC277" t="str" cm="1">
        <f t="array" ref="BC277">IF(ISERROR(INDEX(RESULT_DAY,SMALL(IF(COUNTIF($BA$3,MONTH), ROW(MONTH)-MIN(ROW(MONTH))+1),ROW(A273)),COLUMN(A273))),"",INDEX(RESULT_DAY,SMALL(IF(COUNTIF($BA$3,MONTH), ROW(MONTH)-MIN(ROW(MONTH))+1),ROW(A273)),COLUMN(A273)))</f>
        <v/>
      </c>
      <c r="BD277" s="29" t="str">
        <f t="shared" si="55"/>
        <v/>
      </c>
      <c r="BE277" s="2" t="str" cm="1">
        <f t="array" ref="BE277">IF(ISERROR(INDEX(RESULT_DURATION,SMALL(IF(COUNTIF($BA$3,MONTH), ROW(MONTH)-MIN(ROW(MONTH))+1),ROW(A273)),COLUMN(A273))),"",INDEX(RESULT_DURATION,SMALL(IF(COUNTIF($BA$3,MONTH), ROW(MONTH)-MIN(ROW(MONTH))+1),ROW(A273)),COLUMN(A273)))</f>
        <v/>
      </c>
      <c r="BH277" t="str" cm="1">
        <f t="array" ref="BH277">IF(ISERROR(INDEX(RESULT_CATEGORIES,SMALL(IF(COUNTIF($BA$3,MONTH), ROW(MONTH)-MIN(ROW(MONTH))+1),ROW(A273)),COLUMN(A273))),"",INDEX(RESULT_CATEGORIES,SMALL(IF(COUNTIF($BA$3,MONTH), ROW(MONTH)-MIN(ROW(MONTH))+1),ROW(A273)),COLUMN(A273)))</f>
        <v/>
      </c>
      <c r="BI277" t="str" cm="1">
        <f t="array" ref="BI277">IF(ISERROR(INDEX(RESULTLOCATION,SMALL(IF(COUNTIF($BA$3,MONTH), ROW(MONTH)-MIN(ROW(MONTH))+1),ROW(A273)),COLUMN(A273))),"",INDEX(RESULTLOCATION,SMALL(IF(COUNTIF($BA$3,MONTH), ROW(MONTH)-MIN(ROW(MONTH))+1),ROW(A273)),COLUMN(A273)))</f>
        <v/>
      </c>
    </row>
    <row r="278" spans="53:61" x14ac:dyDescent="0.3">
      <c r="BA278" t="str" cm="1">
        <f t="array" ref="BA278">IF(ISERROR(INDEX(RESULT_SUBJECT,SMALL(IF(COUNTIF($BA$3,MONTH), ROW(MONTH)-MIN(ROW(MONTH))+1),ROW(A274)),COLUMN(A274))),"",INDEX(RESULT_SUBJECT,SMALL(IF(COUNTIF($BA$3,MONTH), ROW(MONTH)-MIN(ROW(MONTH))+1),ROW(A274)),COLUMN(A274)))</f>
        <v/>
      </c>
      <c r="BB278" t="str" cm="1">
        <f t="array" ref="BB278">IF(ISERROR(INDEX(WEEK,SMALL(IF(COUNTIF($BA$3,MONTH), ROW(MONTH)-MIN(ROW(MONTH))+1),ROW(A274)),COLUMN(A274))),"",INDEX(WEEK,SMALL(IF(COUNTIF($BA$3,MONTH), ROW(MONTH)-MIN(ROW(MONTH))+1),ROW(A274)),COLUMN(A274)))</f>
        <v/>
      </c>
      <c r="BC278" t="str" cm="1">
        <f t="array" ref="BC278">IF(ISERROR(INDEX(RESULT_DAY,SMALL(IF(COUNTIF($BA$3,MONTH), ROW(MONTH)-MIN(ROW(MONTH))+1),ROW(A274)),COLUMN(A274))),"",INDEX(RESULT_DAY,SMALL(IF(COUNTIF($BA$3,MONTH), ROW(MONTH)-MIN(ROW(MONTH))+1),ROW(A274)),COLUMN(A274)))</f>
        <v/>
      </c>
      <c r="BD278" s="29" t="str">
        <f t="shared" si="55"/>
        <v/>
      </c>
      <c r="BE278" s="2" t="str" cm="1">
        <f t="array" ref="BE278">IF(ISERROR(INDEX(RESULT_DURATION,SMALL(IF(COUNTIF($BA$3,MONTH), ROW(MONTH)-MIN(ROW(MONTH))+1),ROW(A274)),COLUMN(A274))),"",INDEX(RESULT_DURATION,SMALL(IF(COUNTIF($BA$3,MONTH), ROW(MONTH)-MIN(ROW(MONTH))+1),ROW(A274)),COLUMN(A274)))</f>
        <v/>
      </c>
      <c r="BH278" t="str" cm="1">
        <f t="array" ref="BH278">IF(ISERROR(INDEX(RESULT_CATEGORIES,SMALL(IF(COUNTIF($BA$3,MONTH), ROW(MONTH)-MIN(ROW(MONTH))+1),ROW(A274)),COLUMN(A274))),"",INDEX(RESULT_CATEGORIES,SMALL(IF(COUNTIF($BA$3,MONTH), ROW(MONTH)-MIN(ROW(MONTH))+1),ROW(A274)),COLUMN(A274)))</f>
        <v/>
      </c>
      <c r="BI278" t="str" cm="1">
        <f t="array" ref="BI278">IF(ISERROR(INDEX(RESULTLOCATION,SMALL(IF(COUNTIF($BA$3,MONTH), ROW(MONTH)-MIN(ROW(MONTH))+1),ROW(A274)),COLUMN(A274))),"",INDEX(RESULTLOCATION,SMALL(IF(COUNTIF($BA$3,MONTH), ROW(MONTH)-MIN(ROW(MONTH))+1),ROW(A274)),COLUMN(A274)))</f>
        <v/>
      </c>
    </row>
    <row r="279" spans="53:61" x14ac:dyDescent="0.3">
      <c r="BA279" t="str" cm="1">
        <f t="array" ref="BA279">IF(ISERROR(INDEX(RESULT_SUBJECT,SMALL(IF(COUNTIF($BA$3,MONTH), ROW(MONTH)-MIN(ROW(MONTH))+1),ROW(A275)),COLUMN(A275))),"",INDEX(RESULT_SUBJECT,SMALL(IF(COUNTIF($BA$3,MONTH), ROW(MONTH)-MIN(ROW(MONTH))+1),ROW(A275)),COLUMN(A275)))</f>
        <v/>
      </c>
      <c r="BB279" t="str" cm="1">
        <f t="array" ref="BB279">IF(ISERROR(INDEX(WEEK,SMALL(IF(COUNTIF($BA$3,MONTH), ROW(MONTH)-MIN(ROW(MONTH))+1),ROW(A275)),COLUMN(A275))),"",INDEX(WEEK,SMALL(IF(COUNTIF($BA$3,MONTH), ROW(MONTH)-MIN(ROW(MONTH))+1),ROW(A275)),COLUMN(A275)))</f>
        <v/>
      </c>
      <c r="BC279" t="str" cm="1">
        <f t="array" ref="BC279">IF(ISERROR(INDEX(RESULT_DAY,SMALL(IF(COUNTIF($BA$3,MONTH), ROW(MONTH)-MIN(ROW(MONTH))+1),ROW(A275)),COLUMN(A275))),"",INDEX(RESULT_DAY,SMALL(IF(COUNTIF($BA$3,MONTH), ROW(MONTH)-MIN(ROW(MONTH))+1),ROW(A275)),COLUMN(A275)))</f>
        <v/>
      </c>
    </row>
    <row r="280" spans="53:61" x14ac:dyDescent="0.3">
      <c r="BA280" t="str" cm="1">
        <f t="array" ref="BA280">IF(ISERROR(INDEX(RESULT_SUBJECT,SMALL(IF(COUNTIF($BA$3,MONTH), ROW(MONTH)-MIN(ROW(MONTH))+1),ROW(A276)),COLUMN(A276))),"",INDEX(RESULT_SUBJECT,SMALL(IF(COUNTIF($BA$3,MONTH), ROW(MONTH)-MIN(ROW(MONTH))+1),ROW(A276)),COLUMN(A276)))</f>
        <v/>
      </c>
    </row>
    <row r="281" spans="53:61" x14ac:dyDescent="0.3">
      <c r="BA281" t="str" cm="1">
        <f t="array" ref="BA281">IF(ISERROR(INDEX(RESULT_SUBJECT,SMALL(IF(COUNTIF($BA$3,MONTH), ROW(MONTH)-MIN(ROW(MONTH))+1),ROW(A277)),COLUMN(A277))),"",INDEX(RESULT_SUBJECT,SMALL(IF(COUNTIF($BA$3,MONTH), ROW(MONTH)-MIN(ROW(MONTH))+1),ROW(A277)),COLUMN(A277)))</f>
        <v/>
      </c>
    </row>
    <row r="282" spans="53:61" x14ac:dyDescent="0.3">
      <c r="BA282" t="str" cm="1">
        <f t="array" ref="BA282">IF(ISERROR(INDEX(RESULT_SUBJECT,SMALL(IF(COUNTIF($BA$3,MONTH), ROW(MONTH)-MIN(ROW(MONTH))+1),ROW(A278)),COLUMN(A278))),"",INDEX(RESULT_SUBJECT,SMALL(IF(COUNTIF($BA$3,MONTH), ROW(MONTH)-MIN(ROW(MONTH))+1),ROW(A278)),COLUMN(A278)))</f>
        <v/>
      </c>
    </row>
    <row r="283" spans="53:61" x14ac:dyDescent="0.3">
      <c r="BA283" t="str" cm="1">
        <f t="array" ref="BA283">IF(ISERROR(INDEX(RESULT_SUBJECT,SMALL(IF(COUNTIF($BA$3,MONTH), ROW(MONTH)-MIN(ROW(MONTH))+1),ROW(A279)),COLUMN(A279))),"",INDEX(RESULT_SUBJECT,SMALL(IF(COUNTIF($BA$3,MONTH), ROW(MONTH)-MIN(ROW(MONTH))+1),ROW(A279)),COLUMN(A279)))</f>
        <v/>
      </c>
    </row>
    <row r="284" spans="53:61" x14ac:dyDescent="0.3">
      <c r="BA284" t="str" cm="1">
        <f t="array" ref="BA284">IF(ISERROR(INDEX(RESULT_SUBJECT,SMALL(IF(COUNTIF($BA$3,MONTH), ROW(MONTH)-MIN(ROW(MONTH))+1),ROW(A280)),COLUMN(A280))),"",INDEX(RESULT_SUBJECT,SMALL(IF(COUNTIF($BA$3,MONTH), ROW(MONTH)-MIN(ROW(MONTH))+1),ROW(A280)),COLUMN(A280)))</f>
        <v/>
      </c>
    </row>
    <row r="285" spans="53:61" x14ac:dyDescent="0.3">
      <c r="BA285" t="str" cm="1">
        <f t="array" ref="BA285">IF(ISERROR(INDEX(RESULT_SUBJECT,SMALL(IF(COUNTIF($BA$3,MONTH), ROW(MONTH)-MIN(ROW(MONTH))+1),ROW(A281)),COLUMN(A281))),"",INDEX(RESULT_SUBJECT,SMALL(IF(COUNTIF($BA$3,MONTH), ROW(MONTH)-MIN(ROW(MONTH))+1),ROW(A281)),COLUMN(A281)))</f>
        <v/>
      </c>
    </row>
    <row r="286" spans="53:61" x14ac:dyDescent="0.3">
      <c r="BA286" t="str" cm="1">
        <f t="array" ref="BA286">IF(ISERROR(INDEX(RESULT_SUBJECT,SMALL(IF(COUNTIF($BA$3,MONTH), ROW(MONTH)-MIN(ROW(MONTH))+1),ROW(A282)),COLUMN(A282))),"",INDEX(RESULT_SUBJECT,SMALL(IF(COUNTIF($BA$3,MONTH), ROW(MONTH)-MIN(ROW(MONTH))+1),ROW(A282)),COLUMN(A282)))</f>
        <v/>
      </c>
    </row>
    <row r="287" spans="53:61" x14ac:dyDescent="0.3">
      <c r="BA287" t="str" cm="1">
        <f t="array" ref="BA287">IF(ISERROR(INDEX(RESULT_SUBJECT,SMALL(IF(COUNTIF($BA$3,MONTH), ROW(MONTH)-MIN(ROW(MONTH))+1),ROW(A283)),COLUMN(A283))),"",INDEX(RESULT_SUBJECT,SMALL(IF(COUNTIF($BA$3,MONTH), ROW(MONTH)-MIN(ROW(MONTH))+1),ROW(A283)),COLUMN(A283)))</f>
        <v/>
      </c>
    </row>
    <row r="288" spans="53:61" x14ac:dyDescent="0.3">
      <c r="BA288" t="str" cm="1">
        <f t="array" ref="BA288">IF(ISERROR(INDEX(RESULT_SUBJECT,SMALL(IF(COUNTIF($BA$3,MONTH), ROW(MONTH)-MIN(ROW(MONTH))+1),ROW(A284)),COLUMN(A284))),"",INDEX(RESULT_SUBJECT,SMALL(IF(COUNTIF($BA$3,MONTH), ROW(MONTH)-MIN(ROW(MONTH))+1),ROW(A284)),COLUMN(A284)))</f>
        <v/>
      </c>
    </row>
    <row r="289" spans="53:53" x14ac:dyDescent="0.3">
      <c r="BA289" t="str" cm="1">
        <f t="array" ref="BA289">IF(ISERROR(INDEX(RESULT_SUBJECT,SMALL(IF(COUNTIF($BA$3,MONTH), ROW(MONTH)-MIN(ROW(MONTH))+1),ROW(A285)),COLUMN(A285))),"",INDEX(RESULT_SUBJECT,SMALL(IF(COUNTIF($BA$3,MONTH), ROW(MONTH)-MIN(ROW(MONTH))+1),ROW(A285)),COLUMN(A285)))</f>
        <v/>
      </c>
    </row>
    <row r="290" spans="53:53" x14ac:dyDescent="0.3">
      <c r="BA290" t="str" cm="1">
        <f t="array" ref="BA290">IF(ISERROR(INDEX(RESULT_SUBJECT,SMALL(IF(COUNTIF($BA$3,MONTH), ROW(MONTH)-MIN(ROW(MONTH))+1),ROW(A286)),COLUMN(A286))),"",INDEX(RESULT_SUBJECT,SMALL(IF(COUNTIF($BA$3,MONTH), ROW(MONTH)-MIN(ROW(MONTH))+1),ROW(A286)),COLUMN(A286)))</f>
        <v/>
      </c>
    </row>
    <row r="291" spans="53:53" x14ac:dyDescent="0.3">
      <c r="BA291" t="str" cm="1">
        <f t="array" ref="BA291">IF(ISERROR(INDEX(RESULT_SUBJECT,SMALL(IF(COUNTIF($BA$3,MONTH), ROW(MONTH)-MIN(ROW(MONTH))+1),ROW(A287)),COLUMN(A287))),"",INDEX(RESULT_SUBJECT,SMALL(IF(COUNTIF($BA$3,MONTH), ROW(MONTH)-MIN(ROW(MONTH))+1),ROW(A287)),COLUMN(A287)))</f>
        <v/>
      </c>
    </row>
    <row r="292" spans="53:53" x14ac:dyDescent="0.3">
      <c r="BA292" t="str" cm="1">
        <f t="array" ref="BA292">IF(ISERROR(INDEX(RESULT_SUBJECT,SMALL(IF(COUNTIF($BA$3,MONTH), ROW(MONTH)-MIN(ROW(MONTH))+1),ROW(A288)),COLUMN(A288))),"",INDEX(RESULT_SUBJECT,SMALL(IF(COUNTIF($BA$3,MONTH), ROW(MONTH)-MIN(ROW(MONTH))+1),ROW(A288)),COLUMN(A288)))</f>
        <v/>
      </c>
    </row>
    <row r="293" spans="53:53" x14ac:dyDescent="0.3">
      <c r="BA293" t="str" cm="1">
        <f t="array" ref="BA293">IF(ISERROR(INDEX(RESULT_SUBJECT,SMALL(IF(COUNTIF($BA$3,MONTH), ROW(MONTH)-MIN(ROW(MONTH))+1),ROW(A289)),COLUMN(A289))),"",INDEX(RESULT_SUBJECT,SMALL(IF(COUNTIF($BA$3,MONTH), ROW(MONTH)-MIN(ROW(MONTH))+1),ROW(A289)),COLUMN(A289)))</f>
        <v/>
      </c>
    </row>
    <row r="294" spans="53:53" x14ac:dyDescent="0.3">
      <c r="BA294" t="str" cm="1">
        <f t="array" ref="BA294">IF(ISERROR(INDEX(RESULT_SUBJECT,SMALL(IF(COUNTIF($BA$3,MONTH), ROW(MONTH)-MIN(ROW(MONTH))+1),ROW(A290)),COLUMN(A290))),"",INDEX(RESULT_SUBJECT,SMALL(IF(COUNTIF($BA$3,MONTH), ROW(MONTH)-MIN(ROW(MONTH))+1),ROW(A290)),COLUMN(A290)))</f>
        <v/>
      </c>
    </row>
    <row r="295" spans="53:53" x14ac:dyDescent="0.3">
      <c r="BA295" t="str" cm="1">
        <f t="array" ref="BA295">IF(ISERROR(INDEX(RESULT_SUBJECT,SMALL(IF(COUNTIF($BA$3,MONTH), ROW(MONTH)-MIN(ROW(MONTH))+1),ROW(A291)),COLUMN(A291))),"",INDEX(RESULT_SUBJECT,SMALL(IF(COUNTIF($BA$3,MONTH), ROW(MONTH)-MIN(ROW(MONTH))+1),ROW(A291)),COLUMN(A291)))</f>
        <v/>
      </c>
    </row>
    <row r="296" spans="53:53" x14ac:dyDescent="0.3">
      <c r="BA296" t="str" cm="1">
        <f t="array" ref="BA296">IF(ISERROR(INDEX(RESULT_SUBJECT,SMALL(IF(COUNTIF($BA$3,MONTH), ROW(MONTH)-MIN(ROW(MONTH))+1),ROW(A292)),COLUMN(A292))),"",INDEX(RESULT_SUBJECT,SMALL(IF(COUNTIF($BA$3,MONTH), ROW(MONTH)-MIN(ROW(MONTH))+1),ROW(A292)),COLUMN(A292)))</f>
        <v/>
      </c>
    </row>
    <row r="297" spans="53:53" x14ac:dyDescent="0.3">
      <c r="BA297" t="str" cm="1">
        <f t="array" ref="BA297">IF(ISERROR(INDEX(RESULT_SUBJECT,SMALL(IF(COUNTIF($BA$3,MONTH), ROW(MONTH)-MIN(ROW(MONTH))+1),ROW(A293)),COLUMN(A293))),"",INDEX(RESULT_SUBJECT,SMALL(IF(COUNTIF($BA$3,MONTH), ROW(MONTH)-MIN(ROW(MONTH))+1),ROW(A293)),COLUMN(A293)))</f>
        <v/>
      </c>
    </row>
  </sheetData>
  <autoFilter ref="BA5:BI297" xr:uid="{010C3AB1-AA34-4D19-9B91-03A6529CC82B}">
    <sortState xmlns:xlrd2="http://schemas.microsoft.com/office/spreadsheetml/2017/richdata2" ref="BA6:BI297">
      <sortCondition ref="BB5:BB297"/>
    </sortState>
  </autoFilter>
  <mergeCells count="2">
    <mergeCell ref="AT39:AU39"/>
    <mergeCell ref="BE3:BF3"/>
  </mergeCells>
  <conditionalFormatting sqref="B4:B35">
    <cfRule type="cellIs" dxfId="17" priority="6" operator="equal">
      <formula>"Marketing"</formula>
    </cfRule>
    <cfRule type="cellIs" dxfId="16" priority="7" operator="equal">
      <formula>"Reading"</formula>
    </cfRule>
    <cfRule type="cellIs" dxfId="15" priority="8" operator="equal">
      <formula>"Client"</formula>
    </cfRule>
    <cfRule type="cellIs" dxfId="14" priority="9" operator="equal">
      <formula>"Admin"</formula>
    </cfRule>
  </conditionalFormatting>
  <conditionalFormatting sqref="B1:B34">
    <cfRule type="cellIs" dxfId="13" priority="1" operator="equal">
      <formula>"NOTSET"</formula>
    </cfRule>
    <cfRule type="cellIs" dxfId="12" priority="2" operator="equal">
      <formula>"Recruiting"</formula>
    </cfRule>
    <cfRule type="cellIs" dxfId="11" priority="3" operator="equal">
      <formula>"Prospectring"</formula>
    </cfRule>
    <cfRule type="cellIs" dxfId="10" priority="4" operator="equal">
      <formula>"Sales Support"</formula>
    </cfRule>
    <cfRule type="cellIs" dxfId="9" priority="5" operator="equal">
      <formula>"valantic"</formula>
    </cfRule>
  </conditionalFormatting>
  <pageMargins left="0.7" right="0.7" top="0.75" bottom="0.75" header="0.3" footer="0.3"/>
  <pageSetup orientation="portrait" r:id="rId1"/>
  <ignoredErrors>
    <ignoredError sqref="AP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Appointments">
                <anchor moveWithCells="1" sizeWithCells="1">
                  <from>
                    <xdr:col>0</xdr:col>
                    <xdr:colOff>525780</xdr:colOff>
                    <xdr:row>1</xdr:row>
                    <xdr:rowOff>15240</xdr:rowOff>
                  </from>
                  <to>
                    <xdr:col>1</xdr:col>
                    <xdr:colOff>594360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Parse">
                <anchor moveWithCells="1" sizeWithCells="1">
                  <from>
                    <xdr:col>1</xdr:col>
                    <xdr:colOff>723900</xdr:colOff>
                    <xdr:row>1</xdr:row>
                    <xdr:rowOff>15240</xdr:rowOff>
                  </from>
                  <to>
                    <xdr:col>1</xdr:col>
                    <xdr:colOff>1363980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6787-03B4-4CF7-9238-B85BBB093DA7}">
  <sheetPr codeName="Sheet6"/>
  <dimension ref="C4:AG30"/>
  <sheetViews>
    <sheetView topLeftCell="C1" workbookViewId="0">
      <selection activeCell="V7" sqref="V7:V18"/>
    </sheetView>
  </sheetViews>
  <sheetFormatPr defaultRowHeight="14.4" x14ac:dyDescent="0.3"/>
  <cols>
    <col min="3" max="3" width="27.33203125" bestFit="1" customWidth="1"/>
    <col min="10" max="10" width="16" customWidth="1"/>
    <col min="11" max="11" width="8.109375" customWidth="1"/>
    <col min="12" max="12" width="17.21875" bestFit="1" customWidth="1"/>
    <col min="14" max="16" width="7.6640625" customWidth="1"/>
    <col min="17" max="19" width="3.77734375" bestFit="1" customWidth="1"/>
  </cols>
  <sheetData>
    <row r="4" spans="3:33" x14ac:dyDescent="0.3">
      <c r="J4" t="s">
        <v>255</v>
      </c>
      <c r="K4" t="s">
        <v>219</v>
      </c>
      <c r="L4" t="s">
        <v>220</v>
      </c>
    </row>
    <row r="5" spans="3:33" ht="33.6" x14ac:dyDescent="0.3">
      <c r="K5" s="36">
        <v>0</v>
      </c>
      <c r="L5" s="36" t="s">
        <v>210</v>
      </c>
    </row>
    <row r="6" spans="3:33" ht="16.8" x14ac:dyDescent="0.3">
      <c r="C6" s="35" t="s">
        <v>53</v>
      </c>
      <c r="K6" s="36">
        <v>1</v>
      </c>
      <c r="L6" t="s">
        <v>215</v>
      </c>
      <c r="M6" t="s">
        <v>228</v>
      </c>
      <c r="N6">
        <v>231</v>
      </c>
      <c r="O6">
        <v>161</v>
      </c>
      <c r="P6">
        <v>162</v>
      </c>
      <c r="V6" cm="1">
        <f t="array" ref="V6:V18">_xlfn.UNIQUE(CATEGORY_LOOKUP)</f>
        <v>0</v>
      </c>
      <c r="Z6" t="s">
        <v>405</v>
      </c>
      <c r="AA6" t="s">
        <v>0</v>
      </c>
      <c r="AB6">
        <v>-999</v>
      </c>
    </row>
    <row r="7" spans="3:33" ht="16.8" x14ac:dyDescent="0.3">
      <c r="C7" s="35" t="s">
        <v>62</v>
      </c>
      <c r="J7" t="s">
        <v>20</v>
      </c>
      <c r="K7" s="36">
        <v>2</v>
      </c>
      <c r="L7" t="s">
        <v>212</v>
      </c>
      <c r="M7" t="s">
        <v>229</v>
      </c>
      <c r="N7">
        <v>249</v>
      </c>
      <c r="O7">
        <v>186</v>
      </c>
      <c r="P7">
        <v>137</v>
      </c>
      <c r="V7" t="str">
        <v>Client</v>
      </c>
      <c r="Z7" t="s">
        <v>405</v>
      </c>
      <c r="AA7" t="s">
        <v>403</v>
      </c>
      <c r="AB7">
        <v>-1</v>
      </c>
    </row>
    <row r="8" spans="3:33" ht="16.8" x14ac:dyDescent="0.3">
      <c r="C8" s="35" t="s">
        <v>60</v>
      </c>
      <c r="J8" t="s">
        <v>226</v>
      </c>
      <c r="K8" s="36">
        <v>3</v>
      </c>
      <c r="L8" t="s">
        <v>213</v>
      </c>
      <c r="M8" t="s">
        <v>230</v>
      </c>
      <c r="N8">
        <v>247</v>
      </c>
      <c r="O8">
        <v>221</v>
      </c>
      <c r="P8">
        <v>143</v>
      </c>
      <c r="T8" s="37"/>
      <c r="V8" t="str">
        <v>Tools</v>
      </c>
      <c r="Z8" t="s">
        <v>405</v>
      </c>
      <c r="AA8" t="s">
        <v>404</v>
      </c>
      <c r="AB8">
        <v>-1</v>
      </c>
    </row>
    <row r="9" spans="3:33" ht="16.8" x14ac:dyDescent="0.3">
      <c r="C9" s="35" t="s">
        <v>54</v>
      </c>
      <c r="K9" s="36">
        <v>4</v>
      </c>
      <c r="L9" t="s">
        <v>218</v>
      </c>
      <c r="M9" t="s">
        <v>231</v>
      </c>
      <c r="N9">
        <v>252</v>
      </c>
      <c r="O9">
        <v>250</v>
      </c>
      <c r="P9">
        <v>144</v>
      </c>
      <c r="V9" t="str">
        <v>Admin</v>
      </c>
      <c r="Z9" t="s">
        <v>405</v>
      </c>
      <c r="AA9" t="s">
        <v>402</v>
      </c>
      <c r="AB9">
        <v>-1</v>
      </c>
      <c r="AG9" t="s">
        <v>400</v>
      </c>
    </row>
    <row r="10" spans="3:33" ht="16.8" x14ac:dyDescent="0.3">
      <c r="J10" t="s">
        <v>6</v>
      </c>
      <c r="K10" s="36">
        <v>5</v>
      </c>
      <c r="L10" t="s">
        <v>208</v>
      </c>
      <c r="M10" t="s">
        <v>232</v>
      </c>
      <c r="N10">
        <v>120</v>
      </c>
      <c r="O10">
        <v>209</v>
      </c>
      <c r="P10">
        <v>104</v>
      </c>
      <c r="V10" t="str">
        <v>Marketing</v>
      </c>
      <c r="Z10" t="s">
        <v>405</v>
      </c>
      <c r="AA10" t="s">
        <v>401</v>
      </c>
      <c r="AB10">
        <v>-1</v>
      </c>
    </row>
    <row r="11" spans="3:33" ht="16.8" x14ac:dyDescent="0.3">
      <c r="J11" t="s">
        <v>223</v>
      </c>
      <c r="K11" s="36">
        <v>6</v>
      </c>
      <c r="L11" t="s">
        <v>217</v>
      </c>
      <c r="M11" t="s">
        <v>233</v>
      </c>
      <c r="N11">
        <v>159</v>
      </c>
      <c r="O11">
        <v>220</v>
      </c>
      <c r="P11">
        <v>201</v>
      </c>
      <c r="V11" t="str">
        <v>Tech Support</v>
      </c>
      <c r="Z11" t="s">
        <v>405</v>
      </c>
      <c r="AA11" t="s">
        <v>400</v>
      </c>
      <c r="AB11">
        <v>-1</v>
      </c>
    </row>
    <row r="12" spans="3:33" ht="16.8" x14ac:dyDescent="0.3">
      <c r="J12" t="s">
        <v>224</v>
      </c>
      <c r="K12" s="36">
        <v>7</v>
      </c>
      <c r="L12" t="s">
        <v>211</v>
      </c>
      <c r="M12" t="s">
        <v>234</v>
      </c>
      <c r="N12">
        <v>198</v>
      </c>
      <c r="O12">
        <v>210</v>
      </c>
      <c r="P12">
        <v>176</v>
      </c>
      <c r="V12" t="str">
        <v>Sales Proc Support</v>
      </c>
    </row>
    <row r="13" spans="3:33" ht="16.8" x14ac:dyDescent="0.3">
      <c r="K13" s="36">
        <v>8</v>
      </c>
      <c r="L13" t="s">
        <v>196</v>
      </c>
      <c r="M13" t="s">
        <v>235</v>
      </c>
      <c r="N13">
        <v>157</v>
      </c>
      <c r="O13">
        <v>183</v>
      </c>
      <c r="P13">
        <v>232</v>
      </c>
      <c r="V13" t="str">
        <v>Delete</v>
      </c>
    </row>
    <row r="14" spans="3:33" ht="16.8" x14ac:dyDescent="0.3">
      <c r="J14" t="s">
        <v>109</v>
      </c>
      <c r="K14" s="36">
        <v>9</v>
      </c>
      <c r="L14" t="s">
        <v>214</v>
      </c>
      <c r="M14" t="s">
        <v>236</v>
      </c>
      <c r="N14">
        <v>181</v>
      </c>
      <c r="O14">
        <v>161</v>
      </c>
      <c r="P14">
        <v>226</v>
      </c>
      <c r="V14" t="str">
        <v>Prospectring</v>
      </c>
    </row>
    <row r="15" spans="3:33" ht="16.8" x14ac:dyDescent="0.3">
      <c r="J15" t="s">
        <v>227</v>
      </c>
      <c r="K15" s="36">
        <v>10</v>
      </c>
      <c r="L15" t="s">
        <v>209</v>
      </c>
      <c r="M15" t="s">
        <v>237</v>
      </c>
      <c r="N15">
        <v>218</v>
      </c>
      <c r="O15">
        <v>174</v>
      </c>
      <c r="P15">
        <v>194</v>
      </c>
      <c r="V15" t="str">
        <v>Recruiting</v>
      </c>
    </row>
    <row r="16" spans="3:33" ht="16.8" x14ac:dyDescent="0.3">
      <c r="J16" t="s">
        <v>221</v>
      </c>
      <c r="K16" s="36">
        <v>11</v>
      </c>
      <c r="L16" t="s">
        <v>216</v>
      </c>
      <c r="M16" t="s">
        <v>238</v>
      </c>
      <c r="N16">
        <v>218</v>
      </c>
      <c r="O16">
        <v>217</v>
      </c>
      <c r="P16">
        <v>220</v>
      </c>
      <c r="V16" t="str">
        <v>Sales opp support</v>
      </c>
    </row>
    <row r="17" spans="10:26" ht="16.8" x14ac:dyDescent="0.3">
      <c r="J17" t="s">
        <v>225</v>
      </c>
      <c r="K17" s="36">
        <v>12</v>
      </c>
      <c r="L17" t="s">
        <v>205</v>
      </c>
      <c r="M17" t="s">
        <v>239</v>
      </c>
      <c r="N17">
        <v>107</v>
      </c>
      <c r="O17">
        <v>121</v>
      </c>
      <c r="P17">
        <v>148</v>
      </c>
      <c r="V17" t="str">
        <v>Marketing Support</v>
      </c>
    </row>
    <row r="18" spans="10:26" ht="16.8" x14ac:dyDescent="0.3">
      <c r="K18" s="36">
        <v>13</v>
      </c>
      <c r="L18" t="s">
        <v>240</v>
      </c>
      <c r="M18" t="s">
        <v>241</v>
      </c>
      <c r="N18">
        <v>191</v>
      </c>
      <c r="O18">
        <v>191</v>
      </c>
      <c r="P18">
        <v>191</v>
      </c>
      <c r="V18" t="str">
        <v>Personal</v>
      </c>
      <c r="Z18" t="s">
        <v>109</v>
      </c>
    </row>
    <row r="19" spans="10:26" ht="16.8" x14ac:dyDescent="0.3">
      <c r="K19" s="36">
        <v>14</v>
      </c>
      <c r="L19" t="s">
        <v>254</v>
      </c>
      <c r="M19" t="s">
        <v>242</v>
      </c>
      <c r="N19">
        <v>111</v>
      </c>
      <c r="O19">
        <v>111</v>
      </c>
      <c r="P19">
        <v>111</v>
      </c>
    </row>
    <row r="20" spans="10:26" ht="16.8" x14ac:dyDescent="0.3">
      <c r="J20" t="s">
        <v>160</v>
      </c>
      <c r="K20" s="36">
        <v>15</v>
      </c>
      <c r="L20" t="s">
        <v>195</v>
      </c>
      <c r="M20" t="s">
        <v>243</v>
      </c>
      <c r="N20">
        <v>79</v>
      </c>
      <c r="O20">
        <v>79</v>
      </c>
      <c r="P20">
        <v>79</v>
      </c>
    </row>
    <row r="21" spans="10:26" ht="16.8" x14ac:dyDescent="0.3">
      <c r="K21" s="36">
        <v>16</v>
      </c>
      <c r="L21" t="s">
        <v>204</v>
      </c>
      <c r="M21" t="s">
        <v>244</v>
      </c>
      <c r="N21">
        <v>193</v>
      </c>
      <c r="O21">
        <v>26</v>
      </c>
      <c r="P21">
        <v>37</v>
      </c>
    </row>
    <row r="22" spans="10:26" ht="16.8" x14ac:dyDescent="0.3">
      <c r="K22" s="36">
        <v>17</v>
      </c>
      <c r="L22" t="s">
        <v>201</v>
      </c>
      <c r="M22" t="s">
        <v>245</v>
      </c>
      <c r="N22">
        <v>226</v>
      </c>
      <c r="O22">
        <v>98</v>
      </c>
      <c r="P22">
        <v>13</v>
      </c>
    </row>
    <row r="23" spans="10:26" ht="16.8" x14ac:dyDescent="0.3">
      <c r="J23" t="s">
        <v>222</v>
      </c>
      <c r="K23" s="36">
        <v>18</v>
      </c>
      <c r="L23" t="s">
        <v>202</v>
      </c>
      <c r="M23" t="s">
        <v>246</v>
      </c>
      <c r="N23">
        <v>199</v>
      </c>
      <c r="O23">
        <v>153</v>
      </c>
      <c r="P23">
        <v>48</v>
      </c>
    </row>
    <row r="24" spans="10:26" ht="16.8" x14ac:dyDescent="0.3">
      <c r="K24" s="36">
        <v>19</v>
      </c>
      <c r="L24" t="s">
        <v>207</v>
      </c>
      <c r="M24" t="s">
        <v>247</v>
      </c>
      <c r="N24">
        <v>185</v>
      </c>
      <c r="O24">
        <v>179</v>
      </c>
      <c r="P24">
        <v>0</v>
      </c>
    </row>
    <row r="25" spans="10:26" ht="16.8" x14ac:dyDescent="0.3">
      <c r="K25" s="36">
        <v>20</v>
      </c>
      <c r="L25" t="s">
        <v>198</v>
      </c>
      <c r="M25" t="s">
        <v>248</v>
      </c>
      <c r="N25">
        <v>54</v>
      </c>
      <c r="O25">
        <v>143</v>
      </c>
      <c r="P25">
        <v>43</v>
      </c>
    </row>
    <row r="26" spans="10:26" ht="16.8" x14ac:dyDescent="0.3">
      <c r="K26" s="36">
        <v>21</v>
      </c>
      <c r="L26" t="s">
        <v>206</v>
      </c>
      <c r="M26" t="s">
        <v>249</v>
      </c>
      <c r="N26">
        <v>50</v>
      </c>
      <c r="O26">
        <v>155</v>
      </c>
      <c r="P26">
        <v>122</v>
      </c>
    </row>
    <row r="27" spans="10:26" ht="16.8" x14ac:dyDescent="0.3">
      <c r="K27" s="36">
        <v>22</v>
      </c>
      <c r="L27" t="s">
        <v>200</v>
      </c>
      <c r="M27" t="s">
        <v>250</v>
      </c>
      <c r="N27">
        <v>119</v>
      </c>
      <c r="O27">
        <v>139</v>
      </c>
      <c r="P27">
        <v>69</v>
      </c>
    </row>
    <row r="28" spans="10:26" ht="16.8" x14ac:dyDescent="0.3">
      <c r="K28" s="36">
        <v>23</v>
      </c>
      <c r="L28" t="s">
        <v>197</v>
      </c>
      <c r="M28" t="s">
        <v>251</v>
      </c>
      <c r="N28">
        <v>40</v>
      </c>
      <c r="O28">
        <v>88</v>
      </c>
      <c r="P28">
        <v>165</v>
      </c>
    </row>
    <row r="29" spans="10:26" ht="16.8" x14ac:dyDescent="0.3">
      <c r="K29" s="36">
        <v>24</v>
      </c>
      <c r="L29" t="s">
        <v>203</v>
      </c>
      <c r="M29" t="s">
        <v>252</v>
      </c>
      <c r="N29">
        <v>92</v>
      </c>
      <c r="O29">
        <v>63</v>
      </c>
      <c r="P29">
        <v>163</v>
      </c>
    </row>
    <row r="30" spans="10:26" ht="16.8" x14ac:dyDescent="0.3">
      <c r="J30" t="s">
        <v>31</v>
      </c>
      <c r="K30" s="36">
        <v>25</v>
      </c>
      <c r="L30" t="s">
        <v>199</v>
      </c>
      <c r="M30" t="s">
        <v>253</v>
      </c>
      <c r="N30">
        <v>147</v>
      </c>
      <c r="O30">
        <v>68</v>
      </c>
      <c r="P30">
        <v>107</v>
      </c>
    </row>
  </sheetData>
  <autoFilter ref="J4:L4" xr:uid="{5F7C6787-03B4-4CF7-9238-B85BBB093DA7}">
    <sortState xmlns:xlrd2="http://schemas.microsoft.com/office/spreadsheetml/2017/richdata2" ref="J5:L30">
      <sortCondition ref="K4"/>
    </sortState>
  </autoFilter>
  <hyperlinks>
    <hyperlink ref="C6" r:id="rId1" xr:uid="{AAE76B24-24C3-4137-9E78-3C436C45FE8E}"/>
    <hyperlink ref="C8" r:id="rId2" xr:uid="{2C2FBE7E-18D2-4E61-A11B-34296F91DAE8}"/>
    <hyperlink ref="C9" r:id="rId3" xr:uid="{906D024E-888E-4BBC-ABF6-2162593B85A8}"/>
    <hyperlink ref="C7" r:id="rId4" xr:uid="{ADA322FC-A4C1-4879-B140-59D7D4CBC49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720E4-27EA-4030-AC4C-08B52777AA80}">
  <sheetPr codeName="Sheet5"/>
  <dimension ref="B1:L34"/>
  <sheetViews>
    <sheetView showZeros="0" workbookViewId="0">
      <selection activeCell="E11" sqref="E11"/>
    </sheetView>
  </sheetViews>
  <sheetFormatPr defaultRowHeight="14.4" x14ac:dyDescent="0.3"/>
  <cols>
    <col min="2" max="2" width="25.44140625" customWidth="1"/>
  </cols>
  <sheetData>
    <row r="1" spans="2:12" ht="15" thickBot="1" x14ac:dyDescent="0.35"/>
    <row r="2" spans="2:12" ht="15" thickBot="1" x14ac:dyDescent="0.35">
      <c r="C2" s="25">
        <f t="shared" ref="C2:I2" ca="1" si="0">(DATE(2021,1,1)+(C4-2)*7)+C5+1</f>
        <v>44192</v>
      </c>
      <c r="D2" s="26">
        <f t="shared" ca="1" si="0"/>
        <v>44193</v>
      </c>
      <c r="E2" s="26">
        <f t="shared" ca="1" si="0"/>
        <v>44194</v>
      </c>
      <c r="F2" s="26">
        <f t="shared" ca="1" si="0"/>
        <v>44195</v>
      </c>
      <c r="G2" s="26">
        <f t="shared" ca="1" si="0"/>
        <v>44196</v>
      </c>
      <c r="H2" s="26">
        <f t="shared" ca="1" si="0"/>
        <v>44197</v>
      </c>
      <c r="I2" s="27">
        <f t="shared" ca="1" si="0"/>
        <v>44198</v>
      </c>
    </row>
    <row r="3" spans="2:12" x14ac:dyDescent="0.3">
      <c r="C3" s="19">
        <f ca="1">DATE(2023,1,1)+((C4-2)*7)+C5</f>
        <v>44921</v>
      </c>
      <c r="D3" s="19">
        <f t="shared" ref="D3:I3" ca="1" si="1">DATE(2021,1,1)+((D4-2)*7)+D5</f>
        <v>44192</v>
      </c>
      <c r="E3" s="19">
        <f t="shared" ca="1" si="1"/>
        <v>44193</v>
      </c>
      <c r="F3" s="19">
        <f t="shared" ca="1" si="1"/>
        <v>44194</v>
      </c>
      <c r="G3" s="19">
        <f t="shared" ca="1" si="1"/>
        <v>44195</v>
      </c>
      <c r="H3" s="19">
        <f t="shared" ca="1" si="1"/>
        <v>44196</v>
      </c>
      <c r="I3" s="19">
        <f t="shared" ca="1" si="1"/>
        <v>44197</v>
      </c>
      <c r="L3">
        <f ca="1">WEEKNUM(TODAY())</f>
        <v>1</v>
      </c>
    </row>
    <row r="4" spans="2:12" x14ac:dyDescent="0.3">
      <c r="C4" s="20">
        <f ca="1">WEEKNUM(TODAY())</f>
        <v>1</v>
      </c>
      <c r="D4" s="20">
        <f ca="1">C4</f>
        <v>1</v>
      </c>
      <c r="E4" s="20">
        <f ca="1">C4</f>
        <v>1</v>
      </c>
      <c r="F4" s="20">
        <f ca="1">C4</f>
        <v>1</v>
      </c>
      <c r="G4" s="20">
        <f ca="1">C4</f>
        <v>1</v>
      </c>
      <c r="H4" s="20">
        <f ca="1">C4</f>
        <v>1</v>
      </c>
      <c r="I4" s="20">
        <f ca="1">C4</f>
        <v>1</v>
      </c>
    </row>
    <row r="5" spans="2:12" x14ac:dyDescent="0.3">
      <c r="B5" s="5"/>
      <c r="C5" s="21">
        <v>1</v>
      </c>
      <c r="D5" s="21">
        <v>2</v>
      </c>
      <c r="E5" s="21">
        <v>3</v>
      </c>
      <c r="F5" s="21">
        <v>4</v>
      </c>
      <c r="G5" s="21">
        <v>5</v>
      </c>
      <c r="H5" s="21">
        <v>6</v>
      </c>
      <c r="I5" s="21">
        <v>7</v>
      </c>
    </row>
    <row r="6" spans="2:12" x14ac:dyDescent="0.3">
      <c r="B6" s="10" t="str" cm="1">
        <f t="array" ref="B6:B12">_xlfn.UNIQUE(ResultCalendar!D2:D1048576)</f>
        <v>NOTSET</v>
      </c>
      <c r="C6" s="22">
        <f ca="1">SUMIFS(RESULT_DURATION,WEEK,C$4,RESULT_CATEGORIES,$B6,WEEKDAY,C$5)/60</f>
        <v>0</v>
      </c>
      <c r="D6" s="22">
        <f t="shared" ref="C6:I13" ca="1" si="2">SUMIFS(RESULT_DURATION,WEEK,D$4,RESULT_CATEGORIES,$B6,WEEKDAY,D$5)/60</f>
        <v>0</v>
      </c>
      <c r="E6" s="22">
        <f t="shared" ca="1" si="2"/>
        <v>0</v>
      </c>
      <c r="F6" s="22">
        <f t="shared" ca="1" si="2"/>
        <v>0</v>
      </c>
      <c r="G6" s="22">
        <f t="shared" ca="1" si="2"/>
        <v>0</v>
      </c>
      <c r="H6" s="22">
        <f t="shared" ca="1" si="2"/>
        <v>0</v>
      </c>
      <c r="I6" s="22">
        <f t="shared" ca="1" si="2"/>
        <v>0</v>
      </c>
    </row>
    <row r="7" spans="2:12" x14ac:dyDescent="0.3">
      <c r="B7" s="7" t="str">
        <v>Sales opp support</v>
      </c>
      <c r="C7" s="22">
        <f t="shared" ca="1" si="2"/>
        <v>0</v>
      </c>
      <c r="D7" s="22">
        <f t="shared" ca="1" si="2"/>
        <v>0</v>
      </c>
      <c r="E7" s="22">
        <f t="shared" ca="1" si="2"/>
        <v>0</v>
      </c>
      <c r="F7" s="22">
        <f t="shared" ca="1" si="2"/>
        <v>0</v>
      </c>
      <c r="G7" s="22">
        <f t="shared" ca="1" si="2"/>
        <v>0</v>
      </c>
      <c r="H7" s="22">
        <f t="shared" ca="1" si="2"/>
        <v>0</v>
      </c>
      <c r="I7" s="22">
        <f t="shared" ca="1" si="2"/>
        <v>0</v>
      </c>
    </row>
    <row r="8" spans="2:12" x14ac:dyDescent="0.3">
      <c r="B8" s="6" t="str">
        <v>Sales Proc Support</v>
      </c>
      <c r="C8" s="22">
        <f t="shared" ca="1" si="2"/>
        <v>0</v>
      </c>
      <c r="D8" s="22">
        <f t="shared" ca="1" si="2"/>
        <v>0</v>
      </c>
      <c r="E8" s="22">
        <f t="shared" ca="1" si="2"/>
        <v>0</v>
      </c>
      <c r="F8" s="22">
        <f t="shared" ca="1" si="2"/>
        <v>0</v>
      </c>
      <c r="G8" s="22">
        <f t="shared" ca="1" si="2"/>
        <v>0</v>
      </c>
      <c r="H8" s="22">
        <f t="shared" ca="1" si="2"/>
        <v>0</v>
      </c>
      <c r="I8" s="22">
        <f t="shared" ca="1" si="2"/>
        <v>0</v>
      </c>
    </row>
    <row r="9" spans="2:12" x14ac:dyDescent="0.3">
      <c r="B9" t="str">
        <v>Client</v>
      </c>
      <c r="C9" s="22">
        <f t="shared" ca="1" si="2"/>
        <v>0</v>
      </c>
      <c r="D9" s="22">
        <f t="shared" ca="1" si="2"/>
        <v>0</v>
      </c>
      <c r="E9" s="22">
        <f t="shared" ca="1" si="2"/>
        <v>0</v>
      </c>
      <c r="F9" s="22">
        <f t="shared" ca="1" si="2"/>
        <v>0</v>
      </c>
      <c r="G9" s="22">
        <f t="shared" ca="1" si="2"/>
        <v>0</v>
      </c>
      <c r="H9" s="22">
        <f t="shared" ca="1" si="2"/>
        <v>0</v>
      </c>
      <c r="I9" s="22">
        <f t="shared" ca="1" si="2"/>
        <v>0</v>
      </c>
    </row>
    <row r="10" spans="2:12" x14ac:dyDescent="0.3">
      <c r="B10" s="8" t="str">
        <v>Personal</v>
      </c>
      <c r="C10" s="22">
        <f t="shared" ca="1" si="2"/>
        <v>0</v>
      </c>
      <c r="D10" s="22">
        <f t="shared" ca="1" si="2"/>
        <v>0</v>
      </c>
      <c r="E10" s="22">
        <f t="shared" ca="1" si="2"/>
        <v>0</v>
      </c>
      <c r="F10" s="22">
        <f t="shared" ca="1" si="2"/>
        <v>0</v>
      </c>
      <c r="G10" s="22">
        <f t="shared" ca="1" si="2"/>
        <v>0</v>
      </c>
      <c r="H10" s="22">
        <f t="shared" ca="1" si="2"/>
        <v>0</v>
      </c>
      <c r="I10" s="22">
        <f t="shared" ca="1" si="2"/>
        <v>0</v>
      </c>
    </row>
    <row r="11" spans="2:12" x14ac:dyDescent="0.3">
      <c r="B11" t="str">
        <v>Admin</v>
      </c>
      <c r="C11" s="22">
        <f t="shared" ca="1" si="2"/>
        <v>0</v>
      </c>
      <c r="D11" s="22">
        <f t="shared" ca="1" si="2"/>
        <v>0</v>
      </c>
      <c r="E11" s="22">
        <f t="shared" ca="1" si="2"/>
        <v>0</v>
      </c>
      <c r="F11" s="22">
        <f t="shared" ca="1" si="2"/>
        <v>0</v>
      </c>
      <c r="G11" s="22">
        <f t="shared" ca="1" si="2"/>
        <v>0</v>
      </c>
      <c r="H11" s="22">
        <f t="shared" ca="1" si="2"/>
        <v>0</v>
      </c>
      <c r="I11" s="22">
        <f t="shared" ca="1" si="2"/>
        <v>0</v>
      </c>
    </row>
    <row r="12" spans="2:12" x14ac:dyDescent="0.3">
      <c r="B12" s="11">
        <v>0</v>
      </c>
      <c r="C12" s="22">
        <f t="shared" ca="1" si="2"/>
        <v>0</v>
      </c>
      <c r="D12" s="22">
        <f t="shared" ca="1" si="2"/>
        <v>0</v>
      </c>
      <c r="E12" s="22">
        <f t="shared" ca="1" si="2"/>
        <v>0</v>
      </c>
      <c r="F12" s="22">
        <f t="shared" ca="1" si="2"/>
        <v>0</v>
      </c>
      <c r="G12" s="22">
        <f t="shared" ca="1" si="2"/>
        <v>0</v>
      </c>
      <c r="H12" s="22">
        <f t="shared" ca="1" si="2"/>
        <v>0</v>
      </c>
      <c r="I12" s="22">
        <f t="shared" ca="1" si="2"/>
        <v>0</v>
      </c>
    </row>
    <row r="13" spans="2:12" x14ac:dyDescent="0.3">
      <c r="B13" s="9"/>
      <c r="C13" s="22">
        <f t="shared" ca="1" si="2"/>
        <v>0</v>
      </c>
      <c r="D13" s="22">
        <f t="shared" ca="1" si="2"/>
        <v>0</v>
      </c>
      <c r="E13" s="22">
        <f t="shared" ca="1" si="2"/>
        <v>0</v>
      </c>
      <c r="F13" s="22">
        <f t="shared" ca="1" si="2"/>
        <v>0</v>
      </c>
      <c r="G13" s="22">
        <f t="shared" ca="1" si="2"/>
        <v>0</v>
      </c>
      <c r="H13" s="22">
        <f t="shared" ca="1" si="2"/>
        <v>0</v>
      </c>
      <c r="I13" s="22">
        <f t="shared" ca="1" si="2"/>
        <v>0</v>
      </c>
    </row>
    <row r="14" spans="2:12" x14ac:dyDescent="0.3">
      <c r="B14" s="9"/>
      <c r="C14" s="22"/>
      <c r="D14" s="22"/>
      <c r="E14" s="22"/>
      <c r="F14" s="22"/>
      <c r="G14" s="22"/>
      <c r="H14" s="22"/>
      <c r="I14" s="22"/>
    </row>
    <row r="15" spans="2:12" x14ac:dyDescent="0.3">
      <c r="B15" s="9"/>
      <c r="C15" s="22"/>
      <c r="D15" s="22"/>
      <c r="E15" s="22"/>
      <c r="F15" s="22"/>
      <c r="G15" s="22"/>
      <c r="H15" s="22"/>
      <c r="I15" s="22"/>
    </row>
    <row r="16" spans="2:12" x14ac:dyDescent="0.3">
      <c r="B16" s="9"/>
      <c r="C16" s="22"/>
      <c r="D16" s="22"/>
      <c r="E16" s="22"/>
      <c r="F16" s="22"/>
      <c r="G16" s="22"/>
      <c r="H16" s="22"/>
      <c r="I16" s="22"/>
    </row>
    <row r="17" spans="2:9" x14ac:dyDescent="0.3">
      <c r="B17" s="9"/>
      <c r="C17" s="22"/>
      <c r="D17" s="22"/>
      <c r="E17" s="22"/>
      <c r="F17" s="22"/>
      <c r="G17" s="22"/>
      <c r="H17" s="22"/>
      <c r="I17" s="22"/>
    </row>
    <row r="18" spans="2:9" x14ac:dyDescent="0.3">
      <c r="B18" s="9"/>
      <c r="C18" s="22"/>
      <c r="D18" s="22"/>
      <c r="E18" s="22"/>
      <c r="F18" s="22"/>
      <c r="G18" s="22"/>
      <c r="H18" s="22"/>
      <c r="I18" s="22"/>
    </row>
    <row r="19" spans="2:9" x14ac:dyDescent="0.3">
      <c r="B19" s="9"/>
      <c r="C19" s="22"/>
      <c r="D19" s="22"/>
      <c r="E19" s="22"/>
      <c r="F19" s="22"/>
      <c r="G19" s="22"/>
      <c r="H19" s="22"/>
      <c r="I19" s="22"/>
    </row>
    <row r="20" spans="2:9" x14ac:dyDescent="0.3">
      <c r="C20" s="22">
        <f t="shared" ref="C20:I20" ca="1" si="3">SUMIFS(RESULT_DURATION,WEEK,C$4,RESULT_CATEGORIES,$B20,WEEKDAY,C$5)/60</f>
        <v>0</v>
      </c>
      <c r="D20" s="22">
        <f t="shared" ca="1" si="3"/>
        <v>0</v>
      </c>
      <c r="E20" s="22">
        <f t="shared" ca="1" si="3"/>
        <v>0</v>
      </c>
      <c r="F20" s="22">
        <f t="shared" ca="1" si="3"/>
        <v>0</v>
      </c>
      <c r="G20" s="22">
        <f t="shared" ca="1" si="3"/>
        <v>0</v>
      </c>
      <c r="H20" s="22">
        <f t="shared" ca="1" si="3"/>
        <v>0</v>
      </c>
      <c r="I20" s="22">
        <f t="shared" ca="1" si="3"/>
        <v>0</v>
      </c>
    </row>
    <row r="21" spans="2:9" x14ac:dyDescent="0.3">
      <c r="C21" s="22"/>
      <c r="D21" s="22"/>
      <c r="E21" s="22"/>
      <c r="F21" s="22"/>
      <c r="G21" s="22"/>
      <c r="H21" s="22"/>
      <c r="I21" s="22"/>
    </row>
    <row r="22" spans="2:9" x14ac:dyDescent="0.3">
      <c r="C22" s="22"/>
      <c r="D22" s="22"/>
      <c r="E22" s="22"/>
      <c r="F22" s="22"/>
      <c r="G22" s="22"/>
      <c r="H22" s="22"/>
      <c r="I22" s="22"/>
    </row>
    <row r="23" spans="2:9" x14ac:dyDescent="0.3">
      <c r="C23" s="22"/>
      <c r="D23" s="22"/>
      <c r="E23" s="22"/>
      <c r="F23" s="22"/>
      <c r="G23" s="22"/>
      <c r="H23" s="22"/>
      <c r="I23" s="22"/>
    </row>
    <row r="24" spans="2:9" x14ac:dyDescent="0.3">
      <c r="C24" s="22"/>
      <c r="D24" s="22"/>
      <c r="E24" s="22"/>
      <c r="F24" s="22"/>
      <c r="G24" s="22"/>
      <c r="H24" s="22"/>
      <c r="I24" s="22"/>
    </row>
    <row r="25" spans="2:9" x14ac:dyDescent="0.3">
      <c r="C25" s="22"/>
      <c r="D25" s="22"/>
      <c r="E25" s="22"/>
      <c r="F25" s="22"/>
      <c r="G25" s="22"/>
      <c r="H25" s="22"/>
      <c r="I25" s="22"/>
    </row>
    <row r="26" spans="2:9" x14ac:dyDescent="0.3">
      <c r="C26" s="22">
        <f t="shared" ref="C26:I27" ca="1" si="4">SUMIFS(RESULT_DURATION,WEEK,C$4,RESULT_CATEGORIES,$B26,WEEKDAY,C$5)/60</f>
        <v>0</v>
      </c>
      <c r="D26" s="22">
        <f t="shared" ca="1" si="4"/>
        <v>0</v>
      </c>
      <c r="E26" s="22">
        <f t="shared" ca="1" si="4"/>
        <v>0</v>
      </c>
      <c r="F26" s="22">
        <f t="shared" ca="1" si="4"/>
        <v>0</v>
      </c>
      <c r="G26" s="22">
        <f t="shared" ca="1" si="4"/>
        <v>0</v>
      </c>
      <c r="H26" s="22">
        <f t="shared" ca="1" si="4"/>
        <v>0</v>
      </c>
      <c r="I26" s="22">
        <f t="shared" ca="1" si="4"/>
        <v>0</v>
      </c>
    </row>
    <row r="27" spans="2:9" x14ac:dyDescent="0.3">
      <c r="C27" s="22">
        <f t="shared" ca="1" si="4"/>
        <v>0</v>
      </c>
      <c r="D27" s="22">
        <f t="shared" ca="1" si="4"/>
        <v>0</v>
      </c>
      <c r="E27" s="22">
        <f t="shared" ca="1" si="4"/>
        <v>0</v>
      </c>
      <c r="F27" s="22">
        <f t="shared" ca="1" si="4"/>
        <v>0</v>
      </c>
      <c r="G27" s="22">
        <f t="shared" ca="1" si="4"/>
        <v>0</v>
      </c>
      <c r="H27" s="22">
        <f t="shared" ca="1" si="4"/>
        <v>0</v>
      </c>
      <c r="I27" s="22">
        <f t="shared" ca="1" si="4"/>
        <v>0</v>
      </c>
    </row>
    <row r="28" spans="2:9" x14ac:dyDescent="0.3">
      <c r="C28" s="22"/>
      <c r="D28" s="22"/>
      <c r="E28" s="22"/>
      <c r="F28" s="22"/>
      <c r="G28" s="22"/>
      <c r="H28" s="22"/>
      <c r="I28" s="22"/>
    </row>
    <row r="29" spans="2:9" x14ac:dyDescent="0.3">
      <c r="C29" s="22"/>
      <c r="D29" s="22"/>
      <c r="E29" s="22"/>
      <c r="F29" s="22"/>
      <c r="G29" s="22"/>
      <c r="H29" s="22"/>
      <c r="I29" s="22"/>
    </row>
    <row r="30" spans="2:9" x14ac:dyDescent="0.3">
      <c r="C30" s="22">
        <f t="shared" ref="C30:I30" ca="1" si="5">SUMIFS(RESULT_DURATION,WEEK,C$4,RESULT_CATEGORIES,$B30,WEEKDAY,C$5)/60</f>
        <v>0</v>
      </c>
      <c r="D30" s="22">
        <f t="shared" ca="1" si="5"/>
        <v>0</v>
      </c>
      <c r="E30" s="22">
        <f t="shared" ca="1" si="5"/>
        <v>0</v>
      </c>
      <c r="F30" s="22">
        <f t="shared" ca="1" si="5"/>
        <v>0</v>
      </c>
      <c r="G30" s="22">
        <f t="shared" ca="1" si="5"/>
        <v>0</v>
      </c>
      <c r="H30" s="22">
        <f t="shared" ca="1" si="5"/>
        <v>0</v>
      </c>
      <c r="I30" s="22">
        <f t="shared" ca="1" si="5"/>
        <v>0</v>
      </c>
    </row>
    <row r="31" spans="2:9" x14ac:dyDescent="0.3">
      <c r="C31" s="22"/>
      <c r="D31" s="22"/>
      <c r="E31" s="22"/>
      <c r="F31" s="22"/>
      <c r="G31" s="22"/>
      <c r="H31" s="22"/>
      <c r="I31" s="22"/>
    </row>
    <row r="32" spans="2:9" x14ac:dyDescent="0.3">
      <c r="B32" s="3" t="s">
        <v>12</v>
      </c>
      <c r="C32" s="23">
        <f t="shared" ref="C32:I32" ca="1" si="6">SUM(C6:C31)</f>
        <v>0</v>
      </c>
      <c r="D32" s="23">
        <f t="shared" ca="1" si="6"/>
        <v>0</v>
      </c>
      <c r="E32" s="23">
        <f t="shared" ca="1" si="6"/>
        <v>0</v>
      </c>
      <c r="F32" s="23">
        <f t="shared" ca="1" si="6"/>
        <v>0</v>
      </c>
      <c r="G32" s="23">
        <f t="shared" ca="1" si="6"/>
        <v>0</v>
      </c>
      <c r="H32" s="23">
        <f t="shared" ca="1" si="6"/>
        <v>0</v>
      </c>
      <c r="I32" s="23">
        <f t="shared" ca="1" si="6"/>
        <v>0</v>
      </c>
    </row>
    <row r="33" spans="2:9" x14ac:dyDescent="0.3">
      <c r="C33" s="20"/>
      <c r="D33" s="20"/>
      <c r="E33" s="20"/>
      <c r="F33" s="20"/>
      <c r="G33" s="20"/>
      <c r="H33" s="20"/>
      <c r="I33" s="20"/>
    </row>
    <row r="34" spans="2:9" ht="15" thickBot="1" x14ac:dyDescent="0.35">
      <c r="B34" t="s">
        <v>14</v>
      </c>
      <c r="C34" s="24">
        <f t="shared" ref="C34:I34" ca="1" si="7">C32-C12</f>
        <v>0</v>
      </c>
      <c r="D34" s="24">
        <f t="shared" ca="1" si="7"/>
        <v>0</v>
      </c>
      <c r="E34" s="24">
        <f t="shared" ca="1" si="7"/>
        <v>0</v>
      </c>
      <c r="F34" s="24">
        <f t="shared" ca="1" si="7"/>
        <v>0</v>
      </c>
      <c r="G34" s="24">
        <f t="shared" ca="1" si="7"/>
        <v>0</v>
      </c>
      <c r="H34" s="24">
        <f t="shared" ca="1" si="7"/>
        <v>0</v>
      </c>
      <c r="I34" s="24">
        <f t="shared" ca="1" si="7"/>
        <v>0</v>
      </c>
    </row>
  </sheetData>
  <conditionalFormatting sqref="B4:B34">
    <cfRule type="cellIs" dxfId="8" priority="6" operator="equal">
      <formula>"Marketing"</formula>
    </cfRule>
    <cfRule type="cellIs" dxfId="7" priority="7" operator="equal">
      <formula>"Reading"</formula>
    </cfRule>
    <cfRule type="cellIs" dxfId="6" priority="8" operator="equal">
      <formula>"Client"</formula>
    </cfRule>
    <cfRule type="cellIs" dxfId="5" priority="9" operator="equal">
      <formula>"Admin"</formula>
    </cfRule>
  </conditionalFormatting>
  <conditionalFormatting sqref="B1:B34">
    <cfRule type="cellIs" dxfId="4" priority="1" operator="equal">
      <formula>"NOTSET"</formula>
    </cfRule>
    <cfRule type="cellIs" dxfId="3" priority="2" operator="equal">
      <formula>"Recruiting"</formula>
    </cfRule>
    <cfRule type="cellIs" dxfId="2" priority="3" operator="equal">
      <formula>"Prospectring"</formula>
    </cfRule>
    <cfRule type="cellIs" dxfId="1" priority="4" operator="equal">
      <formula>"Sales Support"</formula>
    </cfRule>
    <cfRule type="cellIs" dxfId="0" priority="5" operator="equal">
      <formula>"valantic"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istAppointments">
                <anchor moveWithCells="1" sizeWithCells="1">
                  <from>
                    <xdr:col>0</xdr:col>
                    <xdr:colOff>525780</xdr:colOff>
                    <xdr:row>1</xdr:row>
                    <xdr:rowOff>15240</xdr:rowOff>
                  </from>
                  <to>
                    <xdr:col>1</xdr:col>
                    <xdr:colOff>594360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_xludf.Parse">
                <anchor moveWithCells="1" sizeWithCells="1">
                  <from>
                    <xdr:col>1</xdr:col>
                    <xdr:colOff>723900</xdr:colOff>
                    <xdr:row>1</xdr:row>
                    <xdr:rowOff>15240</xdr:rowOff>
                  </from>
                  <to>
                    <xdr:col>1</xdr:col>
                    <xdr:colOff>1363980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2895-4888-42A8-8F02-82FC898C4C19}">
  <sheetPr codeName="Sheet9"/>
  <dimension ref="A2:X239"/>
  <sheetViews>
    <sheetView topLeftCell="E1" zoomScale="70" zoomScaleNormal="70" workbookViewId="0">
      <selection activeCell="X3" sqref="X3:X243"/>
    </sheetView>
  </sheetViews>
  <sheetFormatPr defaultColWidth="16.77734375" defaultRowHeight="14.4" x14ac:dyDescent="0.3"/>
  <cols>
    <col min="3" max="3" width="42.21875" customWidth="1"/>
    <col min="4" max="4" width="53.88671875" customWidth="1"/>
    <col min="15" max="17" width="20.21875" customWidth="1"/>
    <col min="18" max="18" width="20.21875" style="7" customWidth="1"/>
    <col min="19" max="23" width="20.21875" customWidth="1"/>
    <col min="24" max="24" width="20.21875" style="7" customWidth="1"/>
  </cols>
  <sheetData>
    <row r="2" spans="1:24" x14ac:dyDescent="0.3">
      <c r="O2" t="s">
        <v>9198</v>
      </c>
      <c r="P2">
        <v>20</v>
      </c>
      <c r="Q2" t="s">
        <v>10013</v>
      </c>
      <c r="R2" s="7" t="s">
        <v>10015</v>
      </c>
      <c r="T2" t="s">
        <v>9263</v>
      </c>
      <c r="U2" t="s">
        <v>10014</v>
      </c>
      <c r="V2">
        <v>20</v>
      </c>
      <c r="W2" t="s">
        <v>10013</v>
      </c>
      <c r="X2" s="7" t="s">
        <v>10016</v>
      </c>
    </row>
    <row r="3" spans="1:24" x14ac:dyDescent="0.3">
      <c r="A3" t="s">
        <v>9198</v>
      </c>
      <c r="B3" t="s">
        <v>9932</v>
      </c>
      <c r="C3" t="s">
        <v>9933</v>
      </c>
      <c r="D3" t="s">
        <v>9983</v>
      </c>
      <c r="F3" t="s">
        <v>9984</v>
      </c>
      <c r="G3" t="s">
        <v>9985</v>
      </c>
      <c r="H3" t="s">
        <v>9986</v>
      </c>
      <c r="I3" t="s">
        <v>9984</v>
      </c>
      <c r="J3" t="s">
        <v>9979</v>
      </c>
      <c r="K3" t="s">
        <v>9234</v>
      </c>
      <c r="L3" t="s">
        <v>9921</v>
      </c>
      <c r="O3" t="str" cm="1">
        <f t="array" ref="O3:O180">_xlfn._xlws.FILTER(D:D,$A:$A=O2)</f>
        <v>fsdfsdfdf</v>
      </c>
      <c r="P3" t="str">
        <f>LEFT(O3,P$2)</f>
        <v>fsdfsdfdf</v>
      </c>
      <c r="Q3" t="str">
        <f>INDEX(J:J,MATCH(O3,D:D,0))</f>
        <v>Mohamed ARKATE</v>
      </c>
      <c r="R3" s="7" t="str">
        <f>"name="&amp;P3&amp;"  [owner="&amp;Q3&amp;"]"</f>
        <v>name=fsdfsdfdf  [owner=Mohamed ARKATE]</v>
      </c>
      <c r="T3" t="str" cm="1">
        <f t="array" ref="T3:T61">_xlfn._xlws.FILTER(E:E,$A:$A=T2)</f>
        <v>sfdfdsfsdf</v>
      </c>
      <c r="U3" t="str">
        <f t="shared" ref="U3:U34" si="0">INDEX(D:D,MATCH(T3,E:E,0))</f>
        <v>fsdfsdfdf</v>
      </c>
      <c r="V3" t="str">
        <f>LEFT(U3,V$2)</f>
        <v>fsdfsdfdf</v>
      </c>
      <c r="W3" t="str">
        <f t="shared" ref="W3:W34" si="1">INDEX(J:J,MATCH(T3,E:E,0))</f>
        <v>Juarez Neto</v>
      </c>
      <c r="X3" s="7" t="str">
        <f>"name="&amp;T3&amp;"  [parent="&amp;V3&amp;"] [owner="&amp;W3&amp;"]"</f>
        <v>name=sfdfdsfsdf  [parent=fsdfsdfdf] [owner=Juarez Neto]</v>
      </c>
    </row>
    <row r="4" spans="1:24" x14ac:dyDescent="0.3">
      <c r="A4" t="s">
        <v>9263</v>
      </c>
      <c r="B4" t="s">
        <v>9932</v>
      </c>
      <c r="C4" t="s">
        <v>9933</v>
      </c>
      <c r="D4" t="s">
        <v>9983</v>
      </c>
      <c r="E4" t="s">
        <v>9987</v>
      </c>
      <c r="F4" t="s">
        <v>9984</v>
      </c>
      <c r="G4" t="s">
        <v>9988</v>
      </c>
      <c r="H4" t="s">
        <v>9989</v>
      </c>
      <c r="I4" t="s">
        <v>9984</v>
      </c>
      <c r="J4" t="s">
        <v>9703</v>
      </c>
      <c r="K4" t="s">
        <v>9205</v>
      </c>
      <c r="O4" t="str">
        <v>INPUT_ONE</v>
      </c>
      <c r="P4" t="str">
        <f t="shared" ref="P4:P67" si="2">LEFT(O4,P$2)</f>
        <v>INPUT_ONE</v>
      </c>
      <c r="Q4" t="str">
        <f t="shared" ref="Q4:Q67" si="3">INDEX(J:J,MATCH(O4,D:D,0))</f>
        <v>Mohamed ARKATE</v>
      </c>
      <c r="R4" s="7" t="str">
        <f t="shared" ref="R4:R67" si="4">"name="&amp;P4&amp;"  [owner="&amp;Q4&amp;"]"</f>
        <v>name=INPUT_ONE  [owner=Mohamed ARKATE]</v>
      </c>
      <c r="T4" t="str">
        <v>SELECT_ONE</v>
      </c>
      <c r="U4" t="str">
        <f t="shared" si="0"/>
        <v>INPUT_ONE</v>
      </c>
      <c r="V4" t="str">
        <f t="shared" ref="V4:V67" si="5">LEFT(U4,V$2)</f>
        <v>INPUT_ONE</v>
      </c>
      <c r="W4" t="str">
        <f t="shared" si="1"/>
        <v>Juarez Neto</v>
      </c>
      <c r="X4" s="7" t="str">
        <f t="shared" ref="X4:X61" si="6">"name="&amp;T4&amp;"  [parent="&amp;V4&amp;"] [owner="&amp;W4&amp;"]"</f>
        <v>name=SELECT_ONE  [parent=INPUT_ONE] [owner=Juarez Neto]</v>
      </c>
    </row>
    <row r="5" spans="1:24" x14ac:dyDescent="0.3">
      <c r="A5" t="s">
        <v>9198</v>
      </c>
      <c r="B5" t="s">
        <v>9932</v>
      </c>
      <c r="C5" t="s">
        <v>9933</v>
      </c>
      <c r="D5" t="s">
        <v>9975</v>
      </c>
      <c r="F5" t="s">
        <v>9976</v>
      </c>
      <c r="G5" t="s">
        <v>9977</v>
      </c>
      <c r="H5" t="s">
        <v>9978</v>
      </c>
      <c r="I5" t="s">
        <v>9976</v>
      </c>
      <c r="J5" t="s">
        <v>9979</v>
      </c>
      <c r="K5" t="s">
        <v>9234</v>
      </c>
      <c r="L5" t="s">
        <v>9921</v>
      </c>
      <c r="O5" t="str">
        <v>Foobar2</v>
      </c>
      <c r="P5" t="str">
        <f t="shared" si="2"/>
        <v>Foobar2</v>
      </c>
      <c r="Q5" t="str">
        <f t="shared" si="3"/>
        <v>Jon Butler</v>
      </c>
      <c r="R5" s="7" t="str">
        <f t="shared" si="4"/>
        <v>name=Foobar2  [owner=Jon Butler]</v>
      </c>
      <c r="T5" t="str">
        <v>this is a sub itewm</v>
      </c>
      <c r="U5" t="str">
        <f t="shared" si="0"/>
        <v>Foobar2</v>
      </c>
      <c r="V5" t="str">
        <f t="shared" si="5"/>
        <v>Foobar2</v>
      </c>
      <c r="W5" t="str">
        <f t="shared" si="1"/>
        <v>Alison Hood</v>
      </c>
      <c r="X5" s="7" t="str">
        <f t="shared" si="6"/>
        <v>name=this is a sub itewm  [parent=Foobar2] [owner=Alison Hood]</v>
      </c>
    </row>
    <row r="6" spans="1:24" x14ac:dyDescent="0.3">
      <c r="A6" t="s">
        <v>9263</v>
      </c>
      <c r="B6" t="s">
        <v>9932</v>
      </c>
      <c r="C6" t="s">
        <v>9933</v>
      </c>
      <c r="D6" t="s">
        <v>9975</v>
      </c>
      <c r="E6" t="s">
        <v>9980</v>
      </c>
      <c r="F6" t="s">
        <v>9976</v>
      </c>
      <c r="G6" t="s">
        <v>9981</v>
      </c>
      <c r="H6" t="s">
        <v>9982</v>
      </c>
      <c r="I6" t="s">
        <v>9976</v>
      </c>
      <c r="J6" t="s">
        <v>9703</v>
      </c>
      <c r="K6" t="s">
        <v>9205</v>
      </c>
      <c r="O6" t="str">
        <v>New Item</v>
      </c>
      <c r="P6" t="str">
        <f t="shared" si="2"/>
        <v>New Item</v>
      </c>
      <c r="Q6" t="str">
        <f t="shared" si="3"/>
        <v>Jon Butler</v>
      </c>
      <c r="R6" s="7" t="str">
        <f t="shared" si="4"/>
        <v>name=New Item  [owner=Jon Butler]</v>
      </c>
      <c r="T6" t="str">
        <v>new item</v>
      </c>
      <c r="U6" t="str">
        <f t="shared" si="0"/>
        <v>TestItem1</v>
      </c>
      <c r="V6" t="str">
        <f t="shared" si="5"/>
        <v>TestItem1</v>
      </c>
      <c r="W6">
        <f t="shared" si="1"/>
        <v>0</v>
      </c>
      <c r="X6" s="7" t="str">
        <f t="shared" si="6"/>
        <v>name=new item  [parent=TestItem1] [owner=0]</v>
      </c>
    </row>
    <row r="7" spans="1:24" x14ac:dyDescent="0.3">
      <c r="A7" t="s">
        <v>9198</v>
      </c>
      <c r="B7" t="s">
        <v>9932</v>
      </c>
      <c r="C7" t="s">
        <v>9933</v>
      </c>
      <c r="D7" t="s">
        <v>9967</v>
      </c>
      <c r="F7" t="s">
        <v>9968</v>
      </c>
      <c r="G7" t="s">
        <v>9969</v>
      </c>
      <c r="H7" t="s">
        <v>9970</v>
      </c>
      <c r="I7" t="s">
        <v>9968</v>
      </c>
      <c r="J7" t="s">
        <v>47</v>
      </c>
      <c r="K7" t="s">
        <v>9212</v>
      </c>
      <c r="L7" t="s">
        <v>9971</v>
      </c>
      <c r="O7" t="str">
        <v>Unfulfiled devs</v>
      </c>
      <c r="P7" t="str">
        <f t="shared" si="2"/>
        <v>Unfulfiled devs</v>
      </c>
      <c r="Q7" t="str">
        <f t="shared" si="3"/>
        <v>Jon Butler</v>
      </c>
      <c r="R7" s="7" t="str">
        <f t="shared" si="4"/>
        <v>name=Unfulfiled devs  [owner=Jon Butler]</v>
      </c>
      <c r="T7" t="str">
        <v>new item</v>
      </c>
      <c r="U7" t="str">
        <f t="shared" si="0"/>
        <v>TestItem1</v>
      </c>
      <c r="V7" t="str">
        <f t="shared" si="5"/>
        <v>TestItem1</v>
      </c>
      <c r="W7">
        <f t="shared" si="1"/>
        <v>0</v>
      </c>
      <c r="X7" s="7" t="str">
        <f t="shared" si="6"/>
        <v>name=new item  [parent=TestItem1] [owner=0]</v>
      </c>
    </row>
    <row r="8" spans="1:24" x14ac:dyDescent="0.3">
      <c r="A8" t="s">
        <v>9263</v>
      </c>
      <c r="B8" t="s">
        <v>9932</v>
      </c>
      <c r="C8" t="s">
        <v>9933</v>
      </c>
      <c r="D8" t="s">
        <v>9967</v>
      </c>
      <c r="E8" t="s">
        <v>9922</v>
      </c>
      <c r="F8" t="s">
        <v>9968</v>
      </c>
      <c r="G8" t="s">
        <v>9972</v>
      </c>
      <c r="H8" t="s">
        <v>9973</v>
      </c>
      <c r="I8" t="s">
        <v>9968</v>
      </c>
      <c r="J8" t="s">
        <v>50</v>
      </c>
      <c r="K8" t="s">
        <v>9205</v>
      </c>
      <c r="L8" t="s">
        <v>9974</v>
      </c>
      <c r="O8" t="str">
        <v>Foo</v>
      </c>
      <c r="P8" t="str">
        <f t="shared" si="2"/>
        <v>Foo</v>
      </c>
      <c r="Q8" t="str">
        <f t="shared" si="3"/>
        <v>Jon Butler</v>
      </c>
      <c r="R8" s="7" t="str">
        <f t="shared" si="4"/>
        <v>name=Foo  [owner=Jon Butler]</v>
      </c>
      <c r="T8" t="str">
        <v>this is a sub itewm</v>
      </c>
      <c r="U8" t="str">
        <f t="shared" si="0"/>
        <v>Foobar2</v>
      </c>
      <c r="V8" t="str">
        <f t="shared" si="5"/>
        <v>Foobar2</v>
      </c>
      <c r="W8" t="str">
        <f t="shared" si="1"/>
        <v>Alison Hood</v>
      </c>
      <c r="X8" s="7" t="str">
        <f t="shared" si="6"/>
        <v>name=this is a sub itewm  [parent=Foobar2] [owner=Alison Hood]</v>
      </c>
    </row>
    <row r="9" spans="1:24" x14ac:dyDescent="0.3">
      <c r="A9" t="s">
        <v>9198</v>
      </c>
      <c r="B9" t="s">
        <v>9199</v>
      </c>
      <c r="C9" t="s">
        <v>9895</v>
      </c>
      <c r="D9" t="s">
        <v>9925</v>
      </c>
      <c r="F9" t="s">
        <v>9926</v>
      </c>
      <c r="G9" t="s">
        <v>9927</v>
      </c>
      <c r="H9" t="s">
        <v>9928</v>
      </c>
      <c r="I9" t="s">
        <v>9926</v>
      </c>
      <c r="J9" t="s">
        <v>47</v>
      </c>
      <c r="K9" t="s">
        <v>9205</v>
      </c>
      <c r="O9" t="str">
        <v>TestItem2</v>
      </c>
      <c r="P9" t="str">
        <f t="shared" si="2"/>
        <v>TestItem2</v>
      </c>
      <c r="Q9" t="str">
        <f t="shared" si="3"/>
        <v>Jon Butler</v>
      </c>
      <c r="R9" s="7" t="str">
        <f t="shared" si="4"/>
        <v>name=TestItem2  [owner=Jon Butler]</v>
      </c>
      <c r="T9" t="str">
        <v>TestSubItem3</v>
      </c>
      <c r="U9" t="str">
        <f t="shared" si="0"/>
        <v>TestItem1</v>
      </c>
      <c r="V9" t="str">
        <f t="shared" si="5"/>
        <v>TestItem1</v>
      </c>
      <c r="W9" t="str">
        <f t="shared" si="1"/>
        <v>Jon Butler</v>
      </c>
      <c r="X9" s="7" t="str">
        <f t="shared" si="6"/>
        <v>name=TestSubItem3  [parent=TestItem1] [owner=Jon Butler]</v>
      </c>
    </row>
    <row r="10" spans="1:24" x14ac:dyDescent="0.3">
      <c r="A10" t="s">
        <v>9198</v>
      </c>
      <c r="B10" t="s">
        <v>9199</v>
      </c>
      <c r="C10" t="s">
        <v>9200</v>
      </c>
      <c r="D10" t="s">
        <v>9929</v>
      </c>
      <c r="F10" t="s">
        <v>9926</v>
      </c>
      <c r="G10" t="s">
        <v>9930</v>
      </c>
      <c r="H10" t="s">
        <v>9931</v>
      </c>
      <c r="I10" t="s">
        <v>9926</v>
      </c>
      <c r="J10" t="s">
        <v>47</v>
      </c>
      <c r="K10" t="s">
        <v>9212</v>
      </c>
      <c r="O10" t="str">
        <v>TestItem3</v>
      </c>
      <c r="P10" t="str">
        <f t="shared" si="2"/>
        <v>TestItem3</v>
      </c>
      <c r="Q10" t="str">
        <f t="shared" si="3"/>
        <v>Jon Butler</v>
      </c>
      <c r="R10" s="7" t="str">
        <f t="shared" si="4"/>
        <v>name=TestItem3  [owner=Jon Butler]</v>
      </c>
      <c r="T10" t="str">
        <v>TestSubItem2</v>
      </c>
      <c r="U10" t="str">
        <f t="shared" si="0"/>
        <v>TestItem1</v>
      </c>
      <c r="V10" t="str">
        <f t="shared" si="5"/>
        <v>TestItem1</v>
      </c>
      <c r="W10" t="str">
        <f t="shared" si="1"/>
        <v>Alison Hood</v>
      </c>
      <c r="X10" s="7" t="str">
        <f t="shared" si="6"/>
        <v>name=TestSubItem2  [parent=TestItem1] [owner=Alison Hood]</v>
      </c>
    </row>
    <row r="11" spans="1:24" x14ac:dyDescent="0.3">
      <c r="A11" t="s">
        <v>9263</v>
      </c>
      <c r="B11" t="s">
        <v>9932</v>
      </c>
      <c r="C11" t="s">
        <v>9933</v>
      </c>
      <c r="D11" t="s">
        <v>9934</v>
      </c>
      <c r="E11" t="s">
        <v>9952</v>
      </c>
      <c r="F11" t="s">
        <v>9938</v>
      </c>
      <c r="G11" t="s">
        <v>9956</v>
      </c>
      <c r="H11" t="s">
        <v>9957</v>
      </c>
      <c r="I11" t="s">
        <v>9938</v>
      </c>
      <c r="K11" t="s">
        <v>9205</v>
      </c>
      <c r="O11" t="str">
        <v>TestItem1</v>
      </c>
      <c r="P11" t="str">
        <f t="shared" si="2"/>
        <v>TestItem1</v>
      </c>
      <c r="Q11">
        <f t="shared" si="3"/>
        <v>0</v>
      </c>
      <c r="R11" s="7" t="str">
        <f t="shared" si="4"/>
        <v>name=TestItem1  [owner=0]</v>
      </c>
      <c r="T11" t="str">
        <v>TestSubItem1</v>
      </c>
      <c r="U11" t="str">
        <f t="shared" si="0"/>
        <v>TestItem1</v>
      </c>
      <c r="V11" t="str">
        <f t="shared" si="5"/>
        <v>TestItem1</v>
      </c>
      <c r="W11" t="str">
        <f t="shared" si="1"/>
        <v>Alison Hood</v>
      </c>
      <c r="X11" s="7" t="str">
        <f t="shared" si="6"/>
        <v>name=TestSubItem1  [parent=TestItem1] [owner=Alison Hood]</v>
      </c>
    </row>
    <row r="12" spans="1:24" x14ac:dyDescent="0.3">
      <c r="A12" t="s">
        <v>9263</v>
      </c>
      <c r="B12" t="s">
        <v>9932</v>
      </c>
      <c r="C12" t="s">
        <v>9933</v>
      </c>
      <c r="D12" t="s">
        <v>9934</v>
      </c>
      <c r="E12" t="s">
        <v>9952</v>
      </c>
      <c r="F12" t="s">
        <v>9953</v>
      </c>
      <c r="G12" t="s">
        <v>9954</v>
      </c>
      <c r="H12" t="s">
        <v>9955</v>
      </c>
      <c r="I12" t="s">
        <v>9953</v>
      </c>
      <c r="K12" t="s">
        <v>9205</v>
      </c>
      <c r="O12" t="str">
        <v>GreySpark</v>
      </c>
      <c r="P12" t="str">
        <f t="shared" si="2"/>
        <v>GreySpark</v>
      </c>
      <c r="Q12" t="str">
        <f t="shared" si="3"/>
        <v>Jon Butler</v>
      </c>
      <c r="R12" s="7" t="str">
        <f t="shared" si="4"/>
        <v>name=GreySpark  [owner=Jon Butler]</v>
      </c>
      <c r="T12" t="str">
        <v>contract</v>
      </c>
      <c r="U12" t="str">
        <f t="shared" si="0"/>
        <v>GreySpark</v>
      </c>
      <c r="V12" t="str">
        <f t="shared" si="5"/>
        <v>GreySpark</v>
      </c>
      <c r="W12">
        <f t="shared" si="1"/>
        <v>0</v>
      </c>
      <c r="X12" s="7" t="str">
        <f t="shared" si="6"/>
        <v>name=contract  [parent=GreySpark] [owner=0]</v>
      </c>
    </row>
    <row r="13" spans="1:24" x14ac:dyDescent="0.3">
      <c r="A13" t="s">
        <v>9198</v>
      </c>
      <c r="B13" t="s">
        <v>9199</v>
      </c>
      <c r="C13" t="s">
        <v>9895</v>
      </c>
      <c r="D13" t="s">
        <v>9917</v>
      </c>
      <c r="F13" t="s">
        <v>9918</v>
      </c>
      <c r="G13" t="s">
        <v>9919</v>
      </c>
      <c r="H13" t="s">
        <v>9920</v>
      </c>
      <c r="I13" t="s">
        <v>9918</v>
      </c>
      <c r="J13" t="s">
        <v>47</v>
      </c>
      <c r="K13" t="s">
        <v>9212</v>
      </c>
      <c r="L13" t="s">
        <v>9921</v>
      </c>
      <c r="O13" t="str">
        <v>Markets Media</v>
      </c>
      <c r="P13" t="str">
        <f t="shared" si="2"/>
        <v>Markets Media</v>
      </c>
      <c r="Q13" t="str">
        <f t="shared" si="3"/>
        <v>Jon Butler</v>
      </c>
      <c r="R13" s="7" t="str">
        <f t="shared" si="4"/>
        <v>name=Markets Media  [owner=Jon Butler]</v>
      </c>
      <c r="T13" t="str">
        <v>article 1</v>
      </c>
      <c r="U13" t="str">
        <f t="shared" si="0"/>
        <v>GreySpark</v>
      </c>
      <c r="V13" t="str">
        <f t="shared" si="5"/>
        <v>GreySpark</v>
      </c>
      <c r="W13">
        <f t="shared" si="1"/>
        <v>0</v>
      </c>
      <c r="X13" s="7" t="str">
        <f t="shared" si="6"/>
        <v>name=article 1  [parent=GreySpark] [owner=0]</v>
      </c>
    </row>
    <row r="14" spans="1:24" x14ac:dyDescent="0.3">
      <c r="A14" t="s">
        <v>9263</v>
      </c>
      <c r="B14" t="s">
        <v>9199</v>
      </c>
      <c r="C14" t="s">
        <v>9895</v>
      </c>
      <c r="D14" t="s">
        <v>9917</v>
      </c>
      <c r="E14" t="s">
        <v>9922</v>
      </c>
      <c r="F14" t="s">
        <v>9918</v>
      </c>
      <c r="G14" t="s">
        <v>9923</v>
      </c>
      <c r="H14" t="s">
        <v>9924</v>
      </c>
      <c r="I14" t="s">
        <v>9918</v>
      </c>
      <c r="K14" t="s">
        <v>9212</v>
      </c>
      <c r="L14" t="s">
        <v>9921</v>
      </c>
      <c r="O14" t="str">
        <v>posting the FIX event interview</v>
      </c>
      <c r="P14" t="str">
        <f t="shared" si="2"/>
        <v>posting the FIX even</v>
      </c>
      <c r="Q14" t="str">
        <f t="shared" si="3"/>
        <v>Jon Butler</v>
      </c>
      <c r="R14" s="7" t="str">
        <f t="shared" si="4"/>
        <v>name=posting the FIX even  [owner=Jon Butler]</v>
      </c>
      <c r="T14" t="str">
        <v>article 2</v>
      </c>
      <c r="U14" t="str">
        <f t="shared" si="0"/>
        <v>GreySpark</v>
      </c>
      <c r="V14" t="str">
        <f t="shared" si="5"/>
        <v>GreySpark</v>
      </c>
      <c r="W14">
        <f t="shared" si="1"/>
        <v>0</v>
      </c>
      <c r="X14" s="7" t="str">
        <f t="shared" si="6"/>
        <v>name=article 2  [parent=GreySpark] [owner=0]</v>
      </c>
    </row>
    <row r="15" spans="1:24" x14ac:dyDescent="0.3">
      <c r="A15" t="s">
        <v>9263</v>
      </c>
      <c r="B15" t="s">
        <v>9932</v>
      </c>
      <c r="C15" t="s">
        <v>9933</v>
      </c>
      <c r="D15" t="s">
        <v>9934</v>
      </c>
      <c r="E15" t="s">
        <v>9948</v>
      </c>
      <c r="F15" t="s">
        <v>9949</v>
      </c>
      <c r="G15" t="s">
        <v>9950</v>
      </c>
      <c r="H15" t="s">
        <v>9951</v>
      </c>
      <c r="I15" t="s">
        <v>9943</v>
      </c>
      <c r="J15" t="s">
        <v>47</v>
      </c>
      <c r="K15" t="s">
        <v>9205</v>
      </c>
      <c r="O15" t="str">
        <v>use case aggregation</v>
      </c>
      <c r="P15" t="str">
        <f t="shared" si="2"/>
        <v>use case aggregation</v>
      </c>
      <c r="Q15" t="str">
        <f t="shared" si="3"/>
        <v>Jon Butler</v>
      </c>
      <c r="R15" s="7" t="str">
        <f t="shared" si="4"/>
        <v>name=use case aggregation  [owner=Jon Butler]</v>
      </c>
      <c r="T15" t="str">
        <v>ETF C/R arrticle</v>
      </c>
      <c r="U15" t="str">
        <f t="shared" si="0"/>
        <v>Markets Media</v>
      </c>
      <c r="V15" t="str">
        <f t="shared" si="5"/>
        <v>Markets Media</v>
      </c>
      <c r="W15">
        <f t="shared" si="1"/>
        <v>0</v>
      </c>
      <c r="X15" s="7" t="str">
        <f t="shared" si="6"/>
        <v>name=ETF C/R arrticle  [parent=Markets Media] [owner=0]</v>
      </c>
    </row>
    <row r="16" spans="1:24" x14ac:dyDescent="0.3">
      <c r="A16" t="s">
        <v>9198</v>
      </c>
      <c r="B16" t="s">
        <v>9932</v>
      </c>
      <c r="C16" t="s">
        <v>9933</v>
      </c>
      <c r="D16" t="s">
        <v>9958</v>
      </c>
      <c r="F16" t="s">
        <v>9959</v>
      </c>
      <c r="G16" t="s">
        <v>9960</v>
      </c>
      <c r="H16" t="s">
        <v>9961</v>
      </c>
      <c r="I16" t="s">
        <v>9962</v>
      </c>
      <c r="J16" t="s">
        <v>47</v>
      </c>
      <c r="K16" t="s">
        <v>9234</v>
      </c>
      <c r="O16" t="str">
        <v>announcing BNP golive</v>
      </c>
      <c r="P16" t="str">
        <f t="shared" si="2"/>
        <v>announcing BNP goliv</v>
      </c>
      <c r="Q16" t="str">
        <f t="shared" si="3"/>
        <v>Jon Butler</v>
      </c>
      <c r="R16" s="7" t="str">
        <f t="shared" si="4"/>
        <v>name=announcing BNP goliv  [owner=Jon Butler]</v>
      </c>
      <c r="T16" t="str">
        <v>Train Mo on how to use the demo</v>
      </c>
      <c r="U16" t="str">
        <f t="shared" si="0"/>
        <v>Retail &amp; Single Names</v>
      </c>
      <c r="V16" t="str">
        <f t="shared" si="5"/>
        <v>Retail &amp; Single Name</v>
      </c>
      <c r="W16">
        <f t="shared" si="1"/>
        <v>0</v>
      </c>
      <c r="X16" s="7" t="str">
        <f t="shared" si="6"/>
        <v>name=Train Mo on how to use the demo  [parent=Retail &amp; Single Name] [owner=0]</v>
      </c>
    </row>
    <row r="17" spans="1:24" x14ac:dyDescent="0.3">
      <c r="A17" t="s">
        <v>9198</v>
      </c>
      <c r="B17" t="s">
        <v>9932</v>
      </c>
      <c r="C17" t="s">
        <v>9933</v>
      </c>
      <c r="D17" t="s">
        <v>9963</v>
      </c>
      <c r="F17" t="s">
        <v>9959</v>
      </c>
      <c r="G17" t="s">
        <v>9964</v>
      </c>
      <c r="H17" t="s">
        <v>9965</v>
      </c>
      <c r="I17" t="s">
        <v>9966</v>
      </c>
      <c r="J17" t="s">
        <v>47</v>
      </c>
      <c r="K17" t="s">
        <v>9234</v>
      </c>
      <c r="O17" t="str">
        <v>Lessons Learned from Ibanking</v>
      </c>
      <c r="P17" t="str">
        <f t="shared" si="2"/>
        <v>Lessons Learned from</v>
      </c>
      <c r="Q17" t="str">
        <f t="shared" si="3"/>
        <v>Jon Butler</v>
      </c>
      <c r="R17" s="7" t="str">
        <f t="shared" si="4"/>
        <v>name=Lessons Learned from  [owner=Jon Butler]</v>
      </c>
      <c r="T17" t="str">
        <v>foo dee doo</v>
      </c>
      <c r="U17" t="str">
        <f t="shared" si="0"/>
        <v>10 things to consider when building an OMS</v>
      </c>
      <c r="V17" t="str">
        <f t="shared" si="5"/>
        <v>10 things to conside</v>
      </c>
      <c r="W17">
        <f t="shared" si="1"/>
        <v>0</v>
      </c>
      <c r="X17" s="7" t="str">
        <f t="shared" si="6"/>
        <v>name=foo dee doo  [parent=10 things to conside] [owner=0]</v>
      </c>
    </row>
    <row r="18" spans="1:24" x14ac:dyDescent="0.3">
      <c r="A18" t="s">
        <v>9263</v>
      </c>
      <c r="B18" t="s">
        <v>9932</v>
      </c>
      <c r="C18" t="s">
        <v>9933</v>
      </c>
      <c r="D18" t="s">
        <v>9934</v>
      </c>
      <c r="E18" t="s">
        <v>9944</v>
      </c>
      <c r="F18" t="s">
        <v>9945</v>
      </c>
      <c r="G18" t="s">
        <v>9946</v>
      </c>
      <c r="H18" t="s">
        <v>9947</v>
      </c>
      <c r="I18" t="s">
        <v>9943</v>
      </c>
      <c r="J18" t="s">
        <v>50</v>
      </c>
      <c r="K18" t="s">
        <v>9205</v>
      </c>
      <c r="O18" t="str">
        <v>front office of the future post</v>
      </c>
      <c r="P18" t="str">
        <f t="shared" si="2"/>
        <v xml:space="preserve">front office of the </v>
      </c>
      <c r="Q18" t="str">
        <f t="shared" si="3"/>
        <v>Jon Butler</v>
      </c>
      <c r="R18" s="7" t="str">
        <f t="shared" si="4"/>
        <v>name=front office of the   [owner=Jon Butler]</v>
      </c>
      <c r="T18" t="str">
        <v>foo dee doo</v>
      </c>
      <c r="U18" t="str">
        <f t="shared" si="0"/>
        <v>10 things to consider when building an OMS</v>
      </c>
      <c r="V18" t="str">
        <f t="shared" si="5"/>
        <v>10 things to conside</v>
      </c>
      <c r="W18">
        <f t="shared" si="1"/>
        <v>0</v>
      </c>
      <c r="X18" s="7" t="str">
        <f t="shared" si="6"/>
        <v>name=foo dee doo  [parent=10 things to conside] [owner=0]</v>
      </c>
    </row>
    <row r="19" spans="1:24" x14ac:dyDescent="0.3">
      <c r="A19" t="s">
        <v>9263</v>
      </c>
      <c r="B19" t="s">
        <v>9932</v>
      </c>
      <c r="C19" t="s">
        <v>9933</v>
      </c>
      <c r="D19" t="s">
        <v>9934</v>
      </c>
      <c r="E19" t="s">
        <v>9939</v>
      </c>
      <c r="F19" t="s">
        <v>9940</v>
      </c>
      <c r="G19" t="s">
        <v>9941</v>
      </c>
      <c r="H19" t="s">
        <v>9942</v>
      </c>
      <c r="I19" t="s">
        <v>9943</v>
      </c>
      <c r="J19" t="s">
        <v>50</v>
      </c>
      <c r="K19" t="s">
        <v>9212</v>
      </c>
      <c r="O19" t="str">
        <v>why do legacy systems...become legacy systems</v>
      </c>
      <c r="P19" t="str">
        <f t="shared" si="2"/>
        <v>why do legacy system</v>
      </c>
      <c r="Q19" t="str">
        <f t="shared" si="3"/>
        <v>Jon Butler, Mike Wilkins</v>
      </c>
      <c r="R19" s="7" t="str">
        <f t="shared" si="4"/>
        <v>name=why do legacy system  [owner=Jon Butler, Mike Wilkins]</v>
      </c>
      <c r="T19" t="str">
        <v>foo dee doo</v>
      </c>
      <c r="U19" t="str">
        <f t="shared" si="0"/>
        <v>10 things to consider when building an OMS</v>
      </c>
      <c r="V19" t="str">
        <f t="shared" si="5"/>
        <v>10 things to conside</v>
      </c>
      <c r="W19">
        <f t="shared" si="1"/>
        <v>0</v>
      </c>
      <c r="X19" s="7" t="str">
        <f t="shared" si="6"/>
        <v>name=foo dee doo  [parent=10 things to conside] [owner=0]</v>
      </c>
    </row>
    <row r="20" spans="1:24" x14ac:dyDescent="0.3">
      <c r="A20" t="s">
        <v>9198</v>
      </c>
      <c r="B20" t="s">
        <v>9932</v>
      </c>
      <c r="C20" t="s">
        <v>9933</v>
      </c>
      <c r="D20" t="s">
        <v>9934</v>
      </c>
      <c r="F20" t="s">
        <v>9935</v>
      </c>
      <c r="G20" t="s">
        <v>9936</v>
      </c>
      <c r="H20" t="s">
        <v>9937</v>
      </c>
      <c r="I20" t="s">
        <v>9938</v>
      </c>
      <c r="J20" t="s">
        <v>50</v>
      </c>
      <c r="K20" t="s">
        <v>9205</v>
      </c>
      <c r="L20" t="s">
        <v>9921</v>
      </c>
      <c r="O20" t="str">
        <v>halloween post</v>
      </c>
      <c r="P20" t="str">
        <f t="shared" si="2"/>
        <v>halloween post</v>
      </c>
      <c r="Q20" t="str">
        <f t="shared" si="3"/>
        <v>Jon Butler</v>
      </c>
      <c r="R20" s="7" t="str">
        <f t="shared" si="4"/>
        <v>name=halloween post  [owner=Jon Butler]</v>
      </c>
      <c r="T20" t="str">
        <v>foo dee doo</v>
      </c>
      <c r="U20" t="str">
        <f t="shared" si="0"/>
        <v>10 things to consider when building an OMS</v>
      </c>
      <c r="V20" t="str">
        <f t="shared" si="5"/>
        <v>10 things to conside</v>
      </c>
      <c r="W20">
        <f t="shared" si="1"/>
        <v>0</v>
      </c>
      <c r="X20" s="7" t="str">
        <f t="shared" si="6"/>
        <v>name=foo dee doo  [parent=10 things to conside] [owner=0]</v>
      </c>
    </row>
    <row r="21" spans="1:24" x14ac:dyDescent="0.3">
      <c r="A21" t="s">
        <v>9198</v>
      </c>
      <c r="B21" t="s">
        <v>9199</v>
      </c>
      <c r="C21" t="s">
        <v>9895</v>
      </c>
      <c r="D21" t="s">
        <v>9896</v>
      </c>
      <c r="F21" t="s">
        <v>9897</v>
      </c>
      <c r="G21" t="s">
        <v>9898</v>
      </c>
      <c r="H21" t="s">
        <v>9899</v>
      </c>
      <c r="I21" t="s">
        <v>9897</v>
      </c>
      <c r="J21" t="s">
        <v>47</v>
      </c>
      <c r="K21" t="s">
        <v>9205</v>
      </c>
      <c r="O21" t="str">
        <v>Supply &amp; Demand repost</v>
      </c>
      <c r="P21" t="str">
        <f t="shared" si="2"/>
        <v>Supply &amp; Demand repo</v>
      </c>
      <c r="Q21" t="str">
        <f t="shared" si="3"/>
        <v>Jon Butler</v>
      </c>
      <c r="R21" s="7" t="str">
        <f t="shared" si="4"/>
        <v>name=Supply &amp; Demand repo  [owner=Jon Butler]</v>
      </c>
      <c r="T21" t="str">
        <v>foo dee doo</v>
      </c>
      <c r="U21" t="str">
        <f t="shared" si="0"/>
        <v>10 things to consider when building an OMS</v>
      </c>
      <c r="V21" t="str">
        <f t="shared" si="5"/>
        <v>10 things to conside</v>
      </c>
      <c r="W21">
        <f t="shared" si="1"/>
        <v>0</v>
      </c>
      <c r="X21" s="7" t="str">
        <f t="shared" si="6"/>
        <v>name=foo dee doo  [parent=10 things to conside] [owner=0]</v>
      </c>
    </row>
    <row r="22" spans="1:24" x14ac:dyDescent="0.3">
      <c r="A22" t="s">
        <v>9263</v>
      </c>
      <c r="B22" t="s">
        <v>9199</v>
      </c>
      <c r="C22" t="s">
        <v>9895</v>
      </c>
      <c r="D22" t="s">
        <v>9896</v>
      </c>
      <c r="E22" t="s">
        <v>3037</v>
      </c>
      <c r="F22" t="s">
        <v>9897</v>
      </c>
      <c r="G22" t="s">
        <v>9900</v>
      </c>
      <c r="H22" t="s">
        <v>9901</v>
      </c>
      <c r="I22" t="s">
        <v>9897</v>
      </c>
      <c r="K22" t="s">
        <v>9205</v>
      </c>
      <c r="O22" t="str">
        <v>Update from FIX event in Oct 23 NY</v>
      </c>
      <c r="P22" t="str">
        <f t="shared" si="2"/>
        <v>Update from FIX even</v>
      </c>
      <c r="Q22" t="str">
        <f t="shared" si="3"/>
        <v>Jon Butler</v>
      </c>
      <c r="R22" s="7" t="str">
        <f t="shared" si="4"/>
        <v>name=Update from FIX even  [owner=Jon Butler]</v>
      </c>
      <c r="T22" t="str">
        <v>foo dee doo</v>
      </c>
      <c r="U22" t="str">
        <f t="shared" si="0"/>
        <v>10 things to consider when building an OMS</v>
      </c>
      <c r="V22" t="str">
        <f t="shared" si="5"/>
        <v>10 things to conside</v>
      </c>
      <c r="W22">
        <f t="shared" si="1"/>
        <v>0</v>
      </c>
      <c r="X22" s="7" t="str">
        <f t="shared" si="6"/>
        <v>name=foo dee doo  [parent=10 things to conside] [owner=0]</v>
      </c>
    </row>
    <row r="23" spans="1:24" x14ac:dyDescent="0.3">
      <c r="A23" t="s">
        <v>9263</v>
      </c>
      <c r="B23" t="s">
        <v>9199</v>
      </c>
      <c r="C23" t="s">
        <v>9895</v>
      </c>
      <c r="D23" t="s">
        <v>9896</v>
      </c>
      <c r="E23" t="s">
        <v>9902</v>
      </c>
      <c r="F23" t="s">
        <v>9897</v>
      </c>
      <c r="G23" t="s">
        <v>9903</v>
      </c>
      <c r="H23" t="s">
        <v>9904</v>
      </c>
      <c r="I23" t="s">
        <v>9905</v>
      </c>
      <c r="K23" t="s">
        <v>9212</v>
      </c>
      <c r="O23" t="str">
        <v>Modernize to next gen</v>
      </c>
      <c r="P23" t="str">
        <f t="shared" si="2"/>
        <v>Modernize to next ge</v>
      </c>
      <c r="Q23" t="str">
        <f t="shared" si="3"/>
        <v>Jon Butler</v>
      </c>
      <c r="R23" s="7" t="str">
        <f t="shared" si="4"/>
        <v>name=Modernize to next ge  [owner=Jon Butler]</v>
      </c>
      <c r="T23" t="str">
        <v>Modernize UI</v>
      </c>
      <c r="U23" t="str">
        <f t="shared" si="0"/>
        <v>Pitch Specific</v>
      </c>
      <c r="V23" t="str">
        <f t="shared" si="5"/>
        <v>Pitch Specific</v>
      </c>
      <c r="W23" t="str">
        <f t="shared" si="1"/>
        <v>Jon Butler</v>
      </c>
      <c r="X23" s="7" t="str">
        <f t="shared" si="6"/>
        <v>name=Modernize UI  [parent=Pitch Specific] [owner=Jon Butler]</v>
      </c>
    </row>
    <row r="24" spans="1:24" x14ac:dyDescent="0.3">
      <c r="A24" t="s">
        <v>9263</v>
      </c>
      <c r="B24" t="s">
        <v>9199</v>
      </c>
      <c r="C24" t="s">
        <v>9895</v>
      </c>
      <c r="D24" t="s">
        <v>9896</v>
      </c>
      <c r="E24" t="s">
        <v>9906</v>
      </c>
      <c r="F24" t="s">
        <v>9897</v>
      </c>
      <c r="G24" t="s">
        <v>9907</v>
      </c>
      <c r="H24" t="s">
        <v>9908</v>
      </c>
      <c r="I24" t="s">
        <v>9897</v>
      </c>
      <c r="K24" t="s">
        <v>9205</v>
      </c>
      <c r="O24" t="str">
        <v>Ateam Review</v>
      </c>
      <c r="P24" t="str">
        <f t="shared" si="2"/>
        <v>Ateam Review</v>
      </c>
      <c r="Q24" t="str">
        <f t="shared" si="3"/>
        <v>Jon Butler</v>
      </c>
      <c r="R24" s="7" t="str">
        <f t="shared" si="4"/>
        <v>name=Ateam Review  [owner=Jon Butler]</v>
      </c>
      <c r="T24" t="str">
        <v>Standup Startup</v>
      </c>
      <c r="U24" t="str">
        <f t="shared" si="0"/>
        <v>Pitch Specific</v>
      </c>
      <c r="V24" t="str">
        <f t="shared" si="5"/>
        <v>Pitch Specific</v>
      </c>
      <c r="W24" t="str">
        <f t="shared" si="1"/>
        <v>Jon Butler</v>
      </c>
      <c r="X24" s="7" t="str">
        <f t="shared" si="6"/>
        <v>name=Standup Startup  [parent=Pitch Specific] [owner=Jon Butler]</v>
      </c>
    </row>
    <row r="25" spans="1:24" x14ac:dyDescent="0.3">
      <c r="A25" t="s">
        <v>9198</v>
      </c>
      <c r="B25" t="s">
        <v>9199</v>
      </c>
      <c r="C25" t="s">
        <v>9895</v>
      </c>
      <c r="D25" t="s">
        <v>9909</v>
      </c>
      <c r="F25" t="s">
        <v>9897</v>
      </c>
      <c r="G25" t="s">
        <v>9910</v>
      </c>
      <c r="H25" t="s">
        <v>9911</v>
      </c>
      <c r="I25" t="s">
        <v>9912</v>
      </c>
      <c r="J25" t="s">
        <v>47</v>
      </c>
      <c r="K25" t="s">
        <v>9212</v>
      </c>
      <c r="O25" t="str">
        <v>use the Ateam event prep to create a post on UI/UX?</v>
      </c>
      <c r="P25" t="str">
        <f t="shared" si="2"/>
        <v xml:space="preserve">use the Ateam event </v>
      </c>
      <c r="Q25" t="str">
        <f t="shared" si="3"/>
        <v>Jon Butler</v>
      </c>
      <c r="R25" s="7" t="str">
        <f t="shared" si="4"/>
        <v>name=use the Ateam event   [owner=Jon Butler]</v>
      </c>
      <c r="T25" t="str">
        <v>Build Non-finance</v>
      </c>
      <c r="U25" t="str">
        <f t="shared" si="0"/>
        <v>Pitch Specific</v>
      </c>
      <c r="V25" t="str">
        <f t="shared" si="5"/>
        <v>Pitch Specific</v>
      </c>
      <c r="W25" t="str">
        <f t="shared" si="1"/>
        <v>Jon Butler</v>
      </c>
      <c r="X25" s="7" t="str">
        <f t="shared" si="6"/>
        <v>name=Build Non-finance  [parent=Pitch Specific] [owner=Jon Butler]</v>
      </c>
    </row>
    <row r="26" spans="1:24" x14ac:dyDescent="0.3">
      <c r="A26" t="s">
        <v>9263</v>
      </c>
      <c r="B26" t="s">
        <v>9199</v>
      </c>
      <c r="C26" t="s">
        <v>9895</v>
      </c>
      <c r="D26" t="s">
        <v>9909</v>
      </c>
      <c r="E26" t="s">
        <v>9913</v>
      </c>
      <c r="F26" t="s">
        <v>9897</v>
      </c>
      <c r="G26" t="s">
        <v>9914</v>
      </c>
      <c r="H26" t="s">
        <v>9915</v>
      </c>
      <c r="I26" t="s">
        <v>9905</v>
      </c>
      <c r="K26" t="s">
        <v>9916</v>
      </c>
      <c r="O26" t="str">
        <v>Retail &amp; Single Names</v>
      </c>
      <c r="P26" t="str">
        <f t="shared" si="2"/>
        <v>Retail &amp; Single Name</v>
      </c>
      <c r="Q26" t="str">
        <f t="shared" si="3"/>
        <v>Jon Butler</v>
      </c>
      <c r="R26" s="7" t="str">
        <f t="shared" si="4"/>
        <v>name=Retail &amp; Single Name  [owner=Jon Butler]</v>
      </c>
      <c r="T26" t="str">
        <v>Monetize Data</v>
      </c>
      <c r="U26" t="str">
        <f t="shared" si="0"/>
        <v>Pitch Specific</v>
      </c>
      <c r="V26" t="str">
        <f t="shared" si="5"/>
        <v>Pitch Specific</v>
      </c>
      <c r="W26" t="str">
        <f t="shared" si="1"/>
        <v>Jon Butler</v>
      </c>
      <c r="X26" s="7" t="str">
        <f t="shared" si="6"/>
        <v>name=Monetize Data  [parent=Pitch Specific] [owner=Jon Butler]</v>
      </c>
    </row>
    <row r="27" spans="1:24" x14ac:dyDescent="0.3">
      <c r="A27" t="s">
        <v>9198</v>
      </c>
      <c r="B27" t="s">
        <v>9199</v>
      </c>
      <c r="C27" t="s">
        <v>9200</v>
      </c>
      <c r="D27" t="s">
        <v>9891</v>
      </c>
      <c r="F27" t="s">
        <v>9892</v>
      </c>
      <c r="G27" t="s">
        <v>9893</v>
      </c>
      <c r="H27" t="s">
        <v>9894</v>
      </c>
      <c r="I27" t="s">
        <v>9892</v>
      </c>
      <c r="J27" t="s">
        <v>47</v>
      </c>
      <c r="K27" t="s">
        <v>9205</v>
      </c>
      <c r="O27" t="str">
        <v>Mckinsey article on measuring dev productivity</v>
      </c>
      <c r="P27" t="str">
        <f t="shared" si="2"/>
        <v xml:space="preserve">Mckinsey article on </v>
      </c>
      <c r="Q27" t="str">
        <f t="shared" si="3"/>
        <v>Jon Butler</v>
      </c>
      <c r="R27" s="7" t="str">
        <f t="shared" si="4"/>
        <v>name=Mckinsey article on   [owner=Jon Butler]</v>
      </c>
      <c r="T27" t="str">
        <v>Team Productivity</v>
      </c>
      <c r="U27" t="str">
        <f t="shared" si="0"/>
        <v>Pitch Specific</v>
      </c>
      <c r="V27" t="str">
        <f t="shared" si="5"/>
        <v>Pitch Specific</v>
      </c>
      <c r="W27" t="str">
        <f t="shared" si="1"/>
        <v>Jon Butler</v>
      </c>
      <c r="X27" s="7" t="str">
        <f t="shared" si="6"/>
        <v>name=Team Productivity  [parent=Pitch Specific] [owner=Jon Butler]</v>
      </c>
    </row>
    <row r="28" spans="1:24" x14ac:dyDescent="0.3">
      <c r="A28" t="s">
        <v>9198</v>
      </c>
      <c r="B28" t="s">
        <v>9199</v>
      </c>
      <c r="C28" t="s">
        <v>9302</v>
      </c>
      <c r="D28" t="s">
        <v>9887</v>
      </c>
      <c r="F28" t="s">
        <v>9888</v>
      </c>
      <c r="G28" t="s">
        <v>9889</v>
      </c>
      <c r="H28" t="s">
        <v>9890</v>
      </c>
      <c r="I28" t="s">
        <v>9888</v>
      </c>
      <c r="J28" t="s">
        <v>47</v>
      </c>
      <c r="K28" t="s">
        <v>9205</v>
      </c>
      <c r="O28" t="str">
        <v>Publish : the problems associated with not being able to measure developer productivity</v>
      </c>
      <c r="P28" t="str">
        <f t="shared" si="2"/>
        <v>Publish : the proble</v>
      </c>
      <c r="Q28">
        <f t="shared" si="3"/>
        <v>0</v>
      </c>
      <c r="R28" s="7" t="str">
        <f t="shared" si="4"/>
        <v>name=Publish : the proble  [owner=0]</v>
      </c>
      <c r="T28" t="str">
        <v>Build Trading</v>
      </c>
      <c r="U28" t="str">
        <f t="shared" si="0"/>
        <v>Pitch Specific</v>
      </c>
      <c r="V28" t="str">
        <f t="shared" si="5"/>
        <v>Pitch Specific</v>
      </c>
      <c r="W28" t="str">
        <f t="shared" si="1"/>
        <v>Jon Butler</v>
      </c>
      <c r="X28" s="7" t="str">
        <f t="shared" si="6"/>
        <v>name=Build Trading  [parent=Pitch Specific] [owner=Jon Butler]</v>
      </c>
    </row>
    <row r="29" spans="1:24" x14ac:dyDescent="0.3">
      <c r="A29" t="s">
        <v>9198</v>
      </c>
      <c r="B29" t="s">
        <v>9199</v>
      </c>
      <c r="C29" t="s">
        <v>9200</v>
      </c>
      <c r="D29" t="s">
        <v>9883</v>
      </c>
      <c r="F29" t="s">
        <v>9884</v>
      </c>
      <c r="G29" t="s">
        <v>9885</v>
      </c>
      <c r="H29" t="s">
        <v>9886</v>
      </c>
      <c r="I29" t="s">
        <v>9884</v>
      </c>
      <c r="J29" t="s">
        <v>47</v>
      </c>
      <c r="K29" t="s">
        <v>9205</v>
      </c>
      <c r="O29" t="str">
        <v>Problem definition</v>
      </c>
      <c r="P29" t="str">
        <f t="shared" si="2"/>
        <v>Problem definition</v>
      </c>
      <c r="Q29" t="str">
        <f t="shared" si="3"/>
        <v>Jon Butler</v>
      </c>
      <c r="R29" s="7" t="str">
        <f t="shared" si="4"/>
        <v>name=Problem definition  [owner=Jon Butler]</v>
      </c>
      <c r="T29" t="str">
        <v>Legacy Innovate</v>
      </c>
      <c r="U29" t="str">
        <f t="shared" si="0"/>
        <v>Pitch Specific</v>
      </c>
      <c r="V29" t="str">
        <f t="shared" si="5"/>
        <v>Pitch Specific</v>
      </c>
      <c r="W29" t="str">
        <f t="shared" si="1"/>
        <v>Jon Butler</v>
      </c>
      <c r="X29" s="7" t="str">
        <f t="shared" si="6"/>
        <v>name=Legacy Innovate  [parent=Pitch Specific] [owner=Jon Butler]</v>
      </c>
    </row>
    <row r="30" spans="1:24" x14ac:dyDescent="0.3">
      <c r="A30" t="s">
        <v>9198</v>
      </c>
      <c r="B30" t="s">
        <v>9199</v>
      </c>
      <c r="C30" t="s">
        <v>9200</v>
      </c>
      <c r="D30" t="s">
        <v>9879</v>
      </c>
      <c r="F30" t="s">
        <v>9880</v>
      </c>
      <c r="G30" t="s">
        <v>9881</v>
      </c>
      <c r="H30" t="s">
        <v>9882</v>
      </c>
      <c r="I30" t="s">
        <v>9880</v>
      </c>
      <c r="J30" t="s">
        <v>47</v>
      </c>
      <c r="K30" t="s">
        <v>9212</v>
      </c>
      <c r="O30" t="str">
        <v>How much of your devs effort gets put into differentiating features</v>
      </c>
      <c r="P30" t="str">
        <f t="shared" si="2"/>
        <v>How much of your dev</v>
      </c>
      <c r="Q30">
        <f t="shared" si="3"/>
        <v>0</v>
      </c>
      <c r="R30" s="7" t="str">
        <f t="shared" si="4"/>
        <v>name=How much of your dev  [owner=0]</v>
      </c>
      <c r="T30" t="str">
        <v>Tech Detail - Data Platform Dev Layers</v>
      </c>
      <c r="U30" t="str">
        <f t="shared" si="0"/>
        <v>Product</v>
      </c>
      <c r="V30" t="str">
        <f t="shared" si="5"/>
        <v>Product</v>
      </c>
      <c r="W30" t="str">
        <f t="shared" si="1"/>
        <v>Jon Butler</v>
      </c>
      <c r="X30" s="7" t="str">
        <f t="shared" si="6"/>
        <v>name=Tech Detail - Data Platform Dev Layers  [parent=Product] [owner=Jon Butler]</v>
      </c>
    </row>
    <row r="31" spans="1:24" x14ac:dyDescent="0.3">
      <c r="A31" t="s">
        <v>9198</v>
      </c>
      <c r="B31" t="s">
        <v>9199</v>
      </c>
      <c r="C31" t="s">
        <v>9200</v>
      </c>
      <c r="D31" t="s">
        <v>9875</v>
      </c>
      <c r="F31" t="s">
        <v>9873</v>
      </c>
      <c r="G31" t="s">
        <v>9876</v>
      </c>
      <c r="H31" t="s">
        <v>9877</v>
      </c>
      <c r="I31" t="s">
        <v>9878</v>
      </c>
      <c r="J31" t="s">
        <v>47</v>
      </c>
      <c r="K31" t="s">
        <v>9212</v>
      </c>
      <c r="O31" t="str">
        <v>no-code cons</v>
      </c>
      <c r="P31" t="str">
        <f t="shared" si="2"/>
        <v>no-code cons</v>
      </c>
      <c r="Q31">
        <f t="shared" si="3"/>
        <v>0</v>
      </c>
      <c r="R31" s="7" t="str">
        <f t="shared" si="4"/>
        <v>name=no-code cons  [owner=0]</v>
      </c>
      <c r="T31" t="str">
        <v>Tech Overview - Summary Target</v>
      </c>
      <c r="U31" t="str">
        <f t="shared" si="0"/>
        <v>Product</v>
      </c>
      <c r="V31" t="str">
        <f t="shared" si="5"/>
        <v>Product</v>
      </c>
      <c r="W31" t="str">
        <f t="shared" si="1"/>
        <v>Jon Butler</v>
      </c>
      <c r="X31" s="7" t="str">
        <f t="shared" si="6"/>
        <v>name=Tech Overview - Summary Target  [parent=Product] [owner=Jon Butler]</v>
      </c>
    </row>
    <row r="32" spans="1:24" x14ac:dyDescent="0.3">
      <c r="A32" t="s">
        <v>9198</v>
      </c>
      <c r="B32" t="s">
        <v>9199</v>
      </c>
      <c r="C32" t="s">
        <v>9200</v>
      </c>
      <c r="D32" t="s">
        <v>9870</v>
      </c>
      <c r="F32" t="s">
        <v>9852</v>
      </c>
      <c r="G32" t="s">
        <v>9871</v>
      </c>
      <c r="H32" t="s">
        <v>9872</v>
      </c>
      <c r="I32" t="s">
        <v>9873</v>
      </c>
      <c r="J32" t="s">
        <v>9874</v>
      </c>
      <c r="K32" t="s">
        <v>9234</v>
      </c>
      <c r="O32" t="str">
        <v>Developer Support</v>
      </c>
      <c r="P32" t="str">
        <f t="shared" si="2"/>
        <v>Developer Support</v>
      </c>
      <c r="Q32" t="str">
        <f t="shared" si="3"/>
        <v>Jon Butler</v>
      </c>
      <c r="R32" s="7" t="str">
        <f t="shared" si="4"/>
        <v>name=Developer Support  [owner=Jon Butler]</v>
      </c>
      <c r="T32" t="str">
        <v>Platform vs. Framework</v>
      </c>
      <c r="U32" t="str">
        <f t="shared" si="0"/>
        <v>Product</v>
      </c>
      <c r="V32" t="str">
        <f t="shared" si="5"/>
        <v>Product</v>
      </c>
      <c r="W32" t="str">
        <f t="shared" si="1"/>
        <v>Jon Butler</v>
      </c>
      <c r="X32" s="7" t="str">
        <f t="shared" si="6"/>
        <v>name=Platform vs. Framework  [parent=Product] [owner=Jon Butler]</v>
      </c>
    </row>
    <row r="33" spans="1:24" x14ac:dyDescent="0.3">
      <c r="A33" t="s">
        <v>9198</v>
      </c>
      <c r="B33" t="s">
        <v>9199</v>
      </c>
      <c r="C33" t="s">
        <v>9200</v>
      </c>
      <c r="D33" t="s">
        <v>9866</v>
      </c>
      <c r="F33" t="s">
        <v>9867</v>
      </c>
      <c r="G33" t="s">
        <v>9868</v>
      </c>
      <c r="H33" t="s">
        <v>9869</v>
      </c>
      <c r="I33" t="s">
        <v>9852</v>
      </c>
      <c r="J33" t="s">
        <v>47</v>
      </c>
      <c r="K33" t="s">
        <v>9234</v>
      </c>
      <c r="O33" t="str">
        <v>nearly a third of all enterprise applications are considered legacy apps</v>
      </c>
      <c r="P33" t="str">
        <f t="shared" si="2"/>
        <v>nearly a third of al</v>
      </c>
      <c r="Q33">
        <f t="shared" si="3"/>
        <v>0</v>
      </c>
      <c r="R33" s="7" t="str">
        <f t="shared" si="4"/>
        <v>name=nearly a third of al  [owner=0]</v>
      </c>
      <c r="T33" t="str">
        <v>Tech Overview - Target</v>
      </c>
      <c r="U33" t="str">
        <f t="shared" si="0"/>
        <v>Product</v>
      </c>
      <c r="V33" t="str">
        <f t="shared" si="5"/>
        <v>Product</v>
      </c>
      <c r="W33" t="str">
        <f t="shared" si="1"/>
        <v>Jon Butler</v>
      </c>
      <c r="X33" s="7" t="str">
        <f t="shared" si="6"/>
        <v>name=Tech Overview - Target  [parent=Product] [owner=Jon Butler]</v>
      </c>
    </row>
    <row r="34" spans="1:24" x14ac:dyDescent="0.3">
      <c r="A34" t="s">
        <v>9198</v>
      </c>
      <c r="B34" t="s">
        <v>9199</v>
      </c>
      <c r="C34" t="s">
        <v>9200</v>
      </c>
      <c r="D34" t="s">
        <v>9862</v>
      </c>
      <c r="F34" t="s">
        <v>9863</v>
      </c>
      <c r="G34" t="s">
        <v>9864</v>
      </c>
      <c r="H34" t="s">
        <v>9865</v>
      </c>
      <c r="I34" t="s">
        <v>9852</v>
      </c>
      <c r="J34" t="s">
        <v>47</v>
      </c>
      <c r="K34" t="s">
        <v>9234</v>
      </c>
      <c r="O34" t="str">
        <v>fabric vs mesh</v>
      </c>
      <c r="P34" t="str">
        <f t="shared" si="2"/>
        <v>fabric vs mesh</v>
      </c>
      <c r="Q34">
        <f t="shared" si="3"/>
        <v>0</v>
      </c>
      <c r="R34" s="7" t="str">
        <f t="shared" si="4"/>
        <v>name=fabric vs mesh  [owner=0]</v>
      </c>
      <c r="T34" t="str">
        <v>Hero</v>
      </c>
      <c r="U34" t="str">
        <f t="shared" si="0"/>
        <v>Product</v>
      </c>
      <c r="V34" t="str">
        <f t="shared" si="5"/>
        <v>Product</v>
      </c>
      <c r="W34" t="str">
        <f t="shared" si="1"/>
        <v>Jon Butler</v>
      </c>
      <c r="X34" s="7" t="str">
        <f t="shared" si="6"/>
        <v>name=Hero  [parent=Product] [owner=Jon Butler]</v>
      </c>
    </row>
    <row r="35" spans="1:24" x14ac:dyDescent="0.3">
      <c r="A35" t="s">
        <v>9198</v>
      </c>
      <c r="B35" t="s">
        <v>9199</v>
      </c>
      <c r="C35" t="s">
        <v>9200</v>
      </c>
      <c r="D35" t="s">
        <v>9858</v>
      </c>
      <c r="F35" t="s">
        <v>9859</v>
      </c>
      <c r="G35" t="s">
        <v>9860</v>
      </c>
      <c r="H35" t="s">
        <v>9861</v>
      </c>
      <c r="I35" t="s">
        <v>9852</v>
      </c>
      <c r="J35" t="s">
        <v>47</v>
      </c>
      <c r="K35" t="s">
        <v>9234</v>
      </c>
      <c r="O35" t="str">
        <v>a good design wont survive a bad implementation</v>
      </c>
      <c r="P35" t="str">
        <f t="shared" si="2"/>
        <v>a good design wont s</v>
      </c>
      <c r="Q35" t="str">
        <f t="shared" si="3"/>
        <v>Jon Butler</v>
      </c>
      <c r="R35" s="7" t="str">
        <f t="shared" si="4"/>
        <v>name=a good design wont s  [owner=Jon Butler]</v>
      </c>
      <c r="T35" t="str">
        <v>High Levell</v>
      </c>
      <c r="U35" t="str">
        <f t="shared" ref="U35:U61" si="7">INDEX(D:D,MATCH(T35,E:E,0))</f>
        <v>Flow Diagram</v>
      </c>
      <c r="V35" t="str">
        <f t="shared" si="5"/>
        <v>Flow Diagram</v>
      </c>
      <c r="W35" t="str">
        <f t="shared" ref="W35:W61" si="8">INDEX(J:J,MATCH(T35,E:E,0))</f>
        <v>Jon Butler</v>
      </c>
      <c r="X35" s="7" t="str">
        <f t="shared" si="6"/>
        <v>name=High Levell  [parent=Flow Diagram] [owner=Jon Butler]</v>
      </c>
    </row>
    <row r="36" spans="1:24" x14ac:dyDescent="0.3">
      <c r="A36" t="s">
        <v>9198</v>
      </c>
      <c r="B36" t="s">
        <v>9199</v>
      </c>
      <c r="C36" t="s">
        <v>9200</v>
      </c>
      <c r="D36" t="s">
        <v>9853</v>
      </c>
      <c r="F36" t="s">
        <v>9854</v>
      </c>
      <c r="G36" t="s">
        <v>9855</v>
      </c>
      <c r="H36" t="s">
        <v>9856</v>
      </c>
      <c r="I36" t="s">
        <v>9857</v>
      </c>
      <c r="J36" t="s">
        <v>47</v>
      </c>
      <c r="K36" t="s">
        <v>9212</v>
      </c>
      <c r="O36" t="str">
        <v>get 3Bweb to help us put website docs benhind a contact form</v>
      </c>
      <c r="P36" t="str">
        <f t="shared" si="2"/>
        <v>get 3Bweb to help us</v>
      </c>
      <c r="Q36" t="str">
        <f t="shared" si="3"/>
        <v>Alison Hood</v>
      </c>
      <c r="R36" s="7" t="str">
        <f t="shared" si="4"/>
        <v>name=get 3Bweb to help us  [owner=Alison Hood]</v>
      </c>
      <c r="T36" t="str">
        <v>Subitem</v>
      </c>
      <c r="U36" t="str">
        <f t="shared" si="7"/>
        <v>2 page brochure</v>
      </c>
      <c r="V36" t="str">
        <f t="shared" si="5"/>
        <v>2 page brochure</v>
      </c>
      <c r="W36" t="str">
        <f t="shared" si="8"/>
        <v>Jon Butler</v>
      </c>
      <c r="X36" s="7" t="str">
        <f t="shared" si="6"/>
        <v>name=Subitem  [parent=2 page brochure] [owner=Jon Butler]</v>
      </c>
    </row>
    <row r="37" spans="1:24" x14ac:dyDescent="0.3">
      <c r="A37" t="s">
        <v>9198</v>
      </c>
      <c r="B37" t="s">
        <v>9199</v>
      </c>
      <c r="C37" t="s">
        <v>9200</v>
      </c>
      <c r="D37" t="s">
        <v>9848</v>
      </c>
      <c r="F37" t="s">
        <v>9849</v>
      </c>
      <c r="G37" t="s">
        <v>9850</v>
      </c>
      <c r="H37" t="s">
        <v>9851</v>
      </c>
      <c r="I37" t="s">
        <v>9852</v>
      </c>
      <c r="J37" t="s">
        <v>47</v>
      </c>
      <c r="K37" t="s">
        <v>9234</v>
      </c>
      <c r="O37" t="str">
        <v>Update the docs page with new videos</v>
      </c>
      <c r="P37" t="str">
        <f t="shared" si="2"/>
        <v>Update the docs page</v>
      </c>
      <c r="Q37" t="str">
        <f t="shared" si="3"/>
        <v>Jon Butler</v>
      </c>
      <c r="R37" s="7" t="str">
        <f t="shared" si="4"/>
        <v>name=Update the docs page  [owner=Jon Butler]</v>
      </c>
      <c r="T37" t="str">
        <v>animated and make general putpose</v>
      </c>
      <c r="U37" t="str">
        <f t="shared" si="7"/>
        <v>vCore diagram with systems we can accelerate</v>
      </c>
      <c r="V37" t="str">
        <f t="shared" si="5"/>
        <v>vCore diagram with s</v>
      </c>
      <c r="W37" t="str">
        <f t="shared" si="8"/>
        <v>Jon Butler</v>
      </c>
      <c r="X37" s="7" t="str">
        <f t="shared" si="6"/>
        <v>name=animated and make general putpose  [parent=vCore diagram with s] [owner=Jon Butler]</v>
      </c>
    </row>
    <row r="38" spans="1:24" x14ac:dyDescent="0.3">
      <c r="A38" t="s">
        <v>9198</v>
      </c>
      <c r="B38" t="s">
        <v>9199</v>
      </c>
      <c r="C38" t="s">
        <v>9200</v>
      </c>
      <c r="D38" t="s">
        <v>9844</v>
      </c>
      <c r="F38" t="s">
        <v>9845</v>
      </c>
      <c r="G38" t="s">
        <v>9846</v>
      </c>
      <c r="H38" t="s">
        <v>9847</v>
      </c>
      <c r="I38" t="s">
        <v>9845</v>
      </c>
      <c r="J38" t="s">
        <v>47</v>
      </c>
      <c r="K38" t="s">
        <v>9205</v>
      </c>
      <c r="O38" t="str">
        <v>An army of citizen developers is not enough</v>
      </c>
      <c r="P38" t="str">
        <f t="shared" si="2"/>
        <v>An army of citizen d</v>
      </c>
      <c r="Q38" t="str">
        <f t="shared" si="3"/>
        <v>Jon Butler</v>
      </c>
      <c r="R38" s="7" t="str">
        <f t="shared" si="4"/>
        <v>name=An army of citizen d  [owner=Jon Butler]</v>
      </c>
      <c r="T38" t="str">
        <v>Website/Category slide idea</v>
      </c>
      <c r="U38" t="str">
        <f t="shared" si="7"/>
        <v>Website ideas (add doc/links as sub items)</v>
      </c>
      <c r="V38" t="str">
        <f t="shared" si="5"/>
        <v>Website ideas (add d</v>
      </c>
      <c r="W38" t="str">
        <f t="shared" si="8"/>
        <v>Jon Butler</v>
      </c>
      <c r="X38" s="7" t="str">
        <f t="shared" si="6"/>
        <v>name=Website/Category slide idea  [parent=Website ideas (add d] [owner=Jon Butler]</v>
      </c>
    </row>
    <row r="39" spans="1:24" x14ac:dyDescent="0.3">
      <c r="A39" t="s">
        <v>9198</v>
      </c>
      <c r="B39" t="s">
        <v>9199</v>
      </c>
      <c r="C39" t="s">
        <v>9835</v>
      </c>
      <c r="D39" t="s">
        <v>9836</v>
      </c>
      <c r="F39" t="s">
        <v>9837</v>
      </c>
      <c r="G39" t="s">
        <v>9838</v>
      </c>
      <c r="H39" t="s">
        <v>9839</v>
      </c>
      <c r="I39" t="s">
        <v>9837</v>
      </c>
      <c r="J39" t="s">
        <v>47</v>
      </c>
      <c r="K39" t="s">
        <v>9212</v>
      </c>
      <c r="O39" t="str">
        <v>Developer Productivity</v>
      </c>
      <c r="P39" t="str">
        <f t="shared" si="2"/>
        <v>Developer Productivi</v>
      </c>
      <c r="Q39" t="str">
        <f t="shared" si="3"/>
        <v>Jon Butler</v>
      </c>
      <c r="R39" s="7" t="str">
        <f t="shared" si="4"/>
        <v>name=Developer Productivi  [owner=Jon Butler]</v>
      </c>
      <c r="T39" t="str">
        <v>ali website requests</v>
      </c>
      <c r="U39" t="str">
        <f t="shared" si="7"/>
        <v>make urgent mods to the website</v>
      </c>
      <c r="V39" t="str">
        <f t="shared" si="5"/>
        <v xml:space="preserve">make urgent mods to </v>
      </c>
      <c r="W39" t="str">
        <f t="shared" si="8"/>
        <v>Alison Hood</v>
      </c>
      <c r="X39" s="7" t="str">
        <f t="shared" si="6"/>
        <v>name=ali website requests  [parent=make urgent mods to ] [owner=Alison Hood]</v>
      </c>
    </row>
    <row r="40" spans="1:24" x14ac:dyDescent="0.3">
      <c r="A40" t="s">
        <v>9263</v>
      </c>
      <c r="B40" t="s">
        <v>9199</v>
      </c>
      <c r="C40" t="s">
        <v>9835</v>
      </c>
      <c r="D40" t="s">
        <v>9836</v>
      </c>
      <c r="E40" t="s">
        <v>9840</v>
      </c>
      <c r="F40" t="s">
        <v>9837</v>
      </c>
      <c r="G40" t="s">
        <v>9841</v>
      </c>
      <c r="H40" t="s">
        <v>9842</v>
      </c>
      <c r="I40" t="s">
        <v>9843</v>
      </c>
      <c r="K40" t="s">
        <v>9397</v>
      </c>
      <c r="O40" t="str">
        <v>does Lowcode automates roles that should not exist</v>
      </c>
      <c r="P40" t="str">
        <f t="shared" si="2"/>
        <v>does Lowcode automat</v>
      </c>
      <c r="Q40">
        <f t="shared" si="3"/>
        <v>0</v>
      </c>
      <c r="R40" s="7" t="str">
        <f t="shared" si="4"/>
        <v>name=does Lowcode automat  [owner=0]</v>
      </c>
      <c r="T40" t="str">
        <v>Add Terms of Use</v>
      </c>
      <c r="U40" t="str">
        <f t="shared" si="7"/>
        <v>make urgent mods to the website</v>
      </c>
      <c r="V40" t="str">
        <f t="shared" si="5"/>
        <v xml:space="preserve">make urgent mods to </v>
      </c>
      <c r="W40" t="str">
        <f t="shared" si="8"/>
        <v>Christian Schuler</v>
      </c>
      <c r="X40" s="7" t="str">
        <f t="shared" si="6"/>
        <v>name=Add Terms of Use  [parent=make urgent mods to ] [owner=Christian Schuler]</v>
      </c>
    </row>
    <row r="41" spans="1:24" x14ac:dyDescent="0.3">
      <c r="A41" t="s">
        <v>9263</v>
      </c>
      <c r="B41" t="s">
        <v>9199</v>
      </c>
      <c r="C41" t="s">
        <v>9200</v>
      </c>
      <c r="D41" t="s">
        <v>9449</v>
      </c>
      <c r="E41" t="s">
        <v>9454</v>
      </c>
      <c r="F41" t="s">
        <v>9452</v>
      </c>
      <c r="G41" t="s">
        <v>9471</v>
      </c>
      <c r="H41" t="s">
        <v>9472</v>
      </c>
      <c r="I41" t="s">
        <v>9452</v>
      </c>
      <c r="K41" t="s">
        <v>9234</v>
      </c>
      <c r="L41" t="s">
        <v>3947</v>
      </c>
      <c r="O41" t="str">
        <v>Desktop Interop and Enterprise Interop Report</v>
      </c>
      <c r="P41" t="str">
        <f t="shared" si="2"/>
        <v xml:space="preserve">Desktop Interop and </v>
      </c>
      <c r="Q41">
        <f t="shared" si="3"/>
        <v>0</v>
      </c>
      <c r="R41" s="7" t="str">
        <f t="shared" si="4"/>
        <v>name=Desktop Interop and   [owner=0]</v>
      </c>
      <c r="T41" t="str">
        <v>clean up slide options for new sections</v>
      </c>
      <c r="U41" t="str">
        <f t="shared" si="7"/>
        <v>make urgent mods to the website</v>
      </c>
      <c r="V41" t="str">
        <f t="shared" si="5"/>
        <v xml:space="preserve">make urgent mods to </v>
      </c>
      <c r="W41" t="str">
        <f t="shared" si="8"/>
        <v>Jon Butler</v>
      </c>
      <c r="X41" s="7" t="str">
        <f t="shared" si="6"/>
        <v>name=clean up slide options for new sections  [parent=make urgent mods to ] [owner=Jon Butler]</v>
      </c>
    </row>
    <row r="42" spans="1:24" x14ac:dyDescent="0.3">
      <c r="A42" t="s">
        <v>9263</v>
      </c>
      <c r="B42" t="s">
        <v>9199</v>
      </c>
      <c r="C42" t="s">
        <v>9200</v>
      </c>
      <c r="D42" t="s">
        <v>9449</v>
      </c>
      <c r="E42" t="s">
        <v>9454</v>
      </c>
      <c r="F42" t="s">
        <v>9468</v>
      </c>
      <c r="G42" t="s">
        <v>9469</v>
      </c>
      <c r="H42" t="s">
        <v>9470</v>
      </c>
      <c r="I42" t="s">
        <v>9468</v>
      </c>
      <c r="K42" t="s">
        <v>9234</v>
      </c>
      <c r="L42" t="s">
        <v>3947</v>
      </c>
      <c r="O42" t="str">
        <v>Reconciling conflicting 'developer headlines</v>
      </c>
      <c r="P42" t="str">
        <f t="shared" si="2"/>
        <v>Reconciling conflict</v>
      </c>
      <c r="Q42" t="str">
        <f t="shared" si="3"/>
        <v>Alison Hood, Christian Schuler</v>
      </c>
      <c r="R42" s="7" t="str">
        <f t="shared" si="4"/>
        <v>name=Reconciling conflict  [owner=Alison Hood, Christian Schuler]</v>
      </c>
      <c r="T42" t="str">
        <v>fix contact us</v>
      </c>
      <c r="U42" t="str">
        <f t="shared" si="7"/>
        <v>make urgent mods to the website</v>
      </c>
      <c r="V42" t="str">
        <f t="shared" si="5"/>
        <v xml:space="preserve">make urgent mods to </v>
      </c>
      <c r="W42" t="str">
        <f t="shared" si="8"/>
        <v>Jon Butler</v>
      </c>
      <c r="X42" s="7" t="str">
        <f t="shared" si="6"/>
        <v>name=fix contact us  [parent=make urgent mods to ] [owner=Jon Butler]</v>
      </c>
    </row>
    <row r="43" spans="1:24" x14ac:dyDescent="0.3">
      <c r="A43" t="s">
        <v>9263</v>
      </c>
      <c r="B43" t="s">
        <v>9199</v>
      </c>
      <c r="C43" t="s">
        <v>9200</v>
      </c>
      <c r="D43" t="s">
        <v>9449</v>
      </c>
      <c r="E43" t="s">
        <v>9454</v>
      </c>
      <c r="F43" t="s">
        <v>9465</v>
      </c>
      <c r="G43" t="s">
        <v>9466</v>
      </c>
      <c r="H43" t="s">
        <v>9467</v>
      </c>
      <c r="I43" t="s">
        <v>9465</v>
      </c>
      <c r="K43" t="s">
        <v>9234</v>
      </c>
      <c r="L43" t="s">
        <v>3947</v>
      </c>
      <c r="O43" t="str">
        <v>Pitch Specific</v>
      </c>
      <c r="P43" t="str">
        <f t="shared" si="2"/>
        <v>Pitch Specific</v>
      </c>
      <c r="Q43" t="str">
        <f t="shared" si="3"/>
        <v>Jon Butler</v>
      </c>
      <c r="R43" s="7" t="str">
        <f t="shared" si="4"/>
        <v>name=Pitch Specific  [owner=Jon Butler]</v>
      </c>
      <c r="T43" t="str">
        <v>co-ordinate with Cognizant</v>
      </c>
      <c r="U43" t="str">
        <f t="shared" si="7"/>
        <v>t+1 and velox ability to help solve (w/Cognizant)</v>
      </c>
      <c r="V43" t="str">
        <f t="shared" si="5"/>
        <v>t+1 and velox abilit</v>
      </c>
      <c r="W43" t="str">
        <f t="shared" si="8"/>
        <v>Juarez Neto</v>
      </c>
      <c r="X43" s="7" t="str">
        <f t="shared" si="6"/>
        <v>name=co-ordinate with Cognizant  [parent=t+1 and velox abilit] [owner=Juarez Neto]</v>
      </c>
    </row>
    <row r="44" spans="1:24" x14ac:dyDescent="0.3">
      <c r="A44" t="s">
        <v>9263</v>
      </c>
      <c r="B44" t="s">
        <v>9199</v>
      </c>
      <c r="C44" t="s">
        <v>9200</v>
      </c>
      <c r="D44" t="s">
        <v>9449</v>
      </c>
      <c r="E44" t="s">
        <v>9454</v>
      </c>
      <c r="F44" t="s">
        <v>9462</v>
      </c>
      <c r="G44" t="s">
        <v>9463</v>
      </c>
      <c r="H44" t="s">
        <v>9464</v>
      </c>
      <c r="I44" t="s">
        <v>9462</v>
      </c>
      <c r="K44" t="s">
        <v>9234</v>
      </c>
      <c r="L44" t="s">
        <v>3947</v>
      </c>
      <c r="O44" t="str">
        <v>educate on why buy and build is ok now</v>
      </c>
      <c r="P44" t="str">
        <f t="shared" si="2"/>
        <v>educate on why buy a</v>
      </c>
      <c r="Q44">
        <f t="shared" si="3"/>
        <v>0</v>
      </c>
      <c r="R44" s="7" t="str">
        <f t="shared" si="4"/>
        <v>name=educate on why buy a  [owner=0]</v>
      </c>
      <c r="T44" t="str">
        <v>write post</v>
      </c>
      <c r="U44" t="str">
        <f t="shared" si="7"/>
        <v>t+1 and velox ability to help solve (w/Cognizant)</v>
      </c>
      <c r="V44" t="str">
        <f t="shared" si="5"/>
        <v>t+1 and velox abilit</v>
      </c>
      <c r="W44" t="str">
        <f t="shared" si="8"/>
        <v>Jon Butler</v>
      </c>
      <c r="X44" s="7" t="str">
        <f t="shared" si="6"/>
        <v>name=write post  [parent=t+1 and velox abilit] [owner=Jon Butler]</v>
      </c>
    </row>
    <row r="45" spans="1:24" x14ac:dyDescent="0.3">
      <c r="A45" t="s">
        <v>9263</v>
      </c>
      <c r="B45" t="s">
        <v>9199</v>
      </c>
      <c r="C45" t="s">
        <v>9200</v>
      </c>
      <c r="D45" t="s">
        <v>9449</v>
      </c>
      <c r="E45" t="s">
        <v>9454</v>
      </c>
      <c r="F45" t="s">
        <v>9458</v>
      </c>
      <c r="G45" t="s">
        <v>9459</v>
      </c>
      <c r="H45" t="s">
        <v>9460</v>
      </c>
      <c r="I45" t="s">
        <v>9461</v>
      </c>
      <c r="K45" t="s">
        <v>9234</v>
      </c>
      <c r="L45" t="s">
        <v>3947</v>
      </c>
      <c r="O45" t="str">
        <v>Founder</v>
      </c>
      <c r="P45" t="str">
        <f t="shared" si="2"/>
        <v>Founder</v>
      </c>
      <c r="Q45" t="str">
        <f t="shared" si="3"/>
        <v>Jon Butler</v>
      </c>
      <c r="R45" s="7" t="str">
        <f t="shared" si="4"/>
        <v>name=Founder  [owner=Jon Butler]</v>
      </c>
      <c r="T45" t="str">
        <v>co-ordinate with finsemble</v>
      </c>
      <c r="U45" t="str">
        <f t="shared" si="7"/>
        <v>t+1 and velox ability to help solve (w/Cognizant)</v>
      </c>
      <c r="V45" t="str">
        <f t="shared" si="5"/>
        <v>t+1 and velox abilit</v>
      </c>
      <c r="W45" t="str">
        <f t="shared" si="8"/>
        <v>Jon Butler</v>
      </c>
      <c r="X45" s="7" t="str">
        <f t="shared" si="6"/>
        <v>name=co-ordinate with finsemble  [parent=t+1 and velox abilit] [owner=Jon Butler]</v>
      </c>
    </row>
    <row r="46" spans="1:24" x14ac:dyDescent="0.3">
      <c r="A46" t="s">
        <v>9263</v>
      </c>
      <c r="B46" t="s">
        <v>9199</v>
      </c>
      <c r="C46" t="s">
        <v>9200</v>
      </c>
      <c r="D46" t="s">
        <v>9449</v>
      </c>
      <c r="E46" t="s">
        <v>9454</v>
      </c>
      <c r="F46" t="s">
        <v>9455</v>
      </c>
      <c r="G46" t="s">
        <v>9456</v>
      </c>
      <c r="H46" t="s">
        <v>9457</v>
      </c>
      <c r="I46" t="s">
        <v>9455</v>
      </c>
      <c r="K46" t="s">
        <v>9234</v>
      </c>
      <c r="L46" t="s">
        <v>3947</v>
      </c>
      <c r="O46" t="str">
        <v>google CME partnership</v>
      </c>
      <c r="P46" t="str">
        <f t="shared" si="2"/>
        <v>google CME partnersh</v>
      </c>
      <c r="Q46">
        <f t="shared" si="3"/>
        <v>0</v>
      </c>
      <c r="R46" s="7" t="str">
        <f t="shared" si="4"/>
        <v>name=google CME partnersh  [owner=0]</v>
      </c>
      <c r="T46" t="str">
        <v>publish also on TABB forum</v>
      </c>
      <c r="U46" t="str">
        <f t="shared" si="7"/>
        <v>t+1 and velox ability to help solve (w/Cognizant)</v>
      </c>
      <c r="V46" t="str">
        <f t="shared" si="5"/>
        <v>t+1 and velox abilit</v>
      </c>
      <c r="W46">
        <f t="shared" si="8"/>
        <v>0</v>
      </c>
      <c r="X46" s="7" t="str">
        <f t="shared" si="6"/>
        <v>name=publish also on TABB forum  [parent=t+1 and velox abilit] [owner=0]</v>
      </c>
    </row>
    <row r="47" spans="1:24" x14ac:dyDescent="0.3">
      <c r="A47" t="s">
        <v>9198</v>
      </c>
      <c r="B47" t="s">
        <v>9199</v>
      </c>
      <c r="C47" t="s">
        <v>9200</v>
      </c>
      <c r="D47" t="s">
        <v>9831</v>
      </c>
      <c r="F47" t="s">
        <v>9832</v>
      </c>
      <c r="G47" t="s">
        <v>9833</v>
      </c>
      <c r="H47" t="s">
        <v>9834</v>
      </c>
      <c r="I47" t="s">
        <v>9832</v>
      </c>
      <c r="J47" t="s">
        <v>47</v>
      </c>
      <c r="K47" t="s">
        <v>9205</v>
      </c>
      <c r="L47" t="s">
        <v>3947</v>
      </c>
      <c r="O47" t="str">
        <v>setup google alerts and coordinate w/team</v>
      </c>
      <c r="P47" t="str">
        <f t="shared" si="2"/>
        <v xml:space="preserve">setup google alerts </v>
      </c>
      <c r="Q47" t="str">
        <f t="shared" si="3"/>
        <v>Jon Butler</v>
      </c>
      <c r="R47" s="7" t="str">
        <f t="shared" si="4"/>
        <v>name=setup google alerts   [owner=Jon Butler]</v>
      </c>
      <c r="T47" t="str">
        <v>build ability to collapse different slide files into 1 file</v>
      </c>
      <c r="U47" t="str">
        <f t="shared" si="7"/>
        <v>create a deck builder / slide chooser</v>
      </c>
      <c r="V47" t="str">
        <f t="shared" si="5"/>
        <v>create a deck builde</v>
      </c>
      <c r="W47" t="str">
        <f t="shared" si="8"/>
        <v>Jon Butler</v>
      </c>
      <c r="X47" s="7" t="str">
        <f t="shared" si="6"/>
        <v>name=build ability to collapse different slide files into 1 file  [parent=create a deck builde] [owner=Jon Butler]</v>
      </c>
    </row>
    <row r="48" spans="1:24" x14ac:dyDescent="0.3">
      <c r="A48" t="s">
        <v>9263</v>
      </c>
      <c r="B48" t="s">
        <v>9199</v>
      </c>
      <c r="C48" t="s">
        <v>9207</v>
      </c>
      <c r="D48" t="s">
        <v>9260</v>
      </c>
      <c r="E48" t="s">
        <v>9264</v>
      </c>
      <c r="F48" t="s">
        <v>9265</v>
      </c>
      <c r="G48" t="s">
        <v>9266</v>
      </c>
      <c r="H48" t="s">
        <v>9267</v>
      </c>
      <c r="I48" t="s">
        <v>9268</v>
      </c>
      <c r="J48" t="s">
        <v>47</v>
      </c>
      <c r="K48" t="s">
        <v>9212</v>
      </c>
      <c r="L48" t="s">
        <v>9213</v>
      </c>
      <c r="O48" t="str">
        <v>Desktop Interop vs Server Interop</v>
      </c>
      <c r="P48" t="str">
        <f t="shared" si="2"/>
        <v>Desktop Interop vs S</v>
      </c>
      <c r="Q48" t="str">
        <f t="shared" si="3"/>
        <v>Jon Butler</v>
      </c>
      <c r="R48" s="7" t="str">
        <f t="shared" si="4"/>
        <v>name=Desktop Interop vs S  [owner=Jon Butler]</v>
      </c>
      <c r="T48" t="str">
        <v>build ability to tag slides</v>
      </c>
      <c r="U48" t="str">
        <f t="shared" si="7"/>
        <v>create a deck builder / slide chooser</v>
      </c>
      <c r="V48" t="str">
        <f t="shared" si="5"/>
        <v>create a deck builde</v>
      </c>
      <c r="W48" t="str">
        <f t="shared" si="8"/>
        <v>Jon Butler</v>
      </c>
      <c r="X48" s="7" t="str">
        <f t="shared" si="6"/>
        <v>name=build ability to tag slides  [parent=create a deck builde] [owner=Jon Butler]</v>
      </c>
    </row>
    <row r="49" spans="1:24" x14ac:dyDescent="0.3">
      <c r="A49" t="s">
        <v>9263</v>
      </c>
      <c r="B49" t="s">
        <v>9199</v>
      </c>
      <c r="C49" t="s">
        <v>9207</v>
      </c>
      <c r="D49" t="s">
        <v>9260</v>
      </c>
      <c r="E49" t="s">
        <v>9269</v>
      </c>
      <c r="F49" t="s">
        <v>9265</v>
      </c>
      <c r="G49" t="s">
        <v>9270</v>
      </c>
      <c r="H49" t="s">
        <v>9271</v>
      </c>
      <c r="I49" t="s">
        <v>9268</v>
      </c>
      <c r="J49" t="s">
        <v>47</v>
      </c>
      <c r="K49" t="s">
        <v>9212</v>
      </c>
      <c r="L49" t="s">
        <v>9213</v>
      </c>
      <c r="O49" t="str">
        <v>create a tool that can easilly search all word docs and pdfs</v>
      </c>
      <c r="P49" t="str">
        <f t="shared" si="2"/>
        <v>create a tool that c</v>
      </c>
      <c r="Q49" t="str">
        <f t="shared" si="3"/>
        <v>Jon Butler</v>
      </c>
      <c r="R49" s="7" t="str">
        <f t="shared" si="4"/>
        <v>name=create a tool that c  [owner=Jon Butler]</v>
      </c>
      <c r="T49" t="str">
        <v>build ability to change file names</v>
      </c>
      <c r="U49" t="str">
        <f t="shared" si="7"/>
        <v>create a deck builder / slide chooser</v>
      </c>
      <c r="V49" t="str">
        <f t="shared" si="5"/>
        <v>create a deck builde</v>
      </c>
      <c r="W49" t="str">
        <f t="shared" si="8"/>
        <v>Jon Butler</v>
      </c>
      <c r="X49" s="7" t="str">
        <f t="shared" si="6"/>
        <v>name=build ability to change file names  [parent=create a deck builde] [owner=Jon Butler]</v>
      </c>
    </row>
    <row r="50" spans="1:24" x14ac:dyDescent="0.3">
      <c r="A50" t="s">
        <v>9263</v>
      </c>
      <c r="B50" t="s">
        <v>9199</v>
      </c>
      <c r="C50" t="s">
        <v>9207</v>
      </c>
      <c r="D50" t="s">
        <v>9260</v>
      </c>
      <c r="E50" t="s">
        <v>9272</v>
      </c>
      <c r="F50" t="s">
        <v>9265</v>
      </c>
      <c r="G50" t="s">
        <v>9273</v>
      </c>
      <c r="H50" t="s">
        <v>9274</v>
      </c>
      <c r="I50" t="s">
        <v>9268</v>
      </c>
      <c r="J50" t="s">
        <v>47</v>
      </c>
      <c r="K50" t="s">
        <v>9212</v>
      </c>
      <c r="L50" t="s">
        <v>9213</v>
      </c>
      <c r="O50" t="str">
        <v>velox eyes ETF trading</v>
      </c>
      <c r="P50" t="str">
        <f t="shared" si="2"/>
        <v>velox eyes ETF tradi</v>
      </c>
      <c r="Q50">
        <f t="shared" si="3"/>
        <v>0</v>
      </c>
      <c r="R50" s="7" t="str">
        <f t="shared" si="4"/>
        <v>name=velox eyes ETF tradi  [owner=0]</v>
      </c>
      <c r="T50" t="str">
        <v>run for Monday</v>
      </c>
      <c r="U50" t="str">
        <f t="shared" si="7"/>
        <v>create a deck builder / slide chooser</v>
      </c>
      <c r="V50" t="str">
        <f t="shared" si="5"/>
        <v>create a deck builde</v>
      </c>
      <c r="W50" t="str">
        <f t="shared" si="8"/>
        <v>Jon Butler</v>
      </c>
      <c r="X50" s="7" t="str">
        <f t="shared" si="6"/>
        <v>name=run for Monday  [parent=create a deck builde] [owner=Jon Butler]</v>
      </c>
    </row>
    <row r="51" spans="1:24" x14ac:dyDescent="0.3">
      <c r="A51" t="s">
        <v>9263</v>
      </c>
      <c r="B51" t="s">
        <v>9199</v>
      </c>
      <c r="C51" t="s">
        <v>9207</v>
      </c>
      <c r="D51" t="s">
        <v>9260</v>
      </c>
      <c r="E51" t="s">
        <v>9275</v>
      </c>
      <c r="F51" t="s">
        <v>9265</v>
      </c>
      <c r="G51" t="s">
        <v>9276</v>
      </c>
      <c r="H51" t="s">
        <v>9277</v>
      </c>
      <c r="I51" t="s">
        <v>9268</v>
      </c>
      <c r="J51" t="s">
        <v>47</v>
      </c>
      <c r="K51" t="s">
        <v>9212</v>
      </c>
      <c r="L51" t="s">
        <v>9213</v>
      </c>
      <c r="O51" t="str">
        <v>setup feedly search terms and coordinate w/team</v>
      </c>
      <c r="P51" t="str">
        <f t="shared" si="2"/>
        <v xml:space="preserve">setup feedly search </v>
      </c>
      <c r="Q51" t="str">
        <f t="shared" si="3"/>
        <v>Jon Butler</v>
      </c>
      <c r="R51" s="7" t="str">
        <f t="shared" si="4"/>
        <v>name=setup feedly search   [owner=Jon Butler]</v>
      </c>
      <c r="T51" t="str">
        <v>run for Sales Cycle</v>
      </c>
      <c r="U51" t="str">
        <f t="shared" si="7"/>
        <v>create a deck builder / slide chooser</v>
      </c>
      <c r="V51" t="str">
        <f t="shared" si="5"/>
        <v>create a deck builde</v>
      </c>
      <c r="W51" t="str">
        <f t="shared" si="8"/>
        <v>Jon Butler</v>
      </c>
      <c r="X51" s="7" t="str">
        <f t="shared" si="6"/>
        <v>name=run for Sales Cycle  [parent=create a deck builde] [owner=Jon Butler]</v>
      </c>
    </row>
    <row r="52" spans="1:24" x14ac:dyDescent="0.3">
      <c r="A52" t="s">
        <v>9263</v>
      </c>
      <c r="B52" t="s">
        <v>9199</v>
      </c>
      <c r="C52" t="s">
        <v>9207</v>
      </c>
      <c r="D52" t="s">
        <v>9260</v>
      </c>
      <c r="E52" t="s">
        <v>9278</v>
      </c>
      <c r="F52" t="s">
        <v>9265</v>
      </c>
      <c r="G52" t="s">
        <v>9279</v>
      </c>
      <c r="H52" t="s">
        <v>9280</v>
      </c>
      <c r="I52" t="s">
        <v>9268</v>
      </c>
      <c r="J52" t="s">
        <v>47</v>
      </c>
      <c r="K52" t="s">
        <v>9212</v>
      </c>
      <c r="L52" t="s">
        <v>9213</v>
      </c>
      <c r="O52" t="str">
        <v>ROI Calculator on website</v>
      </c>
      <c r="P52" t="str">
        <f t="shared" si="2"/>
        <v>ROI Calculator on we</v>
      </c>
      <c r="Q52" t="str">
        <f t="shared" si="3"/>
        <v>Mike Wilkins</v>
      </c>
      <c r="R52" s="7" t="str">
        <f t="shared" si="4"/>
        <v>name=ROI Calculator on we  [owner=Mike Wilkins]</v>
      </c>
      <c r="T52" t="str">
        <v>run PitchDeck</v>
      </c>
      <c r="U52" t="str">
        <f t="shared" si="7"/>
        <v>create a deck builder / slide chooser</v>
      </c>
      <c r="V52" t="str">
        <f t="shared" si="5"/>
        <v>create a deck builde</v>
      </c>
      <c r="W52" t="str">
        <f t="shared" si="8"/>
        <v>Jon Butler</v>
      </c>
      <c r="X52" s="7" t="str">
        <f t="shared" si="6"/>
        <v>name=run PitchDeck  [parent=create a deck builde] [owner=Jon Butler]</v>
      </c>
    </row>
    <row r="53" spans="1:24" x14ac:dyDescent="0.3">
      <c r="A53" t="s">
        <v>9263</v>
      </c>
      <c r="B53" t="s">
        <v>9199</v>
      </c>
      <c r="C53" t="s">
        <v>9207</v>
      </c>
      <c r="D53" t="s">
        <v>9260</v>
      </c>
      <c r="E53" t="s">
        <v>9281</v>
      </c>
      <c r="F53" t="s">
        <v>9265</v>
      </c>
      <c r="G53" t="s">
        <v>9282</v>
      </c>
      <c r="H53" t="s">
        <v>9283</v>
      </c>
      <c r="I53" t="s">
        <v>9268</v>
      </c>
      <c r="J53" t="s">
        <v>47</v>
      </c>
      <c r="K53" t="s">
        <v>9212</v>
      </c>
      <c r="L53" t="s">
        <v>9213</v>
      </c>
      <c r="O53" t="str">
        <v>Publish : Employee spotlight Jon</v>
      </c>
      <c r="P53" t="str">
        <f t="shared" si="2"/>
        <v>Publish : Employee s</v>
      </c>
      <c r="Q53" t="str">
        <f t="shared" si="3"/>
        <v>Christian Schuler</v>
      </c>
      <c r="R53" s="7" t="str">
        <f t="shared" si="4"/>
        <v>name=Publish : Employee s  [owner=Christian Schuler]</v>
      </c>
      <c r="T53" t="str">
        <v>run for History</v>
      </c>
      <c r="U53" t="str">
        <f t="shared" si="7"/>
        <v>create a deck builder / slide chooser</v>
      </c>
      <c r="V53" t="str">
        <f t="shared" si="5"/>
        <v>create a deck builde</v>
      </c>
      <c r="W53" t="str">
        <f t="shared" si="8"/>
        <v>Jon Butler</v>
      </c>
      <c r="X53" s="7" t="str">
        <f t="shared" si="6"/>
        <v>name=run for History  [parent=create a deck builde] [owner=Jon Butler]</v>
      </c>
    </row>
    <row r="54" spans="1:24" x14ac:dyDescent="0.3">
      <c r="A54" t="s">
        <v>9263</v>
      </c>
      <c r="B54" t="s">
        <v>9199</v>
      </c>
      <c r="C54" t="s">
        <v>9207</v>
      </c>
      <c r="D54" t="s">
        <v>9260</v>
      </c>
      <c r="E54" t="s">
        <v>9284</v>
      </c>
      <c r="F54" t="s">
        <v>9265</v>
      </c>
      <c r="G54" t="s">
        <v>9285</v>
      </c>
      <c r="H54" t="s">
        <v>9286</v>
      </c>
      <c r="I54" t="s">
        <v>9268</v>
      </c>
      <c r="J54" t="s">
        <v>47</v>
      </c>
      <c r="K54" t="s">
        <v>9212</v>
      </c>
      <c r="L54" t="s">
        <v>9213</v>
      </c>
      <c r="O54" t="str">
        <v>Publish : Employee spotlight Neto</v>
      </c>
      <c r="P54" t="str">
        <f t="shared" si="2"/>
        <v>Publish : Employee s</v>
      </c>
      <c r="Q54" t="str">
        <f t="shared" si="3"/>
        <v>Christian Schuler</v>
      </c>
      <c r="R54" s="7" t="str">
        <f t="shared" si="4"/>
        <v>name=Publish : Employee s  [owner=Christian Schuler]</v>
      </c>
      <c r="T54" t="str">
        <v>add ability to only process new updates after a ceetain date</v>
      </c>
      <c r="U54" t="str">
        <f t="shared" si="7"/>
        <v>create a deck builder / slide chooser</v>
      </c>
      <c r="V54" t="str">
        <f t="shared" si="5"/>
        <v>create a deck builde</v>
      </c>
      <c r="W54" t="str">
        <f t="shared" si="8"/>
        <v>Jon Butler</v>
      </c>
      <c r="X54" s="7" t="str">
        <f t="shared" si="6"/>
        <v>name=add ability to only process new updates after a ceetain date  [parent=create a deck builde] [owner=Jon Butler]</v>
      </c>
    </row>
    <row r="55" spans="1:24" x14ac:dyDescent="0.3">
      <c r="A55" t="s">
        <v>9263</v>
      </c>
      <c r="B55" t="s">
        <v>9199</v>
      </c>
      <c r="C55" t="s">
        <v>9207</v>
      </c>
      <c r="D55" t="s">
        <v>9388</v>
      </c>
      <c r="E55" t="s">
        <v>9391</v>
      </c>
      <c r="F55" t="s">
        <v>9265</v>
      </c>
      <c r="G55" t="s">
        <v>9392</v>
      </c>
      <c r="H55" t="s">
        <v>9393</v>
      </c>
      <c r="I55" t="s">
        <v>9265</v>
      </c>
      <c r="J55" t="s">
        <v>47</v>
      </c>
      <c r="K55" t="s">
        <v>9234</v>
      </c>
      <c r="O55" t="str">
        <v>letter header</v>
      </c>
      <c r="P55" t="str">
        <f t="shared" si="2"/>
        <v>letter header</v>
      </c>
      <c r="Q55" t="str">
        <f t="shared" si="3"/>
        <v>Jon Butler</v>
      </c>
      <c r="R55" s="7" t="str">
        <f t="shared" si="4"/>
        <v>name=letter header  [owner=Jon Butler]</v>
      </c>
      <c r="T55" t="str">
        <v>python script to compare image files</v>
      </c>
      <c r="U55" t="str">
        <f t="shared" si="7"/>
        <v>create a deck builder / slide chooser</v>
      </c>
      <c r="V55" t="str">
        <f t="shared" si="5"/>
        <v>create a deck builde</v>
      </c>
      <c r="W55" t="str">
        <f t="shared" si="8"/>
        <v>Jon Butler</v>
      </c>
      <c r="X55" s="7" t="str">
        <f t="shared" si="6"/>
        <v>name=python script to compare image files  [parent=create a deck builde] [owner=Jon Butler]</v>
      </c>
    </row>
    <row r="56" spans="1:24" x14ac:dyDescent="0.3">
      <c r="A56" t="s">
        <v>9263</v>
      </c>
      <c r="B56" t="s">
        <v>9199</v>
      </c>
      <c r="C56" t="s">
        <v>9207</v>
      </c>
      <c r="D56" t="s">
        <v>9388</v>
      </c>
      <c r="E56" t="s">
        <v>9394</v>
      </c>
      <c r="F56" t="s">
        <v>9265</v>
      </c>
      <c r="G56" t="s">
        <v>9395</v>
      </c>
      <c r="H56" t="s">
        <v>9396</v>
      </c>
      <c r="I56" t="s">
        <v>9265</v>
      </c>
      <c r="J56" t="s">
        <v>47</v>
      </c>
      <c r="K56" t="s">
        <v>9397</v>
      </c>
      <c r="O56" t="str">
        <v>Differentiator / USP</v>
      </c>
      <c r="P56" t="str">
        <f t="shared" si="2"/>
        <v>Differentiator / USP</v>
      </c>
      <c r="Q56" t="str">
        <f t="shared" si="3"/>
        <v>Jon Butler</v>
      </c>
      <c r="R56" s="7" t="str">
        <f t="shared" si="4"/>
        <v>name=Differentiator / USP  [owner=Jon Butler]</v>
      </c>
      <c r="T56" t="str">
        <v>introduce text files into comparison</v>
      </c>
      <c r="U56" t="str">
        <f t="shared" si="7"/>
        <v>create a deck builder / slide chooser</v>
      </c>
      <c r="V56" t="str">
        <f t="shared" si="5"/>
        <v>create a deck builde</v>
      </c>
      <c r="W56" t="str">
        <f t="shared" si="8"/>
        <v>Jon Butler</v>
      </c>
      <c r="X56" s="7" t="str">
        <f t="shared" si="6"/>
        <v>name=introduce text files into comparison  [parent=create a deck builde] [owner=Jon Butler]</v>
      </c>
    </row>
    <row r="57" spans="1:24" x14ac:dyDescent="0.3">
      <c r="A57" t="s">
        <v>9263</v>
      </c>
      <c r="B57" t="s">
        <v>9199</v>
      </c>
      <c r="C57" t="s">
        <v>9207</v>
      </c>
      <c r="D57" t="s">
        <v>9388</v>
      </c>
      <c r="E57" t="s">
        <v>9398</v>
      </c>
      <c r="F57" t="s">
        <v>9265</v>
      </c>
      <c r="G57" t="s">
        <v>9399</v>
      </c>
      <c r="H57" t="s">
        <v>9400</v>
      </c>
      <c r="I57" t="s">
        <v>9265</v>
      </c>
      <c r="J57" t="s">
        <v>47</v>
      </c>
      <c r="K57" t="s">
        <v>9205</v>
      </c>
      <c r="O57" t="str">
        <v>Publish : Employee spotlight Jason</v>
      </c>
      <c r="P57" t="str">
        <f t="shared" si="2"/>
        <v>Publish : Employee s</v>
      </c>
      <c r="Q57" t="str">
        <f t="shared" si="3"/>
        <v>Christian Schuler</v>
      </c>
      <c r="R57" s="7" t="str">
        <f t="shared" si="4"/>
        <v>name=Publish : Employee s  [owner=Christian Schuler]</v>
      </c>
      <c r="T57" t="str">
        <v>give them access</v>
      </c>
      <c r="U57" t="str">
        <f t="shared" si="7"/>
        <v>move website ownership to 3B</v>
      </c>
      <c r="V57" t="str">
        <f t="shared" si="5"/>
        <v>move website ownersh</v>
      </c>
      <c r="W57" t="str">
        <f t="shared" si="8"/>
        <v>Jon Butler</v>
      </c>
      <c r="X57" s="7" t="str">
        <f t="shared" si="6"/>
        <v>name=give them access  [parent=move website ownersh] [owner=Jon Butler]</v>
      </c>
    </row>
    <row r="58" spans="1:24" x14ac:dyDescent="0.3">
      <c r="A58" t="s">
        <v>9263</v>
      </c>
      <c r="B58" t="s">
        <v>9199</v>
      </c>
      <c r="C58" t="s">
        <v>9207</v>
      </c>
      <c r="D58" t="s">
        <v>9388</v>
      </c>
      <c r="E58" t="s">
        <v>9401</v>
      </c>
      <c r="F58" t="s">
        <v>9265</v>
      </c>
      <c r="G58" t="s">
        <v>9402</v>
      </c>
      <c r="H58" t="s">
        <v>9403</v>
      </c>
      <c r="I58" t="s">
        <v>9265</v>
      </c>
      <c r="J58" t="s">
        <v>47</v>
      </c>
      <c r="K58" t="s">
        <v>9205</v>
      </c>
      <c r="O58" t="str">
        <v>come up with a playbook of how to select articles and how to share/comment on posys</v>
      </c>
      <c r="P58" t="str">
        <f t="shared" si="2"/>
        <v>come up with a playb</v>
      </c>
      <c r="Q58" t="str">
        <f t="shared" si="3"/>
        <v>Jon Butler, Christian Schuler</v>
      </c>
      <c r="R58" s="7" t="str">
        <f t="shared" si="4"/>
        <v>name=come up with a playb  [owner=Jon Butler, Christian Schuler]</v>
      </c>
      <c r="T58" t="str">
        <v>inform shok</v>
      </c>
      <c r="U58" t="str">
        <f t="shared" si="7"/>
        <v>move website ownership to 3B</v>
      </c>
      <c r="V58" t="str">
        <f t="shared" si="5"/>
        <v>move website ownersh</v>
      </c>
      <c r="W58" t="str">
        <f t="shared" si="8"/>
        <v>Jon Butler</v>
      </c>
      <c r="X58" s="7" t="str">
        <f t="shared" si="6"/>
        <v>name=inform shok  [parent=move website ownersh] [owner=Jon Butler]</v>
      </c>
    </row>
    <row r="59" spans="1:24" x14ac:dyDescent="0.3">
      <c r="A59" t="s">
        <v>9263</v>
      </c>
      <c r="B59" t="s">
        <v>9199</v>
      </c>
      <c r="C59" t="s">
        <v>9207</v>
      </c>
      <c r="D59" t="s">
        <v>9388</v>
      </c>
      <c r="E59" t="s">
        <v>9404</v>
      </c>
      <c r="F59" t="s">
        <v>9265</v>
      </c>
      <c r="G59" t="s">
        <v>9405</v>
      </c>
      <c r="H59" t="s">
        <v>9406</v>
      </c>
      <c r="I59" t="s">
        <v>9265</v>
      </c>
      <c r="J59" t="s">
        <v>47</v>
      </c>
      <c r="K59" t="s">
        <v>9205</v>
      </c>
      <c r="O59" t="str">
        <v>Publish : Employee spotlight Govind</v>
      </c>
      <c r="P59" t="str">
        <f t="shared" si="2"/>
        <v>Publish : Employee s</v>
      </c>
      <c r="Q59" t="str">
        <f t="shared" si="3"/>
        <v>Christian Schuler</v>
      </c>
      <c r="R59" s="7" t="str">
        <f t="shared" si="4"/>
        <v>name=Publish : Employee s  [owner=Christian Schuler]</v>
      </c>
      <c r="T59" t="str">
        <v>Locations - add Shanghai to final slide</v>
      </c>
      <c r="U59" t="str">
        <f t="shared" si="7"/>
        <v>Start End Dividers</v>
      </c>
      <c r="V59" t="str">
        <f t="shared" si="5"/>
        <v>Start End Dividers</v>
      </c>
      <c r="W59" t="str">
        <f t="shared" si="8"/>
        <v>Jon Butler, Christian Schuler</v>
      </c>
      <c r="X59" s="7" t="str">
        <f t="shared" si="6"/>
        <v>name=Locations - add Shanghai to final slide  [parent=Start End Dividers] [owner=Jon Butler, Christian Schuler]</v>
      </c>
    </row>
    <row r="60" spans="1:24" x14ac:dyDescent="0.3">
      <c r="A60" t="s">
        <v>9263</v>
      </c>
      <c r="B60" t="s">
        <v>9199</v>
      </c>
      <c r="C60" t="s">
        <v>9207</v>
      </c>
      <c r="D60" t="s">
        <v>9419</v>
      </c>
      <c r="E60" t="s">
        <v>9422</v>
      </c>
      <c r="F60" t="s">
        <v>9265</v>
      </c>
      <c r="G60" t="s">
        <v>9423</v>
      </c>
      <c r="H60" t="s">
        <v>9424</v>
      </c>
      <c r="I60" t="s">
        <v>9265</v>
      </c>
      <c r="J60" t="s">
        <v>47</v>
      </c>
      <c r="K60" t="s">
        <v>9205</v>
      </c>
      <c r="O60" t="str">
        <v>simple architectures</v>
      </c>
      <c r="P60" t="str">
        <f t="shared" si="2"/>
        <v>simple architectures</v>
      </c>
      <c r="Q60" t="str">
        <f t="shared" si="3"/>
        <v>Jon Butler</v>
      </c>
      <c r="R60" s="7" t="str">
        <f t="shared" si="4"/>
        <v>name=simple architectures  [owner=Jon Butler]</v>
      </c>
      <c r="T60" t="str">
        <v>Subitem</v>
      </c>
      <c r="U60" t="str">
        <f t="shared" si="7"/>
        <v>2 page brochure</v>
      </c>
      <c r="V60" t="str">
        <f t="shared" si="5"/>
        <v>2 page brochure</v>
      </c>
      <c r="W60" t="str">
        <f t="shared" si="8"/>
        <v>Jon Butler</v>
      </c>
      <c r="X60" s="7" t="str">
        <f t="shared" si="6"/>
        <v>name=Subitem  [parent=2 page brochure] [owner=Jon Butler]</v>
      </c>
    </row>
    <row r="61" spans="1:24" x14ac:dyDescent="0.3">
      <c r="A61" t="s">
        <v>9263</v>
      </c>
      <c r="B61" t="s">
        <v>9199</v>
      </c>
      <c r="C61" t="s">
        <v>9302</v>
      </c>
      <c r="D61" t="s">
        <v>9488</v>
      </c>
      <c r="E61" t="s">
        <v>9492</v>
      </c>
      <c r="F61" t="s">
        <v>9265</v>
      </c>
      <c r="G61" t="s">
        <v>9493</v>
      </c>
      <c r="H61" t="s">
        <v>9494</v>
      </c>
      <c r="I61" t="s">
        <v>9265</v>
      </c>
      <c r="J61" t="s">
        <v>47</v>
      </c>
      <c r="K61" t="s">
        <v>9212</v>
      </c>
      <c r="O61" t="str">
        <v>tradetech</v>
      </c>
      <c r="P61" t="str">
        <f t="shared" si="2"/>
        <v>tradetech</v>
      </c>
      <c r="Q61" t="str">
        <f t="shared" si="3"/>
        <v>Jon Butler</v>
      </c>
      <c r="R61" s="7" t="str">
        <f t="shared" si="4"/>
        <v>name=tradetech  [owner=Jon Butler]</v>
      </c>
      <c r="T61" t="str">
        <v>inform 3B</v>
      </c>
      <c r="U61" t="str">
        <f t="shared" si="7"/>
        <v>move website ownership to 3B</v>
      </c>
      <c r="V61" t="str">
        <f t="shared" si="5"/>
        <v>move website ownersh</v>
      </c>
      <c r="W61" t="str">
        <f t="shared" si="8"/>
        <v>Jon Butler</v>
      </c>
      <c r="X61" s="7" t="str">
        <f t="shared" si="6"/>
        <v>name=inform 3B  [parent=move website ownersh] [owner=Jon Butler]</v>
      </c>
    </row>
    <row r="62" spans="1:24" x14ac:dyDescent="0.3">
      <c r="A62" t="s">
        <v>9263</v>
      </c>
      <c r="B62" t="s">
        <v>9199</v>
      </c>
      <c r="C62" t="s">
        <v>9302</v>
      </c>
      <c r="D62" t="s">
        <v>9509</v>
      </c>
      <c r="E62" t="s">
        <v>9512</v>
      </c>
      <c r="F62" t="s">
        <v>9265</v>
      </c>
      <c r="G62" t="s">
        <v>9513</v>
      </c>
      <c r="H62" t="s">
        <v>9514</v>
      </c>
      <c r="I62" t="s">
        <v>9265</v>
      </c>
      <c r="J62" t="s">
        <v>47</v>
      </c>
      <c r="K62" t="s">
        <v>9205</v>
      </c>
      <c r="O62" t="str">
        <v>fast pivotting grid</v>
      </c>
      <c r="P62" t="str">
        <f t="shared" si="2"/>
        <v>fast pivotting grid</v>
      </c>
      <c r="Q62" t="str">
        <f t="shared" si="3"/>
        <v>Jon Butler</v>
      </c>
      <c r="R62" s="7" t="str">
        <f t="shared" si="4"/>
        <v>name=fast pivotting grid  [owner=Jon Butler]</v>
      </c>
      <c r="V62" t="str">
        <f t="shared" si="5"/>
        <v/>
      </c>
    </row>
    <row r="63" spans="1:24" x14ac:dyDescent="0.3">
      <c r="A63" t="s">
        <v>9263</v>
      </c>
      <c r="B63" t="s">
        <v>9199</v>
      </c>
      <c r="C63" t="s">
        <v>9600</v>
      </c>
      <c r="D63" t="s">
        <v>9621</v>
      </c>
      <c r="E63" t="s">
        <v>9624</v>
      </c>
      <c r="F63" t="s">
        <v>9265</v>
      </c>
      <c r="G63" t="s">
        <v>9625</v>
      </c>
      <c r="H63" t="s">
        <v>9626</v>
      </c>
      <c r="I63" t="s">
        <v>9265</v>
      </c>
      <c r="J63" t="s">
        <v>47</v>
      </c>
      <c r="K63" t="s">
        <v>9205</v>
      </c>
      <c r="O63" t="str">
        <v>The expanding role of FIX in automating fixed-income markets</v>
      </c>
      <c r="P63" t="str">
        <f t="shared" si="2"/>
        <v>The expanding role o</v>
      </c>
      <c r="Q63" t="str">
        <f t="shared" si="3"/>
        <v>Jon Butler</v>
      </c>
      <c r="R63" s="7" t="str">
        <f t="shared" si="4"/>
        <v>name=The expanding role o  [owner=Jon Butler]</v>
      </c>
      <c r="V63" t="str">
        <f t="shared" si="5"/>
        <v/>
      </c>
    </row>
    <row r="64" spans="1:24" x14ac:dyDescent="0.3">
      <c r="A64" t="s">
        <v>9263</v>
      </c>
      <c r="B64" t="s">
        <v>9199</v>
      </c>
      <c r="C64" t="s">
        <v>9235</v>
      </c>
      <c r="D64" t="s">
        <v>9660</v>
      </c>
      <c r="E64" t="s">
        <v>9663</v>
      </c>
      <c r="F64" t="s">
        <v>9265</v>
      </c>
      <c r="G64" t="s">
        <v>9664</v>
      </c>
      <c r="H64" t="s">
        <v>9665</v>
      </c>
      <c r="I64" t="s">
        <v>9265</v>
      </c>
      <c r="J64" t="s">
        <v>50</v>
      </c>
      <c r="K64" t="s">
        <v>9234</v>
      </c>
      <c r="O64" t="str">
        <v>complete email cards for everyone</v>
      </c>
      <c r="P64" t="str">
        <f t="shared" si="2"/>
        <v>complete email cards</v>
      </c>
      <c r="Q64" t="str">
        <f t="shared" si="3"/>
        <v>Christian Schuler</v>
      </c>
      <c r="R64" s="7" t="str">
        <f t="shared" si="4"/>
        <v>name=complete email cards  [owner=Christian Schuler]</v>
      </c>
      <c r="V64" t="str">
        <f t="shared" si="5"/>
        <v/>
      </c>
    </row>
    <row r="65" spans="1:22" x14ac:dyDescent="0.3">
      <c r="A65" t="s">
        <v>9263</v>
      </c>
      <c r="B65" t="s">
        <v>9199</v>
      </c>
      <c r="C65" t="s">
        <v>9235</v>
      </c>
      <c r="D65" t="s">
        <v>9660</v>
      </c>
      <c r="E65" t="s">
        <v>9666</v>
      </c>
      <c r="F65" t="s">
        <v>9265</v>
      </c>
      <c r="G65" t="s">
        <v>9667</v>
      </c>
      <c r="H65" t="s">
        <v>9668</v>
      </c>
      <c r="I65" t="s">
        <v>9265</v>
      </c>
      <c r="J65" t="s">
        <v>9321</v>
      </c>
      <c r="K65" t="s">
        <v>9234</v>
      </c>
      <c r="O65" t="str">
        <v>take a checkpoint on the website - do we need to invest?</v>
      </c>
      <c r="P65" t="str">
        <f t="shared" si="2"/>
        <v>take a checkpoint on</v>
      </c>
      <c r="Q65" t="str">
        <f t="shared" si="3"/>
        <v>Jon Butler</v>
      </c>
      <c r="R65" s="7" t="str">
        <f t="shared" si="4"/>
        <v>name=take a checkpoint on  [owner=Jon Butler]</v>
      </c>
      <c r="V65" t="str">
        <f t="shared" si="5"/>
        <v/>
      </c>
    </row>
    <row r="66" spans="1:22" x14ac:dyDescent="0.3">
      <c r="A66" t="s">
        <v>9263</v>
      </c>
      <c r="B66" t="s">
        <v>9199</v>
      </c>
      <c r="C66" t="s">
        <v>9235</v>
      </c>
      <c r="D66" t="s">
        <v>9660</v>
      </c>
      <c r="E66" t="s">
        <v>9669</v>
      </c>
      <c r="F66" t="s">
        <v>9265</v>
      </c>
      <c r="G66" t="s">
        <v>9670</v>
      </c>
      <c r="H66" t="s">
        <v>9671</v>
      </c>
      <c r="I66" t="s">
        <v>9265</v>
      </c>
      <c r="J66" t="s">
        <v>47</v>
      </c>
      <c r="K66" t="s">
        <v>9234</v>
      </c>
      <c r="O66" t="str">
        <v>cash eq tech themes</v>
      </c>
      <c r="P66" t="str">
        <f t="shared" si="2"/>
        <v>cash eq tech themes</v>
      </c>
      <c r="Q66" t="str">
        <f t="shared" si="3"/>
        <v>Jon Butler</v>
      </c>
      <c r="R66" s="7" t="str">
        <f t="shared" si="4"/>
        <v>name=cash eq tech themes  [owner=Jon Butler]</v>
      </c>
      <c r="V66" t="str">
        <f t="shared" si="5"/>
        <v/>
      </c>
    </row>
    <row r="67" spans="1:22" x14ac:dyDescent="0.3">
      <c r="A67" t="s">
        <v>9263</v>
      </c>
      <c r="B67" t="s">
        <v>9199</v>
      </c>
      <c r="C67" t="s">
        <v>9235</v>
      </c>
      <c r="D67" t="s">
        <v>9660</v>
      </c>
      <c r="E67" t="s">
        <v>9672</v>
      </c>
      <c r="F67" t="s">
        <v>9265</v>
      </c>
      <c r="G67" t="s">
        <v>9673</v>
      </c>
      <c r="H67" t="s">
        <v>9674</v>
      </c>
      <c r="I67" t="s">
        <v>9265</v>
      </c>
      <c r="J67" t="s">
        <v>47</v>
      </c>
      <c r="K67" t="s">
        <v>9234</v>
      </c>
      <c r="O67" t="str">
        <v>make docs page pop up warning if not using chrome</v>
      </c>
      <c r="P67" t="str">
        <f t="shared" si="2"/>
        <v>make docs page pop u</v>
      </c>
      <c r="Q67" t="str">
        <f t="shared" si="3"/>
        <v>Jon Butler</v>
      </c>
      <c r="R67" s="7" t="str">
        <f t="shared" si="4"/>
        <v>name=make docs page pop u  [owner=Jon Butler]</v>
      </c>
      <c r="V67" t="str">
        <f t="shared" si="5"/>
        <v/>
      </c>
    </row>
    <row r="68" spans="1:22" x14ac:dyDescent="0.3">
      <c r="A68" t="s">
        <v>9263</v>
      </c>
      <c r="B68" t="s">
        <v>9199</v>
      </c>
      <c r="C68" t="s">
        <v>9200</v>
      </c>
      <c r="D68" t="s">
        <v>9696</v>
      </c>
      <c r="E68" t="s">
        <v>9700</v>
      </c>
      <c r="F68" t="s">
        <v>9265</v>
      </c>
      <c r="G68" t="s">
        <v>9701</v>
      </c>
      <c r="H68" t="s">
        <v>9702</v>
      </c>
      <c r="I68" t="s">
        <v>9265</v>
      </c>
      <c r="J68" t="s">
        <v>9703</v>
      </c>
      <c r="K68" t="s">
        <v>9234</v>
      </c>
      <c r="L68" t="s">
        <v>9699</v>
      </c>
      <c r="O68" t="str">
        <v>what drives developer productivity</v>
      </c>
      <c r="P68" t="str">
        <f t="shared" ref="P68:P131" si="9">LEFT(O68,P$2)</f>
        <v>what drives develope</v>
      </c>
      <c r="Q68" t="str">
        <f t="shared" ref="Q68:Q131" si="10">INDEX(J:J,MATCH(O68,D:D,0))</f>
        <v>Jon Butler</v>
      </c>
      <c r="R68" s="7" t="str">
        <f t="shared" ref="R68:R131" si="11">"name="&amp;P68&amp;"  [owner="&amp;Q68&amp;"]"</f>
        <v>name=what drives develope  [owner=Jon Butler]</v>
      </c>
      <c r="V68" t="str">
        <f t="shared" ref="V68:V131" si="12">LEFT(U68,V$2)</f>
        <v/>
      </c>
    </row>
    <row r="69" spans="1:22" x14ac:dyDescent="0.3">
      <c r="A69" t="s">
        <v>9263</v>
      </c>
      <c r="B69" t="s">
        <v>9199</v>
      </c>
      <c r="C69" t="s">
        <v>9200</v>
      </c>
      <c r="D69" t="s">
        <v>9696</v>
      </c>
      <c r="E69" t="s">
        <v>9704</v>
      </c>
      <c r="F69" t="s">
        <v>9265</v>
      </c>
      <c r="G69" t="s">
        <v>9705</v>
      </c>
      <c r="H69" t="s">
        <v>9706</v>
      </c>
      <c r="I69" t="s">
        <v>9265</v>
      </c>
      <c r="J69" t="s">
        <v>47</v>
      </c>
      <c r="K69" t="s">
        <v>9234</v>
      </c>
      <c r="L69" t="s">
        <v>9699</v>
      </c>
      <c r="O69" t="str">
        <v>work out how to get an RSS feed together for the team</v>
      </c>
      <c r="P69" t="str">
        <f t="shared" si="9"/>
        <v xml:space="preserve">work out how to get </v>
      </c>
      <c r="Q69">
        <f t="shared" si="10"/>
        <v>0</v>
      </c>
      <c r="R69" s="7" t="str">
        <f t="shared" si="11"/>
        <v>name=work out how to get   [owner=0]</v>
      </c>
      <c r="V69" t="str">
        <f t="shared" si="12"/>
        <v/>
      </c>
    </row>
    <row r="70" spans="1:22" x14ac:dyDescent="0.3">
      <c r="A70" t="s">
        <v>9263</v>
      </c>
      <c r="B70" t="s">
        <v>9199</v>
      </c>
      <c r="C70" t="s">
        <v>9200</v>
      </c>
      <c r="D70" t="s">
        <v>9696</v>
      </c>
      <c r="E70" t="s">
        <v>9707</v>
      </c>
      <c r="F70" t="s">
        <v>9265</v>
      </c>
      <c r="G70" t="s">
        <v>9708</v>
      </c>
      <c r="H70" t="s">
        <v>9709</v>
      </c>
      <c r="I70" t="s">
        <v>9265</v>
      </c>
      <c r="J70" t="s">
        <v>47</v>
      </c>
      <c r="K70" t="s">
        <v>9234</v>
      </c>
      <c r="L70" t="s">
        <v>9699</v>
      </c>
      <c r="O70" t="str">
        <v>snippets from the latest FinTechTV</v>
      </c>
      <c r="P70" t="str">
        <f t="shared" si="9"/>
        <v>snippets from the la</v>
      </c>
      <c r="Q70" t="str">
        <f t="shared" si="10"/>
        <v>Jon Butler</v>
      </c>
      <c r="R70" s="7" t="str">
        <f t="shared" si="11"/>
        <v>name=snippets from the la  [owner=Jon Butler]</v>
      </c>
      <c r="V70" t="str">
        <f t="shared" si="12"/>
        <v/>
      </c>
    </row>
    <row r="71" spans="1:22" x14ac:dyDescent="0.3">
      <c r="A71" t="s">
        <v>9263</v>
      </c>
      <c r="B71" t="s">
        <v>9199</v>
      </c>
      <c r="C71" t="s">
        <v>9200</v>
      </c>
      <c r="D71" t="s">
        <v>9696</v>
      </c>
      <c r="E71" t="s">
        <v>9710</v>
      </c>
      <c r="F71" t="s">
        <v>9265</v>
      </c>
      <c r="G71" t="s">
        <v>9711</v>
      </c>
      <c r="H71" t="s">
        <v>9712</v>
      </c>
      <c r="I71" t="s">
        <v>9265</v>
      </c>
      <c r="K71" t="s">
        <v>9234</v>
      </c>
      <c r="L71" t="s">
        <v>9699</v>
      </c>
      <c r="O71" t="str">
        <v>trends velox saw in 2022</v>
      </c>
      <c r="P71" t="str">
        <f t="shared" si="9"/>
        <v xml:space="preserve">trends velox saw in </v>
      </c>
      <c r="Q71" t="str">
        <f t="shared" si="10"/>
        <v>Jon Butler, Christian Schuler</v>
      </c>
      <c r="R71" s="7" t="str">
        <f t="shared" si="11"/>
        <v>name=trends velox saw in   [owner=Jon Butler, Christian Schuler]</v>
      </c>
      <c r="V71" t="str">
        <f t="shared" si="12"/>
        <v/>
      </c>
    </row>
    <row r="72" spans="1:22" x14ac:dyDescent="0.3">
      <c r="A72" t="s">
        <v>9263</v>
      </c>
      <c r="B72" t="s">
        <v>9199</v>
      </c>
      <c r="C72" t="s">
        <v>9207</v>
      </c>
      <c r="D72" t="s">
        <v>9728</v>
      </c>
      <c r="E72" t="s">
        <v>9731</v>
      </c>
      <c r="F72" t="s">
        <v>9265</v>
      </c>
      <c r="G72" t="s">
        <v>9732</v>
      </c>
      <c r="H72" t="s">
        <v>9733</v>
      </c>
      <c r="I72" t="s">
        <v>9265</v>
      </c>
      <c r="J72" t="s">
        <v>47</v>
      </c>
      <c r="K72" t="s">
        <v>9212</v>
      </c>
      <c r="O72" t="str">
        <v>how much does materialize / linkedin  marketing cost/work</v>
      </c>
      <c r="P72" t="str">
        <f t="shared" si="9"/>
        <v>how much does materi</v>
      </c>
      <c r="Q72" t="str">
        <f t="shared" si="10"/>
        <v>Jon Butler</v>
      </c>
      <c r="R72" s="7" t="str">
        <f t="shared" si="11"/>
        <v>name=how much does materi  [owner=Jon Butler]</v>
      </c>
      <c r="V72" t="str">
        <f t="shared" si="12"/>
        <v/>
      </c>
    </row>
    <row r="73" spans="1:22" x14ac:dyDescent="0.3">
      <c r="A73" t="s">
        <v>9263</v>
      </c>
      <c r="B73" t="s">
        <v>9199</v>
      </c>
      <c r="C73" t="s">
        <v>9207</v>
      </c>
      <c r="D73" t="s">
        <v>9728</v>
      </c>
      <c r="E73" t="s">
        <v>9734</v>
      </c>
      <c r="F73" t="s">
        <v>9265</v>
      </c>
      <c r="G73" t="s">
        <v>9735</v>
      </c>
      <c r="H73" t="s">
        <v>9736</v>
      </c>
      <c r="I73" t="s">
        <v>9265</v>
      </c>
      <c r="J73" t="s">
        <v>47</v>
      </c>
      <c r="K73" t="s">
        <v>9234</v>
      </c>
      <c r="O73" t="str">
        <v>History of User Interfaces in Cap Mkts</v>
      </c>
      <c r="P73" t="str">
        <f t="shared" si="9"/>
        <v>History of User Inte</v>
      </c>
      <c r="Q73" t="str">
        <f t="shared" si="10"/>
        <v>Jon Butler</v>
      </c>
      <c r="R73" s="7" t="str">
        <f t="shared" si="11"/>
        <v>name=History of User Inte  [owner=Jon Butler]</v>
      </c>
      <c r="V73" t="str">
        <f t="shared" si="12"/>
        <v/>
      </c>
    </row>
    <row r="74" spans="1:22" x14ac:dyDescent="0.3">
      <c r="A74" t="s">
        <v>9263</v>
      </c>
      <c r="B74" t="s">
        <v>9199</v>
      </c>
      <c r="C74" t="s">
        <v>9207</v>
      </c>
      <c r="D74" t="s">
        <v>9728</v>
      </c>
      <c r="E74" t="s">
        <v>9737</v>
      </c>
      <c r="F74" t="s">
        <v>9265</v>
      </c>
      <c r="G74" t="s">
        <v>9738</v>
      </c>
      <c r="H74" t="s">
        <v>9739</v>
      </c>
      <c r="I74" t="s">
        <v>9265</v>
      </c>
      <c r="J74" t="s">
        <v>47</v>
      </c>
      <c r="K74" t="s">
        <v>9234</v>
      </c>
      <c r="O74" t="str">
        <v>Product</v>
      </c>
      <c r="P74" t="str">
        <f t="shared" si="9"/>
        <v>Product</v>
      </c>
      <c r="Q74" t="str">
        <f t="shared" si="10"/>
        <v>Jon Butler</v>
      </c>
      <c r="R74" s="7" t="str">
        <f t="shared" si="11"/>
        <v>name=Product  [owner=Jon Butler]</v>
      </c>
      <c r="V74" t="str">
        <f t="shared" si="12"/>
        <v/>
      </c>
    </row>
    <row r="75" spans="1:22" x14ac:dyDescent="0.3">
      <c r="A75" t="s">
        <v>9263</v>
      </c>
      <c r="B75" t="s">
        <v>9199</v>
      </c>
      <c r="C75" t="s">
        <v>9207</v>
      </c>
      <c r="D75" t="s">
        <v>9728</v>
      </c>
      <c r="E75" t="s">
        <v>9740</v>
      </c>
      <c r="F75" t="s">
        <v>9265</v>
      </c>
      <c r="G75" t="s">
        <v>9741</v>
      </c>
      <c r="H75" t="s">
        <v>9742</v>
      </c>
      <c r="I75" t="s">
        <v>9265</v>
      </c>
      <c r="J75" t="s">
        <v>47</v>
      </c>
      <c r="K75" t="s">
        <v>9234</v>
      </c>
      <c r="O75" t="str">
        <v>ny solstice when the stars align</v>
      </c>
      <c r="P75" t="str">
        <f t="shared" si="9"/>
        <v>ny solstice when the</v>
      </c>
      <c r="Q75" t="str">
        <f t="shared" si="10"/>
        <v>Jon Butler</v>
      </c>
      <c r="R75" s="7" t="str">
        <f t="shared" si="11"/>
        <v>name=ny solstice when the  [owner=Jon Butler]</v>
      </c>
      <c r="V75" t="str">
        <f t="shared" si="12"/>
        <v/>
      </c>
    </row>
    <row r="76" spans="1:22" x14ac:dyDescent="0.3">
      <c r="A76" t="s">
        <v>9263</v>
      </c>
      <c r="B76" t="s">
        <v>9199</v>
      </c>
      <c r="C76" t="s">
        <v>9207</v>
      </c>
      <c r="D76" t="s">
        <v>9728</v>
      </c>
      <c r="E76" t="s">
        <v>9743</v>
      </c>
      <c r="F76" t="s">
        <v>9265</v>
      </c>
      <c r="G76" t="s">
        <v>9744</v>
      </c>
      <c r="H76" t="s">
        <v>9745</v>
      </c>
      <c r="I76" t="s">
        <v>9265</v>
      </c>
      <c r="J76" t="s">
        <v>47</v>
      </c>
      <c r="K76" t="s">
        <v>9234</v>
      </c>
      <c r="O76" t="str">
        <v>Transcribe sell-side app build video</v>
      </c>
      <c r="P76" t="str">
        <f t="shared" si="9"/>
        <v>Transcribe sell-side</v>
      </c>
      <c r="Q76" t="str">
        <f t="shared" si="10"/>
        <v>Alison Hood</v>
      </c>
      <c r="R76" s="7" t="str">
        <f t="shared" si="11"/>
        <v>name=Transcribe sell-side  [owner=Alison Hood]</v>
      </c>
      <c r="V76" t="str">
        <f t="shared" si="12"/>
        <v/>
      </c>
    </row>
    <row r="77" spans="1:22" x14ac:dyDescent="0.3">
      <c r="A77" t="s">
        <v>9263</v>
      </c>
      <c r="B77" t="s">
        <v>9199</v>
      </c>
      <c r="C77" t="s">
        <v>9207</v>
      </c>
      <c r="D77" t="s">
        <v>9728</v>
      </c>
      <c r="E77" t="s">
        <v>9746</v>
      </c>
      <c r="F77" t="s">
        <v>9265</v>
      </c>
      <c r="G77" t="s">
        <v>9747</v>
      </c>
      <c r="H77" t="s">
        <v>9748</v>
      </c>
      <c r="I77" t="s">
        <v>9265</v>
      </c>
      <c r="J77" t="s">
        <v>47</v>
      </c>
      <c r="K77" t="s">
        <v>9234</v>
      </c>
      <c r="O77" t="str">
        <v>Publish : Why its hard to share software ?</v>
      </c>
      <c r="P77" t="str">
        <f t="shared" si="9"/>
        <v>Publish : Why its ha</v>
      </c>
      <c r="Q77">
        <f t="shared" si="10"/>
        <v>0</v>
      </c>
      <c r="R77" s="7" t="str">
        <f t="shared" si="11"/>
        <v>name=Publish : Why its ha  [owner=0]</v>
      </c>
      <c r="V77" t="str">
        <f t="shared" si="12"/>
        <v/>
      </c>
    </row>
    <row r="78" spans="1:22" x14ac:dyDescent="0.3">
      <c r="A78" t="s">
        <v>9263</v>
      </c>
      <c r="B78" t="s">
        <v>9199</v>
      </c>
      <c r="C78" t="s">
        <v>9207</v>
      </c>
      <c r="D78" t="s">
        <v>9728</v>
      </c>
      <c r="E78" t="s">
        <v>9749</v>
      </c>
      <c r="F78" t="s">
        <v>9265</v>
      </c>
      <c r="G78" t="s">
        <v>9750</v>
      </c>
      <c r="H78" t="s">
        <v>9751</v>
      </c>
      <c r="I78" t="s">
        <v>9265</v>
      </c>
      <c r="J78" t="s">
        <v>47</v>
      </c>
      <c r="K78" t="s">
        <v>9234</v>
      </c>
      <c r="O78" t="str">
        <v>ifd you need to lose a lot of weight dont chop off a limb</v>
      </c>
      <c r="P78" t="str">
        <f t="shared" si="9"/>
        <v>ifd you need to lose</v>
      </c>
      <c r="Q78" t="str">
        <f t="shared" si="10"/>
        <v>Jon Butler</v>
      </c>
      <c r="R78" s="7" t="str">
        <f t="shared" si="11"/>
        <v>name=ifd you need to lose  [owner=Jon Butler]</v>
      </c>
      <c r="V78" t="str">
        <f t="shared" si="12"/>
        <v/>
      </c>
    </row>
    <row r="79" spans="1:22" x14ac:dyDescent="0.3">
      <c r="A79" t="s">
        <v>9263</v>
      </c>
      <c r="B79" t="s">
        <v>9199</v>
      </c>
      <c r="C79" t="s">
        <v>9207</v>
      </c>
      <c r="D79" t="s">
        <v>9728</v>
      </c>
      <c r="E79" t="s">
        <v>9752</v>
      </c>
      <c r="F79" t="s">
        <v>9265</v>
      </c>
      <c r="G79" t="s">
        <v>9753</v>
      </c>
      <c r="H79" t="s">
        <v>9754</v>
      </c>
      <c r="I79" t="s">
        <v>9265</v>
      </c>
      <c r="J79" t="s">
        <v>47</v>
      </c>
      <c r="K79" t="s">
        <v>9234</v>
      </c>
      <c r="O79" t="str">
        <v>Flow Diagram</v>
      </c>
      <c r="P79" t="str">
        <f t="shared" si="9"/>
        <v>Flow Diagram</v>
      </c>
      <c r="Q79" t="str">
        <f t="shared" si="10"/>
        <v>Jon Butler</v>
      </c>
      <c r="R79" s="7" t="str">
        <f t="shared" si="11"/>
        <v>name=Flow Diagram  [owner=Jon Butler]</v>
      </c>
      <c r="V79" t="str">
        <f t="shared" si="12"/>
        <v/>
      </c>
    </row>
    <row r="80" spans="1:22" x14ac:dyDescent="0.3">
      <c r="A80" t="s">
        <v>9263</v>
      </c>
      <c r="B80" t="s">
        <v>9199</v>
      </c>
      <c r="C80" t="s">
        <v>9207</v>
      </c>
      <c r="D80" t="s">
        <v>9728</v>
      </c>
      <c r="E80" t="s">
        <v>9755</v>
      </c>
      <c r="F80" t="s">
        <v>9265</v>
      </c>
      <c r="G80" t="s">
        <v>9756</v>
      </c>
      <c r="H80" t="s">
        <v>9757</v>
      </c>
      <c r="I80" t="s">
        <v>9265</v>
      </c>
      <c r="J80" t="s">
        <v>47</v>
      </c>
      <c r="K80" t="s">
        <v>9212</v>
      </c>
      <c r="O80" t="str">
        <v>Security Questions</v>
      </c>
      <c r="P80" t="str">
        <f t="shared" si="9"/>
        <v>Security Questions</v>
      </c>
      <c r="Q80" t="str">
        <f t="shared" si="10"/>
        <v>Alison Hood</v>
      </c>
      <c r="R80" s="7" t="str">
        <f t="shared" si="11"/>
        <v>name=Security Questions  [owner=Alison Hood]</v>
      </c>
      <c r="V80" t="str">
        <f t="shared" si="12"/>
        <v/>
      </c>
    </row>
    <row r="81" spans="1:22" x14ac:dyDescent="0.3">
      <c r="A81" t="s">
        <v>9263</v>
      </c>
      <c r="B81" t="s">
        <v>9199</v>
      </c>
      <c r="C81" t="s">
        <v>9207</v>
      </c>
      <c r="D81" t="s">
        <v>9728</v>
      </c>
      <c r="E81" t="s">
        <v>9758</v>
      </c>
      <c r="F81" t="s">
        <v>9265</v>
      </c>
      <c r="G81" t="s">
        <v>9759</v>
      </c>
      <c r="H81" t="s">
        <v>9760</v>
      </c>
      <c r="I81" t="s">
        <v>9265</v>
      </c>
      <c r="J81" t="s">
        <v>47</v>
      </c>
      <c r="K81" t="s">
        <v>9205</v>
      </c>
      <c r="O81" t="str">
        <v>Video format to consider - Ali sent demo from AIR summit</v>
      </c>
      <c r="P81" t="str">
        <f t="shared" si="9"/>
        <v>Video format to cons</v>
      </c>
      <c r="Q81" t="str">
        <f t="shared" si="10"/>
        <v>Jon Butler</v>
      </c>
      <c r="R81" s="7" t="str">
        <f t="shared" si="11"/>
        <v>name=Video format to cons  [owner=Jon Butler]</v>
      </c>
      <c r="V81" t="str">
        <f t="shared" si="12"/>
        <v/>
      </c>
    </row>
    <row r="82" spans="1:22" x14ac:dyDescent="0.3">
      <c r="A82" t="s">
        <v>9263</v>
      </c>
      <c r="B82" t="s">
        <v>9199</v>
      </c>
      <c r="C82" t="s">
        <v>9235</v>
      </c>
      <c r="D82" t="s">
        <v>9798</v>
      </c>
      <c r="E82" t="s">
        <v>9804</v>
      </c>
      <c r="F82" t="s">
        <v>9265</v>
      </c>
      <c r="G82" t="s">
        <v>9805</v>
      </c>
      <c r="H82" t="s">
        <v>9806</v>
      </c>
      <c r="I82" t="s">
        <v>9265</v>
      </c>
      <c r="J82" t="s">
        <v>47</v>
      </c>
      <c r="K82" t="s">
        <v>9234</v>
      </c>
      <c r="O82" t="str">
        <v>is app dev a people problem</v>
      </c>
      <c r="P82" t="str">
        <f t="shared" si="9"/>
        <v xml:space="preserve">is app dev a people </v>
      </c>
      <c r="Q82" t="str">
        <f t="shared" si="10"/>
        <v>Jon Butler</v>
      </c>
      <c r="R82" s="7" t="str">
        <f t="shared" si="11"/>
        <v>name=is app dev a people   [owner=Jon Butler]</v>
      </c>
      <c r="V82" t="str">
        <f t="shared" si="12"/>
        <v/>
      </c>
    </row>
    <row r="83" spans="1:22" x14ac:dyDescent="0.3">
      <c r="A83" t="s">
        <v>9263</v>
      </c>
      <c r="B83" t="s">
        <v>9199</v>
      </c>
      <c r="C83" t="s">
        <v>9235</v>
      </c>
      <c r="D83" t="s">
        <v>9798</v>
      </c>
      <c r="E83" t="s">
        <v>9807</v>
      </c>
      <c r="F83" t="s">
        <v>9265</v>
      </c>
      <c r="G83" t="s">
        <v>9808</v>
      </c>
      <c r="H83" t="s">
        <v>9809</v>
      </c>
      <c r="I83" t="s">
        <v>9265</v>
      </c>
      <c r="J83" t="s">
        <v>47</v>
      </c>
      <c r="K83" t="s">
        <v>9234</v>
      </c>
      <c r="O83" t="str">
        <v>velox bringing the power of the platforms to front office</v>
      </c>
      <c r="P83" t="str">
        <f t="shared" si="9"/>
        <v>velox bringing the p</v>
      </c>
      <c r="Q83" t="str">
        <f t="shared" si="10"/>
        <v>Jon Butler</v>
      </c>
      <c r="R83" s="7" t="str">
        <f t="shared" si="11"/>
        <v>name=velox bringing the p  [owner=Jon Butler]</v>
      </c>
      <c r="V83" t="str">
        <f t="shared" si="12"/>
        <v/>
      </c>
    </row>
    <row r="84" spans="1:22" x14ac:dyDescent="0.3">
      <c r="A84" t="s">
        <v>9198</v>
      </c>
      <c r="B84" t="s">
        <v>9199</v>
      </c>
      <c r="C84" t="s">
        <v>9200</v>
      </c>
      <c r="D84" t="s">
        <v>9201</v>
      </c>
      <c r="F84" t="s">
        <v>9202</v>
      </c>
      <c r="G84" t="s">
        <v>9203</v>
      </c>
      <c r="H84" t="s">
        <v>9204</v>
      </c>
      <c r="I84" t="s">
        <v>9202</v>
      </c>
      <c r="K84" t="s">
        <v>9205</v>
      </c>
      <c r="L84" t="s">
        <v>9206</v>
      </c>
      <c r="O84" t="str">
        <v>cleaned up handout pdfs</v>
      </c>
      <c r="P84" t="str">
        <f t="shared" si="9"/>
        <v>cleaned up handout p</v>
      </c>
      <c r="Q84" t="str">
        <f t="shared" si="10"/>
        <v>Jon Butler</v>
      </c>
      <c r="R84" s="7" t="str">
        <f t="shared" si="11"/>
        <v>name=cleaned up handout p  [owner=Jon Butler]</v>
      </c>
      <c r="V84" t="str">
        <f t="shared" si="12"/>
        <v/>
      </c>
    </row>
    <row r="85" spans="1:22" x14ac:dyDescent="0.3">
      <c r="A85" t="s">
        <v>9198</v>
      </c>
      <c r="B85" t="s">
        <v>9199</v>
      </c>
      <c r="C85" t="s">
        <v>9207</v>
      </c>
      <c r="D85" t="s">
        <v>9208</v>
      </c>
      <c r="F85" t="s">
        <v>9202</v>
      </c>
      <c r="G85" t="s">
        <v>9209</v>
      </c>
      <c r="H85" t="s">
        <v>9210</v>
      </c>
      <c r="I85" t="s">
        <v>9211</v>
      </c>
      <c r="J85" t="s">
        <v>47</v>
      </c>
      <c r="K85" t="s">
        <v>9212</v>
      </c>
      <c r="L85" t="s">
        <v>9213</v>
      </c>
      <c r="O85" t="str">
        <v>tech debt impact on developer productivity</v>
      </c>
      <c r="P85" t="str">
        <f t="shared" si="9"/>
        <v xml:space="preserve">tech debt impact on </v>
      </c>
      <c r="Q85" t="str">
        <f t="shared" si="10"/>
        <v>Jon Butler</v>
      </c>
      <c r="R85" s="7" t="str">
        <f t="shared" si="11"/>
        <v>name=tech debt impact on   [owner=Jon Butler]</v>
      </c>
      <c r="V85" t="str">
        <f t="shared" si="12"/>
        <v/>
      </c>
    </row>
    <row r="86" spans="1:22" x14ac:dyDescent="0.3">
      <c r="A86" t="s">
        <v>9198</v>
      </c>
      <c r="B86" t="s">
        <v>9199</v>
      </c>
      <c r="C86" t="s">
        <v>9200</v>
      </c>
      <c r="D86" t="s">
        <v>9214</v>
      </c>
      <c r="F86" t="s">
        <v>9202</v>
      </c>
      <c r="G86" t="s">
        <v>9215</v>
      </c>
      <c r="H86" t="s">
        <v>9216</v>
      </c>
      <c r="I86" t="s">
        <v>9202</v>
      </c>
      <c r="K86" t="s">
        <v>9205</v>
      </c>
      <c r="L86" t="s">
        <v>9217</v>
      </c>
      <c r="O86" t="str">
        <v>slides for nikolai</v>
      </c>
      <c r="P86" t="str">
        <f t="shared" si="9"/>
        <v>slides for nikolai</v>
      </c>
      <c r="Q86" t="str">
        <f t="shared" si="10"/>
        <v>Jon Butler</v>
      </c>
      <c r="R86" s="7" t="str">
        <f t="shared" si="11"/>
        <v>name=slides for nikolai  [owner=Jon Butler]</v>
      </c>
      <c r="V86" t="str">
        <f t="shared" si="12"/>
        <v/>
      </c>
    </row>
    <row r="87" spans="1:22" x14ac:dyDescent="0.3">
      <c r="A87" t="s">
        <v>9198</v>
      </c>
      <c r="B87" t="s">
        <v>9199</v>
      </c>
      <c r="C87" t="s">
        <v>9200</v>
      </c>
      <c r="D87" t="s">
        <v>9218</v>
      </c>
      <c r="F87" t="s">
        <v>9202</v>
      </c>
      <c r="G87" t="s">
        <v>9219</v>
      </c>
      <c r="H87" t="s">
        <v>9220</v>
      </c>
      <c r="I87" t="s">
        <v>9202</v>
      </c>
      <c r="K87" t="s">
        <v>9205</v>
      </c>
      <c r="L87" t="s">
        <v>9217</v>
      </c>
      <c r="O87" t="str">
        <v>length of people jobs</v>
      </c>
      <c r="P87" t="str">
        <f t="shared" si="9"/>
        <v>length of people job</v>
      </c>
      <c r="Q87" t="str">
        <f t="shared" si="10"/>
        <v>Jon Butler</v>
      </c>
      <c r="R87" s="7" t="str">
        <f t="shared" si="11"/>
        <v>name=length of people job  [owner=Jon Butler]</v>
      </c>
      <c r="V87" t="str">
        <f t="shared" si="12"/>
        <v/>
      </c>
    </row>
    <row r="88" spans="1:22" x14ac:dyDescent="0.3">
      <c r="A88" t="s">
        <v>9198</v>
      </c>
      <c r="B88" t="s">
        <v>9199</v>
      </c>
      <c r="C88" t="s">
        <v>9207</v>
      </c>
      <c r="D88" t="s">
        <v>9221</v>
      </c>
      <c r="F88" t="s">
        <v>9202</v>
      </c>
      <c r="G88" t="s">
        <v>9222</v>
      </c>
      <c r="H88" t="s">
        <v>9223</v>
      </c>
      <c r="I88" t="s">
        <v>9224</v>
      </c>
      <c r="J88" t="s">
        <v>47</v>
      </c>
      <c r="K88" t="s">
        <v>9212</v>
      </c>
      <c r="L88" t="s">
        <v>9213</v>
      </c>
      <c r="O88" t="str">
        <v>10 things to consider when building an OMS</v>
      </c>
      <c r="P88" t="str">
        <f t="shared" si="9"/>
        <v>10 things to conside</v>
      </c>
      <c r="Q88">
        <f t="shared" si="10"/>
        <v>0</v>
      </c>
      <c r="R88" s="7" t="str">
        <f t="shared" si="11"/>
        <v>name=10 things to conside  [owner=0]</v>
      </c>
      <c r="V88" t="str">
        <f t="shared" si="12"/>
        <v/>
      </c>
    </row>
    <row r="89" spans="1:22" x14ac:dyDescent="0.3">
      <c r="A89" t="s">
        <v>9198</v>
      </c>
      <c r="B89" t="s">
        <v>9199</v>
      </c>
      <c r="C89" t="s">
        <v>9200</v>
      </c>
      <c r="D89" t="s">
        <v>9225</v>
      </c>
      <c r="F89" t="s">
        <v>9202</v>
      </c>
      <c r="G89" t="s">
        <v>9226</v>
      </c>
      <c r="H89" t="s">
        <v>9227</v>
      </c>
      <c r="I89" t="s">
        <v>9202</v>
      </c>
      <c r="K89" t="s">
        <v>9205</v>
      </c>
      <c r="L89" t="s">
        <v>9217</v>
      </c>
      <c r="O89" t="str">
        <v>Put hero page .ai files in central location</v>
      </c>
      <c r="P89" t="str">
        <f t="shared" si="9"/>
        <v>Put hero page .ai fi</v>
      </c>
      <c r="Q89" t="str">
        <f t="shared" si="10"/>
        <v>Jon Butler</v>
      </c>
      <c r="R89" s="7" t="str">
        <f t="shared" si="11"/>
        <v>name=Put hero page .ai fi  [owner=Jon Butler]</v>
      </c>
      <c r="V89" t="str">
        <f t="shared" si="12"/>
        <v/>
      </c>
    </row>
    <row r="90" spans="1:22" x14ac:dyDescent="0.3">
      <c r="A90" t="s">
        <v>9198</v>
      </c>
      <c r="B90" t="s">
        <v>9199</v>
      </c>
      <c r="C90" t="s">
        <v>9200</v>
      </c>
      <c r="D90" t="s">
        <v>9228</v>
      </c>
      <c r="F90" t="s">
        <v>9202</v>
      </c>
      <c r="G90" t="s">
        <v>9229</v>
      </c>
      <c r="H90" t="s">
        <v>9230</v>
      </c>
      <c r="I90" t="s">
        <v>9202</v>
      </c>
      <c r="K90" t="s">
        <v>9205</v>
      </c>
      <c r="L90" t="s">
        <v>9217</v>
      </c>
      <c r="O90" t="str">
        <v>classify website content</v>
      </c>
      <c r="P90" t="str">
        <f t="shared" si="9"/>
        <v>classify website con</v>
      </c>
      <c r="Q90" t="str">
        <f t="shared" si="10"/>
        <v>Alison Hood</v>
      </c>
      <c r="R90" s="7" t="str">
        <f t="shared" si="11"/>
        <v>name=classify website con  [owner=Alison Hood]</v>
      </c>
      <c r="V90" t="str">
        <f t="shared" si="12"/>
        <v/>
      </c>
    </row>
    <row r="91" spans="1:22" x14ac:dyDescent="0.3">
      <c r="A91" t="s">
        <v>9198</v>
      </c>
      <c r="B91" t="s">
        <v>9199</v>
      </c>
      <c r="C91" t="s">
        <v>9200</v>
      </c>
      <c r="D91" t="s">
        <v>9231</v>
      </c>
      <c r="F91" t="s">
        <v>9202</v>
      </c>
      <c r="G91" t="s">
        <v>9232</v>
      </c>
      <c r="H91" t="s">
        <v>9233</v>
      </c>
      <c r="I91" t="s">
        <v>9202</v>
      </c>
      <c r="J91" t="s">
        <v>47</v>
      </c>
      <c r="K91" t="s">
        <v>9234</v>
      </c>
      <c r="L91" t="s">
        <v>9217</v>
      </c>
      <c r="O91" t="str">
        <v>mike at derivs conference</v>
      </c>
      <c r="P91" t="str">
        <f t="shared" si="9"/>
        <v>mike at derivs confe</v>
      </c>
      <c r="Q91" t="str">
        <f t="shared" si="10"/>
        <v>Jon Butler</v>
      </c>
      <c r="R91" s="7" t="str">
        <f t="shared" si="11"/>
        <v>name=mike at derivs confe  [owner=Jon Butler]</v>
      </c>
      <c r="V91" t="str">
        <f t="shared" si="12"/>
        <v/>
      </c>
    </row>
    <row r="92" spans="1:22" x14ac:dyDescent="0.3">
      <c r="A92" t="s">
        <v>9198</v>
      </c>
      <c r="B92" t="s">
        <v>9199</v>
      </c>
      <c r="C92" t="s">
        <v>9235</v>
      </c>
      <c r="D92" t="s">
        <v>9236</v>
      </c>
      <c r="F92" t="s">
        <v>9202</v>
      </c>
      <c r="G92" t="s">
        <v>9237</v>
      </c>
      <c r="H92" t="s">
        <v>9238</v>
      </c>
      <c r="I92" t="s">
        <v>9202</v>
      </c>
      <c r="J92" t="s">
        <v>50</v>
      </c>
      <c r="K92" t="s">
        <v>9239</v>
      </c>
      <c r="O92" t="str">
        <v>set up monitoring tool</v>
      </c>
      <c r="P92" t="str">
        <f t="shared" si="9"/>
        <v>set up monitoring to</v>
      </c>
      <c r="Q92" t="str">
        <f t="shared" si="10"/>
        <v>Jon Butler</v>
      </c>
      <c r="R92" s="7" t="str">
        <f t="shared" si="11"/>
        <v>name=set up monitoring to  [owner=Jon Butler]</v>
      </c>
      <c r="V92" t="str">
        <f t="shared" si="12"/>
        <v/>
      </c>
    </row>
    <row r="93" spans="1:22" x14ac:dyDescent="0.3">
      <c r="A93" t="s">
        <v>9198</v>
      </c>
      <c r="B93" t="s">
        <v>9199</v>
      </c>
      <c r="C93" t="s">
        <v>9235</v>
      </c>
      <c r="D93" t="s">
        <v>9240</v>
      </c>
      <c r="F93" t="s">
        <v>9202</v>
      </c>
      <c r="G93" t="s">
        <v>9241</v>
      </c>
      <c r="H93" t="s">
        <v>9242</v>
      </c>
      <c r="I93" t="s">
        <v>9202</v>
      </c>
      <c r="J93" t="s">
        <v>47</v>
      </c>
      <c r="K93" t="s">
        <v>9234</v>
      </c>
      <c r="O93" t="str">
        <v>Key Design Choices</v>
      </c>
      <c r="P93" t="str">
        <f t="shared" si="9"/>
        <v>Key Design Choices</v>
      </c>
      <c r="Q93" t="str">
        <f t="shared" si="10"/>
        <v>Jon Butler</v>
      </c>
      <c r="R93" s="7" t="str">
        <f t="shared" si="11"/>
        <v>name=Key Design Choices  [owner=Jon Butler]</v>
      </c>
      <c r="V93" t="str">
        <f t="shared" si="12"/>
        <v/>
      </c>
    </row>
    <row r="94" spans="1:22" x14ac:dyDescent="0.3">
      <c r="A94" t="s">
        <v>9198</v>
      </c>
      <c r="B94" t="s">
        <v>9199</v>
      </c>
      <c r="C94" t="s">
        <v>9200</v>
      </c>
      <c r="D94" t="s">
        <v>9243</v>
      </c>
      <c r="F94" t="s">
        <v>9202</v>
      </c>
      <c r="G94" t="s">
        <v>9244</v>
      </c>
      <c r="H94" t="s">
        <v>9245</v>
      </c>
      <c r="I94" t="s">
        <v>9202</v>
      </c>
      <c r="J94" t="s">
        <v>47</v>
      </c>
      <c r="K94" t="s">
        <v>9205</v>
      </c>
      <c r="L94" t="s">
        <v>9217</v>
      </c>
      <c r="O94" t="str">
        <v>2 page brochure</v>
      </c>
      <c r="P94" t="str">
        <f t="shared" si="9"/>
        <v>2 page brochure</v>
      </c>
      <c r="Q94" t="str">
        <f t="shared" si="10"/>
        <v>Jon Butler</v>
      </c>
      <c r="R94" s="7" t="str">
        <f t="shared" si="11"/>
        <v>name=2 page brochure  [owner=Jon Butler]</v>
      </c>
      <c r="V94" t="str">
        <f t="shared" si="12"/>
        <v/>
      </c>
    </row>
    <row r="95" spans="1:22" x14ac:dyDescent="0.3">
      <c r="A95" t="s">
        <v>9198</v>
      </c>
      <c r="B95" t="s">
        <v>9199</v>
      </c>
      <c r="C95" t="s">
        <v>9207</v>
      </c>
      <c r="D95" t="s">
        <v>9246</v>
      </c>
      <c r="F95" t="s">
        <v>9202</v>
      </c>
      <c r="G95" t="s">
        <v>9247</v>
      </c>
      <c r="H95" t="s">
        <v>9248</v>
      </c>
      <c r="I95" t="s">
        <v>9224</v>
      </c>
      <c r="J95" t="s">
        <v>47</v>
      </c>
      <c r="K95" t="s">
        <v>9212</v>
      </c>
      <c r="L95" t="s">
        <v>9213</v>
      </c>
      <c r="O95" t="str">
        <v>VALANTIC case study lite</v>
      </c>
      <c r="P95" t="str">
        <f t="shared" si="9"/>
        <v xml:space="preserve">VALANTIC case study </v>
      </c>
      <c r="Q95" t="str">
        <f t="shared" si="10"/>
        <v>Jon Butler</v>
      </c>
      <c r="R95" s="7" t="str">
        <f t="shared" si="11"/>
        <v>name=VALANTIC case study   [owner=Jon Butler]</v>
      </c>
      <c r="V95" t="str">
        <f t="shared" si="12"/>
        <v/>
      </c>
    </row>
    <row r="96" spans="1:22" x14ac:dyDescent="0.3">
      <c r="A96" t="s">
        <v>9198</v>
      </c>
      <c r="B96" t="s">
        <v>9199</v>
      </c>
      <c r="C96" t="s">
        <v>9200</v>
      </c>
      <c r="D96" t="s">
        <v>9249</v>
      </c>
      <c r="F96" t="s">
        <v>9202</v>
      </c>
      <c r="G96" t="s">
        <v>9250</v>
      </c>
      <c r="H96" t="s">
        <v>9251</v>
      </c>
      <c r="I96" t="s">
        <v>9202</v>
      </c>
      <c r="K96" t="s">
        <v>9205</v>
      </c>
      <c r="L96" t="s">
        <v>9217</v>
      </c>
      <c r="O96" t="str">
        <v>Latest Deck</v>
      </c>
      <c r="P96" t="str">
        <f t="shared" si="9"/>
        <v>Latest Deck</v>
      </c>
      <c r="Q96" t="str">
        <f t="shared" si="10"/>
        <v>Jon Butler</v>
      </c>
      <c r="R96" s="7" t="str">
        <f t="shared" si="11"/>
        <v>name=Latest Deck  [owner=Jon Butler]</v>
      </c>
      <c r="V96" t="str">
        <f t="shared" si="12"/>
        <v/>
      </c>
    </row>
    <row r="97" spans="1:22" x14ac:dyDescent="0.3">
      <c r="A97" t="s">
        <v>9198</v>
      </c>
      <c r="B97" t="s">
        <v>9199</v>
      </c>
      <c r="C97" t="s">
        <v>9200</v>
      </c>
      <c r="D97" t="s">
        <v>9252</v>
      </c>
      <c r="F97" t="s">
        <v>9202</v>
      </c>
      <c r="G97" t="s">
        <v>9253</v>
      </c>
      <c r="H97" t="s">
        <v>9254</v>
      </c>
      <c r="I97" t="s">
        <v>9202</v>
      </c>
      <c r="K97" t="s">
        <v>9205</v>
      </c>
      <c r="L97" t="s">
        <v>9255</v>
      </c>
      <c r="O97" t="str">
        <v>Announce Velox 5 years old</v>
      </c>
      <c r="P97" t="str">
        <f t="shared" si="9"/>
        <v>Announce Velox 5 yea</v>
      </c>
      <c r="Q97" t="str">
        <f t="shared" si="10"/>
        <v>Jon Butler</v>
      </c>
      <c r="R97" s="7" t="str">
        <f t="shared" si="11"/>
        <v>name=Announce Velox 5 yea  [owner=Jon Butler]</v>
      </c>
      <c r="V97" t="str">
        <f t="shared" si="12"/>
        <v/>
      </c>
    </row>
    <row r="98" spans="1:22" x14ac:dyDescent="0.3">
      <c r="A98" t="s">
        <v>9198</v>
      </c>
      <c r="B98" t="s">
        <v>9199</v>
      </c>
      <c r="C98" t="s">
        <v>9200</v>
      </c>
      <c r="D98" t="s">
        <v>9256</v>
      </c>
      <c r="F98" t="s">
        <v>9202</v>
      </c>
      <c r="G98" t="s">
        <v>9257</v>
      </c>
      <c r="H98" t="s">
        <v>9258</v>
      </c>
      <c r="I98" t="s">
        <v>9202</v>
      </c>
      <c r="J98" t="s">
        <v>9259</v>
      </c>
      <c r="K98" t="s">
        <v>9205</v>
      </c>
      <c r="L98" t="s">
        <v>9217</v>
      </c>
      <c r="O98" t="str">
        <v>USe Cases</v>
      </c>
      <c r="P98" t="str">
        <f t="shared" si="9"/>
        <v>USe Cases</v>
      </c>
      <c r="Q98" t="str">
        <f t="shared" si="10"/>
        <v>Jon Butler</v>
      </c>
      <c r="R98" s="7" t="str">
        <f t="shared" si="11"/>
        <v>name=USe Cases  [owner=Jon Butler]</v>
      </c>
      <c r="V98" t="str">
        <f t="shared" si="12"/>
        <v/>
      </c>
    </row>
    <row r="99" spans="1:22" x14ac:dyDescent="0.3">
      <c r="A99" t="s">
        <v>9198</v>
      </c>
      <c r="B99" t="s">
        <v>9199</v>
      </c>
      <c r="C99" t="s">
        <v>9207</v>
      </c>
      <c r="D99" t="s">
        <v>9260</v>
      </c>
      <c r="F99" t="s">
        <v>9202</v>
      </c>
      <c r="G99" t="s">
        <v>9261</v>
      </c>
      <c r="H99" t="s">
        <v>9262</v>
      </c>
      <c r="I99" t="s">
        <v>9224</v>
      </c>
      <c r="J99" t="s">
        <v>47</v>
      </c>
      <c r="K99" t="s">
        <v>9212</v>
      </c>
      <c r="L99" t="s">
        <v>9213</v>
      </c>
      <c r="O99" t="str">
        <v>go around F &amp; F to get co-operation on posts</v>
      </c>
      <c r="P99" t="str">
        <f t="shared" si="9"/>
        <v>go around F &amp; F to g</v>
      </c>
      <c r="Q99" t="str">
        <f t="shared" si="10"/>
        <v>Jon Butler</v>
      </c>
      <c r="R99" s="7" t="str">
        <f t="shared" si="11"/>
        <v>name=go around F &amp; F to g  [owner=Jon Butler]</v>
      </c>
      <c r="V99" t="str">
        <f t="shared" si="12"/>
        <v/>
      </c>
    </row>
    <row r="100" spans="1:22" x14ac:dyDescent="0.3">
      <c r="A100" t="s">
        <v>9198</v>
      </c>
      <c r="B100" t="s">
        <v>9199</v>
      </c>
      <c r="C100" t="s">
        <v>9200</v>
      </c>
      <c r="D100" t="s">
        <v>9287</v>
      </c>
      <c r="F100" t="s">
        <v>9202</v>
      </c>
      <c r="G100" t="s">
        <v>9288</v>
      </c>
      <c r="H100" t="s">
        <v>9289</v>
      </c>
      <c r="I100" t="s">
        <v>9202</v>
      </c>
      <c r="K100" t="s">
        <v>9205</v>
      </c>
      <c r="L100" t="s">
        <v>3156</v>
      </c>
      <c r="O100" t="str">
        <v>vCore diagram with systems we can accelerate</v>
      </c>
      <c r="P100" t="str">
        <f t="shared" si="9"/>
        <v>vCore diagram with s</v>
      </c>
      <c r="Q100" t="str">
        <f t="shared" si="10"/>
        <v>Jon Butler</v>
      </c>
      <c r="R100" s="7" t="str">
        <f t="shared" si="11"/>
        <v>name=vCore diagram with s  [owner=Jon Butler]</v>
      </c>
      <c r="V100" t="str">
        <f t="shared" si="12"/>
        <v/>
      </c>
    </row>
    <row r="101" spans="1:22" x14ac:dyDescent="0.3">
      <c r="A101" t="s">
        <v>9198</v>
      </c>
      <c r="B101" t="s">
        <v>9199</v>
      </c>
      <c r="C101" t="s">
        <v>9207</v>
      </c>
      <c r="D101" t="s">
        <v>9290</v>
      </c>
      <c r="F101" t="s">
        <v>9202</v>
      </c>
      <c r="G101" t="s">
        <v>9291</v>
      </c>
      <c r="H101" t="s">
        <v>9292</v>
      </c>
      <c r="I101" t="s">
        <v>9224</v>
      </c>
      <c r="J101" t="s">
        <v>47</v>
      </c>
      <c r="K101" t="s">
        <v>9212</v>
      </c>
      <c r="L101" t="s">
        <v>9213</v>
      </c>
      <c r="O101" t="str">
        <v>100 devs</v>
      </c>
      <c r="P101" t="str">
        <f t="shared" si="9"/>
        <v>100 devs</v>
      </c>
      <c r="Q101" t="str">
        <f t="shared" si="10"/>
        <v>Jon Butler</v>
      </c>
      <c r="R101" s="7" t="str">
        <f t="shared" si="11"/>
        <v>name=100 devs  [owner=Jon Butler]</v>
      </c>
      <c r="V101" t="str">
        <f t="shared" si="12"/>
        <v/>
      </c>
    </row>
    <row r="102" spans="1:22" x14ac:dyDescent="0.3">
      <c r="A102" t="s">
        <v>9198</v>
      </c>
      <c r="B102" t="s">
        <v>9199</v>
      </c>
      <c r="C102" t="s">
        <v>9200</v>
      </c>
      <c r="D102" t="s">
        <v>9293</v>
      </c>
      <c r="F102" t="s">
        <v>9202</v>
      </c>
      <c r="G102" t="s">
        <v>9294</v>
      </c>
      <c r="H102" t="s">
        <v>9295</v>
      </c>
      <c r="I102" t="s">
        <v>9202</v>
      </c>
      <c r="K102" t="s">
        <v>9205</v>
      </c>
      <c r="L102" t="s">
        <v>3947</v>
      </c>
      <c r="O102" t="str">
        <v>Start End Dividers</v>
      </c>
      <c r="P102" t="str">
        <f t="shared" si="9"/>
        <v>Start End Dividers</v>
      </c>
      <c r="Q102" t="str">
        <f t="shared" si="10"/>
        <v>Jon Butler</v>
      </c>
      <c r="R102" s="7" t="str">
        <f t="shared" si="11"/>
        <v>name=Start End Dividers  [owner=Jon Butler]</v>
      </c>
      <c r="V102" t="str">
        <f t="shared" si="12"/>
        <v/>
      </c>
    </row>
    <row r="103" spans="1:22" x14ac:dyDescent="0.3">
      <c r="A103" t="s">
        <v>9198</v>
      </c>
      <c r="B103" t="s">
        <v>9199</v>
      </c>
      <c r="C103" t="s">
        <v>9200</v>
      </c>
      <c r="D103" t="s">
        <v>9296</v>
      </c>
      <c r="F103" t="s">
        <v>9202</v>
      </c>
      <c r="G103" t="s">
        <v>9297</v>
      </c>
      <c r="H103" t="s">
        <v>9298</v>
      </c>
      <c r="I103" t="s">
        <v>9202</v>
      </c>
      <c r="J103" t="s">
        <v>47</v>
      </c>
      <c r="K103" t="s">
        <v>9205</v>
      </c>
      <c r="L103" t="s">
        <v>3156</v>
      </c>
      <c r="O103" t="str">
        <v>MM - Developer Productivity</v>
      </c>
      <c r="P103" t="str">
        <f t="shared" si="9"/>
        <v>MM - Developer Produ</v>
      </c>
      <c r="Q103" t="str">
        <f t="shared" si="10"/>
        <v>Jon Butler</v>
      </c>
      <c r="R103" s="7" t="str">
        <f t="shared" si="11"/>
        <v>name=MM - Developer Produ  [owner=Jon Butler]</v>
      </c>
      <c r="V103" t="str">
        <f t="shared" si="12"/>
        <v/>
      </c>
    </row>
    <row r="104" spans="1:22" x14ac:dyDescent="0.3">
      <c r="A104" t="s">
        <v>9198</v>
      </c>
      <c r="B104" t="s">
        <v>9199</v>
      </c>
      <c r="C104" t="s">
        <v>9200</v>
      </c>
      <c r="D104" t="s">
        <v>9299</v>
      </c>
      <c r="F104" t="s">
        <v>9202</v>
      </c>
      <c r="G104" t="s">
        <v>9300</v>
      </c>
      <c r="H104" t="s">
        <v>9301</v>
      </c>
      <c r="I104" t="s">
        <v>9202</v>
      </c>
      <c r="J104" t="s">
        <v>47</v>
      </c>
      <c r="K104" t="s">
        <v>9212</v>
      </c>
      <c r="L104" t="s">
        <v>9217</v>
      </c>
      <c r="O104" t="str">
        <v>also i think we should do a review of all the different desk slides we have so that they are in one place and we can pick which ones we want to promote to the website</v>
      </c>
      <c r="P104" t="str">
        <f t="shared" si="9"/>
        <v>also i think we shou</v>
      </c>
      <c r="Q104" t="str">
        <f t="shared" si="10"/>
        <v>Jon Butler</v>
      </c>
      <c r="R104" s="7" t="str">
        <f t="shared" si="11"/>
        <v>name=also i think we shou  [owner=Jon Butler]</v>
      </c>
      <c r="V104" t="str">
        <f t="shared" si="12"/>
        <v/>
      </c>
    </row>
    <row r="105" spans="1:22" x14ac:dyDescent="0.3">
      <c r="A105" t="s">
        <v>9198</v>
      </c>
      <c r="B105" t="s">
        <v>9199</v>
      </c>
      <c r="C105" t="s">
        <v>9302</v>
      </c>
      <c r="D105" t="s">
        <v>9303</v>
      </c>
      <c r="F105" t="s">
        <v>9202</v>
      </c>
      <c r="G105" t="s">
        <v>9304</v>
      </c>
      <c r="H105" t="s">
        <v>9305</v>
      </c>
      <c r="I105" t="s">
        <v>9202</v>
      </c>
      <c r="J105" t="s">
        <v>47</v>
      </c>
      <c r="K105" t="s">
        <v>9212</v>
      </c>
      <c r="O105" t="str">
        <v>Announce the Velox Client Portal</v>
      </c>
      <c r="P105" t="str">
        <f t="shared" si="9"/>
        <v>Announce the Velox C</v>
      </c>
      <c r="Q105" t="str">
        <f t="shared" si="10"/>
        <v>Jon Butler</v>
      </c>
      <c r="R105" s="7" t="str">
        <f t="shared" si="11"/>
        <v>name=Announce the Velox C  [owner=Jon Butler]</v>
      </c>
      <c r="V105" t="str">
        <f t="shared" si="12"/>
        <v/>
      </c>
    </row>
    <row r="106" spans="1:22" x14ac:dyDescent="0.3">
      <c r="A106" t="s">
        <v>9198</v>
      </c>
      <c r="B106" t="s">
        <v>9199</v>
      </c>
      <c r="C106" t="s">
        <v>9200</v>
      </c>
      <c r="D106" t="s">
        <v>9306</v>
      </c>
      <c r="F106" t="s">
        <v>9202</v>
      </c>
      <c r="G106" t="s">
        <v>9307</v>
      </c>
      <c r="H106" t="s">
        <v>9308</v>
      </c>
      <c r="I106" t="s">
        <v>9202</v>
      </c>
      <c r="K106" t="s">
        <v>9309</v>
      </c>
      <c r="L106" t="s">
        <v>9310</v>
      </c>
      <c r="O106" t="str">
        <v>JB to reach out to Jack to get an update</v>
      </c>
      <c r="P106" t="str">
        <f t="shared" si="9"/>
        <v>JB to reach out to J</v>
      </c>
      <c r="Q106">
        <f t="shared" si="10"/>
        <v>0</v>
      </c>
      <c r="R106" s="7" t="str">
        <f t="shared" si="11"/>
        <v>name=JB to reach out to J  [owner=0]</v>
      </c>
      <c r="V106" t="str">
        <f t="shared" si="12"/>
        <v/>
      </c>
    </row>
    <row r="107" spans="1:22" x14ac:dyDescent="0.3">
      <c r="A107" t="s">
        <v>9198</v>
      </c>
      <c r="B107" t="s">
        <v>9199</v>
      </c>
      <c r="C107" t="s">
        <v>9200</v>
      </c>
      <c r="D107" t="s">
        <v>9311</v>
      </c>
      <c r="F107" t="s">
        <v>9202</v>
      </c>
      <c r="G107" t="s">
        <v>9312</v>
      </c>
      <c r="H107" t="s">
        <v>9313</v>
      </c>
      <c r="I107" t="s">
        <v>9202</v>
      </c>
      <c r="J107" t="s">
        <v>47</v>
      </c>
      <c r="K107" t="s">
        <v>9205</v>
      </c>
      <c r="L107" t="s">
        <v>3156</v>
      </c>
      <c r="O107" t="str">
        <v>maximum size and speed of change</v>
      </c>
      <c r="P107" t="str">
        <f t="shared" si="9"/>
        <v>maximum size and spe</v>
      </c>
      <c r="Q107" t="str">
        <f t="shared" si="10"/>
        <v>Jon Butler</v>
      </c>
      <c r="R107" s="7" t="str">
        <f t="shared" si="11"/>
        <v>name=maximum size and spe  [owner=Jon Butler]</v>
      </c>
      <c r="V107" t="str">
        <f t="shared" si="12"/>
        <v/>
      </c>
    </row>
    <row r="108" spans="1:22" x14ac:dyDescent="0.3">
      <c r="A108" t="s">
        <v>9198</v>
      </c>
      <c r="B108" t="s">
        <v>9199</v>
      </c>
      <c r="C108" t="s">
        <v>9235</v>
      </c>
      <c r="D108" t="s">
        <v>9314</v>
      </c>
      <c r="F108" t="s">
        <v>9202</v>
      </c>
      <c r="G108" t="s">
        <v>9315</v>
      </c>
      <c r="H108" t="s">
        <v>9316</v>
      </c>
      <c r="I108" t="s">
        <v>9317</v>
      </c>
      <c r="J108" t="s">
        <v>8224</v>
      </c>
      <c r="K108" t="s">
        <v>9205</v>
      </c>
      <c r="O108" t="str">
        <v>get licence to do domain lookups</v>
      </c>
      <c r="P108" t="str">
        <f t="shared" si="9"/>
        <v>get licence to do do</v>
      </c>
      <c r="Q108" t="str">
        <f t="shared" si="10"/>
        <v>Jon Butler</v>
      </c>
      <c r="R108" s="7" t="str">
        <f t="shared" si="11"/>
        <v>name=get licence to do do  [owner=Jon Butler]</v>
      </c>
      <c r="V108" t="str">
        <f t="shared" si="12"/>
        <v/>
      </c>
    </row>
    <row r="109" spans="1:22" x14ac:dyDescent="0.3">
      <c r="A109" t="s">
        <v>9198</v>
      </c>
      <c r="B109" t="s">
        <v>9199</v>
      </c>
      <c r="C109" t="s">
        <v>9200</v>
      </c>
      <c r="D109" t="s">
        <v>9318</v>
      </c>
      <c r="F109" t="s">
        <v>9202</v>
      </c>
      <c r="G109" t="s">
        <v>9319</v>
      </c>
      <c r="H109" t="s">
        <v>9320</v>
      </c>
      <c r="I109" t="s">
        <v>9202</v>
      </c>
      <c r="J109" t="s">
        <v>9321</v>
      </c>
      <c r="K109" t="s">
        <v>9205</v>
      </c>
      <c r="L109" t="s">
        <v>9322</v>
      </c>
      <c r="O109" t="str">
        <v>get a quote from 3B on integrating support tools into website</v>
      </c>
      <c r="P109" t="str">
        <f t="shared" si="9"/>
        <v xml:space="preserve">get a quote from 3B </v>
      </c>
      <c r="Q109" t="str">
        <f t="shared" si="10"/>
        <v>Jon Butler</v>
      </c>
      <c r="R109" s="7" t="str">
        <f t="shared" si="11"/>
        <v>name=get a quote from 3B   [owner=Jon Butler]</v>
      </c>
      <c r="V109" t="str">
        <f t="shared" si="12"/>
        <v/>
      </c>
    </row>
    <row r="110" spans="1:22" x14ac:dyDescent="0.3">
      <c r="A110" t="s">
        <v>9198</v>
      </c>
      <c r="B110" t="s">
        <v>9199</v>
      </c>
      <c r="C110" t="s">
        <v>9200</v>
      </c>
      <c r="D110" t="s">
        <v>9323</v>
      </c>
      <c r="F110" t="s">
        <v>9202</v>
      </c>
      <c r="G110" t="s">
        <v>9324</v>
      </c>
      <c r="H110" t="s">
        <v>9325</v>
      </c>
      <c r="I110" t="s">
        <v>9202</v>
      </c>
      <c r="J110" t="s">
        <v>9321</v>
      </c>
      <c r="K110" t="s">
        <v>9205</v>
      </c>
      <c r="L110" t="s">
        <v>9322</v>
      </c>
      <c r="O110" t="str">
        <v>Announce Shridhar</v>
      </c>
      <c r="P110" t="str">
        <f t="shared" si="9"/>
        <v>Announce Shridhar</v>
      </c>
      <c r="Q110" t="str">
        <f t="shared" si="10"/>
        <v>Jon Butler, Christian Schuler</v>
      </c>
      <c r="R110" s="7" t="str">
        <f t="shared" si="11"/>
        <v>name=Announce Shridhar  [owner=Jon Butler, Christian Schuler]</v>
      </c>
      <c r="V110" t="str">
        <f t="shared" si="12"/>
        <v/>
      </c>
    </row>
    <row r="111" spans="1:22" x14ac:dyDescent="0.3">
      <c r="A111" t="s">
        <v>9198</v>
      </c>
      <c r="B111" t="s">
        <v>9199</v>
      </c>
      <c r="C111" t="s">
        <v>9302</v>
      </c>
      <c r="D111" t="s">
        <v>9326</v>
      </c>
      <c r="F111" t="s">
        <v>9202</v>
      </c>
      <c r="G111" t="s">
        <v>9327</v>
      </c>
      <c r="H111" t="s">
        <v>9328</v>
      </c>
      <c r="I111" t="s">
        <v>9202</v>
      </c>
      <c r="J111" t="s">
        <v>47</v>
      </c>
      <c r="K111" t="s">
        <v>9234</v>
      </c>
      <c r="O111" t="str">
        <v>should we include the valantic 1 pager as a client profile on the website</v>
      </c>
      <c r="P111" t="str">
        <f t="shared" si="9"/>
        <v>should we include th</v>
      </c>
      <c r="Q111" t="str">
        <f t="shared" si="10"/>
        <v>Jon Butler</v>
      </c>
      <c r="R111" s="7" t="str">
        <f t="shared" si="11"/>
        <v>name=should we include th  [owner=Jon Butler]</v>
      </c>
      <c r="V111" t="str">
        <f t="shared" si="12"/>
        <v/>
      </c>
    </row>
    <row r="112" spans="1:22" x14ac:dyDescent="0.3">
      <c r="A112" t="s">
        <v>9198</v>
      </c>
      <c r="B112" t="s">
        <v>9199</v>
      </c>
      <c r="C112" t="s">
        <v>9207</v>
      </c>
      <c r="D112" t="s">
        <v>9329</v>
      </c>
      <c r="F112" t="s">
        <v>9202</v>
      </c>
      <c r="G112" t="s">
        <v>9330</v>
      </c>
      <c r="H112" t="s">
        <v>9331</v>
      </c>
      <c r="I112" t="s">
        <v>9224</v>
      </c>
      <c r="J112" t="s">
        <v>47</v>
      </c>
      <c r="K112" t="s">
        <v>9212</v>
      </c>
      <c r="L112" t="s">
        <v>9213</v>
      </c>
      <c r="O112" t="str">
        <v>monetizing data</v>
      </c>
      <c r="P112" t="str">
        <f t="shared" si="9"/>
        <v>monetizing data</v>
      </c>
      <c r="Q112" t="str">
        <f t="shared" si="10"/>
        <v>Jon Butler</v>
      </c>
      <c r="R112" s="7" t="str">
        <f t="shared" si="11"/>
        <v>name=monetizing data  [owner=Jon Butler]</v>
      </c>
      <c r="V112" t="str">
        <f t="shared" si="12"/>
        <v/>
      </c>
    </row>
    <row r="113" spans="1:22" x14ac:dyDescent="0.3">
      <c r="A113" t="s">
        <v>9198</v>
      </c>
      <c r="B113" t="s">
        <v>9199</v>
      </c>
      <c r="C113" t="s">
        <v>9200</v>
      </c>
      <c r="D113" t="s">
        <v>9332</v>
      </c>
      <c r="F113" t="s">
        <v>9202</v>
      </c>
      <c r="G113" t="s">
        <v>9333</v>
      </c>
      <c r="H113" t="s">
        <v>9334</v>
      </c>
      <c r="I113" t="s">
        <v>9202</v>
      </c>
      <c r="J113" t="s">
        <v>9321</v>
      </c>
      <c r="K113" t="s">
        <v>9205</v>
      </c>
      <c r="L113" t="s">
        <v>9322</v>
      </c>
      <c r="O113" t="str">
        <v>Update social media content to webpage</v>
      </c>
      <c r="P113" t="str">
        <f t="shared" si="9"/>
        <v xml:space="preserve">Update social media </v>
      </c>
      <c r="Q113" t="str">
        <f t="shared" si="10"/>
        <v>Christian Schuler</v>
      </c>
      <c r="R113" s="7" t="str">
        <f t="shared" si="11"/>
        <v>name=Update social media   [owner=Christian Schuler]</v>
      </c>
      <c r="V113" t="str">
        <f t="shared" si="12"/>
        <v/>
      </c>
    </row>
    <row r="114" spans="1:22" x14ac:dyDescent="0.3">
      <c r="A114" t="s">
        <v>9198</v>
      </c>
      <c r="B114" t="s">
        <v>9199</v>
      </c>
      <c r="C114" t="s">
        <v>9200</v>
      </c>
      <c r="D114" t="s">
        <v>9335</v>
      </c>
      <c r="F114" t="s">
        <v>9202</v>
      </c>
      <c r="G114" t="s">
        <v>9336</v>
      </c>
      <c r="H114" t="s">
        <v>9337</v>
      </c>
      <c r="I114" t="s">
        <v>9202</v>
      </c>
      <c r="J114" t="s">
        <v>9338</v>
      </c>
      <c r="K114" t="s">
        <v>9205</v>
      </c>
      <c r="L114" t="s">
        <v>2905</v>
      </c>
      <c r="O114" t="str">
        <v>Announce Jon FIX Panel FIX NY Regional</v>
      </c>
      <c r="P114" t="str">
        <f t="shared" si="9"/>
        <v>Announce Jon FIX Pan</v>
      </c>
      <c r="Q114" t="str">
        <f t="shared" si="10"/>
        <v>Christian Schuler</v>
      </c>
      <c r="R114" s="7" t="str">
        <f t="shared" si="11"/>
        <v>name=Announce Jon FIX Pan  [owner=Christian Schuler]</v>
      </c>
      <c r="V114" t="str">
        <f t="shared" si="12"/>
        <v/>
      </c>
    </row>
    <row r="115" spans="1:22" x14ac:dyDescent="0.3">
      <c r="A115" t="s">
        <v>9198</v>
      </c>
      <c r="B115" t="s">
        <v>9199</v>
      </c>
      <c r="C115" t="s">
        <v>9200</v>
      </c>
      <c r="D115" t="s">
        <v>9339</v>
      </c>
      <c r="F115" t="s">
        <v>9202</v>
      </c>
      <c r="G115" t="s">
        <v>9340</v>
      </c>
      <c r="H115" t="s">
        <v>9341</v>
      </c>
      <c r="I115" t="s">
        <v>9202</v>
      </c>
      <c r="J115" t="s">
        <v>9321</v>
      </c>
      <c r="K115" t="s">
        <v>9205</v>
      </c>
      <c r="L115" t="s">
        <v>9322</v>
      </c>
      <c r="O115" t="str">
        <v>negative selection bias</v>
      </c>
      <c r="P115" t="str">
        <f t="shared" si="9"/>
        <v>negative selection b</v>
      </c>
      <c r="Q115" t="str">
        <f t="shared" si="10"/>
        <v>Jon Butler</v>
      </c>
      <c r="R115" s="7" t="str">
        <f t="shared" si="11"/>
        <v>name=negative selection b  [owner=Jon Butler]</v>
      </c>
      <c r="V115" t="str">
        <f t="shared" si="12"/>
        <v/>
      </c>
    </row>
    <row r="116" spans="1:22" x14ac:dyDescent="0.3">
      <c r="A116" t="s">
        <v>9198</v>
      </c>
      <c r="B116" t="s">
        <v>9199</v>
      </c>
      <c r="C116" t="s">
        <v>9200</v>
      </c>
      <c r="D116" t="s">
        <v>9342</v>
      </c>
      <c r="F116" t="s">
        <v>9202</v>
      </c>
      <c r="G116" t="s">
        <v>9343</v>
      </c>
      <c r="H116" t="s">
        <v>9344</v>
      </c>
      <c r="I116" t="s">
        <v>9202</v>
      </c>
      <c r="J116" t="s">
        <v>47</v>
      </c>
      <c r="K116" t="s">
        <v>9205</v>
      </c>
      <c r="L116" t="s">
        <v>9217</v>
      </c>
      <c r="O116" t="str">
        <v>Announce MIke</v>
      </c>
      <c r="P116" t="str">
        <f t="shared" si="9"/>
        <v>Announce MIke</v>
      </c>
      <c r="Q116" t="str">
        <f t="shared" si="10"/>
        <v>Jon Butler</v>
      </c>
      <c r="R116" s="7" t="str">
        <f t="shared" si="11"/>
        <v>name=Announce MIke  [owner=Jon Butler]</v>
      </c>
      <c r="V116" t="str">
        <f t="shared" si="12"/>
        <v/>
      </c>
    </row>
    <row r="117" spans="1:22" x14ac:dyDescent="0.3">
      <c r="A117" t="s">
        <v>9198</v>
      </c>
      <c r="B117" t="s">
        <v>9199</v>
      </c>
      <c r="C117" t="s">
        <v>9345</v>
      </c>
      <c r="D117" t="s">
        <v>9346</v>
      </c>
      <c r="F117" t="s">
        <v>9202</v>
      </c>
      <c r="G117" t="s">
        <v>9347</v>
      </c>
      <c r="H117" t="s">
        <v>9348</v>
      </c>
      <c r="I117" t="s">
        <v>9349</v>
      </c>
      <c r="J117" t="s">
        <v>47</v>
      </c>
      <c r="K117" t="s">
        <v>9234</v>
      </c>
      <c r="O117" t="str">
        <v>setup a template for creating web version of posts</v>
      </c>
      <c r="P117" t="str">
        <f t="shared" si="9"/>
        <v>setup a template for</v>
      </c>
      <c r="Q117" t="str">
        <f t="shared" si="10"/>
        <v>Jon Butler</v>
      </c>
      <c r="R117" s="7" t="str">
        <f t="shared" si="11"/>
        <v>name=setup a template for  [owner=Jon Butler]</v>
      </c>
      <c r="V117" t="str">
        <f t="shared" si="12"/>
        <v/>
      </c>
    </row>
    <row r="118" spans="1:22" x14ac:dyDescent="0.3">
      <c r="A118" t="s">
        <v>9198</v>
      </c>
      <c r="B118" t="s">
        <v>9199</v>
      </c>
      <c r="C118" t="s">
        <v>9200</v>
      </c>
      <c r="D118" t="s">
        <v>9350</v>
      </c>
      <c r="F118" t="s">
        <v>9202</v>
      </c>
      <c r="G118" t="s">
        <v>9351</v>
      </c>
      <c r="H118" t="s">
        <v>9352</v>
      </c>
      <c r="I118" t="s">
        <v>9202</v>
      </c>
      <c r="J118" t="s">
        <v>47</v>
      </c>
      <c r="K118" t="s">
        <v>9205</v>
      </c>
      <c r="L118" t="s">
        <v>9353</v>
      </c>
      <c r="O118" t="str">
        <v>Desktop Interop Stepchart</v>
      </c>
      <c r="P118" t="str">
        <f t="shared" si="9"/>
        <v>Desktop Interop Step</v>
      </c>
      <c r="Q118" t="str">
        <f t="shared" si="10"/>
        <v>Jon Butler</v>
      </c>
      <c r="R118" s="7" t="str">
        <f t="shared" si="11"/>
        <v>name=Desktop Interop Step  [owner=Jon Butler]</v>
      </c>
      <c r="V118" t="str">
        <f t="shared" si="12"/>
        <v/>
      </c>
    </row>
    <row r="119" spans="1:22" x14ac:dyDescent="0.3">
      <c r="A119" t="s">
        <v>9198</v>
      </c>
      <c r="B119" t="s">
        <v>9199</v>
      </c>
      <c r="C119" t="s">
        <v>9200</v>
      </c>
      <c r="D119" t="s">
        <v>9354</v>
      </c>
      <c r="F119" t="s">
        <v>9202</v>
      </c>
      <c r="G119" t="s">
        <v>9355</v>
      </c>
      <c r="H119" t="s">
        <v>9356</v>
      </c>
      <c r="I119" t="s">
        <v>9202</v>
      </c>
      <c r="J119" t="s">
        <v>47</v>
      </c>
      <c r="K119" t="s">
        <v>9212</v>
      </c>
      <c r="L119" t="s">
        <v>9217</v>
      </c>
      <c r="O119" t="str">
        <v>fix docs page to not autoplay videos</v>
      </c>
      <c r="P119" t="str">
        <f t="shared" si="9"/>
        <v>fix docs page to not</v>
      </c>
      <c r="Q119" t="str">
        <f t="shared" si="10"/>
        <v>Jon Butler</v>
      </c>
      <c r="R119" s="7" t="str">
        <f t="shared" si="11"/>
        <v>name=fix docs page to not  [owner=Jon Butler]</v>
      </c>
      <c r="V119" t="str">
        <f t="shared" si="12"/>
        <v/>
      </c>
    </row>
    <row r="120" spans="1:22" x14ac:dyDescent="0.3">
      <c r="A120" t="s">
        <v>9198</v>
      </c>
      <c r="B120" t="s">
        <v>9199</v>
      </c>
      <c r="C120" t="s">
        <v>9302</v>
      </c>
      <c r="D120" t="s">
        <v>9357</v>
      </c>
      <c r="F120" t="s">
        <v>9202</v>
      </c>
      <c r="G120" t="s">
        <v>9358</v>
      </c>
      <c r="H120" t="s">
        <v>9359</v>
      </c>
      <c r="I120" t="s">
        <v>9202</v>
      </c>
      <c r="J120" t="s">
        <v>9321</v>
      </c>
      <c r="K120" t="s">
        <v>9234</v>
      </c>
      <c r="O120" t="str">
        <v>strangler pattern</v>
      </c>
      <c r="P120" t="str">
        <f t="shared" si="9"/>
        <v>strangler pattern</v>
      </c>
      <c r="Q120" t="str">
        <f t="shared" si="10"/>
        <v>Jon Butler</v>
      </c>
      <c r="R120" s="7" t="str">
        <f t="shared" si="11"/>
        <v>name=strangler pattern  [owner=Jon Butler]</v>
      </c>
      <c r="V120" t="str">
        <f t="shared" si="12"/>
        <v/>
      </c>
    </row>
    <row r="121" spans="1:22" x14ac:dyDescent="0.3">
      <c r="A121" t="s">
        <v>9198</v>
      </c>
      <c r="B121" t="s">
        <v>9199</v>
      </c>
      <c r="C121" t="s">
        <v>9235</v>
      </c>
      <c r="D121" t="s">
        <v>9360</v>
      </c>
      <c r="F121" t="s">
        <v>9202</v>
      </c>
      <c r="G121" t="s">
        <v>9361</v>
      </c>
      <c r="H121" t="s">
        <v>9362</v>
      </c>
      <c r="I121" t="s">
        <v>9202</v>
      </c>
      <c r="J121" t="s">
        <v>47</v>
      </c>
      <c r="K121" t="s">
        <v>9212</v>
      </c>
      <c r="O121" t="str">
        <v>Make list of features we would record for marketing</v>
      </c>
      <c r="P121" t="str">
        <f t="shared" si="9"/>
        <v>Make list of feature</v>
      </c>
      <c r="Q121" t="str">
        <f t="shared" si="10"/>
        <v>Jon Butler, Christian Schuler</v>
      </c>
      <c r="R121" s="7" t="str">
        <f t="shared" si="11"/>
        <v>name=Make list of feature  [owner=Jon Butler, Christian Schuler]</v>
      </c>
      <c r="V121" t="str">
        <f t="shared" si="12"/>
        <v/>
      </c>
    </row>
    <row r="122" spans="1:22" x14ac:dyDescent="0.3">
      <c r="A122" t="s">
        <v>9198</v>
      </c>
      <c r="B122" t="s">
        <v>9199</v>
      </c>
      <c r="C122" t="s">
        <v>9200</v>
      </c>
      <c r="D122" t="s">
        <v>9363</v>
      </c>
      <c r="F122" t="s">
        <v>9202</v>
      </c>
      <c r="G122" t="s">
        <v>9364</v>
      </c>
      <c r="H122" t="s">
        <v>9365</v>
      </c>
      <c r="I122" t="s">
        <v>9202</v>
      </c>
      <c r="J122" t="s">
        <v>47</v>
      </c>
      <c r="K122" t="s">
        <v>9205</v>
      </c>
      <c r="L122" t="s">
        <v>9217</v>
      </c>
      <c r="O122" t="str">
        <v>next level of abstraction</v>
      </c>
      <c r="P122" t="str">
        <f t="shared" si="9"/>
        <v>next level of abstra</v>
      </c>
      <c r="Q122" t="str">
        <f t="shared" si="10"/>
        <v>Jon Butler</v>
      </c>
      <c r="R122" s="7" t="str">
        <f t="shared" si="11"/>
        <v>name=next level of abstra  [owner=Jon Butler]</v>
      </c>
      <c r="V122" t="str">
        <f t="shared" si="12"/>
        <v/>
      </c>
    </row>
    <row r="123" spans="1:22" x14ac:dyDescent="0.3">
      <c r="A123" t="s">
        <v>9198</v>
      </c>
      <c r="B123" t="s">
        <v>9199</v>
      </c>
      <c r="C123" t="s">
        <v>9235</v>
      </c>
      <c r="D123" t="s">
        <v>9366</v>
      </c>
      <c r="F123" t="s">
        <v>9202</v>
      </c>
      <c r="G123" t="s">
        <v>9367</v>
      </c>
      <c r="H123" t="s">
        <v>9368</v>
      </c>
      <c r="I123" t="s">
        <v>9202</v>
      </c>
      <c r="J123" t="s">
        <v>47</v>
      </c>
      <c r="K123" t="s">
        <v>9212</v>
      </c>
      <c r="O123" t="str">
        <v>something to do with frogs</v>
      </c>
      <c r="P123" t="str">
        <f t="shared" si="9"/>
        <v>something to do with</v>
      </c>
      <c r="Q123" t="str">
        <f t="shared" si="10"/>
        <v>Jon Butler</v>
      </c>
      <c r="R123" s="7" t="str">
        <f t="shared" si="11"/>
        <v>name=something to do with  [owner=Jon Butler]</v>
      </c>
      <c r="V123" t="str">
        <f t="shared" si="12"/>
        <v/>
      </c>
    </row>
    <row r="124" spans="1:22" x14ac:dyDescent="0.3">
      <c r="A124" t="s">
        <v>9198</v>
      </c>
      <c r="B124" t="s">
        <v>9199</v>
      </c>
      <c r="C124" t="s">
        <v>9200</v>
      </c>
      <c r="D124" t="s">
        <v>9369</v>
      </c>
      <c r="F124" t="s">
        <v>9202</v>
      </c>
      <c r="G124" t="s">
        <v>9370</v>
      </c>
      <c r="H124" t="s">
        <v>9371</v>
      </c>
      <c r="I124" t="s">
        <v>9202</v>
      </c>
      <c r="J124" t="s">
        <v>47</v>
      </c>
      <c r="K124" t="s">
        <v>9205</v>
      </c>
      <c r="L124" t="s">
        <v>9217</v>
      </c>
      <c r="O124" t="str">
        <v>Use Cases</v>
      </c>
      <c r="P124" t="str">
        <f t="shared" si="9"/>
        <v>Use Cases</v>
      </c>
      <c r="Q124" t="str">
        <f t="shared" si="10"/>
        <v>Jon Butler</v>
      </c>
      <c r="R124" s="7" t="str">
        <f t="shared" si="11"/>
        <v>name=Use Cases  [owner=Jon Butler]</v>
      </c>
      <c r="V124" t="str">
        <f t="shared" si="12"/>
        <v/>
      </c>
    </row>
    <row r="125" spans="1:22" x14ac:dyDescent="0.3">
      <c r="A125" t="s">
        <v>9198</v>
      </c>
      <c r="B125" t="s">
        <v>9199</v>
      </c>
      <c r="C125" t="s">
        <v>9200</v>
      </c>
      <c r="D125" t="s">
        <v>9372</v>
      </c>
      <c r="F125" t="s">
        <v>9202</v>
      </c>
      <c r="G125" t="s">
        <v>9373</v>
      </c>
      <c r="H125" t="s">
        <v>9374</v>
      </c>
      <c r="I125" t="s">
        <v>9202</v>
      </c>
      <c r="K125" t="s">
        <v>9205</v>
      </c>
      <c r="L125" t="s">
        <v>3156</v>
      </c>
      <c r="O125" t="str">
        <v>Work out which decks needed for which opportunity</v>
      </c>
      <c r="P125" t="str">
        <f t="shared" si="9"/>
        <v>Work out which decks</v>
      </c>
      <c r="Q125" t="str">
        <f t="shared" si="10"/>
        <v>Jon Butler, Alison Hood</v>
      </c>
      <c r="R125" s="7" t="str">
        <f t="shared" si="11"/>
        <v>name=Work out which decks  [owner=Jon Butler, Alison Hood]</v>
      </c>
      <c r="V125" t="str">
        <f t="shared" si="12"/>
        <v/>
      </c>
    </row>
    <row r="126" spans="1:22" x14ac:dyDescent="0.3">
      <c r="A126" t="s">
        <v>9198</v>
      </c>
      <c r="B126" t="s">
        <v>9199</v>
      </c>
      <c r="C126" t="s">
        <v>9200</v>
      </c>
      <c r="D126" t="s">
        <v>9375</v>
      </c>
      <c r="F126" t="s">
        <v>9202</v>
      </c>
      <c r="G126" t="s">
        <v>9376</v>
      </c>
      <c r="H126" t="s">
        <v>9377</v>
      </c>
      <c r="I126" t="s">
        <v>9202</v>
      </c>
      <c r="J126" t="s">
        <v>47</v>
      </c>
      <c r="K126" t="s">
        <v>9212</v>
      </c>
      <c r="L126" t="s">
        <v>9310</v>
      </c>
      <c r="O126" t="str">
        <v>add non data driven app flow to flow diagram</v>
      </c>
      <c r="P126" t="str">
        <f t="shared" si="9"/>
        <v xml:space="preserve">add non data driven </v>
      </c>
      <c r="Q126">
        <f t="shared" si="10"/>
        <v>0</v>
      </c>
      <c r="R126" s="7" t="str">
        <f t="shared" si="11"/>
        <v>name=add non data driven   [owner=0]</v>
      </c>
      <c r="V126" t="str">
        <f t="shared" si="12"/>
        <v/>
      </c>
    </row>
    <row r="127" spans="1:22" x14ac:dyDescent="0.3">
      <c r="A127" t="s">
        <v>9198</v>
      </c>
      <c r="B127" t="s">
        <v>9199</v>
      </c>
      <c r="C127" t="s">
        <v>9200</v>
      </c>
      <c r="D127" t="s">
        <v>9378</v>
      </c>
      <c r="F127" t="s">
        <v>9202</v>
      </c>
      <c r="G127" t="s">
        <v>9379</v>
      </c>
      <c r="H127" t="s">
        <v>9380</v>
      </c>
      <c r="I127" t="s">
        <v>9202</v>
      </c>
      <c r="J127" t="s">
        <v>9338</v>
      </c>
      <c r="K127" t="s">
        <v>9212</v>
      </c>
      <c r="L127" t="s">
        <v>9381</v>
      </c>
      <c r="O127" t="str">
        <v>short WP on use-cases and boiler plate</v>
      </c>
      <c r="P127" t="str">
        <f t="shared" si="9"/>
        <v>short WP on use-case</v>
      </c>
      <c r="Q127" t="str">
        <f t="shared" si="10"/>
        <v>Alison Hood</v>
      </c>
      <c r="R127" s="7" t="str">
        <f t="shared" si="11"/>
        <v>name=short WP on use-case  [owner=Alison Hood]</v>
      </c>
      <c r="V127" t="str">
        <f t="shared" si="12"/>
        <v/>
      </c>
    </row>
    <row r="128" spans="1:22" x14ac:dyDescent="0.3">
      <c r="A128" t="s">
        <v>9198</v>
      </c>
      <c r="B128" t="s">
        <v>9199</v>
      </c>
      <c r="C128" t="s">
        <v>9345</v>
      </c>
      <c r="D128" t="s">
        <v>9382</v>
      </c>
      <c r="F128" t="s">
        <v>9202</v>
      </c>
      <c r="G128" t="s">
        <v>9383</v>
      </c>
      <c r="H128" t="s">
        <v>9384</v>
      </c>
      <c r="I128" t="s">
        <v>9349</v>
      </c>
      <c r="J128" t="s">
        <v>47</v>
      </c>
      <c r="K128" t="s">
        <v>9205</v>
      </c>
      <c r="O128" t="str">
        <v>Use 'The Financial Technologist'?</v>
      </c>
      <c r="P128" t="str">
        <f t="shared" si="9"/>
        <v>Use 'The Financial T</v>
      </c>
      <c r="Q128" t="str">
        <f t="shared" si="10"/>
        <v>Jon Butler</v>
      </c>
      <c r="R128" s="7" t="str">
        <f t="shared" si="11"/>
        <v>name=Use 'The Financial T  [owner=Jon Butler]</v>
      </c>
      <c r="V128" t="str">
        <f t="shared" si="12"/>
        <v/>
      </c>
    </row>
    <row r="129" spans="1:22" x14ac:dyDescent="0.3">
      <c r="A129" t="s">
        <v>9198</v>
      </c>
      <c r="B129" t="s">
        <v>9199</v>
      </c>
      <c r="C129" t="s">
        <v>9200</v>
      </c>
      <c r="D129" t="s">
        <v>9385</v>
      </c>
      <c r="F129" t="s">
        <v>9202</v>
      </c>
      <c r="G129" t="s">
        <v>9386</v>
      </c>
      <c r="H129" t="s">
        <v>9387</v>
      </c>
      <c r="I129" t="s">
        <v>9202</v>
      </c>
      <c r="J129" t="s">
        <v>47</v>
      </c>
      <c r="K129" t="s">
        <v>9205</v>
      </c>
      <c r="L129" t="s">
        <v>9217</v>
      </c>
      <c r="O129" t="str">
        <v>Our Clients</v>
      </c>
      <c r="P129" t="str">
        <f t="shared" si="9"/>
        <v>Our Clients</v>
      </c>
      <c r="Q129" t="str">
        <f t="shared" si="10"/>
        <v>Jon Butler</v>
      </c>
      <c r="R129" s="7" t="str">
        <f t="shared" si="11"/>
        <v>name=Our Clients  [owner=Jon Butler]</v>
      </c>
      <c r="V129" t="str">
        <f t="shared" si="12"/>
        <v/>
      </c>
    </row>
    <row r="130" spans="1:22" x14ac:dyDescent="0.3">
      <c r="A130" t="s">
        <v>9198</v>
      </c>
      <c r="B130" t="s">
        <v>9199</v>
      </c>
      <c r="C130" t="s">
        <v>9207</v>
      </c>
      <c r="D130" t="s">
        <v>9388</v>
      </c>
      <c r="F130" t="s">
        <v>9202</v>
      </c>
      <c r="G130" t="s">
        <v>9389</v>
      </c>
      <c r="H130" t="s">
        <v>9390</v>
      </c>
      <c r="I130" t="s">
        <v>9224</v>
      </c>
      <c r="J130" t="s">
        <v>47</v>
      </c>
      <c r="K130" t="s">
        <v>9212</v>
      </c>
      <c r="L130" t="s">
        <v>9213</v>
      </c>
      <c r="O130" t="str">
        <v>3B initial changes</v>
      </c>
      <c r="P130" t="str">
        <f t="shared" si="9"/>
        <v>3B initial changes</v>
      </c>
      <c r="Q130" t="str">
        <f t="shared" si="10"/>
        <v>Christian Schuler</v>
      </c>
      <c r="R130" s="7" t="str">
        <f t="shared" si="11"/>
        <v>name=3B initial changes  [owner=Christian Schuler]</v>
      </c>
      <c r="V130" t="str">
        <f t="shared" si="12"/>
        <v/>
      </c>
    </row>
    <row r="131" spans="1:22" x14ac:dyDescent="0.3">
      <c r="A131" t="s">
        <v>9198</v>
      </c>
      <c r="B131" t="s">
        <v>9199</v>
      </c>
      <c r="C131" t="s">
        <v>9200</v>
      </c>
      <c r="D131" t="s">
        <v>9407</v>
      </c>
      <c r="F131" t="s">
        <v>9202</v>
      </c>
      <c r="G131" t="s">
        <v>9408</v>
      </c>
      <c r="H131" t="s">
        <v>9409</v>
      </c>
      <c r="I131" t="s">
        <v>9202</v>
      </c>
      <c r="J131" t="s">
        <v>47</v>
      </c>
      <c r="K131" t="s">
        <v>9309</v>
      </c>
      <c r="L131" t="s">
        <v>9217</v>
      </c>
      <c r="O131" t="str">
        <v>symphony demo</v>
      </c>
      <c r="P131" t="str">
        <f t="shared" si="9"/>
        <v>symphony demo</v>
      </c>
      <c r="Q131" t="str">
        <f t="shared" si="10"/>
        <v>Jon Butler</v>
      </c>
      <c r="R131" s="7" t="str">
        <f t="shared" si="11"/>
        <v>name=symphony demo  [owner=Jon Butler]</v>
      </c>
      <c r="V131" t="str">
        <f t="shared" si="12"/>
        <v/>
      </c>
    </row>
    <row r="132" spans="1:22" x14ac:dyDescent="0.3">
      <c r="A132" t="s">
        <v>9198</v>
      </c>
      <c r="B132" t="s">
        <v>9199</v>
      </c>
      <c r="C132" t="s">
        <v>9200</v>
      </c>
      <c r="D132" t="s">
        <v>9410</v>
      </c>
      <c r="F132" t="s">
        <v>9202</v>
      </c>
      <c r="G132" t="s">
        <v>9411</v>
      </c>
      <c r="H132" t="s">
        <v>9412</v>
      </c>
      <c r="I132" t="s">
        <v>9202</v>
      </c>
      <c r="J132" t="s">
        <v>50</v>
      </c>
      <c r="K132" t="s">
        <v>9234</v>
      </c>
      <c r="L132" t="s">
        <v>2905</v>
      </c>
      <c r="O132" t="str">
        <v>create a flow diagram for state engine flows</v>
      </c>
      <c r="P132" t="str">
        <f t="shared" ref="P132:P180" si="13">LEFT(O132,P$2)</f>
        <v>create a flow diagra</v>
      </c>
      <c r="Q132">
        <f t="shared" ref="Q132:Q180" si="14">INDEX(J:J,MATCH(O132,D:D,0))</f>
        <v>0</v>
      </c>
      <c r="R132" s="7" t="str">
        <f t="shared" ref="R132:R180" si="15">"name="&amp;P132&amp;"  [owner="&amp;Q132&amp;"]"</f>
        <v>name=create a flow diagra  [owner=0]</v>
      </c>
      <c r="V132" t="str">
        <f t="shared" ref="V132:V180" si="16">LEFT(U132,V$2)</f>
        <v/>
      </c>
    </row>
    <row r="133" spans="1:22" x14ac:dyDescent="0.3">
      <c r="A133" t="s">
        <v>9198</v>
      </c>
      <c r="B133" t="s">
        <v>9199</v>
      </c>
      <c r="C133" t="s">
        <v>9200</v>
      </c>
      <c r="D133" t="s">
        <v>9413</v>
      </c>
      <c r="F133" t="s">
        <v>9202</v>
      </c>
      <c r="G133" t="s">
        <v>9414</v>
      </c>
      <c r="H133" t="s">
        <v>9415</v>
      </c>
      <c r="I133" t="s">
        <v>9202</v>
      </c>
      <c r="K133" t="s">
        <v>9205</v>
      </c>
      <c r="L133" t="s">
        <v>9217</v>
      </c>
      <c r="O133" t="str">
        <v>Data Fragmentation</v>
      </c>
      <c r="P133" t="str">
        <f t="shared" si="13"/>
        <v>Data Fragmentation</v>
      </c>
      <c r="Q133" t="str">
        <f t="shared" si="14"/>
        <v>Jon Butler</v>
      </c>
      <c r="R133" s="7" t="str">
        <f t="shared" si="15"/>
        <v>name=Data Fragmentation  [owner=Jon Butler]</v>
      </c>
      <c r="V133" t="str">
        <f t="shared" si="16"/>
        <v/>
      </c>
    </row>
    <row r="134" spans="1:22" x14ac:dyDescent="0.3">
      <c r="A134" t="s">
        <v>9198</v>
      </c>
      <c r="B134" t="s">
        <v>9199</v>
      </c>
      <c r="C134" t="s">
        <v>9200</v>
      </c>
      <c r="D134" t="s">
        <v>9416</v>
      </c>
      <c r="F134" t="s">
        <v>9202</v>
      </c>
      <c r="G134" t="s">
        <v>9417</v>
      </c>
      <c r="H134" t="s">
        <v>9418</v>
      </c>
      <c r="I134" t="s">
        <v>9202</v>
      </c>
      <c r="J134" t="s">
        <v>47</v>
      </c>
      <c r="K134" t="s">
        <v>9205</v>
      </c>
      <c r="L134" t="s">
        <v>9217</v>
      </c>
      <c r="O134" t="str">
        <v>Website ideas (add doc/links as sub items)</v>
      </c>
      <c r="P134" t="str">
        <f t="shared" si="13"/>
        <v>Website ideas (add d</v>
      </c>
      <c r="Q134" t="str">
        <f t="shared" si="14"/>
        <v>Jon Butler</v>
      </c>
      <c r="R134" s="7" t="str">
        <f t="shared" si="15"/>
        <v>name=Website ideas (add d  [owner=Jon Butler]</v>
      </c>
      <c r="V134" t="str">
        <f t="shared" si="16"/>
        <v/>
      </c>
    </row>
    <row r="135" spans="1:22" x14ac:dyDescent="0.3">
      <c r="A135" t="s">
        <v>9198</v>
      </c>
      <c r="B135" t="s">
        <v>9199</v>
      </c>
      <c r="C135" t="s">
        <v>9207</v>
      </c>
      <c r="D135" t="s">
        <v>9419</v>
      </c>
      <c r="F135" t="s">
        <v>9202</v>
      </c>
      <c r="G135" t="s">
        <v>9420</v>
      </c>
      <c r="H135" t="s">
        <v>9421</v>
      </c>
      <c r="I135" t="s">
        <v>9224</v>
      </c>
      <c r="J135" t="s">
        <v>47</v>
      </c>
      <c r="K135" t="s">
        <v>9212</v>
      </c>
      <c r="L135" t="s">
        <v>9213</v>
      </c>
      <c r="O135" t="str">
        <v>Update team page</v>
      </c>
      <c r="P135" t="str">
        <f t="shared" si="13"/>
        <v>Update team page</v>
      </c>
      <c r="Q135" t="str">
        <f t="shared" si="14"/>
        <v>Jon Butler</v>
      </c>
      <c r="R135" s="7" t="str">
        <f t="shared" si="15"/>
        <v>name=Update team page  [owner=Jon Butler]</v>
      </c>
      <c r="V135" t="str">
        <f t="shared" si="16"/>
        <v/>
      </c>
    </row>
    <row r="136" spans="1:22" x14ac:dyDescent="0.3">
      <c r="A136" t="s">
        <v>9198</v>
      </c>
      <c r="B136" t="s">
        <v>9199</v>
      </c>
      <c r="C136" t="s">
        <v>9345</v>
      </c>
      <c r="D136" t="s">
        <v>9425</v>
      </c>
      <c r="F136" t="s">
        <v>9202</v>
      </c>
      <c r="G136" t="s">
        <v>9426</v>
      </c>
      <c r="H136" t="s">
        <v>9427</v>
      </c>
      <c r="I136" t="s">
        <v>9349</v>
      </c>
      <c r="J136" t="s">
        <v>50</v>
      </c>
      <c r="K136" t="s">
        <v>9205</v>
      </c>
      <c r="O136" t="str">
        <v>Documentation ideas (add docs/links as sub items)</v>
      </c>
      <c r="P136" t="str">
        <f t="shared" si="13"/>
        <v xml:space="preserve">Documentation ideas </v>
      </c>
      <c r="Q136" t="str">
        <f t="shared" si="14"/>
        <v>Christian Schuler</v>
      </c>
      <c r="R136" s="7" t="str">
        <f t="shared" si="15"/>
        <v>name=Documentation ideas   [owner=Christian Schuler]</v>
      </c>
      <c r="V136" t="str">
        <f t="shared" si="16"/>
        <v/>
      </c>
    </row>
    <row r="137" spans="1:22" x14ac:dyDescent="0.3">
      <c r="A137" t="s">
        <v>9198</v>
      </c>
      <c r="B137" t="s">
        <v>9199</v>
      </c>
      <c r="C137" t="s">
        <v>9302</v>
      </c>
      <c r="D137" t="s">
        <v>9428</v>
      </c>
      <c r="F137" t="s">
        <v>9202</v>
      </c>
      <c r="G137" t="s">
        <v>9429</v>
      </c>
      <c r="H137" t="s">
        <v>9430</v>
      </c>
      <c r="I137" t="s">
        <v>9202</v>
      </c>
      <c r="J137" t="s">
        <v>47</v>
      </c>
      <c r="K137" t="s">
        <v>9205</v>
      </c>
      <c r="O137" t="str">
        <v>add new slide showing that we solve the full stack soln as a venn</v>
      </c>
      <c r="P137" t="str">
        <f t="shared" si="13"/>
        <v>add new slide showin</v>
      </c>
      <c r="Q137" t="str">
        <f t="shared" si="14"/>
        <v>Jon Butler</v>
      </c>
      <c r="R137" s="7" t="str">
        <f t="shared" si="15"/>
        <v>name=add new slide showin  [owner=Jon Butler]</v>
      </c>
      <c r="V137" t="str">
        <f t="shared" si="16"/>
        <v/>
      </c>
    </row>
    <row r="138" spans="1:22" x14ac:dyDescent="0.3">
      <c r="A138" t="s">
        <v>9198</v>
      </c>
      <c r="B138" t="s">
        <v>9199</v>
      </c>
      <c r="C138" t="s">
        <v>9200</v>
      </c>
      <c r="D138" t="s">
        <v>9431</v>
      </c>
      <c r="F138" t="s">
        <v>9202</v>
      </c>
      <c r="G138" t="s">
        <v>9432</v>
      </c>
      <c r="H138" t="s">
        <v>9433</v>
      </c>
      <c r="I138" t="s">
        <v>9202</v>
      </c>
      <c r="J138" t="s">
        <v>47</v>
      </c>
      <c r="K138" t="s">
        <v>9234</v>
      </c>
      <c r="L138" t="s">
        <v>9217</v>
      </c>
      <c r="O138" t="str">
        <v>sort out google analytics</v>
      </c>
      <c r="P138" t="str">
        <f t="shared" si="13"/>
        <v>sort out google anal</v>
      </c>
      <c r="Q138" t="str">
        <f t="shared" si="14"/>
        <v>Ross Lucas</v>
      </c>
      <c r="R138" s="7" t="str">
        <f t="shared" si="15"/>
        <v>name=sort out google anal  [owner=Ross Lucas]</v>
      </c>
      <c r="V138" t="str">
        <f t="shared" si="16"/>
        <v/>
      </c>
    </row>
    <row r="139" spans="1:22" x14ac:dyDescent="0.3">
      <c r="A139" t="s">
        <v>9198</v>
      </c>
      <c r="B139" t="s">
        <v>9199</v>
      </c>
      <c r="C139" t="s">
        <v>9200</v>
      </c>
      <c r="D139" t="s">
        <v>9434</v>
      </c>
      <c r="F139" t="s">
        <v>9202</v>
      </c>
      <c r="G139" t="s">
        <v>9435</v>
      </c>
      <c r="H139" t="s">
        <v>9436</v>
      </c>
      <c r="I139" t="s">
        <v>9202</v>
      </c>
      <c r="J139" t="s">
        <v>47</v>
      </c>
      <c r="K139" t="s">
        <v>9212</v>
      </c>
      <c r="L139" t="s">
        <v>9381</v>
      </c>
      <c r="O139" t="str">
        <v>fix docs page so need to double click is more obvious</v>
      </c>
      <c r="P139" t="str">
        <f t="shared" si="13"/>
        <v>fix docs page so nee</v>
      </c>
      <c r="Q139" t="str">
        <f t="shared" si="14"/>
        <v>Jon Butler</v>
      </c>
      <c r="R139" s="7" t="str">
        <f t="shared" si="15"/>
        <v>name=fix docs page so nee  [owner=Jon Butler]</v>
      </c>
      <c r="V139" t="str">
        <f t="shared" si="16"/>
        <v/>
      </c>
    </row>
    <row r="140" spans="1:22" x14ac:dyDescent="0.3">
      <c r="A140" t="s">
        <v>9198</v>
      </c>
      <c r="B140" t="s">
        <v>9199</v>
      </c>
      <c r="C140" t="s">
        <v>9302</v>
      </c>
      <c r="D140" t="s">
        <v>9437</v>
      </c>
      <c r="F140" t="s">
        <v>9202</v>
      </c>
      <c r="G140" t="s">
        <v>9438</v>
      </c>
      <c r="H140" t="s">
        <v>9439</v>
      </c>
      <c r="I140" t="s">
        <v>9202</v>
      </c>
      <c r="J140" t="s">
        <v>47</v>
      </c>
      <c r="K140" t="s">
        <v>9234</v>
      </c>
      <c r="O140" t="str">
        <v>nokia in 2007</v>
      </c>
      <c r="P140" t="str">
        <f t="shared" si="13"/>
        <v>nokia in 2007</v>
      </c>
      <c r="Q140" t="str">
        <f t="shared" si="14"/>
        <v>Jon Butler</v>
      </c>
      <c r="R140" s="7" t="str">
        <f t="shared" si="15"/>
        <v>name=nokia in 2007  [owner=Jon Butler]</v>
      </c>
      <c r="V140" t="str">
        <f t="shared" si="16"/>
        <v/>
      </c>
    </row>
    <row r="141" spans="1:22" x14ac:dyDescent="0.3">
      <c r="A141" t="s">
        <v>9198</v>
      </c>
      <c r="B141" t="s">
        <v>9199</v>
      </c>
      <c r="C141" t="s">
        <v>9200</v>
      </c>
      <c r="D141" t="s">
        <v>9440</v>
      </c>
      <c r="F141" t="s">
        <v>9202</v>
      </c>
      <c r="G141" t="s">
        <v>9441</v>
      </c>
      <c r="H141" t="s">
        <v>9442</v>
      </c>
      <c r="I141" t="s">
        <v>9202</v>
      </c>
      <c r="J141" t="s">
        <v>47</v>
      </c>
      <c r="K141" t="s">
        <v>9205</v>
      </c>
      <c r="L141" t="s">
        <v>9217</v>
      </c>
      <c r="O141" t="str">
        <v>attitude over aptitude</v>
      </c>
      <c r="P141" t="str">
        <f t="shared" si="13"/>
        <v>attitude over aptitu</v>
      </c>
      <c r="Q141" t="str">
        <f t="shared" si="14"/>
        <v>Jon Butler</v>
      </c>
      <c r="R141" s="7" t="str">
        <f t="shared" si="15"/>
        <v>name=attitude over aptitu  [owner=Jon Butler]</v>
      </c>
      <c r="V141" t="str">
        <f t="shared" si="16"/>
        <v/>
      </c>
    </row>
    <row r="142" spans="1:22" x14ac:dyDescent="0.3">
      <c r="A142" t="s">
        <v>9198</v>
      </c>
      <c r="B142" t="s">
        <v>9199</v>
      </c>
      <c r="C142" t="s">
        <v>9302</v>
      </c>
      <c r="D142" t="s">
        <v>9443</v>
      </c>
      <c r="F142" t="s">
        <v>9202</v>
      </c>
      <c r="G142" t="s">
        <v>9444</v>
      </c>
      <c r="H142" t="s">
        <v>9445</v>
      </c>
      <c r="I142" t="s">
        <v>9202</v>
      </c>
      <c r="J142" t="s">
        <v>47</v>
      </c>
      <c r="K142" t="s">
        <v>9212</v>
      </c>
      <c r="O142" t="str">
        <v>About Us</v>
      </c>
      <c r="P142" t="str">
        <f t="shared" si="13"/>
        <v>About Us</v>
      </c>
      <c r="Q142" t="str">
        <f t="shared" si="14"/>
        <v>Jon Butler</v>
      </c>
      <c r="R142" s="7" t="str">
        <f t="shared" si="15"/>
        <v>name=About Us  [owner=Jon Butler]</v>
      </c>
      <c r="V142" t="str">
        <f t="shared" si="16"/>
        <v/>
      </c>
    </row>
    <row r="143" spans="1:22" x14ac:dyDescent="0.3">
      <c r="A143" t="s">
        <v>9198</v>
      </c>
      <c r="B143" t="s">
        <v>9199</v>
      </c>
      <c r="C143" t="s">
        <v>9200</v>
      </c>
      <c r="D143" t="s">
        <v>9446</v>
      </c>
      <c r="F143" t="s">
        <v>9202</v>
      </c>
      <c r="G143" t="s">
        <v>9447</v>
      </c>
      <c r="H143" t="s">
        <v>9448</v>
      </c>
      <c r="I143" t="s">
        <v>9202</v>
      </c>
      <c r="J143" t="s">
        <v>47</v>
      </c>
      <c r="K143" t="s">
        <v>9205</v>
      </c>
      <c r="L143" t="s">
        <v>9217</v>
      </c>
      <c r="O143" t="str">
        <v>add state management use case to handout pdfs</v>
      </c>
      <c r="P143" t="str">
        <f t="shared" si="13"/>
        <v>add state management</v>
      </c>
      <c r="Q143" t="str">
        <f t="shared" si="14"/>
        <v>Jon Butler</v>
      </c>
      <c r="R143" s="7" t="str">
        <f t="shared" si="15"/>
        <v>name=add state management  [owner=Jon Butler]</v>
      </c>
      <c r="V143" t="str">
        <f t="shared" si="16"/>
        <v/>
      </c>
    </row>
    <row r="144" spans="1:22" x14ac:dyDescent="0.3">
      <c r="A144" t="s">
        <v>9198</v>
      </c>
      <c r="B144" t="s">
        <v>9199</v>
      </c>
      <c r="C144" t="s">
        <v>9200</v>
      </c>
      <c r="D144" t="s">
        <v>9449</v>
      </c>
      <c r="F144" t="s">
        <v>9202</v>
      </c>
      <c r="G144" t="s">
        <v>9450</v>
      </c>
      <c r="H144" t="s">
        <v>9451</v>
      </c>
      <c r="I144" t="s">
        <v>9452</v>
      </c>
      <c r="J144" t="s">
        <v>47</v>
      </c>
      <c r="K144" t="s">
        <v>9205</v>
      </c>
      <c r="L144" t="s">
        <v>9453</v>
      </c>
      <c r="O144" t="str">
        <v>pull together JB previous technical velox sripts into one folder</v>
      </c>
      <c r="P144" t="str">
        <f t="shared" si="13"/>
        <v>pull together JB pre</v>
      </c>
      <c r="Q144">
        <f t="shared" si="14"/>
        <v>0</v>
      </c>
      <c r="R144" s="7" t="str">
        <f t="shared" si="15"/>
        <v>name=pull together JB pre  [owner=0]</v>
      </c>
      <c r="V144" t="str">
        <f t="shared" si="16"/>
        <v/>
      </c>
    </row>
    <row r="145" spans="1:22" x14ac:dyDescent="0.3">
      <c r="A145" t="s">
        <v>9198</v>
      </c>
      <c r="B145" t="s">
        <v>9199</v>
      </c>
      <c r="C145" t="s">
        <v>9302</v>
      </c>
      <c r="D145" t="s">
        <v>9473</v>
      </c>
      <c r="F145" t="s">
        <v>9202</v>
      </c>
      <c r="G145" t="s">
        <v>9474</v>
      </c>
      <c r="H145" t="s">
        <v>9475</v>
      </c>
      <c r="I145" t="s">
        <v>9202</v>
      </c>
      <c r="J145" t="s">
        <v>47</v>
      </c>
      <c r="K145" t="s">
        <v>9234</v>
      </c>
      <c r="O145" t="str">
        <v>ali client questions</v>
      </c>
      <c r="P145" t="str">
        <f t="shared" si="13"/>
        <v>ali client questions</v>
      </c>
      <c r="Q145" t="str">
        <f t="shared" si="14"/>
        <v>Jon Butler</v>
      </c>
      <c r="R145" s="7" t="str">
        <f t="shared" si="15"/>
        <v>name=ali client questions  [owner=Jon Butler]</v>
      </c>
      <c r="V145" t="str">
        <f t="shared" si="16"/>
        <v/>
      </c>
    </row>
    <row r="146" spans="1:22" x14ac:dyDescent="0.3">
      <c r="A146" t="s">
        <v>9198</v>
      </c>
      <c r="B146" t="s">
        <v>9199</v>
      </c>
      <c r="C146" t="s">
        <v>9235</v>
      </c>
      <c r="D146" t="s">
        <v>9476</v>
      </c>
      <c r="F146" t="s">
        <v>9202</v>
      </c>
      <c r="G146" t="s">
        <v>9477</v>
      </c>
      <c r="H146" t="s">
        <v>9478</v>
      </c>
      <c r="I146" t="s">
        <v>9202</v>
      </c>
      <c r="J146" t="s">
        <v>50</v>
      </c>
      <c r="K146" t="s">
        <v>9309</v>
      </c>
      <c r="O146" t="str">
        <v>make urgent mods to the website</v>
      </c>
      <c r="P146" t="str">
        <f t="shared" si="13"/>
        <v xml:space="preserve">make urgent mods to </v>
      </c>
      <c r="Q146" t="str">
        <f t="shared" si="14"/>
        <v>Alison Hood</v>
      </c>
      <c r="R146" s="7" t="str">
        <f t="shared" si="15"/>
        <v>name=make urgent mods to   [owner=Alison Hood]</v>
      </c>
      <c r="V146" t="str">
        <f t="shared" si="16"/>
        <v/>
      </c>
    </row>
    <row r="147" spans="1:22" x14ac:dyDescent="0.3">
      <c r="A147" t="s">
        <v>9198</v>
      </c>
      <c r="B147" t="s">
        <v>9199</v>
      </c>
      <c r="C147" t="s">
        <v>9200</v>
      </c>
      <c r="D147" t="s">
        <v>9479</v>
      </c>
      <c r="F147" t="s">
        <v>9202</v>
      </c>
      <c r="G147" t="s">
        <v>9480</v>
      </c>
      <c r="H147" t="s">
        <v>9481</v>
      </c>
      <c r="I147" t="s">
        <v>9202</v>
      </c>
      <c r="J147" t="s">
        <v>47</v>
      </c>
      <c r="K147" t="s">
        <v>9205</v>
      </c>
      <c r="L147" t="s">
        <v>9310</v>
      </c>
      <c r="O147" t="str">
        <v>add a link to watch full video n youtube</v>
      </c>
      <c r="P147" t="str">
        <f t="shared" si="13"/>
        <v xml:space="preserve">add a link to watch </v>
      </c>
      <c r="Q147" t="str">
        <f t="shared" si="14"/>
        <v>Jon Butler</v>
      </c>
      <c r="R147" s="7" t="str">
        <f t="shared" si="15"/>
        <v>name=add a link to watch   [owner=Jon Butler]</v>
      </c>
      <c r="V147" t="str">
        <f t="shared" si="16"/>
        <v/>
      </c>
    </row>
    <row r="148" spans="1:22" x14ac:dyDescent="0.3">
      <c r="A148" t="s">
        <v>9198</v>
      </c>
      <c r="B148" t="s">
        <v>9199</v>
      </c>
      <c r="C148" t="s">
        <v>9235</v>
      </c>
      <c r="D148" t="s">
        <v>9482</v>
      </c>
      <c r="F148" t="s">
        <v>9202</v>
      </c>
      <c r="G148" t="s">
        <v>9483</v>
      </c>
      <c r="H148" t="s">
        <v>9484</v>
      </c>
      <c r="I148" t="s">
        <v>9202</v>
      </c>
      <c r="J148" t="s">
        <v>47</v>
      </c>
      <c r="K148" t="s">
        <v>9212</v>
      </c>
      <c r="O148" t="str">
        <v>get an estimate from shokubai to make fixes/enhancements to the existing site</v>
      </c>
      <c r="P148" t="str">
        <f t="shared" si="13"/>
        <v>get an estimate from</v>
      </c>
      <c r="Q148" t="str">
        <f t="shared" si="14"/>
        <v>Jon Butler</v>
      </c>
      <c r="R148" s="7" t="str">
        <f t="shared" si="15"/>
        <v>name=get an estimate from  [owner=Jon Butler]</v>
      </c>
      <c r="V148" t="str">
        <f t="shared" si="16"/>
        <v/>
      </c>
    </row>
    <row r="149" spans="1:22" x14ac:dyDescent="0.3">
      <c r="A149" t="s">
        <v>9198</v>
      </c>
      <c r="B149" t="s">
        <v>9199</v>
      </c>
      <c r="C149" t="s">
        <v>9207</v>
      </c>
      <c r="D149" t="s">
        <v>9485</v>
      </c>
      <c r="F149" t="s">
        <v>9202</v>
      </c>
      <c r="G149" t="s">
        <v>9486</v>
      </c>
      <c r="H149" t="s">
        <v>9487</v>
      </c>
      <c r="I149" t="s">
        <v>9224</v>
      </c>
      <c r="J149" t="s">
        <v>47</v>
      </c>
      <c r="K149" t="s">
        <v>9212</v>
      </c>
      <c r="L149" t="s">
        <v>9213</v>
      </c>
      <c r="O149" t="str">
        <v>Add the Trademark notice</v>
      </c>
      <c r="P149" t="str">
        <f t="shared" si="13"/>
        <v>Add the Trademark no</v>
      </c>
      <c r="Q149" t="str">
        <f t="shared" si="14"/>
        <v>Alison Hood</v>
      </c>
      <c r="R149" s="7" t="str">
        <f t="shared" si="15"/>
        <v>name=Add the Trademark no  [owner=Alison Hood]</v>
      </c>
      <c r="V149" t="str">
        <f t="shared" si="16"/>
        <v/>
      </c>
    </row>
    <row r="150" spans="1:22" x14ac:dyDescent="0.3">
      <c r="A150" t="s">
        <v>9198</v>
      </c>
      <c r="B150" t="s">
        <v>9199</v>
      </c>
      <c r="C150" t="s">
        <v>9302</v>
      </c>
      <c r="D150" t="s">
        <v>9488</v>
      </c>
      <c r="F150" t="s">
        <v>9202</v>
      </c>
      <c r="G150" t="s">
        <v>9489</v>
      </c>
      <c r="H150" t="s">
        <v>9490</v>
      </c>
      <c r="I150" t="s">
        <v>9491</v>
      </c>
      <c r="J150" t="s">
        <v>47</v>
      </c>
      <c r="K150" t="s">
        <v>9212</v>
      </c>
      <c r="O150" t="str">
        <v>main pitch deck</v>
      </c>
      <c r="P150" t="str">
        <f t="shared" si="13"/>
        <v>main pitch deck</v>
      </c>
      <c r="Q150" t="str">
        <f t="shared" si="14"/>
        <v>Christian Schuler</v>
      </c>
      <c r="R150" s="7" t="str">
        <f t="shared" si="15"/>
        <v>name=main pitch deck  [owner=Christian Schuler]</v>
      </c>
      <c r="V150" t="str">
        <f t="shared" si="16"/>
        <v/>
      </c>
    </row>
    <row r="151" spans="1:22" x14ac:dyDescent="0.3">
      <c r="A151" t="s">
        <v>9198</v>
      </c>
      <c r="B151" t="s">
        <v>9199</v>
      </c>
      <c r="C151" t="s">
        <v>9200</v>
      </c>
      <c r="D151" t="s">
        <v>9495</v>
      </c>
      <c r="F151" t="s">
        <v>9202</v>
      </c>
      <c r="G151" t="s">
        <v>9496</v>
      </c>
      <c r="H151" t="s">
        <v>9497</v>
      </c>
      <c r="I151" t="s">
        <v>9202</v>
      </c>
      <c r="J151" t="s">
        <v>47</v>
      </c>
      <c r="K151" t="s">
        <v>9205</v>
      </c>
      <c r="L151" t="s">
        <v>9310</v>
      </c>
      <c r="O151" t="str">
        <v>for liquifity venues</v>
      </c>
      <c r="P151" t="str">
        <f t="shared" si="13"/>
        <v>for liquifity venues</v>
      </c>
      <c r="Q151" t="str">
        <f t="shared" si="14"/>
        <v>Jon Butler</v>
      </c>
      <c r="R151" s="7" t="str">
        <f t="shared" si="15"/>
        <v>name=for liquifity venues  [owner=Jon Butler]</v>
      </c>
      <c r="V151" t="str">
        <f t="shared" si="16"/>
        <v/>
      </c>
    </row>
    <row r="152" spans="1:22" x14ac:dyDescent="0.3">
      <c r="A152" t="s">
        <v>9198</v>
      </c>
      <c r="B152" t="s">
        <v>9199</v>
      </c>
      <c r="C152" t="s">
        <v>9207</v>
      </c>
      <c r="D152" t="s">
        <v>9498</v>
      </c>
      <c r="F152" t="s">
        <v>9202</v>
      </c>
      <c r="G152" t="s">
        <v>9499</v>
      </c>
      <c r="H152" t="s">
        <v>9500</v>
      </c>
      <c r="I152" t="s">
        <v>9224</v>
      </c>
      <c r="J152" t="s">
        <v>47</v>
      </c>
      <c r="K152" t="s">
        <v>9212</v>
      </c>
      <c r="L152" t="s">
        <v>9213</v>
      </c>
      <c r="O152" t="str">
        <v>create proper template for the flow diagrams</v>
      </c>
      <c r="P152" t="str">
        <f t="shared" si="13"/>
        <v>create proper templa</v>
      </c>
      <c r="Q152" t="str">
        <f t="shared" si="14"/>
        <v>Jon Butler</v>
      </c>
      <c r="R152" s="7" t="str">
        <f t="shared" si="15"/>
        <v>name=create proper templa  [owner=Jon Butler]</v>
      </c>
      <c r="V152" t="str">
        <f t="shared" si="16"/>
        <v/>
      </c>
    </row>
    <row r="153" spans="1:22" x14ac:dyDescent="0.3">
      <c r="A153" t="s">
        <v>9198</v>
      </c>
      <c r="B153" t="s">
        <v>9199</v>
      </c>
      <c r="C153" t="s">
        <v>9200</v>
      </c>
      <c r="D153" t="s">
        <v>9501</v>
      </c>
      <c r="F153" t="s">
        <v>9202</v>
      </c>
      <c r="G153" t="s">
        <v>9502</v>
      </c>
      <c r="H153" t="s">
        <v>9503</v>
      </c>
      <c r="I153" t="s">
        <v>9202</v>
      </c>
      <c r="J153" t="s">
        <v>47</v>
      </c>
      <c r="K153" t="s">
        <v>9205</v>
      </c>
      <c r="L153" t="s">
        <v>9310</v>
      </c>
      <c r="O153" t="str">
        <v>data is trapped in the enterpise</v>
      </c>
      <c r="P153" t="str">
        <f t="shared" si="13"/>
        <v>data is trapped in t</v>
      </c>
      <c r="Q153" t="str">
        <f t="shared" si="14"/>
        <v>Jon Butler</v>
      </c>
      <c r="R153" s="7" t="str">
        <f t="shared" si="15"/>
        <v>name=data is trapped in t  [owner=Jon Butler]</v>
      </c>
      <c r="V153" t="str">
        <f t="shared" si="16"/>
        <v/>
      </c>
    </row>
    <row r="154" spans="1:22" x14ac:dyDescent="0.3">
      <c r="A154" t="s">
        <v>9198</v>
      </c>
      <c r="B154" t="s">
        <v>9199</v>
      </c>
      <c r="C154" t="s">
        <v>9207</v>
      </c>
      <c r="D154" t="s">
        <v>38</v>
      </c>
      <c r="F154" t="s">
        <v>9202</v>
      </c>
      <c r="G154" t="s">
        <v>9504</v>
      </c>
      <c r="H154" t="s">
        <v>9505</v>
      </c>
      <c r="I154" t="s">
        <v>9224</v>
      </c>
      <c r="J154" t="s">
        <v>47</v>
      </c>
      <c r="K154" t="s">
        <v>9212</v>
      </c>
      <c r="L154" t="s">
        <v>9213</v>
      </c>
      <c r="O154" t="str">
        <v>t+1 and velox ability to help solve (w/Cognizant)</v>
      </c>
      <c r="P154" t="str">
        <f t="shared" si="13"/>
        <v>t+1 and velox abilit</v>
      </c>
      <c r="Q154" t="str">
        <f t="shared" si="14"/>
        <v>Juarez Neto</v>
      </c>
      <c r="R154" s="7" t="str">
        <f t="shared" si="15"/>
        <v>name=t+1 and velox abilit  [owner=Juarez Neto]</v>
      </c>
      <c r="V154" t="str">
        <f t="shared" si="16"/>
        <v/>
      </c>
    </row>
    <row r="155" spans="1:22" x14ac:dyDescent="0.3">
      <c r="A155" t="s">
        <v>9198</v>
      </c>
      <c r="B155" t="s">
        <v>9199</v>
      </c>
      <c r="C155" t="s">
        <v>9200</v>
      </c>
      <c r="D155" t="s">
        <v>9506</v>
      </c>
      <c r="F155" t="s">
        <v>9202</v>
      </c>
      <c r="G155" t="s">
        <v>9507</v>
      </c>
      <c r="H155" t="s">
        <v>9508</v>
      </c>
      <c r="I155" t="s">
        <v>9202</v>
      </c>
      <c r="J155" t="s">
        <v>47</v>
      </c>
      <c r="K155" t="s">
        <v>9212</v>
      </c>
      <c r="L155" t="s">
        <v>3156</v>
      </c>
      <c r="O155" t="str">
        <v>specialization, generalization and perseverance</v>
      </c>
      <c r="P155" t="str">
        <f t="shared" si="13"/>
        <v>specialization, gene</v>
      </c>
      <c r="Q155" t="str">
        <f t="shared" si="14"/>
        <v>Jon Butler</v>
      </c>
      <c r="R155" s="7" t="str">
        <f t="shared" si="15"/>
        <v>name=specialization, gene  [owner=Jon Butler]</v>
      </c>
      <c r="V155" t="str">
        <f t="shared" si="16"/>
        <v/>
      </c>
    </row>
    <row r="156" spans="1:22" x14ac:dyDescent="0.3">
      <c r="A156" t="s">
        <v>9198</v>
      </c>
      <c r="B156" t="s">
        <v>9199</v>
      </c>
      <c r="C156" t="s">
        <v>9302</v>
      </c>
      <c r="D156" t="s">
        <v>9509</v>
      </c>
      <c r="F156" t="s">
        <v>9202</v>
      </c>
      <c r="G156" t="s">
        <v>9510</v>
      </c>
      <c r="H156" t="s">
        <v>9511</v>
      </c>
      <c r="I156" t="s">
        <v>9491</v>
      </c>
      <c r="J156" t="s">
        <v>47</v>
      </c>
      <c r="K156" t="s">
        <v>9234</v>
      </c>
      <c r="O156" t="str">
        <v>discuss with chris about pointing 3B to me so he can focus on DigMkt off line</v>
      </c>
      <c r="P156" t="str">
        <f t="shared" si="13"/>
        <v>discuss with chris a</v>
      </c>
      <c r="Q156" t="str">
        <f t="shared" si="14"/>
        <v>Jon Butler</v>
      </c>
      <c r="R156" s="7" t="str">
        <f t="shared" si="15"/>
        <v>name=discuss with chris a  [owner=Jon Butler]</v>
      </c>
      <c r="V156" t="str">
        <f t="shared" si="16"/>
        <v/>
      </c>
    </row>
    <row r="157" spans="1:22" x14ac:dyDescent="0.3">
      <c r="A157" t="s">
        <v>9198</v>
      </c>
      <c r="B157" t="s">
        <v>9199</v>
      </c>
      <c r="C157" t="s">
        <v>9200</v>
      </c>
      <c r="D157" t="s">
        <v>5361</v>
      </c>
      <c r="F157" t="s">
        <v>9202</v>
      </c>
      <c r="G157" t="s">
        <v>9515</v>
      </c>
      <c r="H157" t="s">
        <v>9516</v>
      </c>
      <c r="I157" t="s">
        <v>9202</v>
      </c>
      <c r="J157" t="s">
        <v>47</v>
      </c>
      <c r="K157" t="s">
        <v>9234</v>
      </c>
      <c r="L157" t="s">
        <v>9310</v>
      </c>
      <c r="O157" t="str">
        <v>Review monthly analytics (via 3B web)</v>
      </c>
      <c r="P157" t="str">
        <f t="shared" si="13"/>
        <v>Review monthly analy</v>
      </c>
      <c r="Q157">
        <f t="shared" si="14"/>
        <v>0</v>
      </c>
      <c r="R157" s="7" t="str">
        <f t="shared" si="15"/>
        <v>name=Review monthly analy  [owner=0]</v>
      </c>
      <c r="V157" t="str">
        <f t="shared" si="16"/>
        <v/>
      </c>
    </row>
    <row r="158" spans="1:22" x14ac:dyDescent="0.3">
      <c r="A158" t="s">
        <v>9198</v>
      </c>
      <c r="B158" t="s">
        <v>9199</v>
      </c>
      <c r="C158" t="s">
        <v>9207</v>
      </c>
      <c r="D158" t="s">
        <v>9517</v>
      </c>
      <c r="F158" t="s">
        <v>9202</v>
      </c>
      <c r="G158" t="s">
        <v>9518</v>
      </c>
      <c r="H158" t="s">
        <v>9519</v>
      </c>
      <c r="I158" t="s">
        <v>9224</v>
      </c>
      <c r="J158" t="s">
        <v>47</v>
      </c>
      <c r="K158" t="s">
        <v>9212</v>
      </c>
      <c r="L158" t="s">
        <v>9213</v>
      </c>
      <c r="O158" t="str">
        <v>collate all historical slides into above categories</v>
      </c>
      <c r="P158" t="str">
        <f t="shared" si="13"/>
        <v>collate all historic</v>
      </c>
      <c r="Q158" t="str">
        <f t="shared" si="14"/>
        <v>Jon Butler</v>
      </c>
      <c r="R158" s="7" t="str">
        <f t="shared" si="15"/>
        <v>name=collate all historic  [owner=Jon Butler]</v>
      </c>
      <c r="V158" t="str">
        <f t="shared" si="16"/>
        <v/>
      </c>
    </row>
    <row r="159" spans="1:22" x14ac:dyDescent="0.3">
      <c r="A159" t="s">
        <v>9263</v>
      </c>
      <c r="B159" t="s">
        <v>9199</v>
      </c>
      <c r="C159" t="s">
        <v>9207</v>
      </c>
      <c r="D159" t="s">
        <v>9517</v>
      </c>
      <c r="E159" t="s">
        <v>9520</v>
      </c>
      <c r="F159" t="s">
        <v>9202</v>
      </c>
      <c r="G159" t="s">
        <v>9521</v>
      </c>
      <c r="H159" t="s">
        <v>9522</v>
      </c>
      <c r="I159" t="s">
        <v>9265</v>
      </c>
      <c r="J159" t="s">
        <v>9338</v>
      </c>
      <c r="K159" t="s">
        <v>9212</v>
      </c>
      <c r="O159" t="str">
        <v>sort out how parts of webpage are viewed on mobile</v>
      </c>
      <c r="P159" t="str">
        <f t="shared" si="13"/>
        <v>sort out how parts o</v>
      </c>
      <c r="Q159" t="str">
        <f t="shared" si="14"/>
        <v>Jon Butler</v>
      </c>
      <c r="R159" s="7" t="str">
        <f t="shared" si="15"/>
        <v>name=sort out how parts o  [owner=Jon Butler]</v>
      </c>
      <c r="V159" t="str">
        <f t="shared" si="16"/>
        <v/>
      </c>
    </row>
    <row r="160" spans="1:22" x14ac:dyDescent="0.3">
      <c r="A160" t="s">
        <v>9198</v>
      </c>
      <c r="B160" t="s">
        <v>9199</v>
      </c>
      <c r="C160" t="s">
        <v>9200</v>
      </c>
      <c r="D160" t="s">
        <v>9523</v>
      </c>
      <c r="F160" t="s">
        <v>9202</v>
      </c>
      <c r="G160" t="s">
        <v>9524</v>
      </c>
      <c r="H160" t="s">
        <v>9525</v>
      </c>
      <c r="I160" t="s">
        <v>9202</v>
      </c>
      <c r="J160" t="s">
        <v>47</v>
      </c>
      <c r="K160" t="s">
        <v>9205</v>
      </c>
      <c r="L160" t="s">
        <v>9310</v>
      </c>
      <c r="O160" t="str">
        <v>create a deck builder / slide chooser</v>
      </c>
      <c r="P160" t="str">
        <f t="shared" si="13"/>
        <v>create a deck builde</v>
      </c>
      <c r="Q160" t="str">
        <f t="shared" si="14"/>
        <v>Jon Butler</v>
      </c>
      <c r="R160" s="7" t="str">
        <f t="shared" si="15"/>
        <v>name=create a deck builde  [owner=Jon Butler]</v>
      </c>
      <c r="V160" t="str">
        <f t="shared" si="16"/>
        <v/>
      </c>
    </row>
    <row r="161" spans="1:22" x14ac:dyDescent="0.3">
      <c r="A161" t="s">
        <v>9198</v>
      </c>
      <c r="B161" t="s">
        <v>9199</v>
      </c>
      <c r="C161" t="s">
        <v>9235</v>
      </c>
      <c r="D161" t="s">
        <v>9526</v>
      </c>
      <c r="F161" t="s">
        <v>9202</v>
      </c>
      <c r="G161" t="s">
        <v>9527</v>
      </c>
      <c r="H161" t="s">
        <v>9528</v>
      </c>
      <c r="I161" t="s">
        <v>9202</v>
      </c>
      <c r="J161" t="s">
        <v>47</v>
      </c>
      <c r="K161" t="s">
        <v>9205</v>
      </c>
      <c r="O161" t="str">
        <v>clean up the bullseye</v>
      </c>
      <c r="P161" t="str">
        <f t="shared" si="13"/>
        <v>clean up the bullsey</v>
      </c>
      <c r="Q161">
        <f t="shared" si="14"/>
        <v>0</v>
      </c>
      <c r="R161" s="7" t="str">
        <f t="shared" si="15"/>
        <v>name=clean up the bullsey  [owner=0]</v>
      </c>
      <c r="V161" t="str">
        <f t="shared" si="16"/>
        <v/>
      </c>
    </row>
    <row r="162" spans="1:22" x14ac:dyDescent="0.3">
      <c r="A162" t="s">
        <v>9198</v>
      </c>
      <c r="B162" t="s">
        <v>9199</v>
      </c>
      <c r="C162" t="s">
        <v>9200</v>
      </c>
      <c r="D162" t="s">
        <v>9529</v>
      </c>
      <c r="F162" t="s">
        <v>9202</v>
      </c>
      <c r="G162" t="s">
        <v>9530</v>
      </c>
      <c r="H162" t="s">
        <v>9531</v>
      </c>
      <c r="I162" t="s">
        <v>9202</v>
      </c>
      <c r="J162" t="s">
        <v>47</v>
      </c>
      <c r="K162" t="s">
        <v>9234</v>
      </c>
      <c r="L162" t="s">
        <v>9310</v>
      </c>
      <c r="O162" t="str">
        <v>get historical data from google analytics</v>
      </c>
      <c r="P162" t="str">
        <f t="shared" si="13"/>
        <v xml:space="preserve">get historical data </v>
      </c>
      <c r="Q162" t="str">
        <f t="shared" si="14"/>
        <v>Jon Butler</v>
      </c>
      <c r="R162" s="7" t="str">
        <f t="shared" si="15"/>
        <v>name=get historical data   [owner=Jon Butler]</v>
      </c>
      <c r="V162" t="str">
        <f t="shared" si="16"/>
        <v/>
      </c>
    </row>
    <row r="163" spans="1:22" x14ac:dyDescent="0.3">
      <c r="A163" t="s">
        <v>9198</v>
      </c>
      <c r="B163" t="s">
        <v>9199</v>
      </c>
      <c r="C163" t="s">
        <v>9235</v>
      </c>
      <c r="D163" t="s">
        <v>9532</v>
      </c>
      <c r="F163" t="s">
        <v>9202</v>
      </c>
      <c r="G163" t="s">
        <v>9533</v>
      </c>
      <c r="H163" t="s">
        <v>9534</v>
      </c>
      <c r="I163" t="s">
        <v>9202</v>
      </c>
      <c r="K163" t="s">
        <v>9234</v>
      </c>
      <c r="O163" t="str">
        <v>why the enterprise struggles with low-code</v>
      </c>
      <c r="P163" t="str">
        <f t="shared" si="13"/>
        <v>why the enterprise s</v>
      </c>
      <c r="Q163" t="str">
        <f t="shared" si="14"/>
        <v>Jon Butler</v>
      </c>
      <c r="R163" s="7" t="str">
        <f t="shared" si="15"/>
        <v>name=why the enterprise s  [owner=Jon Butler]</v>
      </c>
      <c r="V163" t="str">
        <f t="shared" si="16"/>
        <v/>
      </c>
    </row>
    <row r="164" spans="1:22" x14ac:dyDescent="0.3">
      <c r="A164" t="s">
        <v>9198</v>
      </c>
      <c r="B164" t="s">
        <v>9199</v>
      </c>
      <c r="C164" t="s">
        <v>9200</v>
      </c>
      <c r="D164" t="s">
        <v>9535</v>
      </c>
      <c r="F164" t="s">
        <v>9202</v>
      </c>
      <c r="G164" t="s">
        <v>9536</v>
      </c>
      <c r="H164" t="s">
        <v>9537</v>
      </c>
      <c r="I164" t="s">
        <v>9202</v>
      </c>
      <c r="J164" t="s">
        <v>47</v>
      </c>
      <c r="K164" t="s">
        <v>9205</v>
      </c>
      <c r="L164" t="s">
        <v>9217</v>
      </c>
      <c r="O164" t="str">
        <v>Investor</v>
      </c>
      <c r="P164" t="str">
        <f t="shared" si="13"/>
        <v>Investor</v>
      </c>
      <c r="Q164" t="str">
        <f t="shared" si="14"/>
        <v>Jon Butler</v>
      </c>
      <c r="R164" s="7" t="str">
        <f t="shared" si="15"/>
        <v>name=Investor  [owner=Jon Butler]</v>
      </c>
      <c r="V164" t="str">
        <f t="shared" si="16"/>
        <v/>
      </c>
    </row>
    <row r="165" spans="1:22" x14ac:dyDescent="0.3">
      <c r="A165" t="s">
        <v>9198</v>
      </c>
      <c r="B165" t="s">
        <v>9199</v>
      </c>
      <c r="C165" t="s">
        <v>9235</v>
      </c>
      <c r="D165" t="s">
        <v>9538</v>
      </c>
      <c r="F165" t="s">
        <v>9202</v>
      </c>
      <c r="G165" t="s">
        <v>9539</v>
      </c>
      <c r="H165" t="s">
        <v>9540</v>
      </c>
      <c r="I165" t="s">
        <v>9202</v>
      </c>
      <c r="J165" t="s">
        <v>47</v>
      </c>
      <c r="K165" t="s">
        <v>9212</v>
      </c>
      <c r="O165" t="str">
        <v>30 years of technology in cap mkts</v>
      </c>
      <c r="P165" t="str">
        <f t="shared" si="13"/>
        <v>30 years of technolo</v>
      </c>
      <c r="Q165" t="str">
        <f t="shared" si="14"/>
        <v>Jon Butler</v>
      </c>
      <c r="R165" s="7" t="str">
        <f t="shared" si="15"/>
        <v>name=30 years of technolo  [owner=Jon Butler]</v>
      </c>
      <c r="V165" t="str">
        <f t="shared" si="16"/>
        <v/>
      </c>
    </row>
    <row r="166" spans="1:22" x14ac:dyDescent="0.3">
      <c r="A166" t="s">
        <v>9198</v>
      </c>
      <c r="B166" t="s">
        <v>9199</v>
      </c>
      <c r="C166" t="s">
        <v>9235</v>
      </c>
      <c r="D166" t="s">
        <v>9541</v>
      </c>
      <c r="F166" t="s">
        <v>9202</v>
      </c>
      <c r="G166" t="s">
        <v>9542</v>
      </c>
      <c r="H166" t="s">
        <v>9543</v>
      </c>
      <c r="I166" t="s">
        <v>9202</v>
      </c>
      <c r="J166" t="s">
        <v>47</v>
      </c>
      <c r="K166" t="s">
        <v>9234</v>
      </c>
      <c r="O166" t="str">
        <v>Look to include Cookies statement (via 3B web)</v>
      </c>
      <c r="P166" t="str">
        <f t="shared" si="13"/>
        <v>Look to include Cook</v>
      </c>
      <c r="Q166" t="str">
        <f t="shared" si="14"/>
        <v>Christian Schuler</v>
      </c>
      <c r="R166" s="7" t="str">
        <f t="shared" si="15"/>
        <v>name=Look to include Cook  [owner=Christian Schuler]</v>
      </c>
      <c r="V166" t="str">
        <f t="shared" si="16"/>
        <v/>
      </c>
    </row>
    <row r="167" spans="1:22" x14ac:dyDescent="0.3">
      <c r="A167" t="s">
        <v>9198</v>
      </c>
      <c r="B167" t="s">
        <v>9199</v>
      </c>
      <c r="C167" t="s">
        <v>9200</v>
      </c>
      <c r="D167" t="s">
        <v>9544</v>
      </c>
      <c r="F167" t="s">
        <v>9202</v>
      </c>
      <c r="G167" t="s">
        <v>9545</v>
      </c>
      <c r="H167" t="s">
        <v>9546</v>
      </c>
      <c r="I167" t="s">
        <v>9202</v>
      </c>
      <c r="J167" t="s">
        <v>9338</v>
      </c>
      <c r="K167" t="s">
        <v>9212</v>
      </c>
      <c r="L167" t="s">
        <v>9310</v>
      </c>
      <c r="O167" t="str">
        <v>CSuite</v>
      </c>
      <c r="P167" t="str">
        <f t="shared" si="13"/>
        <v>CSuite</v>
      </c>
      <c r="Q167" t="str">
        <f t="shared" si="14"/>
        <v>Jon Butler</v>
      </c>
      <c r="R167" s="7" t="str">
        <f t="shared" si="15"/>
        <v>name=CSuite  [owner=Jon Butler]</v>
      </c>
      <c r="V167" t="str">
        <f t="shared" si="16"/>
        <v/>
      </c>
    </row>
    <row r="168" spans="1:22" x14ac:dyDescent="0.3">
      <c r="A168" t="s">
        <v>9198</v>
      </c>
      <c r="B168" t="s">
        <v>9199</v>
      </c>
      <c r="C168" t="s">
        <v>9235</v>
      </c>
      <c r="D168" t="s">
        <v>9547</v>
      </c>
      <c r="F168" t="s">
        <v>9202</v>
      </c>
      <c r="G168" t="s">
        <v>9548</v>
      </c>
      <c r="H168" t="s">
        <v>9549</v>
      </c>
      <c r="I168" t="s">
        <v>9202</v>
      </c>
      <c r="J168" t="s">
        <v>47</v>
      </c>
      <c r="K168" t="s">
        <v>9205</v>
      </c>
      <c r="O168" t="str">
        <v>can low code principles be applied to the enterprise</v>
      </c>
      <c r="P168" t="str">
        <f t="shared" si="13"/>
        <v>can low code princip</v>
      </c>
      <c r="Q168" t="str">
        <f t="shared" si="14"/>
        <v>Jon Butler</v>
      </c>
      <c r="R168" s="7" t="str">
        <f t="shared" si="15"/>
        <v>name=can low code princip  [owner=Jon Butler]</v>
      </c>
      <c r="V168" t="str">
        <f t="shared" si="16"/>
        <v/>
      </c>
    </row>
    <row r="169" spans="1:22" x14ac:dyDescent="0.3">
      <c r="A169" t="s">
        <v>9198</v>
      </c>
      <c r="B169" t="s">
        <v>9199</v>
      </c>
      <c r="C169" t="s">
        <v>9200</v>
      </c>
      <c r="D169" t="s">
        <v>9550</v>
      </c>
      <c r="F169" t="s">
        <v>9202</v>
      </c>
      <c r="G169" t="s">
        <v>9551</v>
      </c>
      <c r="H169" t="s">
        <v>9552</v>
      </c>
      <c r="I169" t="s">
        <v>9202</v>
      </c>
      <c r="J169" t="s">
        <v>47</v>
      </c>
      <c r="K169" t="s">
        <v>9205</v>
      </c>
      <c r="L169" t="s">
        <v>9217</v>
      </c>
      <c r="O169" t="str">
        <v>why are trading floors stacked with screens</v>
      </c>
      <c r="P169" t="str">
        <f t="shared" si="13"/>
        <v>why are trading floo</v>
      </c>
      <c r="Q169" t="str">
        <f t="shared" si="14"/>
        <v>Jon Butler</v>
      </c>
      <c r="R169" s="7" t="str">
        <f t="shared" si="15"/>
        <v>name=why are trading floo  [owner=Jon Butler]</v>
      </c>
      <c r="V169" t="str">
        <f t="shared" si="16"/>
        <v/>
      </c>
    </row>
    <row r="170" spans="1:22" x14ac:dyDescent="0.3">
      <c r="A170" t="s">
        <v>9198</v>
      </c>
      <c r="B170" t="s">
        <v>9199</v>
      </c>
      <c r="C170" t="s">
        <v>9235</v>
      </c>
      <c r="D170" t="s">
        <v>9553</v>
      </c>
      <c r="F170" t="s">
        <v>9202</v>
      </c>
      <c r="G170" t="s">
        <v>9554</v>
      </c>
      <c r="H170" t="s">
        <v>9555</v>
      </c>
      <c r="I170" t="s">
        <v>9202</v>
      </c>
      <c r="J170" t="s">
        <v>9321</v>
      </c>
      <c r="K170" t="s">
        <v>9205</v>
      </c>
      <c r="O170" t="str">
        <v>Add a partner section</v>
      </c>
      <c r="P170" t="str">
        <f t="shared" si="13"/>
        <v>Add a partner sectio</v>
      </c>
      <c r="Q170" t="str">
        <f t="shared" si="14"/>
        <v>Jon Butler</v>
      </c>
      <c r="R170" s="7" t="str">
        <f t="shared" si="15"/>
        <v>name=Add a partner sectio  [owner=Jon Butler]</v>
      </c>
      <c r="V170" t="str">
        <f t="shared" si="16"/>
        <v/>
      </c>
    </row>
    <row r="171" spans="1:22" x14ac:dyDescent="0.3">
      <c r="A171" t="s">
        <v>9198</v>
      </c>
      <c r="B171" t="s">
        <v>9199</v>
      </c>
      <c r="C171" t="s">
        <v>9200</v>
      </c>
      <c r="D171" t="s">
        <v>9556</v>
      </c>
      <c r="F171" t="s">
        <v>9202</v>
      </c>
      <c r="G171" t="s">
        <v>9557</v>
      </c>
      <c r="H171" t="s">
        <v>9558</v>
      </c>
      <c r="I171" t="s">
        <v>9202</v>
      </c>
      <c r="J171" t="s">
        <v>9321</v>
      </c>
      <c r="K171" t="s">
        <v>9234</v>
      </c>
      <c r="L171" t="s">
        <v>9310</v>
      </c>
      <c r="O171" t="str">
        <v>Performance</v>
      </c>
      <c r="P171" t="str">
        <f t="shared" si="13"/>
        <v>Performance</v>
      </c>
      <c r="Q171" t="str">
        <f t="shared" si="14"/>
        <v>Jon Butler</v>
      </c>
      <c r="R171" s="7" t="str">
        <f t="shared" si="15"/>
        <v>name=Performance  [owner=Jon Butler]</v>
      </c>
      <c r="V171" t="str">
        <f t="shared" si="16"/>
        <v/>
      </c>
    </row>
    <row r="172" spans="1:22" x14ac:dyDescent="0.3">
      <c r="A172" t="s">
        <v>9198</v>
      </c>
      <c r="B172" t="s">
        <v>9199</v>
      </c>
      <c r="C172" t="s">
        <v>9200</v>
      </c>
      <c r="D172" t="s">
        <v>9559</v>
      </c>
      <c r="F172" t="s">
        <v>9202</v>
      </c>
      <c r="G172" t="s">
        <v>9560</v>
      </c>
      <c r="H172" t="s">
        <v>9561</v>
      </c>
      <c r="I172" t="s">
        <v>9202</v>
      </c>
      <c r="J172" t="s">
        <v>47</v>
      </c>
      <c r="K172" t="s">
        <v>9205</v>
      </c>
      <c r="L172" t="s">
        <v>9217</v>
      </c>
      <c r="O172" t="str">
        <v>implementing ross' changes to the website</v>
      </c>
      <c r="P172" t="str">
        <f t="shared" si="13"/>
        <v>implementing ross' c</v>
      </c>
      <c r="Q172" t="str">
        <f t="shared" si="14"/>
        <v>Jon Butler</v>
      </c>
      <c r="R172" s="7" t="str">
        <f t="shared" si="15"/>
        <v>name=implementing ross' c  [owner=Jon Butler]</v>
      </c>
      <c r="V172" t="str">
        <f t="shared" si="16"/>
        <v/>
      </c>
    </row>
    <row r="173" spans="1:22" x14ac:dyDescent="0.3">
      <c r="A173" t="s">
        <v>9198</v>
      </c>
      <c r="B173" t="s">
        <v>9199</v>
      </c>
      <c r="C173" t="s">
        <v>9200</v>
      </c>
      <c r="D173" t="s">
        <v>9562</v>
      </c>
      <c r="F173" t="s">
        <v>9202</v>
      </c>
      <c r="G173" t="s">
        <v>9563</v>
      </c>
      <c r="H173" t="s">
        <v>9564</v>
      </c>
      <c r="I173" t="s">
        <v>9202</v>
      </c>
      <c r="J173" t="s">
        <v>47</v>
      </c>
      <c r="K173" t="s">
        <v>9234</v>
      </c>
      <c r="L173" t="s">
        <v>9310</v>
      </c>
      <c r="O173" t="str">
        <v>move website ownership to 3B</v>
      </c>
      <c r="P173" t="str">
        <f t="shared" si="13"/>
        <v>move website ownersh</v>
      </c>
      <c r="Q173" t="str">
        <f t="shared" si="14"/>
        <v>Jon Butler</v>
      </c>
      <c r="R173" s="7" t="str">
        <f t="shared" si="15"/>
        <v>name=move website ownersh  [owner=Jon Butler]</v>
      </c>
      <c r="V173" t="str">
        <f t="shared" si="16"/>
        <v/>
      </c>
    </row>
    <row r="174" spans="1:22" x14ac:dyDescent="0.3">
      <c r="A174" t="s">
        <v>9198</v>
      </c>
      <c r="B174" t="s">
        <v>9199</v>
      </c>
      <c r="C174" t="s">
        <v>9200</v>
      </c>
      <c r="D174" t="s">
        <v>9565</v>
      </c>
      <c r="F174" t="s">
        <v>9202</v>
      </c>
      <c r="G174" t="s">
        <v>9566</v>
      </c>
      <c r="H174" t="s">
        <v>9567</v>
      </c>
      <c r="I174" t="s">
        <v>9202</v>
      </c>
      <c r="J174" t="s">
        <v>47</v>
      </c>
      <c r="K174" t="s">
        <v>9205</v>
      </c>
      <c r="L174" t="s">
        <v>3156</v>
      </c>
      <c r="O174" t="str">
        <v>JB to review latest new section deck that 3B are implementing</v>
      </c>
      <c r="P174" t="str">
        <f t="shared" si="13"/>
        <v xml:space="preserve">JB to review latest </v>
      </c>
      <c r="Q174">
        <f t="shared" si="14"/>
        <v>0</v>
      </c>
      <c r="R174" s="7" t="str">
        <f t="shared" si="15"/>
        <v>name=JB to review latest   [owner=0]</v>
      </c>
      <c r="V174" t="str">
        <f t="shared" si="16"/>
        <v/>
      </c>
    </row>
    <row r="175" spans="1:22" x14ac:dyDescent="0.3">
      <c r="A175" t="s">
        <v>9198</v>
      </c>
      <c r="B175" t="s">
        <v>9199</v>
      </c>
      <c r="C175" t="s">
        <v>9207</v>
      </c>
      <c r="D175" t="s">
        <v>9568</v>
      </c>
      <c r="F175" t="s">
        <v>9202</v>
      </c>
      <c r="G175" t="s">
        <v>9569</v>
      </c>
      <c r="H175" t="s">
        <v>9570</v>
      </c>
      <c r="I175" t="s">
        <v>9224</v>
      </c>
      <c r="J175" t="s">
        <v>47</v>
      </c>
      <c r="K175" t="s">
        <v>9212</v>
      </c>
      <c r="L175" t="s">
        <v>9213</v>
      </c>
      <c r="O175" t="str">
        <v>outlook templae</v>
      </c>
      <c r="P175" t="str">
        <f t="shared" si="13"/>
        <v>outlook templae</v>
      </c>
      <c r="Q175" t="str">
        <f t="shared" si="14"/>
        <v>Jon Butler</v>
      </c>
      <c r="R175" s="7" t="str">
        <f t="shared" si="15"/>
        <v>name=outlook templae  [owner=Jon Butler]</v>
      </c>
      <c r="V175" t="str">
        <f t="shared" si="16"/>
        <v/>
      </c>
    </row>
    <row r="176" spans="1:22" x14ac:dyDescent="0.3">
      <c r="A176" t="s">
        <v>9198</v>
      </c>
      <c r="B176" t="s">
        <v>9199</v>
      </c>
      <c r="C176" t="s">
        <v>9235</v>
      </c>
      <c r="D176" t="s">
        <v>9571</v>
      </c>
      <c r="F176" t="s">
        <v>9202</v>
      </c>
      <c r="G176" t="s">
        <v>9572</v>
      </c>
      <c r="H176" t="s">
        <v>9573</v>
      </c>
      <c r="I176" t="s">
        <v>9202</v>
      </c>
      <c r="J176" t="s">
        <v>47</v>
      </c>
      <c r="K176" t="s">
        <v>9234</v>
      </c>
      <c r="O176" t="str">
        <v>upgrade the email sig to include 100 devs</v>
      </c>
      <c r="P176" t="str">
        <f t="shared" si="13"/>
        <v>upgrade the email si</v>
      </c>
      <c r="Q176" t="str">
        <f t="shared" si="14"/>
        <v>Jon Butler</v>
      </c>
      <c r="R176" s="7" t="str">
        <f t="shared" si="15"/>
        <v>name=upgrade the email si  [owner=Jon Butler]</v>
      </c>
      <c r="V176" t="str">
        <f t="shared" si="16"/>
        <v/>
      </c>
    </row>
    <row r="177" spans="1:22" x14ac:dyDescent="0.3">
      <c r="A177" t="s">
        <v>9198</v>
      </c>
      <c r="B177" t="s">
        <v>9199</v>
      </c>
      <c r="C177" t="s">
        <v>9200</v>
      </c>
      <c r="D177" t="s">
        <v>9574</v>
      </c>
      <c r="F177" t="s">
        <v>9202</v>
      </c>
      <c r="G177" t="s">
        <v>9575</v>
      </c>
      <c r="H177" t="s">
        <v>9576</v>
      </c>
      <c r="I177" t="s">
        <v>9202</v>
      </c>
      <c r="J177" t="s">
        <v>47</v>
      </c>
      <c r="K177" t="s">
        <v>9205</v>
      </c>
      <c r="L177" t="s">
        <v>9217</v>
      </c>
      <c r="O177" t="str">
        <v>mm article on developer produictivty</v>
      </c>
      <c r="P177" t="str">
        <f t="shared" si="13"/>
        <v>mm article on develo</v>
      </c>
      <c r="Q177" t="str">
        <f t="shared" si="14"/>
        <v>Jon Butler</v>
      </c>
      <c r="R177" s="7" t="str">
        <f t="shared" si="15"/>
        <v>name=mm article on develo  [owner=Jon Butler]</v>
      </c>
      <c r="V177" t="str">
        <f t="shared" si="16"/>
        <v/>
      </c>
    </row>
    <row r="178" spans="1:22" x14ac:dyDescent="0.3">
      <c r="A178" t="s">
        <v>9198</v>
      </c>
      <c r="B178" t="s">
        <v>9199</v>
      </c>
      <c r="C178" t="s">
        <v>9200</v>
      </c>
      <c r="D178" t="s">
        <v>9577</v>
      </c>
      <c r="F178" t="s">
        <v>9202</v>
      </c>
      <c r="G178" t="s">
        <v>9578</v>
      </c>
      <c r="H178" t="s">
        <v>9579</v>
      </c>
      <c r="I178" t="s">
        <v>9202</v>
      </c>
      <c r="J178" t="s">
        <v>9338</v>
      </c>
      <c r="K178" t="s">
        <v>9205</v>
      </c>
      <c r="L178" t="s">
        <v>2905</v>
      </c>
      <c r="O178" t="str">
        <v>add a social media panel to the webpae</v>
      </c>
      <c r="P178" t="str">
        <f t="shared" si="13"/>
        <v>add a social media p</v>
      </c>
      <c r="Q178" t="str">
        <f t="shared" si="14"/>
        <v>Jon Butler</v>
      </c>
      <c r="R178" s="7" t="str">
        <f t="shared" si="15"/>
        <v>name=add a social media p  [owner=Jon Butler]</v>
      </c>
      <c r="V178" t="str">
        <f t="shared" si="16"/>
        <v/>
      </c>
    </row>
    <row r="179" spans="1:22" x14ac:dyDescent="0.3">
      <c r="A179" t="s">
        <v>9198</v>
      </c>
      <c r="B179" t="s">
        <v>9199</v>
      </c>
      <c r="C179" t="s">
        <v>9200</v>
      </c>
      <c r="D179" t="s">
        <v>9580</v>
      </c>
      <c r="F179" t="s">
        <v>9202</v>
      </c>
      <c r="G179" t="s">
        <v>9581</v>
      </c>
      <c r="H179" t="s">
        <v>9582</v>
      </c>
      <c r="I179" t="s">
        <v>9202</v>
      </c>
      <c r="J179" t="s">
        <v>47</v>
      </c>
      <c r="K179" t="s">
        <v>9205</v>
      </c>
      <c r="L179" t="s">
        <v>9217</v>
      </c>
      <c r="O179" t="str">
        <v>setting up visual studio</v>
      </c>
      <c r="P179" t="str">
        <f t="shared" si="13"/>
        <v>setting up visual st</v>
      </c>
      <c r="Q179" t="str">
        <f t="shared" si="14"/>
        <v>Jon Butler</v>
      </c>
      <c r="R179" s="7" t="str">
        <f t="shared" si="15"/>
        <v>name=setting up visual st  [owner=Jon Butler]</v>
      </c>
      <c r="V179" t="str">
        <f t="shared" si="16"/>
        <v/>
      </c>
    </row>
    <row r="180" spans="1:22" x14ac:dyDescent="0.3">
      <c r="A180" t="s">
        <v>9198</v>
      </c>
      <c r="B180" t="s">
        <v>9199</v>
      </c>
      <c r="C180" t="s">
        <v>9200</v>
      </c>
      <c r="D180" t="s">
        <v>9583</v>
      </c>
      <c r="F180" t="s">
        <v>9202</v>
      </c>
      <c r="G180" t="s">
        <v>9584</v>
      </c>
      <c r="H180" t="s">
        <v>9585</v>
      </c>
      <c r="I180" t="s">
        <v>9202</v>
      </c>
      <c r="J180" t="s">
        <v>47</v>
      </c>
      <c r="K180" t="s">
        <v>9234</v>
      </c>
      <c r="L180" t="s">
        <v>9217</v>
      </c>
      <c r="O180" t="str">
        <v>Our clients' problem isn't unique</v>
      </c>
      <c r="P180" t="str">
        <f t="shared" si="13"/>
        <v>Our clients' problem</v>
      </c>
      <c r="Q180" t="str">
        <f t="shared" si="14"/>
        <v>Christian Schuler</v>
      </c>
      <c r="R180" s="7" t="str">
        <f t="shared" si="15"/>
        <v>name=Our clients' problem  [owner=Christian Schuler]</v>
      </c>
      <c r="V180" t="str">
        <f t="shared" si="16"/>
        <v/>
      </c>
    </row>
    <row r="181" spans="1:22" x14ac:dyDescent="0.3">
      <c r="A181" t="s">
        <v>9198</v>
      </c>
      <c r="B181" t="s">
        <v>9199</v>
      </c>
      <c r="C181" t="s">
        <v>9207</v>
      </c>
      <c r="D181" t="s">
        <v>9586</v>
      </c>
      <c r="F181" t="s">
        <v>9202</v>
      </c>
      <c r="G181" t="s">
        <v>9587</v>
      </c>
      <c r="H181" t="s">
        <v>9588</v>
      </c>
      <c r="I181" t="s">
        <v>9224</v>
      </c>
      <c r="J181" t="s">
        <v>47</v>
      </c>
      <c r="K181" t="s">
        <v>9212</v>
      </c>
      <c r="L181" t="s">
        <v>9213</v>
      </c>
    </row>
    <row r="182" spans="1:22" x14ac:dyDescent="0.3">
      <c r="A182" t="s">
        <v>9198</v>
      </c>
      <c r="B182" t="s">
        <v>9199</v>
      </c>
      <c r="C182" t="s">
        <v>9345</v>
      </c>
      <c r="D182" t="s">
        <v>9589</v>
      </c>
      <c r="F182" t="s">
        <v>9202</v>
      </c>
      <c r="G182" t="s">
        <v>9590</v>
      </c>
      <c r="H182" t="s">
        <v>9591</v>
      </c>
      <c r="I182" t="s">
        <v>9349</v>
      </c>
      <c r="J182" t="s">
        <v>9592</v>
      </c>
      <c r="K182" t="s">
        <v>9212</v>
      </c>
    </row>
    <row r="183" spans="1:22" x14ac:dyDescent="0.3">
      <c r="A183" t="s">
        <v>9198</v>
      </c>
      <c r="B183" t="s">
        <v>9199</v>
      </c>
      <c r="C183" t="s">
        <v>9200</v>
      </c>
      <c r="D183" t="s">
        <v>9593</v>
      </c>
      <c r="F183" t="s">
        <v>9202</v>
      </c>
      <c r="G183" t="s">
        <v>9594</v>
      </c>
      <c r="H183" t="s">
        <v>9595</v>
      </c>
      <c r="I183" t="s">
        <v>9202</v>
      </c>
      <c r="K183" t="s">
        <v>9205</v>
      </c>
      <c r="L183" t="s">
        <v>9596</v>
      </c>
    </row>
    <row r="184" spans="1:22" x14ac:dyDescent="0.3">
      <c r="A184" t="s">
        <v>9198</v>
      </c>
      <c r="B184" t="s">
        <v>9199</v>
      </c>
      <c r="C184" t="s">
        <v>9302</v>
      </c>
      <c r="D184" t="s">
        <v>9597</v>
      </c>
      <c r="F184" t="s">
        <v>9202</v>
      </c>
      <c r="G184" t="s">
        <v>9598</v>
      </c>
      <c r="H184" t="s">
        <v>9599</v>
      </c>
      <c r="I184" t="s">
        <v>9202</v>
      </c>
      <c r="J184" t="s">
        <v>50</v>
      </c>
      <c r="K184" t="s">
        <v>9212</v>
      </c>
    </row>
    <row r="185" spans="1:22" x14ac:dyDescent="0.3">
      <c r="A185" t="s">
        <v>9198</v>
      </c>
      <c r="B185" t="s">
        <v>9199</v>
      </c>
      <c r="C185" t="s">
        <v>9600</v>
      </c>
      <c r="D185" t="s">
        <v>9601</v>
      </c>
      <c r="F185" t="s">
        <v>9202</v>
      </c>
      <c r="G185" t="s">
        <v>9602</v>
      </c>
      <c r="H185" t="s">
        <v>9603</v>
      </c>
      <c r="I185" t="s">
        <v>9202</v>
      </c>
      <c r="J185" t="s">
        <v>47</v>
      </c>
      <c r="K185" t="s">
        <v>9205</v>
      </c>
    </row>
    <row r="186" spans="1:22" x14ac:dyDescent="0.3">
      <c r="A186" t="s">
        <v>9198</v>
      </c>
      <c r="B186" t="s">
        <v>9199</v>
      </c>
      <c r="C186" t="s">
        <v>9207</v>
      </c>
      <c r="D186" t="s">
        <v>9604</v>
      </c>
      <c r="F186" t="s">
        <v>9202</v>
      </c>
      <c r="G186" t="s">
        <v>9605</v>
      </c>
      <c r="H186" t="s">
        <v>9606</v>
      </c>
      <c r="I186" t="s">
        <v>9224</v>
      </c>
      <c r="J186" t="s">
        <v>47</v>
      </c>
      <c r="K186" t="s">
        <v>9212</v>
      </c>
      <c r="L186" t="s">
        <v>9213</v>
      </c>
    </row>
    <row r="187" spans="1:22" x14ac:dyDescent="0.3">
      <c r="A187" t="s">
        <v>9198</v>
      </c>
      <c r="B187" t="s">
        <v>9199</v>
      </c>
      <c r="C187" t="s">
        <v>9235</v>
      </c>
      <c r="D187" t="s">
        <v>9607</v>
      </c>
      <c r="F187" t="s">
        <v>9202</v>
      </c>
      <c r="G187" t="s">
        <v>9608</v>
      </c>
      <c r="H187" t="s">
        <v>9609</v>
      </c>
      <c r="I187" t="s">
        <v>9491</v>
      </c>
      <c r="J187" t="s">
        <v>9321</v>
      </c>
      <c r="K187" t="s">
        <v>9239</v>
      </c>
    </row>
    <row r="188" spans="1:22" x14ac:dyDescent="0.3">
      <c r="A188" t="s">
        <v>9263</v>
      </c>
      <c r="B188" t="s">
        <v>9199</v>
      </c>
      <c r="C188" t="s">
        <v>9235</v>
      </c>
      <c r="D188" t="s">
        <v>9607</v>
      </c>
      <c r="E188" t="s">
        <v>9492</v>
      </c>
      <c r="F188" t="s">
        <v>9202</v>
      </c>
      <c r="G188" t="s">
        <v>9610</v>
      </c>
      <c r="H188" t="s">
        <v>9611</v>
      </c>
      <c r="I188" t="s">
        <v>9202</v>
      </c>
      <c r="K188" t="s">
        <v>9205</v>
      </c>
    </row>
    <row r="189" spans="1:22" x14ac:dyDescent="0.3">
      <c r="A189" t="s">
        <v>9198</v>
      </c>
      <c r="B189" t="s">
        <v>9199</v>
      </c>
      <c r="C189" t="s">
        <v>9200</v>
      </c>
      <c r="D189" t="s">
        <v>9612</v>
      </c>
      <c r="F189" t="s">
        <v>9202</v>
      </c>
      <c r="G189" t="s">
        <v>9613</v>
      </c>
      <c r="H189" t="s">
        <v>9614</v>
      </c>
      <c r="I189" t="s">
        <v>9202</v>
      </c>
      <c r="J189" t="s">
        <v>47</v>
      </c>
      <c r="K189" t="s">
        <v>9234</v>
      </c>
      <c r="L189" t="s">
        <v>2905</v>
      </c>
    </row>
    <row r="190" spans="1:22" x14ac:dyDescent="0.3">
      <c r="A190" t="s">
        <v>9198</v>
      </c>
      <c r="B190" t="s">
        <v>9199</v>
      </c>
      <c r="C190" t="s">
        <v>9200</v>
      </c>
      <c r="D190" t="s">
        <v>9615</v>
      </c>
      <c r="F190" t="s">
        <v>9202</v>
      </c>
      <c r="G190" t="s">
        <v>9616</v>
      </c>
      <c r="H190" t="s">
        <v>9617</v>
      </c>
      <c r="I190" t="s">
        <v>9202</v>
      </c>
      <c r="K190" t="s">
        <v>9205</v>
      </c>
      <c r="L190" t="s">
        <v>9596</v>
      </c>
    </row>
    <row r="191" spans="1:22" x14ac:dyDescent="0.3">
      <c r="A191" t="s">
        <v>9198</v>
      </c>
      <c r="B191" t="s">
        <v>9199</v>
      </c>
      <c r="C191" t="s">
        <v>9207</v>
      </c>
      <c r="D191" t="s">
        <v>9618</v>
      </c>
      <c r="F191" t="s">
        <v>9202</v>
      </c>
      <c r="G191" t="s">
        <v>9619</v>
      </c>
      <c r="H191" t="s">
        <v>9620</v>
      </c>
      <c r="I191" t="s">
        <v>9224</v>
      </c>
      <c r="J191" t="s">
        <v>47</v>
      </c>
      <c r="K191" t="s">
        <v>9212</v>
      </c>
      <c r="L191" t="s">
        <v>9213</v>
      </c>
    </row>
    <row r="192" spans="1:22" x14ac:dyDescent="0.3">
      <c r="A192" t="s">
        <v>9198</v>
      </c>
      <c r="B192" t="s">
        <v>9199</v>
      </c>
      <c r="C192" t="s">
        <v>9600</v>
      </c>
      <c r="D192" t="s">
        <v>9621</v>
      </c>
      <c r="F192" t="s">
        <v>9202</v>
      </c>
      <c r="G192" t="s">
        <v>9622</v>
      </c>
      <c r="H192" t="s">
        <v>9623</v>
      </c>
      <c r="I192" t="s">
        <v>9491</v>
      </c>
      <c r="J192" t="s">
        <v>9321</v>
      </c>
      <c r="K192" t="s">
        <v>9205</v>
      </c>
    </row>
    <row r="193" spans="1:12" x14ac:dyDescent="0.3">
      <c r="A193" t="s">
        <v>9198</v>
      </c>
      <c r="B193" t="s">
        <v>9199</v>
      </c>
      <c r="C193" t="s">
        <v>9235</v>
      </c>
      <c r="D193" t="s">
        <v>9627</v>
      </c>
      <c r="F193" t="s">
        <v>9202</v>
      </c>
      <c r="G193" t="s">
        <v>9628</v>
      </c>
      <c r="H193" t="s">
        <v>9629</v>
      </c>
      <c r="I193" t="s">
        <v>9202</v>
      </c>
      <c r="J193" t="s">
        <v>47</v>
      </c>
      <c r="K193" t="s">
        <v>9205</v>
      </c>
    </row>
    <row r="194" spans="1:12" x14ac:dyDescent="0.3">
      <c r="A194" t="s">
        <v>9198</v>
      </c>
      <c r="B194" t="s">
        <v>9199</v>
      </c>
      <c r="C194" t="s">
        <v>9600</v>
      </c>
      <c r="D194" t="s">
        <v>9630</v>
      </c>
      <c r="F194" t="s">
        <v>9202</v>
      </c>
      <c r="G194" t="s">
        <v>9631</v>
      </c>
      <c r="H194" t="s">
        <v>9632</v>
      </c>
      <c r="I194" t="s">
        <v>9202</v>
      </c>
      <c r="J194" t="s">
        <v>9321</v>
      </c>
      <c r="K194" t="s">
        <v>9205</v>
      </c>
    </row>
    <row r="195" spans="1:12" x14ac:dyDescent="0.3">
      <c r="A195" t="s">
        <v>9198</v>
      </c>
      <c r="B195" t="s">
        <v>9199</v>
      </c>
      <c r="C195" t="s">
        <v>9200</v>
      </c>
      <c r="D195" t="s">
        <v>9633</v>
      </c>
      <c r="F195" t="s">
        <v>9202</v>
      </c>
      <c r="G195" t="s">
        <v>9634</v>
      </c>
      <c r="H195" t="s">
        <v>9635</v>
      </c>
      <c r="I195" t="s">
        <v>9202</v>
      </c>
      <c r="J195" t="s">
        <v>47</v>
      </c>
      <c r="K195" t="s">
        <v>9309</v>
      </c>
      <c r="L195" t="s">
        <v>9217</v>
      </c>
    </row>
    <row r="196" spans="1:12" x14ac:dyDescent="0.3">
      <c r="A196" t="s">
        <v>9198</v>
      </c>
      <c r="B196" t="s">
        <v>9199</v>
      </c>
      <c r="C196" t="s">
        <v>9235</v>
      </c>
      <c r="D196" t="s">
        <v>9636</v>
      </c>
      <c r="F196" t="s">
        <v>9202</v>
      </c>
      <c r="G196" t="s">
        <v>9637</v>
      </c>
      <c r="H196" t="s">
        <v>9638</v>
      </c>
      <c r="I196" t="s">
        <v>9202</v>
      </c>
      <c r="J196" t="s">
        <v>458</v>
      </c>
      <c r="K196" t="s">
        <v>9234</v>
      </c>
    </row>
    <row r="197" spans="1:12" x14ac:dyDescent="0.3">
      <c r="A197" t="s">
        <v>9198</v>
      </c>
      <c r="B197" t="s">
        <v>9199</v>
      </c>
      <c r="C197" t="s">
        <v>9235</v>
      </c>
      <c r="D197" t="s">
        <v>9639</v>
      </c>
      <c r="F197" t="s">
        <v>9202</v>
      </c>
      <c r="G197" t="s">
        <v>9640</v>
      </c>
      <c r="H197" t="s">
        <v>9641</v>
      </c>
      <c r="I197" t="s">
        <v>9202</v>
      </c>
      <c r="J197" t="s">
        <v>47</v>
      </c>
      <c r="K197" t="s">
        <v>9212</v>
      </c>
    </row>
    <row r="198" spans="1:12" x14ac:dyDescent="0.3">
      <c r="A198" t="s">
        <v>9198</v>
      </c>
      <c r="B198" t="s">
        <v>9199</v>
      </c>
      <c r="C198" t="s">
        <v>9200</v>
      </c>
      <c r="D198" t="s">
        <v>9642</v>
      </c>
      <c r="F198" t="s">
        <v>9202</v>
      </c>
      <c r="G198" t="s">
        <v>9643</v>
      </c>
      <c r="H198" t="s">
        <v>9644</v>
      </c>
      <c r="I198" t="s">
        <v>9202</v>
      </c>
      <c r="J198" t="s">
        <v>47</v>
      </c>
      <c r="K198" t="s">
        <v>9205</v>
      </c>
      <c r="L198" t="s">
        <v>9217</v>
      </c>
    </row>
    <row r="199" spans="1:12" x14ac:dyDescent="0.3">
      <c r="A199" t="s">
        <v>9198</v>
      </c>
      <c r="B199" t="s">
        <v>9199</v>
      </c>
      <c r="C199" t="s">
        <v>9200</v>
      </c>
      <c r="D199" t="s">
        <v>9645</v>
      </c>
      <c r="F199" t="s">
        <v>9202</v>
      </c>
      <c r="G199" t="s">
        <v>9646</v>
      </c>
      <c r="H199" t="s">
        <v>9647</v>
      </c>
      <c r="I199" t="s">
        <v>9202</v>
      </c>
      <c r="J199" t="s">
        <v>47</v>
      </c>
      <c r="K199" t="s">
        <v>9205</v>
      </c>
      <c r="L199" t="s">
        <v>9217</v>
      </c>
    </row>
    <row r="200" spans="1:12" x14ac:dyDescent="0.3">
      <c r="A200" t="s">
        <v>9198</v>
      </c>
      <c r="B200" t="s">
        <v>9199</v>
      </c>
      <c r="C200" t="s">
        <v>9207</v>
      </c>
      <c r="D200" t="s">
        <v>37</v>
      </c>
      <c r="F200" t="s">
        <v>9202</v>
      </c>
      <c r="G200" t="s">
        <v>9648</v>
      </c>
      <c r="H200" t="s">
        <v>9649</v>
      </c>
      <c r="I200" t="s">
        <v>9224</v>
      </c>
      <c r="J200" t="s">
        <v>47</v>
      </c>
      <c r="K200" t="s">
        <v>9212</v>
      </c>
      <c r="L200" t="s">
        <v>9213</v>
      </c>
    </row>
    <row r="201" spans="1:12" x14ac:dyDescent="0.3">
      <c r="A201" t="s">
        <v>9198</v>
      </c>
      <c r="B201" t="s">
        <v>9199</v>
      </c>
      <c r="C201" t="s">
        <v>9302</v>
      </c>
      <c r="D201" t="s">
        <v>9650</v>
      </c>
      <c r="F201" t="s">
        <v>9202</v>
      </c>
      <c r="G201" t="s">
        <v>9651</v>
      </c>
      <c r="H201" t="s">
        <v>9652</v>
      </c>
      <c r="I201" t="s">
        <v>9202</v>
      </c>
      <c r="J201" t="s">
        <v>47</v>
      </c>
      <c r="K201" t="s">
        <v>9234</v>
      </c>
    </row>
    <row r="202" spans="1:12" x14ac:dyDescent="0.3">
      <c r="A202" t="s">
        <v>9198</v>
      </c>
      <c r="B202" t="s">
        <v>9199</v>
      </c>
      <c r="C202" t="s">
        <v>9200</v>
      </c>
      <c r="D202" t="s">
        <v>9653</v>
      </c>
      <c r="F202" t="s">
        <v>9202</v>
      </c>
      <c r="G202" t="s">
        <v>9654</v>
      </c>
      <c r="H202" t="s">
        <v>9655</v>
      </c>
      <c r="I202" t="s">
        <v>9202</v>
      </c>
      <c r="K202" t="s">
        <v>9234</v>
      </c>
      <c r="L202" t="s">
        <v>9596</v>
      </c>
    </row>
    <row r="203" spans="1:12" x14ac:dyDescent="0.3">
      <c r="A203" t="s">
        <v>9198</v>
      </c>
      <c r="B203" t="s">
        <v>9199</v>
      </c>
      <c r="C203" t="s">
        <v>9302</v>
      </c>
      <c r="D203" t="s">
        <v>9656</v>
      </c>
      <c r="F203" t="s">
        <v>9202</v>
      </c>
      <c r="G203" t="s">
        <v>9657</v>
      </c>
      <c r="H203" t="s">
        <v>9658</v>
      </c>
      <c r="I203" t="s">
        <v>9202</v>
      </c>
      <c r="J203" t="s">
        <v>47</v>
      </c>
      <c r="K203" t="s">
        <v>9234</v>
      </c>
      <c r="L203" t="s">
        <v>9659</v>
      </c>
    </row>
    <row r="204" spans="1:12" x14ac:dyDescent="0.3">
      <c r="A204" t="s">
        <v>9198</v>
      </c>
      <c r="B204" t="s">
        <v>9199</v>
      </c>
      <c r="C204" t="s">
        <v>9235</v>
      </c>
      <c r="D204" t="s">
        <v>9660</v>
      </c>
      <c r="F204" t="s">
        <v>9202</v>
      </c>
      <c r="G204" t="s">
        <v>9661</v>
      </c>
      <c r="H204" t="s">
        <v>9662</v>
      </c>
      <c r="I204" t="s">
        <v>9491</v>
      </c>
      <c r="J204" t="s">
        <v>47</v>
      </c>
      <c r="K204" t="s">
        <v>9234</v>
      </c>
    </row>
    <row r="205" spans="1:12" x14ac:dyDescent="0.3">
      <c r="A205" t="s">
        <v>9198</v>
      </c>
      <c r="B205" t="s">
        <v>9199</v>
      </c>
      <c r="C205" t="s">
        <v>9235</v>
      </c>
      <c r="D205" t="s">
        <v>9675</v>
      </c>
      <c r="F205" t="s">
        <v>9202</v>
      </c>
      <c r="G205" t="s">
        <v>9676</v>
      </c>
      <c r="H205" t="s">
        <v>9677</v>
      </c>
      <c r="I205" t="s">
        <v>9202</v>
      </c>
      <c r="J205" t="s">
        <v>47</v>
      </c>
      <c r="K205" t="s">
        <v>9205</v>
      </c>
    </row>
    <row r="206" spans="1:12" x14ac:dyDescent="0.3">
      <c r="A206" t="s">
        <v>9198</v>
      </c>
      <c r="B206" t="s">
        <v>9199</v>
      </c>
      <c r="C206" t="s">
        <v>9235</v>
      </c>
      <c r="D206" t="s">
        <v>9678</v>
      </c>
      <c r="F206" t="s">
        <v>9202</v>
      </c>
      <c r="G206" t="s">
        <v>9679</v>
      </c>
      <c r="H206" t="s">
        <v>9680</v>
      </c>
      <c r="I206" t="s">
        <v>9202</v>
      </c>
      <c r="J206" t="s">
        <v>47</v>
      </c>
      <c r="K206" t="s">
        <v>9234</v>
      </c>
    </row>
    <row r="207" spans="1:12" x14ac:dyDescent="0.3">
      <c r="A207" t="s">
        <v>9198</v>
      </c>
      <c r="B207" t="s">
        <v>9199</v>
      </c>
      <c r="C207" t="s">
        <v>9235</v>
      </c>
      <c r="D207" t="s">
        <v>9681</v>
      </c>
      <c r="F207" t="s">
        <v>9202</v>
      </c>
      <c r="G207" t="s">
        <v>9682</v>
      </c>
      <c r="H207" t="s">
        <v>9683</v>
      </c>
      <c r="I207" t="s">
        <v>9202</v>
      </c>
      <c r="J207" t="s">
        <v>50</v>
      </c>
      <c r="K207" t="s">
        <v>9234</v>
      </c>
    </row>
    <row r="208" spans="1:12" x14ac:dyDescent="0.3">
      <c r="A208" t="s">
        <v>9198</v>
      </c>
      <c r="B208" t="s">
        <v>9199</v>
      </c>
      <c r="C208" t="s">
        <v>9302</v>
      </c>
      <c r="D208" t="s">
        <v>9684</v>
      </c>
      <c r="F208" t="s">
        <v>9202</v>
      </c>
      <c r="G208" t="s">
        <v>9685</v>
      </c>
      <c r="H208" t="s">
        <v>9686</v>
      </c>
      <c r="I208" t="s">
        <v>9202</v>
      </c>
      <c r="J208" t="s">
        <v>9321</v>
      </c>
      <c r="K208" t="s">
        <v>9239</v>
      </c>
    </row>
    <row r="209" spans="1:12" x14ac:dyDescent="0.3">
      <c r="A209" t="s">
        <v>9198</v>
      </c>
      <c r="B209" t="s">
        <v>9199</v>
      </c>
      <c r="C209" t="s">
        <v>9345</v>
      </c>
      <c r="D209" t="s">
        <v>9687</v>
      </c>
      <c r="F209" t="s">
        <v>9202</v>
      </c>
      <c r="G209" t="s">
        <v>9688</v>
      </c>
      <c r="H209" t="s">
        <v>9689</v>
      </c>
      <c r="I209" t="s">
        <v>9349</v>
      </c>
      <c r="J209" t="s">
        <v>47</v>
      </c>
      <c r="K209" t="s">
        <v>9234</v>
      </c>
    </row>
    <row r="210" spans="1:12" x14ac:dyDescent="0.3">
      <c r="A210" t="s">
        <v>9198</v>
      </c>
      <c r="B210" t="s">
        <v>9199</v>
      </c>
      <c r="C210" t="s">
        <v>9302</v>
      </c>
      <c r="D210" t="s">
        <v>9690</v>
      </c>
      <c r="F210" t="s">
        <v>9202</v>
      </c>
      <c r="G210" t="s">
        <v>9691</v>
      </c>
      <c r="H210" t="s">
        <v>9692</v>
      </c>
      <c r="I210" t="s">
        <v>9202</v>
      </c>
      <c r="J210" t="s">
        <v>47</v>
      </c>
      <c r="K210" t="s">
        <v>9234</v>
      </c>
    </row>
    <row r="211" spans="1:12" x14ac:dyDescent="0.3">
      <c r="A211" t="s">
        <v>9198</v>
      </c>
      <c r="B211" t="s">
        <v>9199</v>
      </c>
      <c r="C211" t="s">
        <v>9200</v>
      </c>
      <c r="D211" t="s">
        <v>9693</v>
      </c>
      <c r="F211" t="s">
        <v>9202</v>
      </c>
      <c r="G211" t="s">
        <v>9694</v>
      </c>
      <c r="H211" t="s">
        <v>9695</v>
      </c>
      <c r="I211" t="s">
        <v>9202</v>
      </c>
      <c r="J211" t="s">
        <v>47</v>
      </c>
      <c r="K211" t="s">
        <v>9205</v>
      </c>
      <c r="L211" t="s">
        <v>9217</v>
      </c>
    </row>
    <row r="212" spans="1:12" x14ac:dyDescent="0.3">
      <c r="A212" t="s">
        <v>9198</v>
      </c>
      <c r="B212" t="s">
        <v>9199</v>
      </c>
      <c r="C212" t="s">
        <v>9200</v>
      </c>
      <c r="D212" t="s">
        <v>9696</v>
      </c>
      <c r="F212" t="s">
        <v>9202</v>
      </c>
      <c r="G212" t="s">
        <v>9697</v>
      </c>
      <c r="H212" t="s">
        <v>9698</v>
      </c>
      <c r="I212" t="s">
        <v>9491</v>
      </c>
      <c r="J212" t="s">
        <v>47</v>
      </c>
      <c r="K212" t="s">
        <v>9234</v>
      </c>
      <c r="L212" t="s">
        <v>9699</v>
      </c>
    </row>
    <row r="213" spans="1:12" x14ac:dyDescent="0.3">
      <c r="A213" t="s">
        <v>9198</v>
      </c>
      <c r="B213" t="s">
        <v>9199</v>
      </c>
      <c r="C213" t="s">
        <v>9200</v>
      </c>
      <c r="D213" t="s">
        <v>9713</v>
      </c>
      <c r="F213" t="s">
        <v>9202</v>
      </c>
      <c r="G213" t="s">
        <v>9714</v>
      </c>
      <c r="H213" t="s">
        <v>9715</v>
      </c>
      <c r="I213" t="s">
        <v>9202</v>
      </c>
      <c r="J213" t="s">
        <v>47</v>
      </c>
      <c r="K213" t="s">
        <v>9205</v>
      </c>
      <c r="L213" t="s">
        <v>9217</v>
      </c>
    </row>
    <row r="214" spans="1:12" x14ac:dyDescent="0.3">
      <c r="A214" t="s">
        <v>9198</v>
      </c>
      <c r="B214" t="s">
        <v>9199</v>
      </c>
      <c r="C214" t="s">
        <v>9235</v>
      </c>
      <c r="D214" t="s">
        <v>9716</v>
      </c>
      <c r="F214" t="s">
        <v>9202</v>
      </c>
      <c r="G214" t="s">
        <v>9717</v>
      </c>
      <c r="H214" t="s">
        <v>9718</v>
      </c>
      <c r="I214" t="s">
        <v>9202</v>
      </c>
      <c r="J214" t="s">
        <v>47</v>
      </c>
      <c r="K214" t="s">
        <v>9234</v>
      </c>
    </row>
    <row r="215" spans="1:12" x14ac:dyDescent="0.3">
      <c r="A215" t="s">
        <v>9198</v>
      </c>
      <c r="B215" t="s">
        <v>9199</v>
      </c>
      <c r="C215" t="s">
        <v>9235</v>
      </c>
      <c r="D215" t="s">
        <v>9719</v>
      </c>
      <c r="F215" t="s">
        <v>9202</v>
      </c>
      <c r="G215" t="s">
        <v>9720</v>
      </c>
      <c r="H215" t="s">
        <v>9721</v>
      </c>
      <c r="I215" t="s">
        <v>9224</v>
      </c>
      <c r="K215" t="s">
        <v>9212</v>
      </c>
      <c r="L215" t="s">
        <v>9213</v>
      </c>
    </row>
    <row r="216" spans="1:12" x14ac:dyDescent="0.3">
      <c r="A216" t="s">
        <v>9198</v>
      </c>
      <c r="B216" t="s">
        <v>9199</v>
      </c>
      <c r="C216" t="s">
        <v>9207</v>
      </c>
      <c r="D216" t="s">
        <v>9722</v>
      </c>
      <c r="F216" t="s">
        <v>9202</v>
      </c>
      <c r="G216" t="s">
        <v>9723</v>
      </c>
      <c r="H216" t="s">
        <v>9724</v>
      </c>
      <c r="I216" t="s">
        <v>9224</v>
      </c>
      <c r="J216" t="s">
        <v>47</v>
      </c>
      <c r="K216" t="s">
        <v>9212</v>
      </c>
      <c r="L216" t="s">
        <v>9213</v>
      </c>
    </row>
    <row r="217" spans="1:12" x14ac:dyDescent="0.3">
      <c r="A217" t="s">
        <v>9198</v>
      </c>
      <c r="B217" t="s">
        <v>9199</v>
      </c>
      <c r="C217" t="s">
        <v>9235</v>
      </c>
      <c r="D217" t="s">
        <v>9725</v>
      </c>
      <c r="F217" t="s">
        <v>9202</v>
      </c>
      <c r="G217" t="s">
        <v>9726</v>
      </c>
      <c r="H217" t="s">
        <v>9727</v>
      </c>
      <c r="I217" t="s">
        <v>9202</v>
      </c>
      <c r="J217" t="s">
        <v>47</v>
      </c>
      <c r="K217" t="s">
        <v>9205</v>
      </c>
    </row>
    <row r="218" spans="1:12" x14ac:dyDescent="0.3">
      <c r="A218" t="s">
        <v>9198</v>
      </c>
      <c r="B218" t="s">
        <v>9199</v>
      </c>
      <c r="C218" t="s">
        <v>9207</v>
      </c>
      <c r="D218" t="s">
        <v>9728</v>
      </c>
      <c r="F218" t="s">
        <v>9202</v>
      </c>
      <c r="G218" t="s">
        <v>9729</v>
      </c>
      <c r="H218" t="s">
        <v>9730</v>
      </c>
      <c r="I218" t="s">
        <v>9224</v>
      </c>
      <c r="J218" t="s">
        <v>47</v>
      </c>
      <c r="K218" t="s">
        <v>9212</v>
      </c>
      <c r="L218" t="s">
        <v>9213</v>
      </c>
    </row>
    <row r="219" spans="1:12" x14ac:dyDescent="0.3">
      <c r="A219" t="s">
        <v>9198</v>
      </c>
      <c r="B219" t="s">
        <v>9199</v>
      </c>
      <c r="C219" t="s">
        <v>9302</v>
      </c>
      <c r="D219" t="s">
        <v>9761</v>
      </c>
      <c r="F219" t="s">
        <v>9202</v>
      </c>
      <c r="G219" t="s">
        <v>9762</v>
      </c>
      <c r="H219" t="s">
        <v>9763</v>
      </c>
      <c r="I219" t="s">
        <v>9202</v>
      </c>
      <c r="K219" t="s">
        <v>9234</v>
      </c>
    </row>
    <row r="220" spans="1:12" x14ac:dyDescent="0.3">
      <c r="A220" t="s">
        <v>9198</v>
      </c>
      <c r="B220" t="s">
        <v>9199</v>
      </c>
      <c r="C220" t="s">
        <v>9235</v>
      </c>
      <c r="D220" t="s">
        <v>9764</v>
      </c>
      <c r="F220" t="s">
        <v>9202</v>
      </c>
      <c r="G220" t="s">
        <v>9765</v>
      </c>
      <c r="H220" t="s">
        <v>9766</v>
      </c>
      <c r="I220" t="s">
        <v>9202</v>
      </c>
      <c r="J220" t="s">
        <v>47</v>
      </c>
      <c r="K220" t="s">
        <v>9212</v>
      </c>
    </row>
    <row r="221" spans="1:12" x14ac:dyDescent="0.3">
      <c r="A221" t="s">
        <v>9198</v>
      </c>
      <c r="B221" t="s">
        <v>9199</v>
      </c>
      <c r="C221" t="s">
        <v>9200</v>
      </c>
      <c r="D221" t="s">
        <v>9767</v>
      </c>
      <c r="F221" t="s">
        <v>9202</v>
      </c>
      <c r="G221" t="s">
        <v>9768</v>
      </c>
      <c r="H221" t="s">
        <v>9769</v>
      </c>
      <c r="I221" t="s">
        <v>9202</v>
      </c>
      <c r="J221" t="s">
        <v>47</v>
      </c>
      <c r="K221" t="s">
        <v>9205</v>
      </c>
      <c r="L221" t="s">
        <v>9217</v>
      </c>
    </row>
    <row r="222" spans="1:12" x14ac:dyDescent="0.3">
      <c r="A222" t="s">
        <v>9198</v>
      </c>
      <c r="B222" t="s">
        <v>9199</v>
      </c>
      <c r="C222" t="s">
        <v>9207</v>
      </c>
      <c r="D222" t="s">
        <v>9770</v>
      </c>
      <c r="F222" t="s">
        <v>9202</v>
      </c>
      <c r="G222" t="s">
        <v>9771</v>
      </c>
      <c r="H222" t="s">
        <v>9772</v>
      </c>
      <c r="I222" t="s">
        <v>9224</v>
      </c>
      <c r="J222" t="s">
        <v>47</v>
      </c>
      <c r="K222" t="s">
        <v>9212</v>
      </c>
      <c r="L222" t="s">
        <v>9213</v>
      </c>
    </row>
    <row r="223" spans="1:12" x14ac:dyDescent="0.3">
      <c r="A223" t="s">
        <v>9198</v>
      </c>
      <c r="B223" t="s">
        <v>9199</v>
      </c>
      <c r="C223" t="s">
        <v>9200</v>
      </c>
      <c r="D223" t="s">
        <v>9773</v>
      </c>
      <c r="F223" t="s">
        <v>9202</v>
      </c>
      <c r="G223" t="s">
        <v>9774</v>
      </c>
      <c r="H223" t="s">
        <v>9775</v>
      </c>
      <c r="I223" t="s">
        <v>9202</v>
      </c>
      <c r="J223" t="s">
        <v>47</v>
      </c>
      <c r="K223" t="s">
        <v>9205</v>
      </c>
      <c r="L223" t="s">
        <v>9217</v>
      </c>
    </row>
    <row r="224" spans="1:12" x14ac:dyDescent="0.3">
      <c r="A224" t="s">
        <v>9198</v>
      </c>
      <c r="B224" t="s">
        <v>9199</v>
      </c>
      <c r="C224" t="s">
        <v>9235</v>
      </c>
      <c r="D224" t="s">
        <v>9776</v>
      </c>
      <c r="F224" t="s">
        <v>9202</v>
      </c>
      <c r="G224" t="s">
        <v>9777</v>
      </c>
      <c r="H224" t="s">
        <v>9778</v>
      </c>
      <c r="I224" t="s">
        <v>9202</v>
      </c>
      <c r="J224" t="s">
        <v>9321</v>
      </c>
      <c r="K224" t="s">
        <v>9234</v>
      </c>
      <c r="L224" t="s">
        <v>9779</v>
      </c>
    </row>
    <row r="225" spans="1:12" x14ac:dyDescent="0.3">
      <c r="A225" t="s">
        <v>9198</v>
      </c>
      <c r="B225" t="s">
        <v>9199</v>
      </c>
      <c r="C225" t="s">
        <v>9207</v>
      </c>
      <c r="D225" t="s">
        <v>9780</v>
      </c>
      <c r="F225" t="s">
        <v>9202</v>
      </c>
      <c r="G225" t="s">
        <v>9781</v>
      </c>
      <c r="H225" t="s">
        <v>9782</v>
      </c>
      <c r="I225" t="s">
        <v>9224</v>
      </c>
      <c r="J225" t="s">
        <v>47</v>
      </c>
      <c r="K225" t="s">
        <v>9212</v>
      </c>
      <c r="L225" t="s">
        <v>9213</v>
      </c>
    </row>
    <row r="226" spans="1:12" x14ac:dyDescent="0.3">
      <c r="A226" t="s">
        <v>9198</v>
      </c>
      <c r="B226" t="s">
        <v>9199</v>
      </c>
      <c r="C226" t="s">
        <v>9200</v>
      </c>
      <c r="D226" t="s">
        <v>9783</v>
      </c>
      <c r="F226" t="s">
        <v>9202</v>
      </c>
      <c r="G226" t="s">
        <v>9784</v>
      </c>
      <c r="H226" t="s">
        <v>9785</v>
      </c>
      <c r="I226" t="s">
        <v>9202</v>
      </c>
      <c r="J226" t="s">
        <v>47</v>
      </c>
      <c r="K226" t="s">
        <v>9234</v>
      </c>
      <c r="L226" t="s">
        <v>9217</v>
      </c>
    </row>
    <row r="227" spans="1:12" x14ac:dyDescent="0.3">
      <c r="A227" t="s">
        <v>9198</v>
      </c>
      <c r="B227" t="s">
        <v>9199</v>
      </c>
      <c r="C227" t="s">
        <v>9200</v>
      </c>
      <c r="D227" t="s">
        <v>9786</v>
      </c>
      <c r="F227" t="s">
        <v>9202</v>
      </c>
      <c r="G227" t="s">
        <v>9787</v>
      </c>
      <c r="H227" t="s">
        <v>9788</v>
      </c>
      <c r="I227" t="s">
        <v>9202</v>
      </c>
      <c r="J227" t="s">
        <v>47</v>
      </c>
      <c r="K227" t="s">
        <v>9234</v>
      </c>
      <c r="L227" t="s">
        <v>9217</v>
      </c>
    </row>
    <row r="228" spans="1:12" x14ac:dyDescent="0.3">
      <c r="A228" t="s">
        <v>9198</v>
      </c>
      <c r="B228" t="s">
        <v>9199</v>
      </c>
      <c r="C228" t="s">
        <v>9235</v>
      </c>
      <c r="D228" t="s">
        <v>9789</v>
      </c>
      <c r="F228" t="s">
        <v>9202</v>
      </c>
      <c r="G228" t="s">
        <v>9790</v>
      </c>
      <c r="H228" t="s">
        <v>9791</v>
      </c>
      <c r="I228" t="s">
        <v>9224</v>
      </c>
      <c r="J228" t="s">
        <v>47</v>
      </c>
      <c r="K228" t="s">
        <v>9212</v>
      </c>
      <c r="L228" t="s">
        <v>9213</v>
      </c>
    </row>
    <row r="229" spans="1:12" x14ac:dyDescent="0.3">
      <c r="A229" t="s">
        <v>9198</v>
      </c>
      <c r="B229" t="s">
        <v>9199</v>
      </c>
      <c r="C229" t="s">
        <v>9207</v>
      </c>
      <c r="D229" t="s">
        <v>9792</v>
      </c>
      <c r="F229" t="s">
        <v>9202</v>
      </c>
      <c r="G229" t="s">
        <v>9793</v>
      </c>
      <c r="H229" t="s">
        <v>9794</v>
      </c>
      <c r="I229" t="s">
        <v>9224</v>
      </c>
      <c r="J229" t="s">
        <v>47</v>
      </c>
      <c r="K229" t="s">
        <v>9212</v>
      </c>
      <c r="L229" t="s">
        <v>9213</v>
      </c>
    </row>
    <row r="230" spans="1:12" x14ac:dyDescent="0.3">
      <c r="A230" t="s">
        <v>9198</v>
      </c>
      <c r="B230" t="s">
        <v>9199</v>
      </c>
      <c r="C230" t="s">
        <v>9235</v>
      </c>
      <c r="D230" t="s">
        <v>9795</v>
      </c>
      <c r="F230" t="s">
        <v>9202</v>
      </c>
      <c r="G230" t="s">
        <v>9796</v>
      </c>
      <c r="H230" t="s">
        <v>9797</v>
      </c>
      <c r="I230" t="s">
        <v>9202</v>
      </c>
      <c r="J230" t="s">
        <v>47</v>
      </c>
      <c r="K230" t="s">
        <v>9239</v>
      </c>
    </row>
    <row r="231" spans="1:12" x14ac:dyDescent="0.3">
      <c r="A231" t="s">
        <v>9198</v>
      </c>
      <c r="B231" t="s">
        <v>9199</v>
      </c>
      <c r="C231" t="s">
        <v>9235</v>
      </c>
      <c r="D231" t="s">
        <v>9798</v>
      </c>
      <c r="F231" t="s">
        <v>9202</v>
      </c>
      <c r="G231" t="s">
        <v>9799</v>
      </c>
      <c r="H231" t="s">
        <v>9800</v>
      </c>
      <c r="I231" t="s">
        <v>9491</v>
      </c>
      <c r="J231" t="s">
        <v>47</v>
      </c>
      <c r="K231" t="s">
        <v>9234</v>
      </c>
    </row>
    <row r="232" spans="1:12" x14ac:dyDescent="0.3">
      <c r="A232" t="s">
        <v>9263</v>
      </c>
      <c r="B232" t="s">
        <v>9199</v>
      </c>
      <c r="C232" t="s">
        <v>9235</v>
      </c>
      <c r="D232" t="s">
        <v>9798</v>
      </c>
      <c r="E232" t="s">
        <v>9801</v>
      </c>
      <c r="F232" t="s">
        <v>9202</v>
      </c>
      <c r="G232" t="s">
        <v>9802</v>
      </c>
      <c r="H232" t="s">
        <v>9803</v>
      </c>
      <c r="I232" t="s">
        <v>9202</v>
      </c>
      <c r="J232" t="s">
        <v>47</v>
      </c>
      <c r="K232" t="s">
        <v>9234</v>
      </c>
    </row>
    <row r="233" spans="1:12" x14ac:dyDescent="0.3">
      <c r="A233" t="s">
        <v>9198</v>
      </c>
      <c r="B233" t="s">
        <v>9199</v>
      </c>
      <c r="C233" t="s">
        <v>9235</v>
      </c>
      <c r="D233" t="s">
        <v>9810</v>
      </c>
      <c r="F233" t="s">
        <v>9202</v>
      </c>
      <c r="G233" t="s">
        <v>9811</v>
      </c>
      <c r="H233" t="s">
        <v>9812</v>
      </c>
      <c r="I233" t="s">
        <v>9202</v>
      </c>
      <c r="K233" t="s">
        <v>9234</v>
      </c>
    </row>
    <row r="234" spans="1:12" x14ac:dyDescent="0.3">
      <c r="A234" t="s">
        <v>9198</v>
      </c>
      <c r="B234" t="s">
        <v>9199</v>
      </c>
      <c r="C234" t="s">
        <v>9302</v>
      </c>
      <c r="D234" t="s">
        <v>9813</v>
      </c>
      <c r="F234" t="s">
        <v>9202</v>
      </c>
      <c r="G234" t="s">
        <v>9814</v>
      </c>
      <c r="H234" t="s">
        <v>9815</v>
      </c>
      <c r="I234" t="s">
        <v>9202</v>
      </c>
      <c r="J234" t="s">
        <v>47</v>
      </c>
      <c r="K234" t="s">
        <v>9234</v>
      </c>
    </row>
    <row r="235" spans="1:12" x14ac:dyDescent="0.3">
      <c r="A235" t="s">
        <v>9198</v>
      </c>
      <c r="B235" t="s">
        <v>9199</v>
      </c>
      <c r="C235" t="s">
        <v>9302</v>
      </c>
      <c r="D235" t="s">
        <v>9816</v>
      </c>
      <c r="F235" t="s">
        <v>9202</v>
      </c>
      <c r="G235" t="s">
        <v>9817</v>
      </c>
      <c r="H235" t="s">
        <v>9818</v>
      </c>
      <c r="I235" t="s">
        <v>9202</v>
      </c>
      <c r="J235" t="s">
        <v>47</v>
      </c>
      <c r="K235" t="s">
        <v>9234</v>
      </c>
    </row>
    <row r="236" spans="1:12" x14ac:dyDescent="0.3">
      <c r="A236" t="s">
        <v>9198</v>
      </c>
      <c r="B236" t="s">
        <v>9199</v>
      </c>
      <c r="C236" t="s">
        <v>9302</v>
      </c>
      <c r="D236" t="s">
        <v>9819</v>
      </c>
      <c r="F236" t="s">
        <v>9202</v>
      </c>
      <c r="G236" t="s">
        <v>9820</v>
      </c>
      <c r="H236" t="s">
        <v>9821</v>
      </c>
      <c r="I236" t="s">
        <v>9202</v>
      </c>
      <c r="J236" t="s">
        <v>47</v>
      </c>
      <c r="K236" t="s">
        <v>9205</v>
      </c>
    </row>
    <row r="237" spans="1:12" x14ac:dyDescent="0.3">
      <c r="A237" t="s">
        <v>9198</v>
      </c>
      <c r="B237" t="s">
        <v>9199</v>
      </c>
      <c r="C237" t="s">
        <v>9235</v>
      </c>
      <c r="D237" t="s">
        <v>9822</v>
      </c>
      <c r="F237" t="s">
        <v>9202</v>
      </c>
      <c r="G237" t="s">
        <v>9823</v>
      </c>
      <c r="H237" t="s">
        <v>9824</v>
      </c>
      <c r="I237" t="s">
        <v>9202</v>
      </c>
      <c r="J237" t="s">
        <v>47</v>
      </c>
      <c r="K237" t="s">
        <v>9234</v>
      </c>
    </row>
    <row r="238" spans="1:12" x14ac:dyDescent="0.3">
      <c r="A238" t="s">
        <v>9198</v>
      </c>
      <c r="B238" t="s">
        <v>9199</v>
      </c>
      <c r="C238" t="s">
        <v>9235</v>
      </c>
      <c r="D238" t="s">
        <v>9825</v>
      </c>
      <c r="F238" t="s">
        <v>9202</v>
      </c>
      <c r="G238" t="s">
        <v>9826</v>
      </c>
      <c r="H238" t="s">
        <v>9827</v>
      </c>
      <c r="I238" t="s">
        <v>9202</v>
      </c>
      <c r="J238" t="s">
        <v>47</v>
      </c>
      <c r="K238" t="s">
        <v>9234</v>
      </c>
    </row>
    <row r="239" spans="1:12" x14ac:dyDescent="0.3">
      <c r="A239" t="s">
        <v>9198</v>
      </c>
      <c r="B239" t="s">
        <v>9199</v>
      </c>
      <c r="C239" t="s">
        <v>9600</v>
      </c>
      <c r="D239" t="s">
        <v>9828</v>
      </c>
      <c r="F239" t="s">
        <v>9202</v>
      </c>
      <c r="G239" t="s">
        <v>9829</v>
      </c>
      <c r="H239" t="s">
        <v>9830</v>
      </c>
      <c r="I239" t="s">
        <v>9202</v>
      </c>
      <c r="J239" t="s">
        <v>9321</v>
      </c>
      <c r="K239" t="s">
        <v>9205</v>
      </c>
    </row>
  </sheetData>
  <sortState xmlns:xlrd2="http://schemas.microsoft.com/office/spreadsheetml/2017/richdata2" ref="A3:L2738">
    <sortCondition descending="1" ref="F2:F2738"/>
  </sortState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_A1" Type="http://schemas.openxmlformats.org/officeDocument/2006/relationships/image" Target="images/I_A1.png"/><Relationship Id="I_A6" Type="http://schemas.openxmlformats.org/officeDocument/2006/relationships/image" Target="images/I_A6.png"/><Relationship Id="I_B4" Type="http://schemas.openxmlformats.org/officeDocument/2006/relationships/image" Target="images/I_B4.png"/><Relationship Id="I_C2" Type="http://schemas.openxmlformats.org/officeDocument/2006/relationships/image" Target="images/I_C2.png"/><Relationship Id="I_D5" Type="http://schemas.openxmlformats.org/officeDocument/2006/relationships/image" Target="images/I_D5.png"/><Relationship Id="I_E3" Type="http://schemas.openxmlformats.org/officeDocument/2006/relationships/image" Target="images/I_E3.png"/><Relationship Id="I_F6" Type="http://schemas.openxmlformats.org/officeDocument/2006/relationships/image" Target="images/I_F6.png"/><Relationship Id="I-10" Type="http://schemas.openxmlformats.org/officeDocument/2006/relationships/image" Target="images/I-10.png"/><Relationship Id="I-15" Type="http://schemas.openxmlformats.org/officeDocument/2006/relationships/image" Target="images/I-15.png"/><Relationship Id="I-23" Type="http://schemas.openxmlformats.org/officeDocument/2006/relationships/image" Target="images/I-23.png"/><Relationship Id="I-28" Type="http://schemas.openxmlformats.org/officeDocument/2006/relationships/image" Target="images/I-28.png"/><Relationship Id="I-36" Type="http://schemas.openxmlformats.org/officeDocument/2006/relationships/image" Target="images/I-36.png"/><Relationship Id="I_F1" Type="http://schemas.openxmlformats.org/officeDocument/2006/relationships/image" Target="images/I_F1.png"/><Relationship Id="I-31" Type="http://schemas.openxmlformats.org/officeDocument/2006/relationships/image" Target="images/I-31.png"/><Relationship Id="I_A4" Type="http://schemas.openxmlformats.org/officeDocument/2006/relationships/image" Target="images/I_A4.png"/><Relationship Id="I_B2" Type="http://schemas.openxmlformats.org/officeDocument/2006/relationships/image" Target="images/I_B2.png"/><Relationship Id="I_C5" Type="http://schemas.openxmlformats.org/officeDocument/2006/relationships/image" Target="images/I_C5.png"/><Relationship Id="I_D3" Type="http://schemas.openxmlformats.org/officeDocument/2006/relationships/image" Target="images/I_D3.png"/><Relationship Id="I_E6" Type="http://schemas.openxmlformats.org/officeDocument/2006/relationships/image" Target="images/I_E6.png"/><Relationship Id="I-13" Type="http://schemas.openxmlformats.org/officeDocument/2006/relationships/image" Target="images/I-13.png"/><Relationship Id="I-18" Type="http://schemas.openxmlformats.org/officeDocument/2006/relationships/image" Target="images/I-18.png"/><Relationship Id="I-26" Type="http://schemas.openxmlformats.org/officeDocument/2006/relationships/image" Target="images/I-26.png"/><Relationship Id="I_A20" Type="http://schemas.openxmlformats.org/officeDocument/2006/relationships/image" Target="images/I_A20.png"/><Relationship Id="I_E1" Type="http://schemas.openxmlformats.org/officeDocument/2006/relationships/image" Target="images/I_E1.png"/><Relationship Id="I_F4" Type="http://schemas.openxmlformats.org/officeDocument/2006/relationships/image" Target="images/I_F4.png"/><Relationship Id="I-21" Type="http://schemas.openxmlformats.org/officeDocument/2006/relationships/image" Target="images/I-21.png"/><Relationship Id="I-34" Type="http://schemas.openxmlformats.org/officeDocument/2006/relationships/image" Target="images/I-34.png"/><Relationship Id="I_A2" Type="http://schemas.openxmlformats.org/officeDocument/2006/relationships/image" Target="images/I_A2.png"/><Relationship Id="I_B5" Type="http://schemas.openxmlformats.org/officeDocument/2006/relationships/image" Target="images/I_B5.png"/><Relationship Id="I_D6" Type="http://schemas.openxmlformats.org/officeDocument/2006/relationships/image" Target="images/I_D6.png"/><Relationship Id="I-16" Type="http://schemas.openxmlformats.org/officeDocument/2006/relationships/image" Target="images/I-16.png"/><Relationship Id="I-29" Type="http://schemas.openxmlformats.org/officeDocument/2006/relationships/image" Target="images/I-29.png"/><Relationship Id="I_C3" Type="http://schemas.openxmlformats.org/officeDocument/2006/relationships/image" Target="images/I_C3.png"/><Relationship Id="I_D1" Type="http://schemas.openxmlformats.org/officeDocument/2006/relationships/image" Target="images/I_D1.png"/><Relationship Id="I_E4" Type="http://schemas.openxmlformats.org/officeDocument/2006/relationships/image" Target="images/I_E4.png"/><Relationship Id="I_F2" Type="http://schemas.openxmlformats.org/officeDocument/2006/relationships/image" Target="images/I_F2.png"/><Relationship Id="I-11" Type="http://schemas.openxmlformats.org/officeDocument/2006/relationships/image" Target="images/I-11.png"/><Relationship Id="I-24" Type="http://schemas.openxmlformats.org/officeDocument/2006/relationships/image" Target="images/I-24.png"/><Relationship Id="I-32" Type="http://schemas.openxmlformats.org/officeDocument/2006/relationships/image" Target="images/I-32.png"/><Relationship Id="I_A5" Type="http://schemas.openxmlformats.org/officeDocument/2006/relationships/image" Target="images/I_A5.png"/><Relationship Id="I_C6" Type="http://schemas.openxmlformats.org/officeDocument/2006/relationships/image" Target="images/I_C6.png"/><Relationship Id="I-19" Type="http://schemas.openxmlformats.org/officeDocument/2006/relationships/image" Target="images/I-19.png"/><Relationship Id="I_B3" Type="http://schemas.openxmlformats.org/officeDocument/2006/relationships/image" Target="images/I_B3.png"/><Relationship Id="I_C1" Type="http://schemas.openxmlformats.org/officeDocument/2006/relationships/image" Target="images/I_C1.png"/><Relationship Id="I_D4" Type="http://schemas.openxmlformats.org/officeDocument/2006/relationships/image" Target="images/I_D4.png"/><Relationship Id="I_E2" Type="http://schemas.openxmlformats.org/officeDocument/2006/relationships/image" Target="images/I_E2.png"/><Relationship Id="I_F5" Type="http://schemas.openxmlformats.org/officeDocument/2006/relationships/image" Target="images/I_F5.png"/><Relationship Id="I-14" Type="http://schemas.openxmlformats.org/officeDocument/2006/relationships/image" Target="images/I-14.png"/><Relationship Id="I-22" Type="http://schemas.openxmlformats.org/officeDocument/2006/relationships/image" Target="images/I-22.png"/><Relationship Id="I-27" Type="http://schemas.openxmlformats.org/officeDocument/2006/relationships/image" Target="images/I-27.png"/><Relationship Id="I-30" Type="http://schemas.openxmlformats.org/officeDocument/2006/relationships/image" Target="images/I-30.png"/><Relationship Id="I-35" Type="http://schemas.openxmlformats.org/officeDocument/2006/relationships/image" Target="images/I-35.png"/><Relationship Id="I_B6" Type="http://schemas.openxmlformats.org/officeDocument/2006/relationships/image" Target="images/I_B6.png"/><Relationship Id="I-09" Type="http://schemas.openxmlformats.org/officeDocument/2006/relationships/image" Target="images/I-09.png"/><Relationship Id="I_A3" Type="http://schemas.openxmlformats.org/officeDocument/2006/relationships/image" Target="images/I_A3.png"/><Relationship Id="I_B1" Type="http://schemas.openxmlformats.org/officeDocument/2006/relationships/image" Target="images/I_B1.png"/><Relationship Id="I_C4" Type="http://schemas.openxmlformats.org/officeDocument/2006/relationships/image" Target="images/I_C4.png"/><Relationship Id="I_D2" Type="http://schemas.openxmlformats.org/officeDocument/2006/relationships/image" Target="images/I_D2.png"/><Relationship Id="I_E5" Type="http://schemas.openxmlformats.org/officeDocument/2006/relationships/image" Target="images/I_E5.png"/><Relationship Id="I_F3" Type="http://schemas.openxmlformats.org/officeDocument/2006/relationships/image" Target="images/I_F3.png"/><Relationship Id="I-12" Type="http://schemas.openxmlformats.org/officeDocument/2006/relationships/image" Target="images/I-12.png"/><Relationship Id="I-17" Type="http://schemas.openxmlformats.org/officeDocument/2006/relationships/image" Target="images/I-17.png"/><Relationship Id="I-20" Type="http://schemas.openxmlformats.org/officeDocument/2006/relationships/image" Target="images/I-20.png"/><Relationship Id="I-25" Type="http://schemas.openxmlformats.org/officeDocument/2006/relationships/image" Target="images/I-25.png"/><Relationship Id="I-33" Type="http://schemas.openxmlformats.org/officeDocument/2006/relationships/image" Target="images/I-33.png"/></Relationships>
</file>

<file path=customUI/customUI14.xml><?xml version="1.0" encoding="utf-8"?>
<customUI xmlns="http://schemas.microsoft.com/office/2009/07/customui" onLoad="TArbx_onLoad">
  <ribbon startFromScratch="false">
    <!--Hide all default tabs-->
    <tabs>
      <tab id="tab23" label="Actions">
        <group id="grp_btns" label="Actions">
          <button id="action__updateitems" label="Update Items" size="large" onAction="TAbtns_onAction" image="I_A1" tag="runfunction_TA^UpdateItemsExec^"/>
          <button id="action__loadappointments" label="Load Appointments" size="large" onAction="TAbtns_onAction" image="I_B1" tag="runfunction_TA^LoadAppointmentsExec^"/>
          <button id="action__refreshmonday" label="Refresh Monday Data" size="large" onAction="TAbtns_onAction" image="I_C1" tag="runfunction_TA^RefreshMondayExec^"/>
          <button id="action__addcolorcoding" label="Add Color Coding" size="large" onAction="TAbtns_onAction" image="I_C1" tag="runfunction_TA^AddColorCodingExec^"/>
        </group>
        <group id="grp_cfg" label="Settings">
          <editBox id="settings__startdate" label="Start Date" getText="TAeditBox_getText" sizeString="xxxxxxxxxxxxxxx" maxLength="10" onChange="TAeditBox_onChange"/>
          <editBox id="settings__offset" label="Day Offset" getText="TAeditBox_getText" sizeString="xxxxxxxxxxxxxxxxxx" maxLength="20" onChange="TAeditBox_onChange"/>
          <editBox id="settings__enddate" label="End Date" getText="TAeditBox_getText" sizeString="xxxxxxxxxxxxxxxxxx" maxLength="20" onChange="TAeditBox_onChange"/>
          <dropDown id="useremail" label="User Email" image="I_D5" onAction="TAdropDown_onAction" getSelectedItemID="TAdropDown_getText">
            <item id="useremail__jon.butler" label="Jon Butler"/>
            <item id="useremail__alison.hood" label="Alison Hood"/>
          </dropDown>
        </group>
      </tab>
      <tab id="tab24" label="Add Calendar Item">
        <group id="grp_btns7" label="Actions">
          <button id="additem__addcalendaritem" label="Add Calendar Item" size="normal" onAction="TAbtns_onAction" image="I_B1" tag="showtools_DV"/>
        </group>
        <group id="grp_cfg2" label="Add Calendar Item">
          <editBox id="additem__startdate" label="Start Date" getText="TAeditBox_getText" sizeString="xxxxxxxxxxxxxxx" maxLength="10" onChange="TAeditBox_onChange"/>
          <editBox id="additem__starttime" label="Start Time" getText="TAeditBox_getText" sizeString="xxxxxxxxxxxxxxx" maxLength="10" onChange="TAeditBox_onChange"/>
          <editBox id="additem__subject" label="Subject" getText="TAeditBox_getText" sizeString="xxxxxxxxxxxxxxx" maxLength="10" onChange="TAeditBox_onChange"/>
          <editBox id="additem__duration" label="Duration" getText="TAeditBox_getText" sizeString="xxxxxxxxxxxxxxx" maxLength="10" onChange="TAeditBox_onChange"/>
          <comboBox id="additem__mondayitem" label="Monday Item" getItemCount="TACombo_getItemCount" getItemID="TACombo_getItemID" getItemLabel="TACombo_getItemLabel" getText="TACombo_getText" onChange="TACombo_onChange" sizeString="xxxxXxxxxxxxxxxxxxxxxxxxxxxxxxxxxxxxxxxxxxxxxxxxxxxxxxxxxxx"/>
          <comboBox id="additem__mondaysubitem" label="Monday Sub Item" getItemCount="TACombo_getItemCount" getItemID="TACombo_getItemID" getItemLabel="TACombo_getItemLabel" getText="TACombo_getText" onChange="TACombo_onChange" sizeString="xxxxXxxxxxxxxxxxxxxxxxxxxxxxxxxxxxxxxxxxxxxxxxxxxxxxxxxxxxx"/>
          <comboBox id="additem__category" label="Category" getItemCount="TACombo_getItemCount" getItemID="TACombo_getItemID" getItemLabel="TACombo_getItemLabel" getText="TACombo_getText" onChange="TACombo_onChange" sizeString="xxxxXxxxxxxxxxxxxxxxxxxxxxxxxxxxxxxxxxxxxxxxxxxxxxxxxxxxxxx"/>
          <editBox id="additem__mondayitemid" label="Monday Item ID" getText="TAeditBox_getText" sizeString="xxxxxxxxxxxxxxx" maxLength="10" onChange="TAeditBox_onChange" enabled="false"/>
          <editBox id="additem__mondaysubitemid" label="Monday Sub Item ID" getText="TAeditBox_getText" sizeString="xxxxxxxxxxxxxxx" maxLength="10" onChange="TAeditBox_onChange" enabled="false"/>
        </group>
      </tab>
      <tab id="tab25" label="Admin">
        <group id="grp_btns71" label="Actions">
          <button id="admin__checkinchanges" label="Check In Changes" size="normal" onAction="TAbtns_onAction" image="I_B1" tag="runfunction_vbautils^CheckInChanges^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A7D53F-72A9-475F-97BD-1AD3F7B88D45}">
  <ds:schemaRefs>
    <ds:schemaRef ds:uri="http://schemas.microsoft.com/office/2006/metadata/properties"/>
    <ds:schemaRef ds:uri="http://schemas.microsoft.com/office/infopath/2007/PartnerControls"/>
    <ds:schemaRef ds:uri="9865e641-0544-4f1a-a8d0-d10f45e8285c"/>
    <ds:schemaRef ds:uri="4aadb9ab-d5c5-4bce-9480-548403d0cefb"/>
  </ds:schemaRefs>
</ds:datastoreItem>
</file>

<file path=customXml/itemProps2.xml><?xml version="1.0" encoding="utf-8"?>
<ds:datastoreItem xmlns:ds="http://schemas.openxmlformats.org/officeDocument/2006/customXml" ds:itemID="{3BCD6FE5-00B5-449C-B2EB-D82628B6E81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7D2B31-BCE4-4CEA-A239-67AD72A047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76</vt:i4>
      </vt:variant>
    </vt:vector>
  </HeadingPairs>
  <TitlesOfParts>
    <vt:vector size="85" baseType="lpstr">
      <vt:lpstr>RawData</vt:lpstr>
      <vt:lpstr>Persist</vt:lpstr>
      <vt:lpstr>AddAppointment</vt:lpstr>
      <vt:lpstr>RawData_062023</vt:lpstr>
      <vt:lpstr>ResultCalendar</vt:lpstr>
      <vt:lpstr>HistoryResultStats</vt:lpstr>
      <vt:lpstr>Reference</vt:lpstr>
      <vt:lpstr>ResultStats</vt:lpstr>
      <vt:lpstr>Monday Data</vt:lpstr>
      <vt:lpstr>action__addcalendaritemval</vt:lpstr>
      <vt:lpstr>action__addcolorcodingval</vt:lpstr>
      <vt:lpstr>action__loadappointmentsval</vt:lpstr>
      <vt:lpstr>action__refreshmondayval</vt:lpstr>
      <vt:lpstr>action__updateitemsval</vt:lpstr>
      <vt:lpstr>ADD_CATEGORY</vt:lpstr>
      <vt:lpstr>ADD_DURATION</vt:lpstr>
      <vt:lpstr>ADD_LOCATION</vt:lpstr>
      <vt:lpstr>ADD_START_DATE</vt:lpstr>
      <vt:lpstr>ADD_START_TIME</vt:lpstr>
      <vt:lpstr>ADD_SUBJECT</vt:lpstr>
      <vt:lpstr>additem__addcalendaritemval</vt:lpstr>
      <vt:lpstr>additem__categoryval</vt:lpstr>
      <vt:lpstr>additem__durationval</vt:lpstr>
      <vt:lpstr>additem__mondayitemidval</vt:lpstr>
      <vt:lpstr>additem__mondayitemval</vt:lpstr>
      <vt:lpstr>additem__mondaysubitemidval</vt:lpstr>
      <vt:lpstr>additem__mondaysubitemval</vt:lpstr>
      <vt:lpstr>additem__startdateval</vt:lpstr>
      <vt:lpstr>additem__starttimeval</vt:lpstr>
      <vt:lpstr>additem__subjectval</vt:lpstr>
      <vt:lpstr>admin__checkinchangesval</vt:lpstr>
      <vt:lpstr>CATEGORIES</vt:lpstr>
      <vt:lpstr>CATEGORY_DEFN</vt:lpstr>
      <vt:lpstr>CATEGORY_LIST</vt:lpstr>
      <vt:lpstr>CATEGORY_LOOKUP</vt:lpstr>
      <vt:lpstr>DATA</vt:lpstr>
      <vt:lpstr>DURATION</vt:lpstr>
      <vt:lpstr>END</vt:lpstr>
      <vt:lpstr>ENDHOUR</vt:lpstr>
      <vt:lpstr>ENDMINUTE</vt:lpstr>
      <vt:lpstr>LOCATION</vt:lpstr>
      <vt:lpstr>MAILBOX_OWNER</vt:lpstr>
      <vt:lpstr>MONDAY_ITEMID</vt:lpstr>
      <vt:lpstr>MONDAY_ITEMS</vt:lpstr>
      <vt:lpstr>MONDAY_ITEMS_DISPLAY</vt:lpstr>
      <vt:lpstr>MONDAY_SUBITEMS</vt:lpstr>
      <vt:lpstr>MONDAY_SUBITEMS_DISPLAY</vt:lpstr>
      <vt:lpstr>MONTH</vt:lpstr>
      <vt:lpstr>ORGANIZER</vt:lpstr>
      <vt:lpstr>persistdata</vt:lpstr>
      <vt:lpstr>QUERYENDDATE</vt:lpstr>
      <vt:lpstr>QUERYNUMRESULTS</vt:lpstr>
      <vt:lpstr>QUERYSTARTDATE</vt:lpstr>
      <vt:lpstr>RAWDATA_CURRENT_ITEM_CATEGORY</vt:lpstr>
      <vt:lpstr>RAWDATA_CURRENT_ITEM_LOCATION</vt:lpstr>
      <vt:lpstr>RAWDATA_SUBJECT</vt:lpstr>
      <vt:lpstr>RAWDATA_UPDATE_ITEM_CATEGORY</vt:lpstr>
      <vt:lpstr>RAWDATA_UPDATE_ITEM_ID</vt:lpstr>
      <vt:lpstr>RAWDATA_UPDATE_ITEM_LOCATION</vt:lpstr>
      <vt:lpstr>RECIPIENT</vt:lpstr>
      <vt:lpstr>RECURRENCE</vt:lpstr>
      <vt:lpstr>RESULT</vt:lpstr>
      <vt:lpstr>RESULT_CATEGORIES</vt:lpstr>
      <vt:lpstr>RESULT_DAY</vt:lpstr>
      <vt:lpstr>RESULT_DURATION</vt:lpstr>
      <vt:lpstr>RESULT_START</vt:lpstr>
      <vt:lpstr>RESULT_STARTMIN</vt:lpstr>
      <vt:lpstr>RESULT_SUBJECT</vt:lpstr>
      <vt:lpstr>RESULTLOCATION</vt:lpstr>
      <vt:lpstr>ribbonpointerval</vt:lpstr>
      <vt:lpstr>RUNDATE</vt:lpstr>
      <vt:lpstr>settings__enddateval</vt:lpstr>
      <vt:lpstr>settings__offsetval</vt:lpstr>
      <vt:lpstr>settings__startdateval</vt:lpstr>
      <vt:lpstr>START</vt:lpstr>
      <vt:lpstr>STARTHOUR</vt:lpstr>
      <vt:lpstr>STARTMINUTE</vt:lpstr>
      <vt:lpstr>STARTYEAR</vt:lpstr>
      <vt:lpstr>STATUS</vt:lpstr>
      <vt:lpstr>useremail__alisonhoodval</vt:lpstr>
      <vt:lpstr>useremail__jonbutlerval</vt:lpstr>
      <vt:lpstr>useremailval</vt:lpstr>
      <vt:lpstr>USERS</vt:lpstr>
      <vt:lpstr>WEEK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Butler</dc:creator>
  <cp:lastModifiedBy>Velox</cp:lastModifiedBy>
  <cp:lastPrinted>2021-08-01T22:17:17Z</cp:lastPrinted>
  <dcterms:created xsi:type="dcterms:W3CDTF">2021-07-22T19:17:09Z</dcterms:created>
  <dcterms:modified xsi:type="dcterms:W3CDTF">2024-01-03T14:29:31Z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