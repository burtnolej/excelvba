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d99447317e94465"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838CF5FA-2463-4749-94A5-771B86476E3F}"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6" i="209" l="1" a="1"/>
  <c r="B10" i="209" a="1"/>
  <c r="B26" i="209" l="1"/>
  <c r="B10" i="2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<sst xmlns="http://schemas.openxmlformats.org/spreadsheetml/2006/main" count="51545" uniqueCount="17640">
  <si>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</si>
  <si>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</si>
  <si>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</si>
  <si>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</si>
  <si>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</si>
  <si>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</si>
  <si>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</si>
  <si>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</si>
  <si>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</si>
  <si>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</si>
  <si>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</si>
  <si>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</si>
  <si>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</si>
  <si>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</si>
  <si>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</si>
  <si>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</si>
  <si>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</si>
  <si>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</si>
  <si>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</si>
  <si>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</si>
  <si>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</si>
  <si>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</si>
  <si>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</si>
  <si>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</si>
  <si>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</si>
  <si>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</si>
  <si>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</si>
  <si>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</si>
  <si>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</si>
  <si>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</si>
  <si>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</si>
  <si>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</si>
  <si>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</si>
  <si>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</si>
  <si>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</si>
  <si>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</si>
  <si>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</si>
  <si>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</si>
  <si>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</si>
  <si>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</si>
  <si>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</si>
  <si>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</si>
  <si>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</si>
  <si>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</si>
  <si>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</si>
  <si>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</si>
  <si>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</si>
  <si>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</si>
  <si>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</si>
  <si>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</si>
  <si>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</si>
  <si>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</si>
  <si>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</si>
  <si>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</si>
  <si>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</si>
  <si>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</si>
  <si>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</si>
  <si>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</si>
  <si>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</si>
  <si>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</si>
  <si>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</si>
  <si>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</si>
  <si>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</si>
  <si>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</si>
  <si>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</si>
  <si>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</si>
  <si>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</si>
  <si>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</si>
  <si>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</si>
  <si>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</si>
  <si>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</si>
  <si>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</si>
  <si>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</si>
  <si>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</si>
  <si>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</si>
  <si>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</si>
  <si>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</si>
  <si>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</si>
  <si>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</si>
  <si>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</si>
  <si>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</si>
  <si>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</si>
  <si>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</si>
  <si>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</si>
  <si>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</si>
  <si>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</si>
  <si>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</si>
  <si>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</si>
  <si>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</si>
  <si>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</si>
  <si>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</si>
  <si>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</si>
  <si>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</si>
  <si>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</si>
  <si>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</si>
  <si>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</si>
  <si>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</si>
  <si>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</si>
  <si>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</si>
  <si>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</si>
  <si>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</si>
  <si>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</si>
  <si>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</si>
  <si>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</si>
  <si>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</si>
  <si>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</si>
  <si>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</si>
  <si>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</si>
  <si>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</si>
  <si>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</si>
  <si>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</si>
  <si>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</si>
  <si>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</si>
  <si>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</si>
  <si>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</si>
  <si>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</si>
  <si>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</si>
  <si>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</si>
  <si>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</si>
  <si>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</si>
  <si>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</si>
  <si>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</si>
  <si>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</si>
  <si>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</si>
  <si>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</si>
  <si>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</si>
  <si>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</si>
  <si>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</si>
  <si>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</si>
  <si>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</si>
  <si>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</si>
  <si>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</si>
  <si>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</si>
  <si>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</si>
  <si>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</si>
  <si>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</si>
  <si>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</si>
  <si>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</si>
  <si>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</si>
  <si>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</si>
  <si>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</si>
  <si>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</si>
  <si>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</si>
  <si>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</si>
  <si>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</si>
  <si>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</si>
  <si>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</si>
  <si>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</si>
  <si>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</si>
  <si>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</si>
  <si>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</si>
  <si>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</si>
  <si>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</si>
  <si>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</si>
  <si>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</si>
  <si>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</si>
  <si>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</si>
  <si>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</si>
  <si>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</si>
  <si>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</si>
  <si>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</si>
  <si>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</si>
  <si>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</si>
  <si>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</si>
  <si>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</si>
  <si>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</si>
  <si>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</si>
  <si>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</si>
  <si>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</si>
  <si>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</si>
  <si>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</si>
  <si>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</si>
  <si>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</si>
  <si>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</si>
  <si>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</si>
  <si>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</si>
  <si>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</si>
  <si>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</si>
  <si>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</si>
  <si>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</si>
  <si>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</si>
  <si>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</si>
  <si>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</si>
  <si>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</si>
  <si>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</si>
  <si>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</si>
  <si>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</si>
  <si>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</si>
  <si>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</si>
  <si>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</si>
  <si>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</si>
  <si>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</si>
  <si>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</si>
  <si>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</si>
  <si>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</si>
  <si>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</si>
  <si>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</si>
  <si>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</si>
  <si>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</si>
  <si>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</si>
  <si>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</si>
  <si>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</si>
  <si>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</si>
  <si>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</si>
  <si>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</si>
  <si>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</si>
  <si>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</si>
  <si>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</si>
  <si>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</si>
  <si>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</si>
  <si>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</si>
  <si>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</si>
  <si>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</si>
  <si>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</si>
  <si>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</si>
  <si>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</si>
  <si>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</si>
  <si>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</si>
  <si>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</si>
  <si>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</si>
  <si>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</si>
  <si>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</si>
  <si>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</si>
  <si>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</si>
  <si>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</si>
  <si>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</si>
  <si>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</si>
  <si>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</si>
  <si>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</si>
  <si>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</si>
  <si>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</si>
  <si>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</si>
  <si>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</si>
  <si>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</si>
  <si>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</si>
  <si>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</si>
  <si>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</si>
  <si>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</si>
  <si>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</si>
  <si>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</si>
  <si>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</si>
  <si>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</si>
  <si>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</si>
  <si>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</si>
  <si>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</si>
  <si>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</si>
  <si>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</si>
  <si>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</si>
  <si>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</si>
  <si>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</si>
  <si>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</si>
  <si>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</si>
  <si>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</si>
  <si>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</si>
  <si>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</si>
  <si>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</si>
  <si>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</si>
  <si>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</si>
  <si>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</si>
  <si>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</si>
  <si>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</si>
  <si>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</si>
  <si>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</si>
  <si>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</si>
  <si>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</si>
  <si>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</si>
  <si>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</si>
  <si>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</si>
  <si>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</si>
  <si>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</si>
  <si>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</si>
  <si>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</si>
  <si>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</si>
  <si>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</si>
  <si>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</si>
  <si>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</si>
  <si>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</si>
  <si>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</si>
  <si>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</si>
  <si>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</si>
  <si>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</si>
  <si>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</si>
  <si>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</si>
  <si>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</si>
  <si>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</si>
  <si>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</si>
  <si>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</si>
  <si>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</si>
  <si>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</si>
  <si>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</si>
  <si>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</si>
  <si>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</si>
  <si>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</si>
  <si>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</si>
  <si>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</si>
  <si>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</si>
  <si>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</si>
  <si>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</si>
  <si>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</si>
  <si>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</si>
  <si>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</si>
  <si>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</si>
  <si>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</si>
  <si>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</si>
  <si>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</si>
  <si>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</si>
  <si>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</si>
  <si>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</si>
  <si>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</si>
  <si>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</si>
  <si>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</si>
  <si>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</si>
  <si>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</si>
  <si>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</si>
  <si>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</si>
  <si>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</si>
  <si>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</si>
  <si>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</si>
  <si>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</si>
  <si>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</si>
  <si>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</si>
  <si>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</si>
  <si>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</si>
  <si>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</si>
  <si>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</si>
  <si>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</si>
  <si>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</si>
  <si>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</si>
  <si>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</si>
  <si>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</si>
  <si>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</si>
  <si>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</si>
  <si>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</si>
  <si>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</si>
  <si>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</si>
  <si>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</si>
  <si>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</si>
  <si>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</si>
  <si>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</si>
  <si>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</si>
  <si>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</si>
  <si>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</si>
  <si>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</si>
  <si>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</si>
  <si>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</si>
  <si>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</si>
  <si>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</si>
  <si>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</si>
  <si>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</si>
  <si>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</si>
  <si>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</si>
  <si>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</si>
  <si>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</si>
  <si>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</si>
  <si>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</si>
  <si>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</si>
  <si>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</si>
  <si>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</si>
  <si>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</si>
  <si>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</si>
  <si>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</si>
  <si>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</si>
  <si>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</si>
  <si>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</si>
  <si>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</si>
  <si>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</si>
  <si>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</si>
  <si>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</si>
  <si>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</si>
  <si>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</si>
  <si>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</si>
  <si>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</si>
  <si>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</si>
  <si>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</si>
  <si>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</si>
  <si>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</si>
  <si>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</si>
  <si>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</si>
  <si>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</si>
  <si>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</si>
  <si>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</si>
  <si>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</si>
  <si>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</si>
  <si>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</si>
  <si>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</si>
  <si>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</si>
  <si>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</si>
  <si>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</si>
  <si>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</si>
  <si>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</si>
  <si>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</si>
  <si>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</si>
  <si>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</si>
  <si>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</si>
  <si>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</si>
  <si>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</si>
  <si>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</si>
  <si>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</si>
  <si>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</si>
  <si>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</si>
  <si>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</si>
  <si>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</si>
  <si>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</si>
  <si>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</si>
  <si>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</si>
  <si>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</si>
  <si>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</si>
  <si>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</si>
  <si>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</si>
  <si>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</si>
  <si>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</si>
  <si>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</si>
  <si>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</si>
  <si>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</si>
  <si>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</si>
  <si>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</si>
  <si>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</si>
  <si>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</si>
  <si>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</si>
  <si>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</si>
  <si>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</si>
  <si>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</si>
  <si>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</si>
  <si>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</si>
  <si>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</si>
  <si>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</si>
  <si>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</si>
  <si>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</si>
  <si>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</si>
  <si>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</si>
  <si>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</si>
  <si>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</si>
  <si>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</si>
  <si>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</si>
  <si>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</si>
  <si>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</si>
  <si>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</si>
  <si>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</si>
  <si>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</si>
  <si>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</si>
  <si>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</si>
  <si>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</si>
  <si>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</si>
  <si>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</si>
  <si>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</si>
  <si>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</si>
  <si>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</si>
  <si>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</si>
  <si>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</si>
  <si>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</si>
  <si>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</si>
  <si>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</si>
  <si>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</si>
  <si>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</si>
  <si>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</si>
  <si>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</si>
  <si>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</si>
  <si>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</si>
  <si>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</si>
  <si>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</si>
  <si>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</si>
  <si>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</si>
  <si>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</si>
  <si>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</si>
  <si>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</si>
  <si>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</si>
  <si>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</si>
  <si>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</si>
  <si>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</si>
  <si>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</si>
  <si>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</si>
  <si>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</si>
  <si>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</si>
  <si>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</si>
  <si>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</si>
  <si>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</si>
  <si>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</si>
  <si>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</si>
  <si>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</si>
  <si>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</si>
  <si>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</si>
  <si>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</si>
  <si>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</si>
  <si>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</si>
  <si>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</si>
  <si>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</si>
  <si>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</si>
  <si>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</si>
  <si>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</si>
  <si>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</si>
  <si>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</si>
  <si>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</si>
  <si>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</si>
  <si>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</si>
  <si>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</si>
  <si>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</si>
  <si>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</si>
  <si>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</si>
  <si>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</si>
  <si>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</si>
  <si>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</si>
  <si>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</si>
  <si>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</si>
  <si>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</si>
  <si>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</si>
  <si>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</si>
  <si>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</si>
  <si>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</si>
  <si>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</si>
  <si>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</si>
  <si>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</si>
  <si>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</si>
  <si>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</si>
  <si>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</si>
  <si>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</si>
  <si>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</si>
  <si>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</si>
  <si>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</si>
  <si>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</si>
  <si>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</si>
  <si>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</si>
  <si>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</si>
  <si>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</si>
  <si>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</si>
  <si>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</si>
  <si>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</si>
  <si>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</si>
  <si>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</si>
  <si>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</si>
  <si>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</si>
  <si>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</si>
  <si>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</si>
  <si>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</si>
  <si>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</si>
  <si>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</si>
  <si>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</si>
  <si>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</si>
  <si>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</si>
  <si>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</si>
  <si>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</si>
  <si>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</si>
  <si>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</si>
  <si>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</si>
  <si>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</si>
  <si>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</si>
  <si>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</si>
  <si>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</si>
  <si>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</si>
  <si>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</si>
  <si>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</si>
  <si>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</si>
  <si>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</si>
  <si>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</si>
  <si>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</si>
  <si>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</si>
  <si>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</si>
  <si>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</si>
  <si>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</si>
  <si>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</si>
  <si>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</si>
  <si>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</si>
  <si>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</si>
  <si>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</si>
  <si>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</si>
  <si>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</si>
  <si>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</si>
  <si>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</si>
  <si>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</si>
  <si>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</si>
  <si>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</si>
  <si>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</si>
  <si>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</si>
  <si>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</si>
  <si>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</si>
  <si>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</si>
  <si>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</si>
  <si>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</si>
  <si>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</si>
  <si>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</si>
  <si>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</si>
  <si>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</si>
  <si>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</si>
  <si>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</si>
  <si>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</si>
  <si>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</si>
  <si>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</si>
  <si>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</si>
  <si>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</si>
  <si>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</si>
  <si>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</si>
  <si>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</si>
  <si>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</si>
  <si>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</si>
  <si>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</si>
  <si>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</si>
  <si>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</si>
  <si>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</si>
  <si>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</si>
  <si>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</si>
  <si>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</si>
  <si>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</si>
  <si>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</si>
  <si>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</si>
  <si>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</si>
  <si>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</si>
  <si>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</si>
  <si>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</si>
  <si>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</si>
  <si>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</si>
  <si>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</si>
  <si>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</si>
  <si>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</si>
  <si>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</si>
  <si>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</si>
  <si>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</si>
  <si>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</si>
  <si>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</si>
  <si>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</si>
  <si>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</si>
  <si>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</si>
  <si>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</si>
  <si>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</si>
  <si>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</si>
  <si>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</si>
  <si>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</si>
  <si>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</si>
  <si>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</si>
  <si>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</si>
  <si>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</si>
  <si>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</si>
  <si>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</si>
  <si>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</si>
  <si>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</si>
  <si>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</si>
  <si>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</si>
  <si>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</si>
  <si>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</si>
  <si>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</si>
  <si>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</si>
  <si>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</si>
  <si>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</si>
  <si>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</si>
  <si>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</si>
  <si>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</si>
  <si>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</si>
  <si>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</si>
  <si>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</si>
  <si>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</si>
  <si>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</si>
  <si>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</si>
  <si>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</si>
  <si>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</si>
  <si>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</si>
  <si>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</si>
  <si>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</si>
  <si>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</si>
  <si>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</si>
  <si>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</si>
  <si>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</si>
  <si>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</si>
  <si>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</si>
  <si>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</si>
  <si>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</si>
  <si>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</si>
  <si>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</si>
  <si>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</si>
  <si>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</si>
  <si>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</si>
  <si>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</si>
  <si>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</si>
  <si>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</si>
  <si>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</si>
  <si>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</si>
  <si>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</si>
  <si>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</si>
  <si>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</si>
  <si>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</si>
  <si>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</si>
  <si>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</si>
  <si>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</si>
  <si>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</si>
  <si>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</si>
  <si>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</si>
  <si>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</si>
  <si>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</si>
  <si>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</si>
  <si>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</si>
  <si>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</si>
  <si>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</si>
  <si>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</si>
  <si>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</si>
  <si>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</si>
  <si>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</si>
  <si>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</si>
  <si>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</si>
  <si>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</si>
  <si>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</si>
  <si>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</si>
  <si>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</si>
  <si>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</si>
  <si>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</si>
  <si>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</si>
  <si>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</si>
  <si>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</si>
  <si>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</si>
  <si>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</si>
  <si>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</si>
  <si>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</si>
  <si>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</si>
  <si>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</si>
  <si>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</si>
  <si>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</si>
  <si>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</si>
  <si>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</si>
  <si>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</si>
  <si>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</si>
  <si>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</si>
  <si>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</si>
  <si>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</si>
  <si>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</si>
  <si>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</si>
  <si>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</si>
  <si>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</si>
  <si>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</si>
  <si>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</si>
  <si>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</si>
  <si>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</si>
  <si>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</si>
  <si>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</si>
  <si>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</si>
  <si>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</si>
  <si>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</si>
  <si>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</si>
  <si>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</si>
  <si>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</si>
  <si>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</si>
  <si>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</si>
  <si>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</si>
  <si>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</si>
  <si>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</si>
  <si>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</si>
  <si>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</si>
  <si>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</si>
  <si>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</si>
  <si>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</si>
  <si>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</si>
  <si>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</si>
  <si>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</si>
  <si>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</si>
  <si>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</si>
  <si>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</si>
  <si>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</si>
  <si>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</si>
  <si>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</si>
  <si>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</si>
  <si>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</si>
  <si>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</si>
  <si>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</si>
  <si>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</si>
  <si>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</si>
  <si>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</si>
  <si>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</si>
  <si>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</si>
  <si>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</si>
  <si>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</si>
  <si>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</si>
  <si>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</si>
  <si>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</si>
  <si>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</si>
  <si>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</si>
  <si>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</si>
  <si>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</si>
  <si>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</si>
  <si>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</si>
  <si>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</si>
  <si>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</si>
  <si>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</si>
  <si>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</si>
  <si>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</si>
  <si>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</si>
  <si>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</si>
  <si>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</si>
  <si>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</si>
  <si>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</si>
  <si>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</si>
  <si>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</si>
  <si>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</si>
  <si>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</si>
  <si>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</si>
  <si>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</si>
  <si>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</si>
  <si>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</si>
  <si>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</si>
  <si>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</si>
  <si>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</si>
  <si>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</si>
  <si>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</si>
  <si>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</si>
  <si>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</si>
  <si>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</si>
  <si>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</si>
  <si>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</si>
  <si>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</si>
  <si>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</si>
  <si>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</si>
  <si>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</si>
  <si>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</si>
  <si>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</si>
  <si>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</si>
  <si>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</si>
  <si>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</si>
  <si>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</si>
  <si>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</si>
  <si>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</si>
  <si>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</si>
  <si>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</si>
  <si>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</si>
  <si>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</si>
  <si>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</si>
  <si>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</si>
  <si>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</si>
  <si>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</si>
  <si>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</si>
  <si>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</si>
  <si>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</si>
  <si>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</si>
  <si>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</si>
  <si>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</si>
  <si>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</si>
  <si>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</si>
  <si>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</si>
  <si>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</si>
  <si>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</si>
  <si>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</si>
  <si>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</si>
  <si>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</si>
  <si>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</si>
  <si>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</si>
  <si>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</si>
  <si>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</si>
  <si>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</si>
  <si>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</si>
  <si>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</si>
  <si>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</si>
  <si>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</si>
  <si>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</si>
  <si>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</si>
  <si>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</si>
  <si>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</si>
  <si>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</si>
  <si>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</si>
  <si>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</si>
  <si>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</si>
  <si>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</si>
  <si>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</si>
  <si>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</si>
  <si>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</si>
  <si>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</si>
  <si>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</si>
  <si>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</si>
  <si>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</si>
  <si>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</si>
  <si>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</si>
  <si>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</si>
  <si>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</si>
  <si>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</si>
  <si>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</si>
  <si>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</si>
  <si>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</si>
  <si>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</si>
  <si>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</si>
  <si>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</si>
  <si>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</si>
  <si>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</si>
  <si>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</si>
  <si>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</si>
  <si>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</si>
  <si>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</si>
  <si>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</si>
  <si>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</si>
  <si>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</si>
  <si>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</si>
  <si>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</si>
  <si>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</si>
  <si>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</si>
  <si>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</si>
  <si>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</si>
  <si>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</si>
  <si>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</si>
  <si>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</si>
  <si>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</si>
  <si>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</si>
  <si>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</si>
  <si>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</si>
  <si>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</si>
  <si>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</si>
  <si>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</si>
  <si>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</si>
  <si>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</si>
  <si>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</si>
  <si>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</si>
  <si>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</si>
  <si>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</si>
  <si>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</si>
  <si>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</si>
  <si>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</si>
  <si>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</si>
  <si>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</si>
  <si>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</si>
  <si>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</si>
  <si>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</si>
  <si>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</si>
  <si>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</si>
  <si>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</si>
  <si>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</si>
  <si>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</si>
  <si>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</si>
  <si>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</si>
  <si>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</si>
  <si>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</si>
  <si>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</si>
  <si>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</si>
  <si>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</si>
  <si>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</si>
  <si>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</si>
  <si>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</si>
  <si>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</si>
  <si>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</si>
  <si>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</si>
  <si>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</si>
  <si>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</si>
  <si>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</si>
  <si>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</si>
  <si>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</si>
  <si>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</si>
  <si>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</si>
  <si>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</si>
  <si>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</si>
  <si>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</si>
  <si>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</si>
  <si>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</si>
  <si>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</si>
  <si>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</si>
  <si>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</si>
  <si>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</si>
  <si>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</si>
  <si>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</si>
  <si>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</si>
  <si>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</si>
  <si>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</si>
  <si>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</si>
  <si>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</si>
  <si>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</si>
  <si>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</si>
  <si>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</si>
  <si>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</si>
  <si>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</si>
  <si>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</si>
  <si>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</si>
  <si>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</si>
  <si>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</si>
  <si>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</si>
  <si>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</si>
  <si>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</si>
  <si>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</si>
  <si>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</si>
  <si>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</si>
  <si>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</si>
  <si>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</si>
  <si>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</si>
  <si>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</si>
  <si>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</si>
  <si>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</si>
  <si>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</si>
  <si>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</si>
  <si>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</si>
  <si>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</si>
  <si>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</si>
  <si>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</si>
  <si>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</si>
  <si>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</si>
  <si>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</si>
  <si>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</si>
  <si>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</si>
  <si>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</si>
  <si>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</si>
  <si>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</si>
  <si>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</si>
  <si>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</si>
  <si>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</si>
  <si>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</si>
  <si>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</si>
  <si>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</si>
  <si>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</si>
  <si>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</si>
  <si>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</si>
  <si>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</si>
  <si>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</si>
  <si>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</si>
  <si>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</si>
  <si>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</si>
  <si>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</si>
  <si>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</si>
  <si>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</si>
  <si>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</si>
  <si>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</si>
  <si>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</si>
  <si>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</si>
  <si>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</si>
  <si>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</si>
  <si>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</si>
  <si>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</si>
  <si>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</si>
  <si>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</si>
  <si>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</si>
  <si>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</si>
  <si>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</si>
  <si>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</si>
  <si>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</si>
  <si>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</si>
  <si>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</si>
  <si>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</si>
  <si>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</si>
  <si>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</si>
  <si>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</si>
  <si>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</si>
  <si>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</si>
  <si>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</si>
  <si>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</si>
  <si>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</si>
  <si>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</si>
  <si>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</si>
  <si>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</si>
  <si>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</si>
  <si>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</si>
  <si>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</si>
  <si>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</si>
  <si>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</si>
  <si>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</si>
  <si>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</si>
  <si>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</si>
  <si>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</si>
  <si>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</si>
  <si>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</si>
  <si>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</si>
  <si>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</si>
  <si>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</si>
  <si>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</si>
  <si>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</si>
  <si>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</si>
  <si>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</si>
  <si>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</si>
  <si>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</si>
  <si>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</si>
  <si>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</si>
  <si>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</si>
  <si>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</si>
  <si>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</si>
  <si>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</si>
  <si>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</si>
  <si>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</si>
  <si>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</si>
  <si>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</si>
  <si>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</si>
  <si>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</si>
  <si>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</si>
  <si>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</si>
  <si>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</si>
  <si>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</si>
  <si>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</si>
  <si>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</si>
  <si>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</si>
  <si>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</si>
  <si>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</si>
  <si>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</si>
  <si>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</si>
  <si>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</si>
  <si>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</si>
  <si>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</si>
  <si>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</si>
  <si>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</si>
  <si>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</si>
  <si>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</si>
  <si>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</si>
  <si>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</si>
  <si>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</si>
  <si>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</si>
  <si>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</si>
  <si>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</si>
  <si>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</si>
  <si>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</si>
  <si>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</si>
  <si>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</si>
  <si>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</si>
  <si>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</si>
  <si>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</si>
  <si>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</si>
  <si>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</si>
  <si>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</si>
  <si>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</si>
  <si>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</si>
  <si>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</si>
  <si>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</si>
  <si>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</si>
  <si>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</si>
  <si>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</si>
  <si>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</si>
  <si>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</si>
  <si>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</si>
  <si>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</si>
  <si>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</si>
  <si>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</si>
  <si>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</si>
  <si>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</si>
  <si>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</si>
  <si>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</si>
  <si>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</si>
  <si>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</si>
  <si>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</si>
  <si>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</si>
  <si>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</si>
  <si>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</si>
  <si>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</si>
  <si>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</si>
  <si>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</si>
  <si>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</si>
  <si>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</si>
  <si>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</si>
  <si>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</si>
  <si>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</si>
  <si>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</si>
  <si>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</si>
  <si>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</si>
  <si>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</si>
  <si>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</si>
  <si>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</si>
  <si>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</si>
  <si>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</si>
  <si>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</si>
  <si>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</si>
  <si>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</si>
  <si>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</si>
  <si>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</si>
  <si>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</si>
  <si>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</si>
  <si>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</si>
  <si>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</si>
  <si>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</si>
  <si>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</si>
  <si>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</si>
  <si>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</si>
  <si>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</si>
  <si>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</si>
  <si>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</si>
  <si>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</si>
  <si>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</si>
  <si>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</si>
  <si>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</si>
  <si>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</si>
  <si>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</si>
  <si>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</si>
  <si>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</si>
  <si>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</si>
  <si>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</si>
  <si>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</si>
  <si>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</si>
  <si>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</si>
  <si>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</si>
  <si>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</si>
  <si>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</si>
  <si>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</si>
  <si>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</si>
  <si>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</si>
  <si>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</si>
  <si>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</si>
  <si>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</si>
  <si>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</si>
  <si>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</si>
  <si>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</si>
  <si>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</si>
  <si>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</si>
  <si>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</si>
  <si>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</si>
  <si>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</si>
  <si>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</si>
  <si>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</si>
  <si>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</si>
  <si>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</si>
  <si>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</si>
  <si>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</si>
  <si>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</si>
  <si>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</si>
  <si>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</si>
  <si>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</si>
  <si>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</si>
  <si>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</si>
  <si>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</si>
  <si>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</si>
  <si>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</si>
  <si>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</si>
  <si>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</si>
  <si>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</si>
  <si>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</si>
  <si>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</si>
  <si>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</si>
  <si>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</si>
  <si>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</si>
  <si>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</si>
  <si>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</si>
  <si>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</si>
  <si>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</si>
  <si>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</si>
  <si>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</si>
  <si>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</si>
  <si>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</si>
  <si>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</si>
  <si>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</si>
  <si>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</si>
  <si>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</si>
  <si>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</si>
  <si>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</si>
  <si>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</si>
  <si>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</si>
  <si>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</si>
  <si>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</si>
  <si>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</si>
  <si>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</si>
  <si>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</si>
  <si>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</si>
  <si>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</si>
  <si>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</si>
  <si>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</si>
  <si>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</si>
  <si>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</si>
  <si>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</si>
  <si>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</si>
  <si>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</si>
  <si>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</si>
  <si>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</si>
  <si>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</si>
  <si>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</si>
  <si>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</si>
  <si>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</si>
  <si>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</si>
  <si>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</si>
  <si>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</si>
  <si>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</si>
  <si>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</si>
  <si>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</si>
  <si>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</si>
  <si>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</si>
  <si>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</si>
  <si>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</si>
  <si>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</si>
  <si>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</si>
  <si>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</si>
  <si>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</si>
  <si>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</si>
  <si>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</si>
  <si>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</si>
  <si>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</si>
  <si>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</si>
  <si>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</si>
  <si>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</si>
  <si>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</si>
  <si>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</si>
  <si>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</si>
  <si>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</si>
  <si>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</si>
  <si>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</si>
  <si>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</si>
  <si>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</si>
  <si>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</si>
  <si>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</si>
  <si>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</si>
  <si>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</si>
  <si>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</si>
  <si>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</si>
  <si>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</si>
  <si>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</si>
  <si>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</si>
  <si>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</si>
  <si>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</si>
  <si>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</si>
  <si>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</si>
  <si>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</si>
  <si>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</si>
  <si>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</si>
  <si>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</si>
  <si>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</si>
  <si>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</si>
  <si>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</si>
  <si>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</si>
  <si>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</si>
  <si>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</si>
  <si>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</si>
  <si>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</si>
  <si>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</si>
  <si>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</si>
  <si>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</si>
  <si>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</si>
  <si>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</si>
  <si>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</si>
  <si>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</si>
  <si>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</si>
  <si>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</si>
  <si>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</si>
  <si>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</si>
  <si>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</si>
  <si>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</si>
  <si>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</si>
  <si>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</si>
  <si>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</si>
  <si>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</si>
  <si>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</si>
  <si>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</si>
  <si>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</si>
  <si>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</si>
  <si>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</si>
  <si>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</si>
  <si>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</si>
  <si>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</si>
  <si>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</si>
  <si>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</si>
  <si>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</si>
  <si>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</si>
  <si>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</si>
  <si>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</si>
  <si>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</si>
  <si>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</si>
  <si>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</si>
  <si>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</si>
  <si>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</si>
  <si>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</si>
  <si>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</si>
  <si>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</si>
  <si>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</si>
  <si>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</si>
  <si>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</si>
  <si>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</si>
  <si>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</si>
  <si>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</si>
  <si>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</si>
  <si>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</si>
  <si>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</si>
  <si>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</si>
  <si>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</si>
  <si>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</si>
  <si>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</si>
  <si>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</si>
  <si>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</si>
  <si>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</si>
  <si>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</si>
  <si>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</si>
  <si>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</si>
  <si>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</si>
  <si>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</si>
  <si>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</si>
  <si>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</si>
  <si>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</si>
  <si>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</si>
  <si>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</si>
  <si>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</si>
  <si>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</si>
  <si>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</si>
  <si>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</si>
  <si>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</si>
  <si>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</si>
  <si>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</si>
  <si>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</si>
  <si>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</si>
  <si>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</si>
  <si>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</si>
  <si>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</si>
  <si>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</si>
  <si>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</si>
  <si>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</si>
  <si>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</si>
  <si>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</si>
  <si>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</si>
  <si>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</si>
  <si>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</si>
  <si>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</si>
  <si>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</si>
  <si>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</si>
  <si>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</si>
  <si>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</si>
  <si>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</si>
  <si>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</si>
  <si>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</si>
  <si>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</si>
  <si>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</si>
  <si>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</si>
  <si>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</si>
  <si>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</si>
  <si>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</si>
  <si>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</si>
  <si>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</si>
  <si>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</si>
  <si>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</si>
  <si>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</si>
  <si>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</si>
  <si>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</si>
  <si>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</si>
  <si>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</si>
  <si>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</si>
  <si>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</si>
  <si>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</si>
  <si>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</si>
  <si>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</si>
  <si>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</si>
  <si>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</si>
  <si>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</si>
  <si>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</si>
  <si>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</si>
  <si>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</si>
  <si>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</si>
  <si>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</si>
  <si>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</si>
  <si>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</si>
  <si>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</si>
  <si>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</si>
  <si>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</si>
  <si>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</si>
  <si>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</si>
  <si>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</si>
  <si>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</si>
  <si>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</si>
  <si>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</si>
  <si>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</si>
  <si>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</si>
  <si>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</si>
  <si>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</si>
  <si>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</si>
  <si>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</si>
  <si>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</si>
  <si>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</si>
  <si>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</si>
  <si>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</si>
  <si>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</si>
  <si>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</si>
  <si>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</si>
  <si>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</si>
  <si>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</si>
  <si>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</si>
  <si>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</si>
  <si>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</si>
  <si>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</si>
  <si>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</si>
  <si>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</si>
  <si>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</si>
  <si>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</si>
  <si>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</si>
  <si>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</si>
  <si>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</si>
  <si>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</si>
  <si>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</si>
  <si>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</si>
  <si>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</si>
  <si>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</si>
  <si>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</si>
  <si>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</si>
  <si>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</si>
  <si>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</si>
  <si>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</si>
  <si>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</si>
  <si>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</si>
  <si>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</si>
  <si>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</si>
  <si>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</si>
  <si>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</si>
  <si>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</si>
  <si>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</si>
  <si>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</si>
  <si>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</si>
  <si>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</si>
  <si>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</si>
  <si>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</si>
  <si>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</si>
  <si>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</si>
  <si>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</si>
  <si>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</si>
  <si>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</si>
  <si>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</si>
  <si>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</si>
  <si>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</si>
  <si>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</si>
  <si>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</si>
  <si>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</si>
  <si>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</si>
  <si>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</si>
  <si>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</si>
  <si>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</si>
  <si>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</si>
  <si>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</si>
  <si>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</si>
  <si>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</si>
  <si>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</si>
  <si>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</si>
  <si>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</si>
  <si>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</si>
  <si>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</si>
  <si>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</si>
  <si>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</si>
  <si>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</si>
  <si>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</si>
  <si>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</si>
  <si>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</si>
  <si>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</si>
  <si>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</si>
  <si>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</si>
  <si>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</si>
  <si>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</si>
  <si>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</si>
  <si>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</si>
  <si>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</si>
  <si>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</si>
  <si>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</si>
  <si>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</si>
  <si>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</si>
  <si>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</si>
  <si>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</si>
  <si>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</si>
  <si>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</si>
  <si>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</si>
  <si>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</si>
  <si>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</si>
  <si>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</si>
  <si>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</si>
  <si>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</si>
  <si>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</si>
  <si>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</si>
  <si>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</si>
  <si>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</si>
  <si>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</si>
  <si>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</si>
  <si>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</si>
  <si>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</si>
  <si>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</si>
  <si>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</si>
  <si>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</si>
  <si>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</si>
  <si>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</si>
  <si>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</si>
  <si>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</si>
  <si>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</si>
  <si>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</si>
  <si>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</si>
  <si>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</si>
  <si>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</si>
  <si>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</si>
  <si>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</si>
  <si>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</si>
  <si>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</si>
  <si>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</si>
  <si>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</si>
  <si>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</si>
  <si>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</si>
  <si>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</si>
  <si>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</si>
  <si>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</si>
  <si>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</si>
  <si>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</si>
  <si>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</si>
  <si>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</si>
  <si>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</si>
  <si>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</si>
  <si>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</si>
  <si>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</si>
  <si>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</si>
  <si>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</si>
  <si>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</si>
  <si>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</si>
  <si>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</si>
  <si>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</si>
  <si>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</si>
  <si>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</si>
  <si>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</si>
  <si>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</si>
  <si>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</si>
  <si>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</si>
  <si>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</si>
  <si>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</si>
  <si>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</si>
  <si>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</si>
  <si>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</si>
  <si>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</si>
  <si>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</si>
  <si>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</si>
  <si>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</si>
  <si>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</si>
  <si>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</si>
  <si>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</si>
  <si>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</si>
  <si>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</si>
  <si>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</si>
  <si>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</si>
  <si>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</si>
  <si>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</si>
  <si>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</si>
  <si>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</si>
  <si>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</si>
  <si>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</si>
  <si>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</si>
  <si>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</si>
  <si>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</si>
  <si>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</si>
  <si>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</si>
  <si>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</si>
  <si>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</si>
  <si>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</si>
  <si>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</si>
  <si>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</si>
  <si>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</si>
  <si>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</si>
  <si>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</si>
  <si>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</si>
  <si>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</si>
  <si>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</si>
  <si>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</si>
  <si>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</si>
  <si>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</si>
  <si>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</si>
  <si>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</si>
  <si>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</si>
  <si>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</si>
  <si>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</si>
  <si>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</si>
  <si>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</si>
  <si>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</si>
  <si>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</si>
  <si>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</si>
  <si>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</si>
  <si>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</si>
  <si>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</si>
  <si>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</si>
  <si>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</si>
  <si>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</si>
  <si>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</si>
  <si>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</si>
  <si>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</si>
  <si>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</si>
  <si>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</si>
  <si>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</si>
  <si>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</si>
  <si>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</si>
  <si>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</si>
  <si>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</si>
  <si>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</si>
  <si>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</si>
  <si>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</si>
  <si>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</si>
  <si>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</si>
  <si>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</si>
  <si>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</si>
  <si>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</si>
  <si>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</si>
  <si>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</si>
  <si>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</si>
  <si>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</si>
  <si>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</si>
  <si>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</si>
  <si>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</si>
  <si>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</si>
  <si>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</si>
  <si>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</si>
  <si>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</si>
  <si>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</si>
  <si>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</si>
  <si>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</si>
  <si>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</si>
  <si>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</si>
  <si>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</si>
  <si>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</si>
  <si>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</si>
  <si>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</si>
  <si>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</si>
  <si>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</si>
  <si>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</si>
  <si>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</si>
  <si>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</si>
  <si>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</si>
  <si>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</si>
  <si>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</si>
  <si>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</si>
  <si>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</si>
  <si>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</si>
  <si>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</si>
  <si>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</si>
  <si>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</si>
  <si>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</si>
  <si>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</si>
  <si>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</si>
  <si>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</si>
  <si>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</si>
  <si>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</si>
  <si>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</si>
  <si>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</si>
  <si>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</si>
  <si>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</si>
  <si>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</si>
  <si>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</si>
  <si>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</si>
  <si>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</si>
  <si>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</si>
  <si>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</si>
  <si>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</si>
  <si>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</si>
  <si>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</si>
  <si>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</si>
  <si>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</si>
  <si>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</si>
  <si>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</si>
  <si>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</si>
  <si>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</si>
  <si>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</si>
  <si>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</si>
  <si>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</si>
  <si>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</si>
  <si>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</si>
  <si>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</si>
  <si>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</si>
  <si>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</si>
  <si>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</si>
  <si>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</si>
  <si>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</si>
  <si>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</si>
  <si>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</si>
  <si>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</si>
  <si>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</si>
  <si>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</si>
  <si>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</si>
  <si>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</si>
  <si>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</si>
  <si>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</si>
  <si>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</si>
  <si>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</si>
  <si>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</si>
  <si>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</si>
  <si>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</si>
  <si>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</si>
  <si>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</si>
  <si>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</si>
  <si>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</si>
  <si>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</si>
  <si>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</si>
  <si>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</si>
  <si>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</si>
  <si>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</si>
  <si>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</si>
  <si>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</si>
  <si>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</si>
  <si>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</si>
  <si>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</si>
  <si>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</si>
  <si>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</si>
  <si>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</si>
  <si>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</si>
  <si>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</si>
  <si>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</si>
  <si>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</si>
  <si>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</si>
  <si>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</si>
  <si>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</si>
  <si>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</si>
  <si>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</si>
  <si>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</si>
  <si>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</si>
  <si>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</si>
  <si>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</si>
  <si>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</si>
  <si>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</si>
  <si>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</si>
  <si>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</si>
  <si>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</si>
  <si>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</si>
  <si>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</si>
  <si>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</si>
  <si>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</si>
  <si>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</si>
  <si>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</si>
  <si>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</si>
  <si>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</si>
  <si>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</si>
  <si>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</si>
  <si>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</si>
  <si>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</si>
  <si>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</si>
  <si>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</si>
  <si>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</si>
  <si>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</si>
  <si>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</si>
  <si>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</si>
  <si>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</si>
  <si>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</si>
  <si>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</si>
  <si>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</si>
  <si>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</si>
  <si>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</si>
  <si>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</si>
  <si>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</si>
  <si>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</si>
  <si>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</si>
  <si>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</si>
  <si>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</si>
  <si>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</si>
  <si>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</si>
  <si>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</si>
  <si>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</si>
  <si>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</si>
  <si>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</si>
  <si>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</si>
  <si>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</si>
  <si>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</si>
  <si>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</si>
  <si>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</si>
  <si>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</si>
  <si>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</si>
  <si>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</si>
  <si>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</si>
  <si>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</si>
  <si>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</si>
  <si>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</si>
  <si>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</si>
  <si>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</si>
  <si>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</si>
  <si>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</si>
  <si>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</si>
  <si>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</si>
  <si>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</si>
  <si>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</si>
  <si>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</si>
  <si>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</si>
  <si>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</si>
  <si>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</si>
  <si>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</si>
  <si>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</si>
  <si>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</si>
  <si>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</si>
  <si>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</si>
  <si>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</si>
  <si>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</si>
  <si>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</si>
  <si>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</si>
  <si>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</si>
  <si>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</si>
  <si>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</si>
  <si>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</si>
  <si>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</si>
  <si>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</si>
  <si>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</si>
  <si>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</si>
  <si>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</si>
  <si>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</si>
  <si>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</si>
  <si>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</si>
  <si>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</si>
  <si>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</si>
  <si>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</si>
  <si>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</si>
  <si>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</si>
  <si>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</si>
  <si>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</si>
  <si>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</si>
  <si>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</si>
  <si>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</si>
  <si>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</si>
  <si>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</si>
  <si>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</si>
  <si>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</si>
  <si>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</si>
  <si>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</si>
  <si>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</si>
  <si>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</si>
  <si>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</si>
  <si>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</si>
  <si>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</si>
  <si>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</si>
  <si>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</si>
  <si>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</si>
  <si>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</si>
  <si>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</si>
  <si>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</si>
  <si>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</si>
  <si>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</si>
  <si>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</si>
  <si>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</si>
  <si>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</si>
  <si>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</si>
  <si>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</si>
  <si>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</si>
  <si>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</si>
  <si>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</si>
  <si>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</si>
  <si>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</si>
  <si>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</si>
  <si>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</si>
  <si>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</si>
  <si>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</si>
  <si>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</si>
  <si>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</si>
  <si>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</si>
  <si>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</si>
  <si>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</si>
  <si>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</si>
  <si>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</si>
  <si>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</si>
  <si>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</si>
  <si>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</si>
  <si>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</si>
  <si>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</si>
  <si>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</si>
  <si>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</si>
  <si>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</si>
  <si>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</si>
  <si>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</si>
  <si>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</si>
  <si>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</si>
  <si>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</si>
  <si>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</si>
  <si>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</si>
  <si>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</si>
  <si>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</si>
  <si>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</si>
  <si>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</si>
  <si>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</si>
  <si>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</si>
  <si>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</si>
  <si>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</si>
  <si>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</si>
  <si>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</si>
  <si>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</si>
  <si>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</si>
  <si>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</si>
  <si>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</si>
  <si>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</si>
  <si>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</si>
  <si>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</si>
  <si>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</si>
  <si>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</si>
  <si>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</si>
  <si>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</si>
  <si>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</si>
  <si>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</si>
  <si>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</si>
  <si>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</si>
  <si>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</si>
  <si>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</si>
  <si>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</si>
  <si>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</si>
  <si>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</si>
  <si>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</si>
  <si>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</si>
  <si>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</si>
  <si>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</si>
  <si>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</si>
  <si>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</si>
  <si>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</si>
  <si>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</si>
  <si>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</si>
  <si>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</si>
  <si>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</si>
  <si>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</si>
  <si>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</si>
  <si>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</si>
  <si>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</si>
  <si>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</si>
  <si>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</si>
  <si>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</si>
  <si>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</si>
  <si>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</si>
  <si>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</si>
  <si>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</si>
  <si>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</si>
  <si>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</si>
  <si>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</si>
  <si>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</si>
  <si>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</si>
  <si>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</si>
  <si>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</si>
  <si>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</si>
  <si>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</si>
  <si>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</si>
  <si>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</si>
  <si>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</si>
  <si>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</si>
  <si>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</si>
  <si>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</si>
  <si>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</si>
  <si>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</si>
  <si>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</si>
  <si>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</si>
  <si>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</si>
  <si>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</si>
  <si>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</si>
  <si>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</si>
  <si>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</si>
  <si>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</si>
  <si>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</si>
  <si>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</si>
  <si>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</si>
  <si>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</si>
  <si>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</si>
  <si>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</si>
  <si>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</si>
  <si>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</si>
  <si>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</si>
  <si>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</si>
  <si>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</si>
  <si>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</si>
  <si>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</si>
  <si>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</si>
  <si>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</si>
  <si>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</si>
  <si>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</si>
  <si>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</si>
  <si>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</si>
  <si>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</si>
  <si>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</si>
  <si>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</si>
  <si>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</si>
  <si>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</si>
  <si>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</si>
  <si>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</si>
  <si>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</si>
  <si>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</si>
  <si>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</si>
  <si>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</si>
  <si>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</si>
  <si>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</si>
  <si>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</si>
  <si>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</si>
  <si>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</si>
  <si>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</si>
  <si>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</si>
  <si>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</si>
  <si>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</si>
  <si>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</si>
  <si>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</si>
  <si>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</si>
  <si>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</si>
  <si>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</si>
  <si>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</si>
  <si>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</si>
  <si>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</si>
  <si>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</si>
  <si>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</si>
  <si>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</si>
  <si>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</si>
  <si>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</si>
  <si>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</si>
  <si>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</si>
  <si>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</si>
  <si>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</si>
  <si>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</si>
  <si>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</si>
  <si>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</si>
  <si>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</si>
  <si>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</si>
  <si>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</si>
  <si>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</si>
  <si>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</si>
  <si>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</si>
  <si>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</si>
  <si>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</si>
  <si>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</si>
  <si>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</si>
  <si>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</si>
  <si>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</si>
  <si>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</si>
  <si>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</si>
  <si>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</si>
  <si>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</si>
  <si>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</si>
  <si>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</si>
  <si>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</si>
  <si>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</si>
  <si>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</si>
  <si>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</si>
  <si>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</si>
  <si>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</si>
  <si>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</si>
  <si>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</si>
  <si>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</si>
  <si>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</si>
  <si>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</si>
  <si>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</si>
  <si>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</si>
  <si>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</si>
  <si>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</si>
  <si>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</si>
  <si>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</si>
  <si>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</si>
  <si>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</si>
  <si>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</si>
  <si>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</si>
  <si>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</si>
  <si>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</si>
  <si>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</si>
  <si>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</si>
  <si>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</si>
  <si>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</si>
  <si>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</si>
  <si>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</si>
  <si>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</si>
  <si>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</si>
  <si>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</si>
  <si>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</si>
  <si>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</si>
  <si>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</si>
  <si>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</si>
  <si>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</si>
  <si>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</si>
  <si>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</si>
  <si>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</si>
  <si>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</si>
  <si>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</si>
  <si>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</si>
  <si>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</si>
  <si>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</si>
  <si>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</si>
  <si>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</si>
  <si>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</si>
  <si>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</si>
  <si>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</si>
  <si>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</si>
  <si>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</si>
  <si>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</si>
  <si>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</si>
  <si>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</si>
  <si>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</si>
  <si>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</si>
  <si>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</si>
  <si>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</si>
  <si>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</si>
  <si>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</si>
  <si>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</si>
  <si>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</si>
  <si>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</si>
  <si>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</si>
  <si>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</si>
  <si>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</si>
  <si>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</si>
  <si>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</si>
  <si>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</si>
  <si>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</si>
  <si>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</si>
  <si>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</si>
  <si>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</si>
  <si>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</si>
  <si>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</si>
  <si>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</si>
  <si>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</si>
  <si>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</si>
  <si>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</si>
  <si>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</si>
  <si>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</si>
  <si>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</si>
  <si>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</si>
  <si>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</si>
  <si>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</si>
  <si>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</si>
  <si>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</si>
  <si>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</si>
  <si>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</si>
  <si>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</si>
  <si>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</si>
  <si>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</si>
  <si>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</si>
  <si>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</si>
  <si>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</si>
  <si>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</si>
  <si>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</si>
  <si>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</si>
  <si>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</si>
  <si>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</si>
  <si>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</si>
  <si>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</si>
  <si>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</si>
  <si>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</si>
  <si>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</si>
  <si>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</si>
  <si>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</si>
  <si>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</si>
  <si>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</si>
  <si>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</si>
  <si>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</si>
  <si>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</si>
  <si>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</si>
  <si>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</si>
  <si>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</si>
  <si>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</si>
  <si>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</si>
  <si>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</si>
  <si>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</si>
  <si>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</si>
  <si>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</si>
  <si>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</si>
  <si>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</si>
  <si>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</si>
  <si>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</si>
  <si>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</si>
  <si>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</si>
  <si>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</si>
  <si>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</si>
  <si>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</si>
  <si>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</si>
  <si>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</si>
  <si>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</si>
  <si>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</si>
  <si>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</si>
  <si>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</si>
  <si>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</si>
  <si>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</si>
  <si>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</si>
  <si>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</si>
  <si>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</si>
  <si>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</si>
  <si>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</si>
  <si>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</si>
  <si>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</si>
  <si>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</si>
  <si>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</si>
  <si>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</si>
  <si>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</si>
  <si>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</si>
  <si>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</si>
  <si>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</si>
  <si>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</si>
  <si>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</si>
  <si>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</si>
  <si>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</si>
  <si>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</si>
  <si>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</si>
  <si>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</si>
  <si>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</si>
  <si>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</si>
  <si>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</si>
  <si>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</si>
  <si>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</si>
  <si>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</si>
  <si>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</si>
  <si>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</si>
  <si>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</si>
  <si>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</si>
  <si>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</si>
  <si>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</si>
  <si>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</si>
  <si>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</si>
  <si>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</si>
  <si>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</si>
  <si>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</si>
  <si>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</si>
  <si>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</si>
  <si>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</si>
  <si>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</si>
  <si>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</si>
  <si>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</si>
  <si>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</si>
  <si>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</si>
  <si>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</si>
  <si>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</si>
  <si>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</si>
  <si>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</si>
  <si>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</si>
  <si>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</si>
  <si>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</si>
  <si>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</si>
  <si>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</si>
  <si>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</si>
  <si>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</si>
  <si>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</si>
  <si>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</si>
  <si>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</si>
  <si>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</si>
  <si>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</si>
  <si>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</si>
  <si>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</si>
  <si>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</si>
  <si>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</si>
  <si>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</si>
  <si>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</si>
  <si>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</si>
  <si>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</si>
  <si>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</si>
  <si>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</si>
  <si>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</si>
  <si>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</si>
  <si>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</si>
  <si>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</si>
  <si>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</si>
  <si>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</si>
  <si>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</si>
  <si>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</si>
  <si>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</si>
  <si>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</si>
  <si>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</si>
  <si>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</si>
  <si>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</si>
  <si>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</si>
  <si>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</si>
  <si>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</si>
  <si>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</si>
  <si>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</si>
  <si>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</si>
  <si>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</si>
  <si>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</si>
  <si>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</si>
  <si>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</si>
  <si>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</si>
  <si>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</si>
  <si>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</si>
  <si>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</si>
  <si>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</si>
  <si>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</si>
  <si>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</si>
  <si>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</si>
  <si>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</si>
  <si>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</si>
  <si>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</si>
  <si>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</si>
  <si>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</si>
  <si>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</si>
  <si>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</si>
  <si>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</si>
  <si>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</si>
  <si>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</si>
  <si>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</si>
  <si>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</si>
  <si>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</si>
  <si>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</si>
  <si>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</si>
  <si>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</si>
  <si>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</si>
  <si>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</si>
  <si>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</si>
  <si>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</si>
  <si>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</si>
  <si>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</si>
  <si>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</si>
  <si>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</si>
  <si>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</si>
  <si>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</si>
  <si>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</si>
  <si>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</si>
  <si>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</si>
  <si>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</si>
  <si>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</si>
  <si>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</si>
  <si>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</si>
  <si>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</si>
  <si>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</si>
  <si>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</si>
  <si>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</si>
  <si>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</si>
  <si>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</si>
  <si>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</si>
  <si>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</si>
  <si>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</si>
  <si>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</si>
  <si>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</si>
  <si>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</si>
  <si>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</si>
  <si>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</si>
  <si>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</si>
  <si>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</si>
  <si>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</si>
  <si>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</si>
  <si>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</si>
  <si>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</si>
  <si>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</si>
  <si>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</si>
  <si>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</si>
  <si>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</si>
  <si>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</si>
  <si>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</si>
  <si>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</si>
  <si>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</si>
  <si>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</si>
  <si>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</si>
  <si>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</si>
  <si>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</si>
  <si>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</si>
  <si>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</si>
  <si>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</si>
  <si>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</si>
  <si>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</si>
  <si>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</si>
  <si>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</si>
  <si>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</si>
  <si>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</si>
  <si>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</si>
  <si>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</si>
  <si>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</si>
  <si>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</si>
  <si>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</si>
  <si>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</si>
  <si>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</si>
  <si>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</si>
  <si>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</si>
  <si>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</si>
  <si>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</si>
  <si>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</si>
  <si>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</si>
  <si>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</si>
  <si>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</si>
  <si>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</si>
  <si>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</si>
  <si>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</si>
  <si>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</si>
  <si>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</si>
  <si>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</si>
  <si>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</si>
  <si>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</si>
  <si>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</si>
  <si>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</si>
  <si>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</si>
  <si>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</si>
  <si>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</si>
  <si>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</si>
  <si>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</si>
  <si>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</si>
  <si>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</si>
  <si>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</si>
  <si>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</si>
  <si>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</si>
  <si>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</si>
  <si>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</si>
  <si>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</si>
  <si>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</si>
  <si>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</si>
  <si>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</si>
  <si>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</si>
  <si>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</si>
  <si>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</si>
  <si>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</si>
  <si>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</si>
  <si>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</si>
  <si>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</si>
  <si>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</si>
  <si>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</si>
  <si>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</si>
  <si>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</si>
  <si>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</si>
  <si>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</si>
  <si>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</si>
  <si>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</si>
  <si>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</si>
  <si>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</si>
  <si>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</si>
  <si>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</si>
  <si>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</si>
  <si>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</si>
  <si>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</si>
  <si>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</si>
  <si>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</si>
  <si>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</si>
  <si>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</si>
  <si>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</si>
  <si>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</si>
  <si>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</si>
  <si>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</si>
  <si>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</si>
  <si>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</si>
  <si>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</si>
  <si>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</si>
  <si>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</si>
  <si>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</si>
  <si>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</si>
  <si>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</si>
  <si>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</si>
  <si>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</si>
  <si>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</si>
  <si>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</si>
  <si>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</si>
  <si>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</si>
  <si>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</si>
  <si>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</si>
  <si>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</si>
  <si>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</si>
  <si>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</si>
  <si>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</si>
  <si>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</si>
  <si>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</si>
  <si>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</si>
  <si>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</si>
  <si>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</si>
  <si>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</si>
  <si>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</si>
  <si>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</si>
  <si>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</si>
  <si>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</si>
  <si>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</si>
  <si>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</si>
  <si>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</si>
  <si>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</si>
  <si>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</si>
  <si>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</si>
  <si>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</si>
  <si>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</si>
  <si>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</si>
  <si>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</si>
  <si>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</si>
  <si>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</si>
  <si>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</si>
  <si>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</si>
  <si>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</si>
  <si>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</si>
  <si>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</si>
  <si>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</si>
  <si>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</si>
  <si>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</si>
  <si>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</si>
  <si>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</si>
  <si>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</si>
  <si>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</si>
  <si>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</si>
  <si>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</si>
  <si>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</si>
  <si>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</si>
  <si>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</si>
  <si>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</si>
  <si>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</si>
  <si>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</si>
  <si>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</si>
  <si>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</si>
  <si>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</si>
  <si>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</si>
  <si>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</si>
  <si>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</si>
  <si>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</si>
  <si>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</si>
  <si>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</si>
  <si>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</si>
  <si>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</si>
  <si>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</si>
  <si>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</si>
  <si>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</si>
  <si>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</si>
  <si>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</si>
  <si>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</si>
  <si>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</si>
  <si>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</si>
  <si>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</si>
  <si>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</si>
  <si>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</si>
  <si>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</si>
  <si>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</si>
  <si>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</si>
  <si>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</si>
  <si>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</si>
  <si>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</si>
  <si>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</si>
  <si>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</si>
  <si>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</si>
  <si>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</si>
  <si>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</si>
  <si>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</si>
  <si>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</si>
  <si>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</si>
  <si>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</si>
  <si>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</si>
  <si>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</si>
  <si>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</si>
  <si>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</si>
  <si>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</si>
  <si>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</si>
  <si>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</si>
  <si>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</si>
  <si>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</si>
  <si>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</si>
  <si>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</si>
  <si>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</si>
  <si>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</si>
  <si>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</si>
  <si>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</si>
  <si>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</si>
  <si>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</si>
  <si>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</si>
  <si>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</si>
  <si>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</si>
  <si>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</si>
  <si>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</si>
  <si>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</si>
  <si>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</si>
  <si>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</si>
  <si>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</si>
  <si>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</si>
  <si>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</si>
  <si>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</si>
  <si>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</si>
  <si>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</si>
  <si>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</si>
  <si>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</si>
  <si>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</si>
  <si>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</si>
  <si>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</si>
  <si>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</si>
  <si>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</si>
  <si>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</si>
  <si>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</si>
  <si>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</si>
  <si>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</si>
  <si>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</si>
  <si>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</si>
  <si>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</si>
  <si>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</si>
  <si>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</si>
  <si>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</si>
  <si>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</si>
  <si>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</si>
  <si>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</si>
  <si>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</si>
  <si>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</si>
  <si>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</si>
  <si>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</si>
  <si>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</si>
  <si>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</si>
  <si>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</si>
  <si>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</si>
  <si>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</si>
  <si>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</si>
  <si>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</si>
  <si>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</si>
  <si>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</si>
  <si>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</si>
  <si>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</si>
  <si>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</si>
  <si>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</si>
  <si>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</si>
  <si>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</si>
  <si>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</si>
  <si>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</si>
  <si>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</si>
  <si>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</si>
  <si>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</si>
  <si>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</si>
  <si>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</si>
  <si>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</si>
  <si>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</si>
  <si>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</si>
  <si>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</si>
  <si>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</si>
  <si>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</si>
  <si>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</si>
  <si>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</si>
  <si>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</si>
  <si>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</si>
  <si>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</si>
  <si>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</si>
  <si>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</si>
  <si>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</si>
  <si>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</si>
  <si>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</si>
  <si>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</si>
  <si>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</si>
  <si>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</si>
  <si>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</si>
  <si>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</si>
  <si>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</si>
  <si>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</si>
  <si>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</si>
  <si>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</si>
  <si>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</si>
  <si>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</si>
  <si>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</si>
  <si>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</si>
  <si>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</si>
  <si>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</si>
  <si>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</si>
  <si>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</si>
  <si>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</si>
  <si>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</si>
  <si>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</si>
  <si>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</si>
  <si>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</si>
  <si>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</si>
  <si>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</si>
  <si>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</si>
  <si>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</si>
  <si>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</si>
  <si>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</si>
  <si>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</si>
  <si>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</si>
  <si>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</si>
  <si>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</si>
  <si>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</si>
  <si>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</si>
  <si>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</si>
  <si>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</si>
  <si>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</si>
  <si>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</si>
  <si>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</si>
  <si>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</si>
  <si>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</si>
  <si>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</si>
  <si>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</si>
  <si>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</si>
  <si>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</si>
  <si>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</si>
  <si>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</si>
  <si>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</si>
  <si>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</si>
  <si>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</si>
  <si>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</si>
  <si>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</si>
  <si>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</si>
  <si>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</si>
  <si>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</si>
  <si>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</si>
  <si>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</si>
  <si>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</si>
  <si>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</si>
  <si>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</si>
  <si>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</si>
  <si>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</si>
  <si>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</si>
  <si>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</si>
  <si>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</si>
  <si>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</si>
  <si>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</si>
  <si>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</si>
  <si>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</si>
  <si>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</si>
  <si>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</si>
  <si>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</si>
  <si>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</si>
  <si>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</si>
  <si>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</si>
  <si>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</si>
  <si>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</si>
  <si>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</si>
  <si>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</si>
  <si>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</si>
  <si>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</si>
  <si>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</si>
  <si>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</si>
  <si>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</si>
  <si>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</si>
  <si>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</si>
  <si>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</si>
  <si>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</si>
  <si>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</si>
  <si>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</si>
  <si>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</si>
  <si>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</si>
  <si>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</si>
  <si>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</si>
  <si>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</si>
  <si>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</si>
  <si>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</si>
  <si>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</si>
  <si>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</si>
  <si>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</si>
  <si>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</si>
  <si>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</si>
  <si>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</si>
  <si>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</si>
  <si>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</si>
  <si>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</si>
  <si>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</si>
  <si>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</si>
  <si>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</si>
  <si>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</si>
  <si>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</si>
  <si>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</si>
  <si>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</si>
  <si>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</si>
  <si>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</si>
  <si>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</si>
  <si>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</si>
  <si>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</si>
  <si>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</si>
  <si>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</si>
  <si>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</si>
  <si>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</si>
  <si>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</si>
  <si>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</si>
  <si>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</si>
  <si>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</si>
  <si>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</si>
  <si>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</si>
  <si>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</si>
  <si>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</si>
  <si>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</si>
  <si>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</si>
  <si>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</si>
  <si>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</si>
  <si>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</si>
  <si>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</si>
  <si>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</si>
  <si>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</si>
  <si>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</si>
  <si>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</si>
  <si>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</si>
  <si>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</si>
  <si>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</si>
  <si>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</si>
  <si>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</si>
  <si>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</si>
  <si>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</si>
  <si>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</si>
  <si>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</si>
  <si>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</si>
  <si>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</si>
  <si>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</si>
  <si>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</si>
  <si>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</si>
  <si>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</si>
  <si>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</si>
  <si>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</si>
  <si>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</si>
  <si>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</si>
  <si>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</si>
  <si>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</si>
  <si>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</si>
  <si>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</si>
  <si>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</si>
  <si>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</si>
  <si>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</si>
  <si>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</si>
  <si>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</si>
  <si>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</si>
  <si>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</si>
  <si>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</si>
  <si>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</si>
  <si>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</si>
  <si>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</si>
  <si>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</si>
  <si>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</si>
  <si>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</si>
  <si>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</si>
  <si>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</si>
  <si>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</si>
  <si>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</si>
  <si>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</si>
  <si>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</si>
  <si>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</si>
  <si>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</si>
  <si>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</si>
  <si>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</si>
  <si>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</si>
  <si>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</si>
  <si>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</si>
  <si>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</si>
  <si>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</si>
  <si>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</si>
  <si>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</si>
  <si>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</si>
  <si>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</si>
  <si>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</si>
  <si>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</si>
  <si>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</si>
  <si>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</si>
  <si>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</si>
  <si>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</si>
  <si>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</si>
  <si>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</si>
  <si>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</si>
  <si>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</si>
  <si>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</si>
  <si>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</si>
  <si>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</si>
  <si>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</si>
  <si>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</si>
  <si>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</si>
  <si>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</si>
  <si>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</si>
  <si>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</si>
  <si>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</si>
  <si>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</si>
  <si>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</si>
  <si>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</si>
  <si>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</si>
  <si>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</si>
  <si>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</si>
  <si>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</si>
  <si>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</si>
  <si>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</si>
  <si>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</si>
  <si>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</si>
  <si>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</si>
  <si>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</si>
  <si>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</si>
  <si>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</si>
  <si>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</si>
  <si>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</si>
  <si>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</si>
  <si>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</si>
  <si>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</si>
  <si>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</si>
  <si>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</si>
  <si>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</si>
  <si>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</si>
  <si>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</si>
  <si>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</si>
  <si>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</si>
  <si>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</si>
  <si>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</si>
  <si>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</si>
  <si>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</si>
  <si>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</si>
  <si>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</si>
  <si>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</si>
  <si>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</si>
  <si>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</si>
  <si>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</si>
  <si>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</si>
  <si>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</si>
  <si>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</si>
  <si>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</si>
  <si>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</si>
  <si>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</si>
  <si>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</si>
  <si>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</si>
  <si>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</si>
  <si>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</si>
  <si>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</si>
  <si>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</si>
  <si>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</si>
  <si>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</si>
  <si>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</si>
  <si>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</si>
  <si>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</si>
  <si>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</si>
  <si>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</si>
  <si>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</si>
  <si>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</si>
  <si>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</si>
  <si>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</si>
  <si>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</si>
  <si>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</si>
  <si>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</si>
  <si>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</si>
  <si>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</si>
  <si>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</si>
  <si>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</si>
  <si>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</si>
  <si>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</si>
  <si>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</si>
  <si>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</si>
  <si>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</si>
  <si>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</si>
  <si>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</si>
  <si>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</si>
  <si>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</si>
  <si>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</si>
  <si>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</si>
  <si>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</si>
  <si>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</si>
  <si>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</si>
  <si>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</si>
  <si>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</si>
  <si>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</si>
  <si>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</si>
  <si>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</si>
  <si>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</si>
  <si>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</si>
  <si>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</si>
  <si>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</si>
  <si>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</si>
  <si>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</si>
  <si>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</si>
  <si>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</si>
  <si>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</si>
  <si>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</si>
  <si>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</si>
  <si>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</si>
  <si>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</si>
  <si>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</si>
  <si>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</si>
  <si>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</si>
  <si>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</si>
  <si>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</si>
  <si>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</si>
  <si>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</si>
  <si>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</si>
  <si>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</si>
  <si>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</si>
  <si>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</si>
  <si>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</si>
  <si>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</si>
  <si>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</si>
  <si>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</si>
  <si>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</si>
  <si>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</si>
  <si>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</si>
  <si>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</si>
  <si>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</si>
  <si>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</si>
  <si>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</si>
  <si>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</si>
  <si>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</si>
  <si>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</si>
  <si>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</si>
  <si>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</si>
  <si>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</si>
  <si>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</si>
  <si>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</si>
  <si>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</si>
  <si>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</si>
  <si>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</si>
  <si>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</si>
  <si>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</si>
  <si>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</si>
  <si>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</si>
  <si>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</si>
  <si>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</si>
  <si>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</si>
  <si>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</si>
  <si>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</si>
  <si>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</si>
  <si>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</si>
  <si>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</si>
  <si>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</si>
  <si>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</si>
  <si>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</si>
  <si>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</si>
  <si>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</si>
  <si>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</si>
  <si>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</si>
  <si>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</si>
  <si>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</si>
  <si>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</si>
  <si>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</si>
  <si>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</si>
  <si>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</si>
  <si>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</si>
  <si>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</si>
  <si>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</si>
  <si>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</si>
  <si>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</si>
  <si>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</si>
  <si>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</si>
  <si>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</si>
  <si>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</si>
  <si>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</si>
  <si>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</si>
  <si>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</si>
  <si>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</si>
  <si>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</si>
  <si>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</si>
  <si>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</si>
  <si>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</si>
  <si>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</si>
  <si>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</si>
  <si>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</si>
  <si>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</si>
  <si>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</si>
  <si>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</si>
  <si>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</si>
  <si>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</si>
  <si>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</si>
  <si>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</si>
  <si>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</si>
  <si>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</si>
  <si>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</si>
  <si>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</si>
  <si>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</si>
  <si>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</si>
  <si>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</si>
  <si>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</si>
  <si>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</si>
  <si>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</si>
  <si>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</si>
  <si>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</si>
  <si>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</si>
  <si>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</si>
  <si>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</si>
  <si>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</si>
  <si>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</si>
  <si>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</si>
  <si>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</si>
  <si>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</si>
  <si>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</si>
  <si>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</si>
  <si>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</si>
  <si>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</si>
  <si>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</si>
  <si>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</si>
  <si>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</si>
  <si>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</si>
  <si>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</si>
  <si>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</si>
  <si>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</si>
  <si>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</si>
  <si>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</si>
  <si>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</si>
  <si>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</si>
  <si>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</si>
  <si>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</si>
  <si>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</si>
  <si>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</si>
  <si>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</si>
  <si>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</si>
  <si>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</si>
  <si>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</si>
  <si>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</si>
  <si>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</si>
  <si>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</si>
  <si>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</si>
  <si>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</si>
  <si>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</si>
  <si>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</si>
  <si>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</si>
  <si>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</si>
  <si>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</si>
  <si>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</si>
  <si>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</si>
  <si>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</si>
  <si>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</si>
  <si>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</si>
  <si>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</si>
  <si>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</si>
  <si>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</si>
  <si>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</si>
  <si>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</si>
  <si>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</si>
  <si>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</si>
  <si>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</si>
  <si>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</si>
  <si>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</si>
  <si>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</si>
  <si>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</si>
  <si>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</si>
  <si>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</si>
  <si>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</si>
  <si>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</si>
  <si>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</si>
  <si>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</si>
  <si>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</si>
  <si>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</si>
  <si>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</si>
  <si>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</si>
  <si>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</si>
  <si>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</si>
  <si>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</si>
  <si>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</si>
  <si>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</si>
  <si>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</si>
  <si>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</si>
  <si>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</si>
  <si>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</si>
  <si>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</si>
  <si>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</si>
  <si>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</si>
  <si>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</si>
  <si>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</si>
  <si>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</si>
  <si>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</si>
  <si>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</si>
  <si>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</si>
  <si>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</si>
  <si>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</si>
  <si>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</si>
  <si>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</si>
  <si>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</si>
  <si>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</si>
  <si>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</si>
  <si>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</si>
  <si>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</si>
  <si>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</si>
  <si>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</si>
  <si>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</si>
  <si>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</si>
  <si>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</si>
  <si>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</si>
  <si>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</si>
  <si>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</si>
  <si>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</si>
  <si>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</si>
  <si>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</si>
  <si>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</si>
  <si>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</si>
  <si>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</si>
  <si>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</si>
  <si>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</si>
  <si>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</si>
  <si>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</si>
  <si>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</si>
  <si>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</si>
  <si>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</si>
  <si>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</si>
  <si>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</si>
  <si>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</si>
  <si>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</si>
  <si>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</si>
  <si>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</si>
  <si>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</si>
  <si>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</si>
  <si>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</si>
  <si>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</si>
  <si>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</si>
  <si>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</si>
  <si>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</si>
  <si>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</si>
  <si>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</si>
  <si>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</si>
  <si>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</si>
  <si>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</si>
  <si>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</si>
  <si>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</si>
  <si>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</si>
  <si>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</si>
  <si>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</si>
  <si>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</si>
  <si>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</si>
  <si>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</si>
  <si>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</si>
  <si>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</si>
  <si>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</si>
  <si>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</si>
  <si>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</si>
  <si>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</si>
  <si>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</si>
  <si>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</si>
  <si>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</si>
  <si>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</si>
  <si>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</si>
  <si>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</si>
  <si>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</si>
  <si>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</si>
  <si>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</si>
  <si>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</si>
  <si>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</si>
  <si>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</si>
  <si>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</si>
  <si>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</si>
  <si>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</si>
  <si>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</si>
  <si>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</si>
  <si>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</si>
  <si>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</si>
  <si>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</si>
  <si>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</si>
  <si>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</si>
  <si>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</si>
  <si>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</si>
  <si>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</si>
  <si>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</si>
  <si>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</si>
  <si>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</si>
  <si>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</si>
  <si>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</si>
  <si>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</si>
  <si>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</si>
  <si>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</si>
  <si>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</si>
  <si>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</si>
  <si>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</si>
  <si>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</si>
  <si>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</si>
  <si>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</si>
  <si>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</si>
  <si>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</si>
  <si>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</si>
  <si>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</si>
  <si>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</si>
  <si>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</si>
  <si>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</si>
  <si>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</si>
  <si>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</si>
  <si>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</si>
  <si>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</si>
  <si>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</si>
  <si>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</si>
  <si>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</si>
  <si>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</si>
  <si>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</si>
  <si>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</si>
  <si>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</si>
  <si>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</si>
  <si>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</si>
  <si>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</si>
  <si>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</si>
  <si>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</si>
  <si>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</si>
  <si>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</si>
  <si>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</si>
  <si>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</si>
  <si>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</si>
  <si>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</si>
  <si>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</si>
  <si>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</si>
  <si>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</si>
  <si>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</si>
  <si>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</si>
  <si>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</si>
  <si>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</si>
  <si>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</si>
  <si>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</si>
  <si>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</si>
  <si>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</si>
  <si>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</si>
  <si>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</si>
  <si>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</si>
  <si>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</si>
  <si>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</si>
  <si>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</si>
  <si>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</si>
  <si>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</si>
  <si>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</si>
  <si>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</si>
  <si>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</si>
  <si>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</si>
  <si>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</si>
  <si>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</si>
  <si>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</si>
  <si>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</si>
  <si>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</si>
  <si>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</si>
  <si>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</si>
  <si>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</si>
  <si>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</si>
  <si>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</si>
  <si>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</si>
  <si>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</si>
  <si>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</si>
  <si>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</si>
  <si>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</si>
  <si>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</si>
  <si>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</si>
  <si>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</si>
  <si>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</si>
  <si>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</si>
  <si>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</si>
  <si>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</si>
  <si>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</si>
  <si>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</si>
  <si>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</si>
  <si>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</si>
  <si>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</si>
  <si>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</si>
  <si>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</si>
  <si>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</si>
  <si>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</si>
  <si>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</si>
  <si>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</si>
  <si>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</si>
  <si>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</si>
  <si>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</si>
  <si>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</si>
  <si>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</si>
  <si>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</si>
  <si>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</si>
  <si>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</si>
  <si>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</si>
  <si>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</si>
  <si>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</si>
  <si>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</si>
  <si>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</si>
  <si>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</si>
  <si>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</si>
  <si>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</si>
  <si>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</si>
  <si>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</si>
  <si>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</si>
  <si>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</si>
  <si>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</si>
  <si>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</si>
  <si>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</si>
  <si>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</si>
  <si>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</si>
  <si>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</si>
  <si>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</si>
  <si>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</si>
  <si>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</si>
  <si>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</si>
  <si>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</si>
  <si>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</si>
  <si>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</si>
  <si>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</si>
  <si>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</si>
  <si>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</si>
  <si>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</si>
  <si>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</si>
  <si>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</si>
  <si>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</si>
  <si>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</si>
  <si>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</si>
  <si>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</si>
  <si>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</si>
  <si>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</si>
  <si>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</si>
  <si>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</si>
  <si>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</si>
  <si>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</si>
  <si>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</si>
  <si>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</si>
  <si>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</si>
  <si>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</si>
  <si>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</si>
  <si>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</si>
  <si>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</si>
  <si>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</si>
  <si>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</si>
  <si>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</si>
  <si>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</si>
  <si>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</si>
  <si>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</si>
  <si>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</si>
  <si>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</si>
  <si>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</si>
  <si>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</si>
  <si>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</si>
  <si>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</si>
  <si>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</si>
  <si>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</si>
  <si>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</si>
  <si>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</si>
  <si>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</si>
  <si>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</si>
  <si>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</si>
  <si>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</si>
  <si>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</si>
  <si>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</si>
  <si>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</si>
  <si>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</si>
  <si>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</si>
  <si>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</si>
  <si>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</si>
  <si>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</si>
  <si>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</si>
  <si>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</si>
  <si>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</si>
  <si>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</si>
  <si>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</si>
  <si>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</si>
  <si>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</si>
  <si>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</si>
  <si>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</si>
  <si>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</si>
  <si>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</si>
  <si>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</si>
  <si>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</si>
  <si>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</si>
  <si>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</si>
  <si>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</si>
  <si>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</si>
  <si>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</si>
  <si>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</si>
  <si>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</si>
  <si>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</si>
  <si>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</si>
  <si>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</si>
  <si>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</si>
  <si>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</si>
  <si>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</si>
  <si>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</si>
  <si>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</si>
  <si>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</si>
  <si>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</si>
  <si>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</si>
  <si>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</si>
  <si>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</si>
  <si>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</si>
  <si>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</si>
  <si>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</si>
  <si>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</si>
  <si>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</si>
  <si>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</si>
  <si>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</si>
  <si>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</si>
  <si>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</si>
  <si>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</si>
  <si>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</si>
  <si>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</si>
  <si>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</si>
  <si>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</si>
  <si>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</si>
  <si>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</si>
  <si>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</si>
  <si>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</si>
  <si>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</si>
  <si>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</si>
  <si>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</si>
  <si>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</si>
  <si>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</si>
  <si>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</si>
  <si>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</si>
  <si>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</si>
  <si>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</si>
  <si>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</si>
  <si>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</si>
  <si>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</si>
  <si>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</si>
  <si>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</si>
  <si>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</si>
  <si>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</si>
  <si>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</si>
  <si>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</si>
  <si>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</si>
  <si>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</si>
  <si>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</si>
  <si>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</si>
  <si>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</si>
  <si>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</si>
  <si>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</si>
  <si>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</si>
  <si>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</si>
  <si>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</si>
  <si>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</si>
  <si>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</si>
  <si>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</si>
  <si>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</si>
  <si>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</si>
  <si>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</si>
  <si>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</si>
  <si>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</si>
  <si>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</si>
  <si>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</si>
  <si>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</si>
  <si>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</si>
  <si>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</si>
  <si>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</si>
  <si>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</si>
  <si>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</si>
  <si>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</si>
  <si>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</si>
  <si>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</si>
  <si>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</si>
  <si>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</si>
  <si>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</si>
  <si>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</si>
  <si>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</si>
  <si>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</si>
  <si>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</si>
  <si>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</si>
  <si>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</si>
  <si>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</si>
  <si>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</si>
  <si>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</si>
  <si>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</si>
  <si>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</si>
  <si>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</si>
  <si>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</si>
  <si>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</si>
  <si>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</si>
  <si>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</si>
  <si>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</si>
  <si>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</si>
  <si>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</si>
  <si>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</si>
  <si>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</si>
  <si>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</si>
  <si>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</si>
  <si>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</si>
  <si>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</si>
  <si>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</si>
  <si>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</si>
  <si>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</si>
  <si>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</si>
  <si>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</si>
  <si>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</si>
  <si>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</si>
  <si>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</si>
  <si>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</si>
  <si>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</si>
  <si>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</si>
  <si>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</si>
  <si>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</si>
  <si>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</si>
  <si>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</si>
  <si>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</si>
  <si>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</si>
  <si>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</si>
  <si>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</si>
  <si>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</si>
  <si>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</si>
  <si>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</si>
  <si>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</si>
  <si>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</si>
  <si>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</si>
  <si>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</si>
  <si>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</si>
  <si>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</si>
  <si>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</si>
  <si>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</si>
  <si>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</si>
  <si>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</si>
  <si>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</si>
  <si>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</si>
  <si>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</si>
  <si>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</si>
  <si>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</si>
  <si>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</si>
  <si>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</si>
  <si>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</si>
  <si>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</si>
  <si>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</si>
  <si>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</si>
  <si>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</si>
  <si>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</si>
  <si>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</si>
  <si>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</si>
  <si>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</si>
  <si>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</si>
  <si>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</si>
  <si>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</si>
  <si>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</si>
  <si>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</si>
  <si>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</si>
  <si>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</si>
  <si>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</si>
  <si>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</si>
  <si>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</si>
  <si>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</si>
  <si>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</si>
  <si>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</si>
  <si>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</si>
  <si>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</si>
  <si>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</si>
  <si>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</si>
  <si>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</si>
  <si>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</si>
  <si>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</si>
  <si>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</si>
  <si>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</si>
  <si>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</si>
  <si>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</si>
  <si>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</si>
  <si>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</si>
  <si>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</si>
  <si>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</si>
  <si>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</si>
  <si>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</si>
  <si>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</si>
  <si>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</si>
  <si>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</si>
  <si>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</si>
  <si>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</si>
  <si>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</si>
  <si>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</si>
  <si>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</si>
  <si>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</si>
  <si>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</si>
  <si>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</si>
  <si>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</si>
  <si>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</si>
  <si>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</si>
  <si>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</si>
  <si>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</si>
  <si>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</si>
  <si>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</si>
  <si>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</si>
  <si>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</si>
  <si>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</si>
  <si>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</si>
  <si>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</si>
  <si>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</si>
  <si>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</si>
  <si>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</si>
  <si>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</si>
  <si>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</si>
  <si>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</si>
  <si>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</si>
  <si>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</si>
  <si>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</si>
  <si>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</si>
  <si>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</si>
  <si>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</si>
  <si>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</si>
  <si>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</si>
  <si>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</si>
  <si>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</si>
  <si>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</si>
  <si>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</si>
  <si>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</si>
  <si>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</si>
  <si>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</si>
  <si>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</si>
  <si>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</si>
  <si>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</si>
  <si>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</si>
  <si>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</si>
  <si>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</si>
  <si>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</si>
  <si>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</si>
  <si>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</si>
  <si>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</si>
  <si>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</si>
  <si>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</si>
  <si>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</si>
  <si>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</si>
  <si>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</si>
  <si>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</si>
  <si>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</si>
  <si>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</si>
  <si>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</si>
  <si>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</si>
  <si>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</si>
  <si>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</si>
  <si>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</si>
  <si>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</si>
  <si>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</si>
  <si>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</si>
  <si>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</si>
  <si>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</si>
  <si>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</si>
  <si>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</si>
  <si>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</si>
  <si>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</si>
  <si>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</si>
  <si>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</si>
  <si>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</si>
  <si>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</si>
  <si>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</si>
  <si>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</si>
  <si>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</si>
  <si>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</si>
  <si>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</si>
  <si>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</si>
  <si>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</si>
  <si>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</si>
  <si>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</si>
  <si>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</si>
  <si>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</si>
  <si>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</si>
  <si>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</si>
  <si>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</si>
  <si>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</si>
  <si>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</si>
  <si>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</si>
  <si>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</si>
  <si>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</si>
  <si>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</si>
  <si>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</si>
  <si>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</si>
  <si>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</si>
  <si>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</si>
  <si>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</si>
  <si>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</si>
  <si>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</si>
  <si>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</si>
  <si>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</si>
  <si>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</si>
  <si>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</si>
  <si>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</si>
  <si>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</si>
  <si>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</si>
  <si>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</si>
  <si>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</si>
  <si>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</si>
  <si>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</si>
  <si>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</si>
  <si>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</si>
  <si>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</si>
  <si>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</si>
  <si>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</si>
  <si>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</si>
  <si>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</si>
  <si>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</si>
  <si>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</si>
  <si>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</si>
  <si>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</si>
  <si>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</si>
  <si>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</si>
  <si>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</si>
  <si>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</si>
  <si>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</si>
  <si>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</si>
  <si>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</si>
  <si>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</si>
  <si>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</si>
  <si>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</si>
  <si>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</si>
  <si>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</si>
  <si>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</si>
  <si>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</si>
  <si>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</si>
  <si>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</si>
  <si>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</si>
  <si>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</si>
  <si>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</si>
  <si>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</si>
  <si>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</si>
  <si>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</si>
  <si>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</si>
  <si>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</si>
  <si>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</si>
  <si>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</si>
  <si>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</si>
  <si>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</si>
  <si>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</si>
  <si>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</si>
  <si>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</si>
  <si>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</si>
  <si>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</si>
  <si>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</si>
  <si>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</si>
  <si>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</si>
  <si>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</si>
  <si>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</si>
  <si>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</si>
  <si>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</si>
  <si>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</si>
  <si>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</si>
  <si>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</si>
  <si>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</si>
  <si>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</si>
  <si>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</si>
  <si>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</si>
  <si>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</si>
  <si>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</si>
  <si>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</si>
  <si>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</si>
  <si>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</si>
  <si>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</si>
  <si>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</si>
  <si>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</si>
  <si>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</si>
  <si>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</si>
  <si>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</si>
  <si>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</si>
  <si>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</si>
  <si>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</si>
  <si>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</si>
  <si>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</si>
  <si>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</si>
  <si>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</si>
  <si>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</si>
  <si>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</si>
  <si>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</si>
  <si>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</si>
  <si>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</si>
  <si>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</si>
  <si>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</si>
  <si>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</si>
  <si>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</si>
  <si>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</si>
  <si>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</si>
  <si>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</si>
  <si>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</si>
  <si>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</si>
  <si>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</si>
  <si>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</si>
  <si>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</si>
  <si>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</si>
  <si>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</si>
  <si>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</si>
  <si>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</si>
  <si>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</si>
  <si>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</si>
  <si>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</si>
  <si>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</si>
  <si>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</si>
  <si>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</si>
  <si>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</si>
  <si>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</si>
  <si>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</si>
  <si>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</si>
  <si>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</si>
  <si>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</si>
  <si>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</si>
  <si>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</si>
  <si>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</si>
  <si>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</si>
  <si>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</si>
  <si>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</si>
  <si>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</si>
  <si>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</si>
  <si>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</si>
  <si>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</si>
  <si>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</si>
  <si>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</si>
  <si>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</si>
  <si>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</si>
  <si>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</si>
  <si>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</si>
  <si>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</si>
  <si>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</si>
  <si>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</si>
  <si>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</si>
  <si>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</si>
  <si>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</si>
  <si>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</si>
  <si>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</si>
  <si>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</si>
  <si>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</si>
  <si>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</si>
  <si>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</si>
  <si>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</si>
  <si>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</si>
  <si>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</si>
  <si>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</si>
  <si>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</si>
  <si>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</si>
  <si>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</si>
  <si>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</si>
  <si>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</si>
  <si>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</si>
  <si>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</si>
  <si>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</si>
  <si>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</si>
  <si>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</si>
  <si>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</si>
  <si>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</si>
  <si>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</si>
  <si>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</si>
  <si>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</si>
  <si>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</si>
  <si>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</si>
  <si>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</si>
  <si>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</si>
  <si>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</si>
  <si>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</si>
  <si>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</si>
  <si>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</si>
  <si>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</si>
  <si>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</si>
  <si>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</si>
  <si>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</si>
  <si>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</si>
  <si>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</si>
  <si>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</si>
  <si>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</si>
  <si>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</si>
  <si>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</si>
  <si>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</si>
  <si>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</si>
  <si>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</si>
  <si>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</si>
  <si>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</si>
  <si>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</si>
  <si>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</si>
  <si>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</si>
  <si>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</si>
  <si>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</si>
  <si>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</si>
  <si>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</si>
  <si>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</si>
  <si>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</si>
  <si>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</si>
  <si>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</si>
  <si>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</si>
  <si>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</si>
  <si>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</si>
  <si>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</si>
  <si>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</si>
  <si>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</si>
  <si>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</si>
  <si>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</si>
  <si>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</si>
  <si>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</si>
  <si>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</si>
  <si>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</si>
  <si>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</si>
  <si>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</si>
  <si>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</si>
  <si>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</si>
  <si>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</si>
  <si>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</si>
  <si>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</si>
  <si>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</si>
  <si>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</si>
  <si>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</si>
  <si>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</si>
  <si>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</si>
  <si>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</si>
  <si>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</si>
  <si>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</si>
  <si>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</si>
  <si>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</si>
  <si>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</si>
  <si>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</si>
  <si>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</si>
  <si>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</si>
  <si>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</si>
  <si>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</si>
  <si>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</si>
  <si>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</si>
  <si>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</si>
  <si>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</si>
  <si>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</si>
  <si>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</si>
  <si>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</si>
  <si>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</si>
  <si>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</si>
  <si>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</si>
  <si>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</si>
  <si>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</si>
  <si>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</si>
  <si>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</si>
  <si>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</si>
  <si>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</si>
  <si>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</si>
  <si>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</si>
  <si>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</si>
  <si>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</si>
  <si>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</si>
  <si>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</si>
  <si>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</si>
  <si>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</si>
  <si>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</si>
  <si>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</si>
  <si>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</si>
  <si>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</si>
  <si>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</si>
  <si>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</si>
  <si>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</si>
  <si>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</si>
  <si>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</si>
  <si>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</si>
  <si>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</si>
  <si>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</si>
  <si>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</si>
  <si>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</si>
  <si>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</si>
  <si>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</si>
  <si>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</si>
  <si>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</si>
  <si>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</si>
  <si>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</si>
  <si>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</si>
  <si>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</si>
  <si>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</si>
  <si>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</si>
  <si>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</si>
  <si>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</si>
  <si>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</si>
  <si>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</si>
  <si>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</si>
  <si>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</si>
  <si>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</si>
  <si>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</si>
  <si>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</si>
  <si>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</si>
  <si>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</si>
  <si>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</si>
  <si>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</si>
  <si>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</si>
  <si>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</si>
  <si>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</si>
  <si>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</si>
  <si>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</si>
  <si>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</si>
  <si>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</si>
  <si>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</si>
  <si>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</si>
  <si>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</si>
  <si>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</si>
  <si>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</si>
  <si>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</si>
  <si>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</si>
  <si>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</si>
  <si>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</si>
  <si>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</si>
  <si>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</si>
  <si>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</si>
  <si>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</si>
  <si>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</si>
  <si>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</si>
  <si>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</si>
  <si>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</si>
  <si>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</si>
  <si>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</si>
  <si>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</si>
  <si>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</si>
  <si>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</si>
  <si>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</si>
  <si>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</si>
  <si>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</si>
  <si>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</si>
  <si>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</si>
  <si>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</si>
  <si>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</si>
  <si>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</si>
  <si>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</si>
  <si>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</si>
  <si>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</si>
  <si>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</si>
  <si>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</si>
  <si>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</si>
  <si>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</si>
  <si>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</si>
  <si>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</si>
  <si>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</si>
  <si>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</si>
  <si>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</si>
  <si>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</si>
  <si>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</si>
  <si>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</si>
  <si>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</si>
  <si>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</si>
  <si>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</si>
  <si>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</si>
  <si>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</si>
  <si>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</si>
  <si>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</si>
  <si>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</si>
  <si>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</si>
  <si>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</si>
  <si>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</si>
  <si>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</si>
  <si>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</si>
  <si>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</si>
  <si>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</si>
  <si>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</si>
  <si>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</si>
  <si>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</si>
  <si>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</si>
  <si>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</si>
  <si>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</si>
  <si>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</si>
  <si>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</si>
  <si>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</si>
  <si>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</si>
  <si>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</si>
  <si>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</si>
  <si>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</si>
  <si>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</si>
  <si>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</si>
  <si>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</si>
  <si>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</si>
  <si>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</si>
  <si>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</si>
  <si>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</si>
  <si>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</si>
  <si>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</si>
  <si>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</si>
  <si>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</si>
  <si>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</si>
  <si>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</si>
  <si>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</si>
  <si>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</si>
  <si>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</si>
  <si>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</si>
  <si>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</si>
  <si>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</si>
  <si>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</si>
  <si>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</si>
  <si>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</si>
  <si>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</si>
  <si>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</si>
  <si>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</si>
  <si>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</si>
  <si>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</si>
  <si>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</si>
  <si>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</si>
  <si>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</si>
  <si>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</si>
  <si>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</si>
  <si>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</si>
  <si>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</si>
  <si>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</si>
  <si>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</si>
  <si>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</si>
  <si>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</si>
  <si>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</si>
  <si>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</si>
  <si>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</si>
  <si>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</si>
  <si>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</si>
  <si>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</si>
  <si>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</si>
  <si>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</si>
  <si>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</si>
  <si>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</si>
  <si>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</si>
  <si>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</si>
  <si>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</si>
  <si>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</si>
  <si>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</si>
  <si>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</si>
  <si>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</si>
  <si>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</si>
  <si>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</si>
  <si>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</si>
  <si>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</si>
  <si>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</si>
  <si>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</si>
  <si>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</si>
  <si>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</si>
  <si>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</si>
  <si>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</si>
  <si>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</si>
  <si>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</si>
  <si>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</si>
  <si>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</si>
  <si>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</si>
  <si>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</si>
  <si>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</si>
  <si>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</si>
  <si>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</si>
  <si>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</si>
  <si>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</si>
  <si>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</si>
  <si>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</si>
  <si>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</si>
  <si>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</si>
  <si>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</si>
  <si>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</si>
  <si>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</si>
  <si>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</si>
  <si>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</si>
  <si>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</si>
  <si>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</si>
  <si>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</si>
  <si>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</si>
  <si>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</si>
  <si>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</si>
  <si>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</si>
  <si>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</si>
  <si>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</si>
  <si>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</si>
  <si>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</si>
  <si>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</si>
  <si>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</si>
  <si>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</si>
  <si>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</si>
  <si>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</si>
  <si>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</si>
  <si>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</si>
  <si>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</si>
  <si>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</si>
  <si>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</si>
  <si>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</si>
  <si>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</si>
  <si>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</si>
  <si>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</si>
  <si>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</si>
  <si>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</si>
  <si>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</si>
  <si>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</si>
  <si>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</si>
  <si>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</si>
  <si>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</si>
  <si>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</si>
  <si>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</si>
  <si>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</si>
  <si>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</si>
  <si>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</si>
  <si>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</si>
  <si>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</si>
  <si>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</si>
  <si>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</si>
  <si>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</si>
  <si>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</si>
  <si>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</si>
  <si>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</si>
  <si>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</si>
  <si>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</si>
  <si>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</si>
  <si>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</si>
  <si>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</si>
  <si>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</si>
  <si>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</si>
  <si>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</si>
  <si>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</si>
  <si>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</si>
  <si>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</si>
  <si>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</si>
  <si>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</si>
  <si>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</si>
  <si>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</si>
  <si>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</si>
  <si>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</si>
  <si>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</si>
  <si>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</si>
  <si>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</si>
  <si>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</si>
  <si>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</si>
  <si>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</si>
  <si>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</si>
  <si>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</si>
  <si>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</si>
  <si>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</si>
  <si>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</si>
  <si>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</si>
  <si>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</si>
  <si>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</si>
  <si>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</si>
  <si>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</si>
  <si>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</si>
  <si>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</si>
  <si>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</si>
  <si>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</si>
  <si>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</si>
  <si>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</si>
  <si>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</si>
  <si>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</si>
  <si>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</si>
  <si>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</si>
  <si>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</si>
  <si>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</si>
  <si>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</si>
  <si>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</si>
  <si>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</si>
  <si>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</si>
  <si>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</si>
  <si>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</si>
  <si>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</si>
  <si>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</si>
  <si>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</si>
  <si>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</si>
  <si>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</si>
  <si>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</si>
  <si>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</si>
  <si>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</si>
  <si>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</si>
  <si>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</si>
  <si>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</si>
  <si>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</si>
  <si>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</si>
  <si>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</si>
  <si>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</si>
  <si>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</si>
  <si>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</si>
  <si>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</si>
  <si>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</si>
  <si>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</si>
  <si>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</si>
  <si>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</si>
  <si>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</si>
  <si>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</si>
  <si>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</si>
  <si>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</si>
  <si>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</si>
  <si>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</si>
  <si>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</si>
  <si>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</si>
  <si>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</si>
  <si>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</si>
  <si>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</si>
  <si>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</si>
  <si>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</si>
  <si>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</si>
  <si>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</si>
  <si>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</si>
  <si>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</si>
  <si>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</si>
  <si>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</si>
  <si>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</si>
  <si>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</si>
  <si>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</si>
  <si>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</si>
  <si>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</si>
  <si>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</si>
  <si>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</si>
  <si>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</si>
  <si>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</si>
  <si>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</si>
  <si>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</si>
  <si>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</si>
  <si>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</si>
  <si>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</si>
  <si>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</si>
  <si>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</si>
  <si>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</si>
  <si>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</si>
  <si>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</si>
  <si>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</si>
  <si>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</si>
  <si>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</si>
  <si>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</si>
  <si>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</si>
  <si>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</si>
  <si>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</si>
  <si>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</si>
  <si>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</si>
  <si>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</si>
  <si>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</si>
  <si>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</si>
  <si>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</si>
  <si>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</si>
  <si>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</si>
  <si>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</si>
  <si>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</si>
  <si>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</si>
  <si>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</si>
  <si>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</si>
  <si>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</si>
  <si>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</si>
  <si>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</si>
  <si>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</si>
  <si>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</si>
  <si>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</si>
  <si>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</si>
  <si>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</si>
  <si>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</si>
  <si>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</si>
  <si>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</si>
  <si>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</si>
  <si>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</si>
  <si>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</si>
  <si>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</si>
  <si>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</si>
  <si>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</si>
  <si>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</si>
  <si>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</si>
  <si>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</si>
  <si>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</si>
  <si>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</si>
  <si>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</si>
  <si>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</si>
  <si>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</si>
  <si>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</si>
  <si>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</si>
  <si>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</si>
  <si>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</si>
  <si>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</si>
  <si>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</si>
  <si>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</si>
  <si>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</si>
  <si>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</si>
  <si>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</si>
  <si>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</si>
  <si>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</si>
  <si>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</si>
  <si>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</si>
  <si>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</si>
  <si>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</si>
  <si>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</si>
  <si>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</si>
  <si>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</si>
  <si>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</si>
  <si>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</si>
  <si>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</si>
  <si>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</si>
  <si>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</si>
  <si>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</si>
  <si>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</si>
  <si>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</si>
  <si>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</si>
  <si>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</si>
  <si>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</si>
  <si>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</si>
  <si>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</si>
  <si>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</si>
  <si>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</si>
  <si>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</si>
  <si>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</si>
  <si>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</si>
  <si>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</si>
  <si>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</si>
  <si>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</si>
  <si>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</si>
  <si>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</si>
  <si>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</si>
  <si>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</si>
  <si>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</si>
  <si>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</si>
  <si>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</si>
  <si>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</si>
  <si>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</si>
  <si>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</si>
  <si>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</si>
  <si>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</si>
  <si>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</si>
  <si>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</si>
  <si>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</si>
  <si>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</si>
  <si>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</si>
  <si>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</si>
  <si>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</si>
  <si>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</si>
  <si>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</si>
  <si>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</si>
  <si>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</si>
  <si>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</si>
  <si>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</si>
  <si>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</si>
  <si>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</si>
  <si>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</si>
  <si>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</si>
  <si>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</si>
  <si>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</si>
  <si>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</si>
  <si>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</si>
  <si>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</si>
  <si>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</si>
  <si>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</si>
  <si>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</si>
  <si>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</si>
  <si>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</si>
  <si>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</si>
  <si>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</si>
  <si>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</si>
  <si>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</si>
  <si>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</si>
  <si>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</si>
  <si>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</si>
  <si>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</si>
  <si>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</si>
  <si>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</si>
  <si>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</si>
  <si>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</si>
  <si>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</si>
  <si>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</si>
  <si>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</si>
  <si>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</si>
  <si>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</si>
  <si>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</si>
  <si>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</si>
  <si>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</si>
  <si>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</si>
  <si>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</si>
  <si>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</si>
  <si>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</si>
  <si>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</si>
  <si>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</si>
  <si>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</si>
  <si>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</si>
  <si>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</si>
  <si>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</si>
  <si>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</si>
  <si>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</si>
  <si>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</si>
  <si>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</si>
  <si>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</si>
  <si>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</si>
  <si>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</si>
  <si>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</si>
  <si>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</si>
  <si>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</si>
  <si>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</si>
  <si>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</si>
  <si>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</si>
  <si>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</si>
  <si>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</si>
  <si>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</si>
  <si>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</si>
  <si>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</si>
  <si>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</si>
  <si>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</si>
  <si>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</si>
  <si>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</si>
  <si>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</si>
  <si>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</si>
  <si>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</si>
  <si>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</si>
  <si>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</si>
  <si>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</si>
  <si>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</si>
  <si>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</si>
  <si>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</si>
  <si>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</si>
  <si>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</si>
  <si>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</si>
  <si>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</si>
  <si>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</si>
  <si>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</si>
  <si>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</si>
  <si>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</si>
  <si>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</si>
  <si>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</si>
  <si>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</si>
  <si>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</si>
  <si>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</si>
  <si>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</si>
  <si>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</si>
  <si>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</si>
  <si>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</si>
  <si>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</si>
  <si>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</si>
  <si>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</si>
  <si>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</si>
  <si>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</si>
  <si>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</si>
  <si>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</si>
  <si>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</si>
  <si>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</si>
  <si>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</si>
  <si>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</si>
  <si>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</si>
  <si>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</si>
  <si>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</si>
  <si>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</si>
  <si>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</si>
  <si>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</si>
  <si>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</si>
  <si>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</si>
  <si>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</si>
  <si>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</si>
  <si>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</si>
  <si>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</si>
  <si>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</si>
  <si>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</si>
  <si>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</si>
  <si>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</si>
  <si>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</si>
  <si>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</si>
  <si>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</si>
  <si>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</si>
  <si>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</si>
  <si>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</si>
  <si>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</si>
  <si>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</si>
  <si>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</si>
  <si>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</si>
  <si>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</si>
  <si>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</si>
  <si>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</si>
  <si>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</si>
  <si>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</si>
  <si>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</si>
  <si>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</si>
  <si>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</si>
  <si>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</si>
  <si>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</si>
  <si>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</si>
  <si>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</si>
  <si>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</si>
  <si>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</si>
  <si>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</si>
  <si>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</si>
  <si>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</si>
  <si>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</si>
  <si>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</si>
  <si>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</si>
  <si>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</si>
  <si>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</si>
  <si>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</si>
  <si>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</si>
  <si>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</si>
  <si>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</si>
  <si>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</si>
  <si>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</si>
  <si>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</si>
  <si>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</si>
  <si>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</si>
  <si>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</si>
  <si>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</si>
  <si>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</si>
  <si>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</si>
  <si>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</si>
  <si>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</si>
  <si>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</si>
  <si>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</si>
  <si>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</si>
  <si>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</si>
  <si>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</si>
  <si>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</si>
  <si>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</si>
  <si>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</si>
  <si>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</si>
  <si>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</si>
  <si>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</si>
  <si>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</si>
  <si>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</si>
  <si>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</si>
  <si>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</si>
  <si>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</si>
  <si>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</si>
  <si>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</si>
  <si>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</si>
  <si>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</si>
  <si>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</si>
  <si>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</si>
  <si>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</si>
  <si>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</si>
  <si>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</si>
  <si>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</si>
  <si>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</si>
  <si>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</si>
  <si>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</si>
  <si>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</si>
  <si>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</si>
  <si>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</si>
  <si>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</si>
  <si>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</si>
  <si>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</si>
  <si>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</si>
  <si>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</si>
  <si>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</si>
  <si>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</si>
  <si>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</si>
  <si>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</si>
  <si>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</si>
  <si>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</si>
  <si>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</si>
  <si>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</si>
  <si>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</si>
  <si>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</si>
  <si>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</si>
  <si>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</si>
  <si>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</si>
  <si>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</si>
  <si>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</si>
  <si>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</si>
  <si>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</si>
  <si>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</si>
  <si>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</si>
  <si>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</si>
  <si>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</si>
  <si>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</si>
  <si>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</si>
  <si>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</si>
  <si>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</si>
  <si>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</si>
  <si>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</si>
  <si>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</si>
  <si>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</si>
  <si>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</si>
  <si>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</si>
  <si>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</si>
  <si>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</si>
  <si>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</si>
  <si>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</si>
  <si>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</si>
  <si>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</si>
  <si>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</si>
  <si>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</si>
  <si>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</si>
  <si>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</si>
  <si>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</si>
  <si>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</si>
  <si>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</si>
  <si>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</si>
  <si>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</si>
  <si>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</si>
  <si>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</si>
  <si>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</si>
  <si>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</si>
  <si>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</si>
  <si>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</si>
  <si>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</si>
  <si>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</si>
  <si>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</si>
  <si>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</si>
  <si>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</si>
  <si>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</si>
  <si>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</si>
  <si>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</si>
  <si>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</si>
  <si>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</si>
  <si>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</si>
  <si>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</si>
  <si>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</si>
  <si>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</si>
  <si>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</si>
  <si>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</si>
  <si>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</si>
  <si>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</si>
  <si>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</si>
  <si>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</si>
  <si>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</si>
  <si>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</si>
  <si>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</si>
  <si>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</si>
  <si>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</si>
  <si>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</si>
  <si>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</si>
  <si>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</si>
  <si>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</si>
  <si>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</si>
  <si>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</si>
  <si>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</si>
  <si>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</si>
  <si>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</si>
  <si>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</si>
  <si>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</si>
  <si>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</si>
  <si>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</si>
  <si>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</si>
  <si>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</si>
  <si>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</si>
  <si>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</si>
  <si>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</si>
  <si>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</si>
  <si>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</si>
  <si>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</si>
  <si>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</si>
  <si>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</si>
  <si>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</si>
  <si>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</si>
  <si>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</si>
  <si>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</si>
  <si>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</si>
  <si>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</si>
  <si>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</si>
  <si>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</si>
  <si>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</si>
  <si>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</si>
  <si>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</si>
  <si>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</si>
  <si>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</si>
  <si>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</si>
  <si>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</si>
  <si>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</si>
  <si>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</si>
  <si>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</si>
  <si>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</si>
  <si>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</si>
  <si>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</si>
  <si>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</si>
  <si>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</si>
  <si>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</si>
  <si>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</si>
  <si>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</si>
  <si>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</si>
  <si>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</si>
  <si>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</si>
  <si>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</si>
  <si>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</si>
  <si>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</si>
  <si>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</si>
  <si>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</si>
  <si>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</si>
  <si>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</si>
  <si>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</si>
  <si>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</si>
  <si>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</si>
  <si>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</si>
  <si>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</si>
  <si>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</si>
  <si>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</si>
  <si>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</si>
  <si>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</si>
  <si>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</si>
  <si>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</si>
  <si>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</si>
  <si>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</si>
  <si>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</si>
  <si>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</si>
  <si>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</si>
  <si>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</si>
  <si>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</si>
  <si>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</si>
  <si>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</si>
  <si>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</si>
  <si>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</si>
  <si>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</si>
  <si>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</si>
  <si>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</si>
  <si>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</si>
  <si>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</si>
  <si>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</si>
  <si>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</si>
  <si>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</si>
  <si>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</si>
  <si>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</si>
  <si>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</si>
  <si>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</si>
  <si>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</si>
  <si>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</si>
  <si>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</si>
  <si>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</si>
  <si>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</si>
  <si>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</si>
  <si>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</si>
  <si>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</si>
  <si>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</si>
  <si>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</si>
  <si>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</si>
  <si>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</si>
  <si>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</si>
  <si>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</si>
  <si>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</si>
  <si>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</si>
  <si>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</si>
  <si>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</si>
  <si>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</si>
  <si>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</si>
  <si>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</si>
  <si>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</si>
  <si>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</si>
  <si>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</si>
  <si>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</si>
  <si>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</si>
  <si>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</si>
  <si>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</si>
  <si>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</si>
  <si>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</si>
  <si>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</si>
  <si>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</si>
  <si>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</si>
  <si>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</si>
  <si>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</si>
  <si>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</si>
  <si>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</si>
  <si>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</si>
  <si>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</si>
  <si>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</si>
  <si>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</si>
  <si>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</si>
  <si>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</si>
  <si>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</si>
  <si>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</si>
  <si>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</si>
  <si>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</si>
  <si>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</si>
  <si>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</si>
  <si>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</si>
  <si>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</si>
  <si>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</si>
  <si>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</si>
  <si>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</si>
  <si>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</si>
  <si>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</si>
  <si>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</si>
  <si>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</si>
  <si>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</si>
  <si>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</si>
  <si>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</si>
  <si>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</si>
  <si>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</si>
  <si>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</si>
  <si>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</si>
  <si>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</si>
  <si>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</si>
  <si>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</si>
  <si>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</si>
  <si>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</si>
  <si>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</si>
  <si>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</si>
  <si>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</si>
  <si>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</si>
  <si>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</si>
  <si>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</si>
  <si>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</si>
  <si>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</si>
  <si>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</si>
  <si>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</si>
  <si>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</si>
  <si>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</si>
  <si>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</si>
  <si>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</si>
  <si>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</si>
  <si>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</si>
  <si>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</si>
  <si>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</si>
  <si>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</si>
  <si>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</si>
  <si>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</si>
  <si>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</si>
  <si>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</si>
  <si>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</si>
  <si>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</si>
  <si>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</si>
  <si>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</si>
  <si>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</si>
  <si>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</si>
  <si>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</si>
  <si>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</si>
  <si>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</si>
  <si>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</si>
  <si>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</si>
  <si>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</si>
  <si>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</si>
  <si>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</si>
  <si>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</si>
  <si>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</si>
  <si>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</si>
  <si>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</si>
  <si>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</si>
  <si>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</si>
  <si>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</si>
  <si>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</si>
  <si>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</si>
  <si>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</si>
  <si>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</si>
  <si>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</si>
  <si>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</si>
  <si>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</si>
  <si>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</si>
  <si>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</si>
  <si>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</si>
  <si>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</si>
  <si>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</si>
  <si>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</si>
  <si>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</si>
  <si>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</si>
  <si>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</si>
  <si>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</si>
  <si>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</si>
  <si>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</si>
  <si>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</si>
  <si>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</si>
  <si>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</si>
  <si>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</si>
  <si>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</si>
  <si>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</si>
  <si>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</si>
  <si>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</si>
  <si>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</si>
  <si>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</si>
  <si>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</si>
  <si>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</si>
  <si>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</si>
  <si>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</si>
  <si>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</si>
  <si>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</si>
  <si>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</si>
  <si>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</si>
  <si>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</si>
  <si>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</si>
  <si>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</si>
  <si>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</si>
  <si>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</si>
  <si>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</si>
  <si>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</si>
  <si>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</si>
  <si>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</si>
  <si>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</si>
  <si>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</si>
  <si>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</si>
  <si>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</si>
  <si>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</si>
  <si>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</si>
  <si>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</si>
  <si>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</si>
  <si>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</si>
  <si>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</si>
  <si>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</si>
  <si>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</si>
  <si>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</si>
  <si>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</si>
  <si>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</si>
  <si>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</si>
  <si>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</si>
  <si>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</si>
  <si>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</si>
  <si>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</si>
  <si>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</si>
  <si>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</si>
  <si>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</si>
  <si>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</si>
  <si>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</si>
  <si>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</si>
  <si>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</si>
  <si>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</si>
  <si>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</si>
  <si>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</si>
  <si>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</si>
  <si>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</si>
  <si>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</si>
  <si>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</si>
  <si>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</si>
  <si>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</si>
  <si>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</si>
  <si>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</si>
  <si>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</si>
  <si>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</si>
  <si>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</si>
  <si>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</si>
  <si>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</si>
  <si>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</si>
  <si>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</si>
  <si>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</si>
  <si>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</si>
  <si>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</si>
  <si>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</si>
  <si>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</si>
  <si>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</si>
  <si>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</si>
  <si>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</si>
  <si>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</si>
  <si>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</si>
  <si>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</si>
  <si>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</si>
  <si>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</si>
  <si>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</si>
  <si>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</si>
  <si>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</si>
  <si>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</si>
  <si>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</si>
  <si>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</si>
  <si>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</si>
  <si>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</si>
  <si>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</si>
  <si>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</si>
  <si>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</si>
  <si>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</si>
  <si>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</si>
  <si>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</si>
  <si>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</si>
  <si>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</si>
  <si>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</si>
  <si>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</si>
  <si>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</si>
  <si>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</si>
  <si>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</si>
  <si>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</si>
  <si>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</si>
  <si>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</si>
  <si>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</si>
  <si>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</si>
  <si>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</si>
  <si>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</si>
  <si>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</si>
  <si>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</si>
  <si>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</si>
  <si>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</si>
  <si>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</si>
  <si>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</si>
  <si>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</si>
  <si>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</si>
  <si>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</si>
  <si>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</si>
  <si>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</si>
  <si>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</si>
  <si>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</si>
  <si>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</si>
  <si>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</si>
  <si>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</si>
  <si>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</si>
  <si>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</si>
  <si>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</si>
  <si>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</si>
  <si>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</si>
  <si>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</si>
  <si>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</si>
  <si>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</si>
  <si>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</si>
  <si>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</si>
  <si>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</si>
  <si>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</si>
  <si>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</si>
  <si>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</si>
  <si>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</si>
  <si>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</si>
  <si>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</si>
  <si>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</si>
  <si>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</si>
  <si>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</si>
  <si>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</si>
  <si>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</si>
  <si>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</si>
  <si>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</si>
  <si>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</si>
  <si>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</si>
  <si>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</si>
  <si>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</si>
  <si>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</si>
  <si>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</si>
  <si>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</si>
  <si>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</si>
  <si>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</si>
  <si>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</si>
  <si>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</si>
  <si>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</si>
  <si>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</si>
  <si>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</si>
  <si>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</si>
  <si>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</si>
  <si>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</si>
  <si>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</si>
  <si>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</si>
  <si>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</si>
  <si>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</si>
  <si>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</si>
  <si>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</si>
  <si>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</si>
  <si>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</si>
  <si>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</si>
  <si>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</si>
  <si>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</si>
  <si>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</si>
  <si>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</si>
  <si>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</si>
  <si>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</si>
  <si>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</si>
  <si>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</si>
  <si>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</si>
  <si>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</si>
  <si>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</si>
  <si>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</si>
  <si>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</si>
  <si>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</si>
  <si>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</si>
  <si>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</si>
  <si>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</si>
  <si>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</si>
  <si>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</si>
  <si>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</si>
  <si>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</si>
  <si>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</si>
  <si>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</si>
  <si>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</si>
  <si>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</si>
  <si>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</si>
  <si>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</si>
  <si>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</si>
  <si>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</si>
  <si>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</si>
  <si>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</si>
  <si>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</si>
  <si>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</si>
  <si>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</si>
  <si>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</si>
  <si>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</si>
  <si>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</si>
  <si>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</si>
  <si>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</si>
  <si>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</si>
  <si>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</si>
  <si>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</si>
  <si>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</si>
  <si>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</si>
  <si>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</si>
  <si>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</si>
  <si>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</si>
  <si>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</si>
  <si>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</si>
  <si>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</si>
  <si>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</si>
  <si>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</si>
  <si>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</si>
  <si>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</si>
  <si>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</si>
  <si>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</si>
  <si>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</si>
  <si>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</si>
  <si>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</si>
  <si>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</si>
  <si>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</si>
  <si>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</si>
  <si>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</si>
  <si>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</si>
  <si>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</si>
  <si>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</si>
  <si>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</si>
  <si>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</si>
  <si>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</si>
  <si>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</si>
  <si>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</si>
  <si>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</si>
  <si>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</si>
  <si>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</si>
  <si>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</si>
  <si>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</si>
  <si>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</si>
  <si>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</si>
  <si>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</si>
  <si>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</si>
  <si>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</si>
  <si>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</si>
  <si>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</si>
  <si>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</si>
  <si>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</si>
  <si>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</si>
  <si>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</si>
  <si>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</si>
  <si>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</si>
  <si>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</si>
  <si>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</si>
  <si>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</si>
  <si>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</si>
  <si>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</si>
  <si>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</si>
  <si>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</si>
  <si>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</si>
  <si>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</si>
  <si>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</si>
  <si>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</si>
  <si>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</si>
  <si>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</si>
  <si>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</si>
  <si>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</si>
  <si>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</si>
  <si>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</si>
  <si>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</si>
  <si>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</si>
  <si>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</si>
  <si>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</si>
  <si>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</si>
  <si>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</si>
  <si>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</si>
  <si>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</si>
  <si>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</si>
  <si>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</si>
  <si>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</si>
  <si>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</si>
  <si>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</si>
  <si>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</si>
  <si>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</si>
  <si>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</si>
  <si>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</si>
  <si>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</si>
  <si>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</si>
  <si>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</si>
  <si>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</si>
  <si>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</si>
  <si>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</si>
  <si>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</si>
  <si>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</si>
  <si>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</si>
  <si>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</si>
  <si>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</si>
  <si>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</si>
  <si>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</si>
  <si>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</si>
  <si>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</si>
  <si>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</si>
  <si>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</si>
  <si>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</si>
  <si>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</si>
  <si>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</si>
  <si>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</si>
  <si>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</si>
  <si>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</si>
  <si>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</si>
  <si>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</si>
  <si>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</si>
  <si>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</si>
  <si>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</si>
  <si>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</si>
  <si>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</si>
  <si>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</si>
  <si>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</si>
  <si>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</si>
  <si>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</si>
  <si>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</si>
  <si>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</si>
  <si>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</si>
  <si>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</si>
  <si>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</si>
  <si>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</si>
  <si>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</si>
  <si>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</si>
  <si>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</si>
  <si>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</si>
  <si>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</si>
  <si>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</si>
  <si>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</si>
  <si>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</si>
  <si>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</si>
  <si>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</si>
  <si>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</si>
  <si>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</si>
  <si>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</si>
  <si>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</si>
  <si>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</si>
  <si>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</si>
  <si>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</si>
  <si>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</si>
  <si>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</si>
  <si>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</si>
  <si>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</si>
  <si>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</si>
  <si>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</si>
  <si>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</si>
  <si>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</si>
  <si>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</si>
  <si>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</si>
  <si>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</si>
  <si>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</si>
  <si>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</si>
  <si>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</si>
  <si>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</si>
  <si>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</si>
  <si>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</si>
  <si>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</si>
  <si>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</si>
  <si>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</si>
  <si>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</si>
  <si>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</si>
  <si>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</si>
  <si>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</si>
  <si>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</si>
  <si>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</si>
  <si>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</si>
  <si>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</si>
  <si>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</si>
  <si>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</si>
  <si>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</si>
  <si>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</si>
  <si>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</si>
  <si>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</si>
  <si>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</si>
  <si>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</si>
  <si>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</si>
  <si>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</si>
  <si>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</si>
  <si>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</si>
  <si>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</si>
  <si>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</si>
  <si>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</si>
  <si>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</si>
  <si>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</si>
  <si>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</si>
  <si>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</si>
  <si>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</si>
  <si>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</si>
  <si>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</si>
  <si>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</si>
  <si>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</si>
  <si>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</si>
  <si>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</si>
  <si>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</si>
  <si>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</si>
  <si>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</si>
  <si>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</si>
  <si>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</si>
  <si>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</si>
  <si>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</si>
  <si>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</si>
  <si>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</si>
  <si>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</si>
  <si>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</si>
  <si>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</si>
  <si>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</si>
  <si>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</si>
  <si>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</si>
  <si>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</si>
  <si>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</si>
  <si>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</si>
  <si>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</si>
  <si>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</si>
  <si>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</si>
  <si>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</si>
  <si>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</si>
  <si>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</si>
  <si>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</si>
  <si>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</si>
  <si>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</si>
  <si>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</si>
  <si>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</si>
  <si>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</si>
  <si>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</si>
  <si>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</si>
  <si>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</si>
  <si>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</si>
  <si>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</si>
  <si>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</si>
  <si>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</si>
  <si>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</si>
  <si>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</si>
  <si>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</si>
  <si>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</si>
  <si>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</si>
  <si>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</si>
  <si>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</si>
  <si>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</si>
  <si>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</si>
  <si>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</si>
  <si>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</si>
  <si>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</si>
  <si>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</si>
  <si>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</si>
  <si>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</si>
  <si>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</si>
  <si>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</si>
  <si>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</si>
  <si>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</si>
  <si>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</si>
  <si>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</si>
  <si>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</si>
  <si>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</si>
  <si>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</si>
  <si>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</si>
  <si>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</si>
  <si>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</si>
  <si>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</si>
  <si>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</si>
  <si>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</si>
  <si>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</si>
  <si>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</si>
  <si>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</si>
  <si>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</si>
  <si>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</si>
  <si>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</si>
  <si>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</si>
  <si>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</si>
  <si>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</si>
  <si>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</si>
  <si>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</si>
  <si>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</si>
  <si>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</si>
  <si>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</si>
  <si>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</si>
  <si>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</si>
  <si>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</si>
  <si>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</si>
  <si>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</si>
  <si>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</si>
  <si>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</si>
  <si>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</si>
  <si>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</si>
  <si>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</si>
  <si>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</si>
  <si>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</si>
  <si>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</si>
  <si>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</si>
  <si>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</si>
  <si>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</si>
  <si>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</si>
  <si>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</si>
  <si>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</si>
  <si>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</si>
  <si>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</si>
  <si>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</si>
  <si>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</si>
  <si>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</si>
  <si>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</si>
  <si>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</si>
  <si>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</si>
  <si>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</si>
  <si>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</si>
  <si>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</si>
  <si>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</si>
  <si>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</si>
  <si>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</si>
  <si>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</si>
  <si>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</si>
  <si>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</si>
  <si>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</si>
  <si>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</si>
  <si>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</si>
  <si>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</si>
  <si>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</si>
  <si>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</si>
  <si>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</si>
  <si>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</si>
  <si>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</si>
  <si>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</si>
  <si>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</si>
  <si>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</si>
  <si>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</si>
  <si>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</si>
  <si>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</si>
  <si>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</si>
  <si>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</si>
  <si>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</si>
  <si>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</si>
  <si>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</si>
  <si>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</si>
  <si>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</si>
  <si>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</si>
  <si>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</si>
  <si>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</si>
  <si>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</si>
  <si>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</si>
  <si>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</si>
  <si>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</si>
  <si>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</si>
  <si>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</si>
  <si>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</si>
  <si>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</si>
  <si>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</si>
  <si>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</si>
  <si>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</si>
  <si>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</si>
  <si>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</si>
  <si>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</si>
  <si>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</si>
  <si>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</si>
  <si>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</si>
  <si>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</si>
  <si>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</si>
  <si>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</si>
  <si>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</si>
  <si>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</si>
  <si>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</si>
  <si>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</si>
  <si>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</si>
  <si>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</si>
  <si>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</si>
  <si>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</si>
  <si>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</si>
  <si>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</si>
  <si>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</si>
  <si>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</si>
  <si>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</si>
  <si>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</si>
  <si>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</si>
  <si>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</si>
  <si>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</si>
  <si>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</si>
  <si>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</si>
  <si>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</si>
  <si>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</si>
  <si>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</si>
  <si>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</si>
  <si>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</si>
  <si>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</si>
  <si>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</si>
  <si>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</si>
  <si>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</si>
  <si>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</si>
  <si>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</si>
  <si>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</si>
  <si>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</si>
  <si>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</si>
  <si>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</si>
  <si>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</si>
  <si>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</si>
  <si>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</si>
  <si>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</si>
  <si>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</si>
  <si>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</si>
  <si>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</si>
  <si>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</si>
  <si>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</si>
  <si>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</si>
  <si>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</si>
  <si>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</si>
  <si>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</si>
  <si>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</si>
  <si>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</si>
  <si>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</si>
  <si>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</si>
  <si>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</si>
  <si>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</si>
  <si>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</si>
  <si>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</si>
  <si>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</si>
  <si>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</si>
  <si>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</si>
  <si>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</si>
  <si>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</si>
  <si>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</si>
  <si>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</si>
  <si>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</si>
  <si>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</si>
  <si>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</si>
  <si>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</si>
  <si>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</si>
  <si>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</si>
  <si>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</si>
  <si>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</si>
  <si>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</si>
  <si>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</si>
  <si>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</si>
  <si>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</si>
  <si>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</si>
  <si>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</si>
  <si>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</si>
  <si>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</si>
  <si>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</si>
  <si>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</si>
  <si>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</si>
  <si>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</si>
  <si>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</si>
  <si>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</si>
  <si>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</si>
  <si>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</si>
  <si>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</si>
  <si>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</si>
  <si>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</si>
  <si>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</si>
  <si>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</si>
  <si>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</si>
  <si>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</si>
  <si>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</si>
  <si>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</si>
  <si>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</si>
  <si>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</si>
  <si>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</si>
  <si>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</si>
  <si>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</si>
  <si>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</si>
  <si>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</si>
  <si>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</si>
  <si>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</si>
  <si>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</si>
  <si>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</si>
  <si>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</si>
  <si>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</si>
  <si>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</si>
  <si>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</si>
  <si>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</si>
  <si>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</si>
  <si>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</si>
  <si>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</si>
  <si>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</si>
  <si>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</si>
  <si>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</si>
  <si>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</si>
  <si>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</si>
  <si>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</si>
  <si>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</si>
  <si>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</si>
  <si>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</si>
  <si>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</si>
  <si>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</si>
  <si>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</si>
  <si>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</si>
  <si>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</si>
  <si>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</si>
  <si>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</si>
  <si>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</si>
  <si>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</si>
  <si>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</si>
  <si>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</si>
  <si>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</si>
  <si>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</si>
  <si>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</si>
  <si>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</si>
  <si>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</si>
  <si>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</si>
  <si>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</si>
  <si>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</si>
  <si>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</si>
  <si>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</si>
  <si>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</si>
  <si>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</si>
  <si>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</si>
  <si>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</si>
  <si>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</si>
  <si>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</si>
  <si>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</si>
  <si>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</si>
  <si>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</si>
  <si>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</si>
  <si>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</si>
  <si>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</si>
  <si>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</si>
  <si>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</si>
  <si>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</si>
  <si>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</si>
  <si>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</si>
  <si>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</si>
  <si>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</si>
  <si>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</si>
  <si>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</si>
  <si>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</si>
  <si>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</si>
  <si>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</si>
  <si>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</si>
  <si>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</si>
  <si>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</si>
  <si>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</si>
  <si>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</si>
  <si>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</si>
  <si>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</si>
  <si>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</si>
  <si>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</si>
  <si>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</si>
  <si>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</si>
  <si>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</si>
  <si>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</si>
  <si>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</si>
  <si>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</si>
  <si>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</si>
  <si>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</si>
  <si>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</si>
  <si>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</si>
  <si>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</si>
  <si>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</si>
  <si>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</si>
  <si>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</si>
  <si>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</si>
  <si>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</si>
  <si>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</si>
  <si>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</si>
  <si>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</si>
  <si>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</si>
  <si>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</si>
  <si>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</si>
  <si>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</si>
  <si>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</si>
  <si>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</si>
  <si>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</si>
  <si>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</si>
  <si>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</si>
  <si>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</si>
  <si>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</si>
  <si>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</si>
  <si>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</si>
  <si>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</si>
  <si>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</si>
  <si>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</si>
  <si>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</si>
  <si>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</si>
  <si>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</si>
  <si>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</si>
  <si>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</si>
  <si>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</si>
  <si>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</si>
  <si>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</si>
  <si>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</si>
  <si>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</si>
  <si>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</si>
  <si>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</si>
  <si>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</si>
  <si>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</si>
  <si>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</si>
  <si>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</si>
  <si>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</si>
  <si>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</si>
  <si>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</si>
  <si>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</si>
  <si>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</si>
  <si>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</si>
  <si>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</si>
  <si>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</si>
  <si>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</si>
  <si>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</si>
  <si>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</si>
  <si>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</si>
  <si>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</si>
  <si>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</si>
  <si>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</si>
  <si>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</si>
  <si>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</si>
  <si>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</si>
  <si>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</si>
  <si>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</si>
  <si>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</si>
  <si>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</si>
  <si>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</si>
  <si>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</si>
  <si>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</si>
  <si>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</si>
  <si>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</si>
  <si>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</si>
  <si>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</si>
  <si>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</si>
  <si>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</si>
  <si>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</si>
  <si>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</si>
  <si>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</si>
  <si>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</si>
  <si>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</si>
  <si>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</si>
  <si>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</si>
  <si>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</si>
  <si>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</si>
  <si>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</si>
  <si>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</si>
  <si>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</si>
  <si>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</si>
  <si>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</si>
  <si>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</si>
  <si>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</si>
  <si>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</si>
  <si>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</si>
  <si>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</si>
  <si>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</si>
  <si>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</si>
  <si>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</si>
  <si>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</si>
  <si>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</si>
  <si>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</si>
  <si>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</si>
  <si>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</si>
  <si>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</si>
  <si>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</si>
  <si>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</si>
  <si>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</si>
  <si>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</si>
  <si>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</si>
  <si>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</si>
  <si>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</si>
  <si>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</si>
  <si>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</si>
  <si>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</si>
  <si>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</si>
  <si>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</si>
  <si>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</si>
  <si>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</si>
  <si>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</si>
  <si>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</si>
  <si>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</si>
  <si>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</si>
  <si>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</si>
  <si>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</si>
  <si>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</si>
  <si>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</si>
  <si>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</si>
  <si>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</si>
  <si>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</si>
  <si>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</si>
  <si>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</si>
  <si>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</si>
  <si>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</si>
  <si>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</si>
  <si>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</si>
  <si>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</si>
  <si>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</si>
  <si>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</si>
  <si>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</si>
  <si>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</si>
  <si>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</si>
  <si>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</si>
  <si>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</si>
  <si>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</si>
  <si>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</si>
  <si>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</si>
  <si>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</si>
  <si>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</si>
  <si>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</si>
  <si>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</si>
  <si>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</si>
  <si>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</si>
  <si>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</si>
  <si>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</si>
  <si>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</si>
  <si>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</si>
  <si>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</si>
  <si>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</si>
  <si>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</si>
  <si>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</si>
  <si>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</si>
  <si>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</si>
  <si>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</si>
  <si>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</si>
  <si>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</si>
  <si>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</si>
  <si>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</si>
  <si>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</si>
  <si>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</si>
  <si>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</si>
  <si>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</si>
  <si>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</si>
  <si>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</si>
  <si>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</si>
  <si>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</si>
  <si>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</si>
  <si>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</si>
  <si>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</si>
  <si>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</si>
  <si>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</si>
  <si>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</si>
  <si>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</si>
  <si>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</si>
  <si>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</si>
  <si>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</si>
  <si>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</si>
  <si>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</si>
  <si>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</si>
  <si>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</si>
  <si>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</si>
  <si>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</si>
  <si>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</si>
  <si>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</si>
  <si>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</si>
  <si>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</si>
  <si>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</si>
  <si>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</si>
  <si>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</si>
  <si>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</si>
  <si>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</si>
  <si>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</si>
  <si>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</si>
  <si>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</si>
  <si>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</si>
  <si>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</si>
  <si>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</si>
  <si>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</si>
  <si>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</si>
  <si>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</si>
  <si>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</si>
  <si>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</si>
  <si>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</si>
  <si>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</si>
  <si>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</si>
  <si>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</si>
  <si>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</si>
  <si>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</si>
  <si>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</si>
  <si>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</si>
  <si>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</si>
  <si>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</si>
  <si>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</si>
  <si>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</si>
  <si>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</si>
  <si>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</si>
  <si>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</si>
  <si>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</si>
  <si>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</si>
  <si>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</si>
  <si>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</si>
  <si>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</si>
  <si>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</si>
  <si>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</si>
  <si>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</si>
  <si>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</si>
  <si>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</si>
  <si>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</si>
  <si>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</si>
  <si>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</si>
  <si>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</si>
  <si>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</si>
  <si>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</si>
  <si>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</si>
  <si>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</si>
  <si>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</si>
  <si>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</si>
  <si>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</si>
  <si>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</si>
  <si>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</si>
  <si>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</si>
  <si>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</si>
  <si>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</si>
  <si>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</si>
  <si>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</si>
  <si>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</si>
  <si>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</si>
  <si>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</si>
  <si>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</si>
  <si>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</si>
  <si>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</si>
  <si>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</si>
  <si>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</si>
  <si>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</si>
  <si>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</si>
  <si>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</si>
  <si>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</si>
  <si>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</si>
  <si>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</si>
  <si>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</si>
  <si>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</si>
  <si>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</si>
  <si>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</si>
  <si>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</si>
  <si>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</si>
  <si>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</si>
  <si>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</si>
  <si>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</si>
  <si>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</si>
  <si>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</si>
  <si>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</si>
  <si>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</si>
  <si>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</si>
  <si>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</si>
  <si>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</si>
  <si>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</si>
  <si>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</si>
  <si>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</si>
  <si>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</si>
  <si>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</si>
  <si>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</si>
  <si>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</si>
  <si>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</si>
  <si>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</si>
  <si>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</si>
  <si>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</si>
  <si>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</si>
  <si>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</si>
  <si>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</si>
  <si>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</si>
  <si>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</si>
  <si>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</si>
  <si>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</si>
  <si>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</si>
  <si>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</si>
  <si>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</si>
  <si>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</si>
  <si>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</si>
  <si>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</si>
  <si>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</si>
  <si>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</si>
  <si>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</si>
  <si>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</si>
  <si>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</si>
  <si>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</si>
  <si>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</si>
  <si>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</si>
  <si>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</si>
  <si>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</si>
  <si>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</si>
  <si>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</si>
  <si>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</si>
  <si>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</si>
  <si>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</si>
  <si>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</si>
  <si>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</si>
  <si>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</si>
  <si>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</si>
  <si>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</si>
  <si>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</si>
  <si>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</si>
  <si>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</si>
  <si>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</si>
  <si>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</si>
  <si>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</si>
  <si>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</si>
  <si>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</si>
  <si>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</si>
  <si>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</si>
  <si>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</si>
  <si>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</si>
  <si>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</si>
  <si>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</si>
  <si>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</si>
  <si>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</si>
  <si>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</si>
  <si>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</si>
  <si>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</si>
  <si>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</si>
  <si>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</si>
  <si>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</si>
  <si>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</si>
  <si>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</si>
  <si>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</si>
  <si>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</si>
  <si>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</si>
  <si>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</si>
  <si>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</si>
  <si>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</si>
  <si>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</si>
  <si>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</si>
  <si>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</si>
  <si>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</si>
  <si>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</si>
  <si>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</si>
  <si>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</si>
  <si>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</si>
  <si>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</si>
  <si>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</si>
  <si>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</si>
  <si>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</si>
  <si>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</si>
  <si>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</si>
  <si>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</si>
  <si>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</si>
  <si>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</si>
  <si>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</si>
  <si>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</si>
  <si>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</si>
  <si>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</si>
  <si>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</si>
  <si>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</si>
  <si>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</si>
  <si>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</si>
  <si>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</si>
  <si>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</si>
  <si>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</si>
  <si>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</si>
  <si>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</si>
  <si>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</si>
  <si>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</si>
  <si>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</si>
  <si>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</si>
  <si>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</si>
  <si>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</si>
  <si>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</si>
  <si>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</si>
  <si>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</si>
  <si>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</si>
  <si>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</si>
  <si>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</si>
  <si>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</si>
  <si>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</si>
  <si>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</si>
  <si>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</si>
  <si>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</si>
  <si>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</si>
  <si>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</si>
  <si>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</si>
  <si>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</si>
  <si>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</si>
  <si>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</si>
  <si>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</si>
  <si>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</si>
  <si>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</si>
  <si>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</si>
  <si>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</si>
  <si>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</si>
  <si>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</si>
  <si>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</si>
  <si>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</si>
  <si>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</si>
  <si>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</si>
  <si>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</si>
  <si>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</si>
  <si>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</si>
  <si>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</si>
  <si>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</si>
  <si>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</si>
  <si>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</si>
  <si>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</si>
  <si>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</si>
  <si>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</si>
  <si>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</si>
  <si>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</si>
  <si>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</si>
  <si>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</si>
  <si>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</si>
  <si>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</si>
  <si>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</si>
  <si>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</si>
  <si>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</si>
  <si>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</si>
  <si>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</si>
  <si>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</si>
  <si>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</si>
  <si>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</si>
  <si>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</si>
  <si>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</si>
  <si>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</si>
  <si>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</si>
  <si>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</si>
  <si>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</si>
  <si>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</si>
  <si>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</si>
  <si>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</si>
  <si>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</si>
  <si>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</si>
  <si>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</si>
  <si>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</si>
  <si>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</si>
  <si>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</si>
  <si>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</si>
  <si>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</si>
  <si>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</si>
  <si>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</si>
  <si>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</si>
  <si>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</si>
  <si>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</si>
  <si>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</si>
  <si>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</si>
  <si>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</si>
  <si>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</si>
  <si>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</si>
  <si>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</si>
  <si>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</si>
  <si>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</si>
  <si>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</si>
  <si>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</si>
  <si>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</si>
  <si>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</si>
  <si>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</si>
  <si>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</si>
  <si>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</si>
  <si>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</si>
  <si>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</si>
  <si>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</si>
  <si>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</si>
  <si>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</si>
  <si>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</si>
  <si>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</si>
  <si>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</si>
  <si>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</si>
  <si>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</si>
  <si>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</si>
  <si>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</si>
  <si>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</si>
  <si>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</si>
  <si>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</si>
  <si>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</si>
  <si>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</si>
  <si>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</si>
  <si>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</si>
  <si>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</si>
  <si>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</si>
  <si>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</si>
  <si>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</si>
  <si>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</si>
  <si>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</si>
  <si>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</si>
  <si>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</si>
  <si>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</si>
  <si>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</si>
  <si>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</si>
  <si>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</si>
  <si>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</si>
  <si>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</si>
  <si>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</si>
  <si>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</si>
  <si>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</si>
  <si>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</si>
  <si>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</si>
  <si>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</si>
  <si>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</si>
  <si>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</si>
  <si>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</si>
  <si>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</si>
  <si>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</si>
  <si>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</si>
  <si>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</si>
  <si>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</si>
  <si>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</si>
  <si>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</si>
  <si>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</si>
  <si>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</si>
  <si>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</si>
  <si>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</si>
  <si>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</si>
  <si>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</si>
  <si>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</si>
  <si>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</si>
  <si>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</si>
  <si>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</si>
  <si>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</si>
  <si>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</si>
  <si>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</si>
  <si>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</si>
  <si>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</si>
  <si>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</si>
  <si>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</si>
  <si>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</si>
  <si>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</si>
  <si>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</si>
  <si>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</si>
  <si>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</si>
  <si>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</si>
  <si>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</si>
  <si>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</si>
  <si>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</si>
  <si>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</si>
  <si>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</si>
  <si>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</si>
  <si>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</si>
  <si>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</si>
  <si>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</si>
  <si>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</si>
  <si>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</si>
  <si>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</si>
  <si>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</si>
  <si>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</si>
  <si>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</si>
  <si>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</si>
  <si>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</si>
  <si>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</si>
  <si>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</si>
  <si>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</si>
  <si>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</si>
  <si>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</si>
  <si>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</si>
  <si>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</si>
  <si>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</si>
  <si>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</si>
  <si>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</si>
  <si>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</si>
  <si>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</si>
  <si>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</si>
  <si>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</si>
  <si>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</si>
  <si>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</si>
  <si>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</si>
  <si>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</si>
  <si>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</si>
  <si>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</si>
  <si>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</si>
  <si>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</si>
  <si>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</si>
  <si>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</si>
  <si>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</si>
  <si>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</si>
  <si>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</si>
  <si>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</si>
  <si>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</si>
  <si>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</si>
  <si>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</si>
  <si>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</si>
  <si>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</si>
  <si>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</si>
  <si>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</si>
  <si>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</si>
  <si>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</si>
  <si>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</si>
  <si>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</si>
  <si>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</si>
  <si>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</si>
  <si>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</si>
  <si>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</si>
  <si>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</si>
  <si>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</si>
  <si>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</si>
  <si>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</si>
  <si>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</si>
  <si>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</si>
  <si>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</si>
  <si>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</si>
  <si>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</si>
  <si>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</si>
  <si>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</si>
  <si>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</si>
  <si>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</si>
  <si>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</si>
  <si>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</si>
  <si>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</si>
  <si>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</si>
  <si>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</si>
  <si>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</si>
  <si>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</si>
  <si>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</si>
  <si>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</si>
  <si>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</si>
  <si>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</si>
  <si>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</si>
  <si>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</si>
  <si>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</si>
  <si>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</si>
  <si>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</si>
  <si>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</si>
  <si>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</si>
  <si>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</si>
  <si>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</si>
  <si>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</si>
  <si>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</si>
  <si>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</si>
  <si>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</si>
  <si>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</si>
  <si>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</si>
  <si>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</si>
  <si>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</si>
  <si>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</si>
  <si>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</si>
  <si>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</si>
  <si>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</si>
  <si>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</si>
  <si>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</si>
  <si>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</si>
  <si>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</si>
  <si>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</si>
  <si>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</si>
  <si>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</si>
  <si>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</si>
  <si>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</si>
  <si>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</si>
  <si>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</si>
  <si>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</si>
  <si>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</si>
  <si>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</si>
  <si>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</si>
  <si>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</si>
  <si>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</si>
  <si>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</si>
  <si>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</si>
  <si>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</si>
  <si>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</si>
  <si>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</si>
  <si>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</si>
  <si>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</si>
  <si>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</si>
  <si>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</si>
  <si>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</si>
  <si>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</si>
  <si>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</si>
  <si>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</si>
  <si>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</si>
  <si>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</si>
  <si>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</si>
  <si>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</si>
  <si>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</si>
  <si>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</si>
  <si>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</si>
  <si>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</si>
  <si>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</si>
  <si>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</si>
  <si>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</si>
  <si>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</si>
  <si>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</si>
  <si>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</si>
  <si>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</si>
  <si>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</si>
  <si>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</si>
  <si>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</si>
  <si>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</si>
  <si>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</si>
  <si>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</si>
  <si>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</si>
  <si>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</si>
  <si>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</si>
  <si>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</si>
  <si>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</si>
  <si>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</si>
  <si>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</si>
  <si>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</si>
  <si>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</si>
  <si>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</si>
  <si>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</si>
  <si>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</si>
  <si>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</si>
  <si>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</si>
  <si>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</si>
  <si>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</si>
  <si>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</si>
  <si>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</si>
  <si>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</si>
  <si>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</si>
  <si>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</si>
  <si>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</si>
  <si>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</si>
  <si>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</si>
  <si>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</si>
  <si>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</si>
  <si>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</si>
  <si>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</si>
  <si>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</si>
  <si>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</si>
  <si>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</si>
  <si>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</si>
  <si>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</si>
  <si>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</si>
  <si>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</si>
  <si>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</si>
  <si>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</si>
  <si>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</si>
  <si>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</si>
  <si>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</si>
  <si>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</si>
  <si>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</si>
  <si>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</si>
  <si>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</si>
  <si>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</si>
  <si>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</si>
  <si>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</si>
  <si>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</si>
  <si>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</si>
  <si>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</si>
  <si>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</si>
  <si>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</si>
  <si>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</si>
  <si>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</si>
  <si>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</si>
  <si>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</si>
  <si>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</si>
  <si>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</si>
  <si>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</si>
  <si>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</si>
  <si>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</si>
  <si>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</si>
  <si>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</si>
  <si>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</si>
  <si>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</si>
  <si>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</si>
  <si>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</si>
  <si>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</si>
  <si>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</si>
  <si>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</si>
  <si>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</si>
  <si>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</si>
  <si>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</si>
  <si>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</si>
  <si>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</si>
  <si>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</si>
  <si>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</si>
  <si>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</si>
  <si>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</si>
  <si>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</si>
  <si>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</si>
  <si>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</si>
  <si>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</si>
  <si>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</si>
  <si>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</si>
  <si>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</si>
  <si>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</si>
  <si>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</si>
  <si>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</si>
  <si>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</si>
  <si>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</si>
  <si>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</si>
  <si>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</si>
  <si>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</si>
  <si>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</si>
  <si>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</si>
  <si>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</si>
  <si>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</si>
  <si>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</si>
  <si>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</si>
  <si>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</si>
  <si>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</si>
  <si>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</si>
  <si>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</si>
  <si>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</si>
  <si>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</si>
  <si>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</si>
  <si>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</si>
  <si>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</si>
  <si>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</si>
  <si>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</si>
  <si>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</si>
  <si>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</si>
  <si>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</si>
  <si>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</si>
  <si>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</si>
  <si>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</si>
  <si>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</si>
  <si>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</si>
  <si>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</si>
  <si>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</si>
  <si>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</si>
  <si>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</si>
  <si>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</si>
  <si>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</si>
  <si>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</si>
  <si>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</si>
  <si>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</si>
  <si>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</si>
  <si>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</si>
  <si>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</si>
  <si>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</si>
  <si>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</si>
  <si>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</si>
  <si>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</si>
  <si>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</si>
  <si>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</si>
  <si>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</si>
  <si>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</si>
  <si>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</si>
  <si>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</si>
  <si>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</si>
  <si>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</si>
  <si>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</si>
  <si>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</si>
  <si>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</si>
  <si>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</si>
  <si>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</si>
  <si>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</si>
  <si>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</si>
  <si>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</si>
  <si>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</si>
  <si>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</si>
  <si>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</si>
  <si>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</si>
  <si>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</si>
  <si>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</si>
  <si>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</si>
  <si>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</si>
  <si>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</si>
  <si>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</si>
  <si>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</si>
  <si>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</si>
  <si>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</si>
  <si>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</si>
  <si>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</si>
  <si>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</si>
  <si>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</si>
  <si>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</si>
  <si>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</si>
  <si>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</si>
  <si>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</si>
  <si>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</si>
  <si>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</si>
  <si>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</si>
  <si>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</si>
  <si>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</si>
  <si>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</si>
  <si>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</si>
  <si>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</si>
  <si>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</si>
  <si>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</si>
  <si>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</si>
  <si>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</si>
  <si>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</si>
  <si>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</si>
  <si>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</si>
  <si>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</si>
  <si>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</si>
  <si>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</si>
  <si>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</si>
  <si>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</si>
  <si>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</si>
  <si>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</si>
  <si>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</si>
  <si>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</si>
  <si>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</si>
  <si>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</si>
  <si>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</si>
  <si>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</si>
  <si>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</si>
  <si>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</si>
  <si>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</si>
  <si>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</si>
  <si>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</si>
  <si>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</si>
  <si>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</si>
  <si>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</si>
  <si>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</si>
  <si>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</si>
  <si>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</si>
  <si>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</si>
  <si>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</si>
  <si>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</si>
  <si>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</si>
  <si>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</si>
  <si>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</si>
  <si>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</si>
  <si>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</si>
  <si>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</si>
  <si>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</si>
  <si>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</si>
  <si>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</si>
  <si>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</si>
  <si>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</si>
  <si>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</si>
  <si>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</si>
  <si>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</si>
  <si>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</si>
  <si>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</si>
  <si>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</si>
  <si>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</si>
  <si>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</si>
  <si>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</si>
  <si>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</si>
  <si>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</si>
  <si>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</si>
  <si>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</si>
  <si>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</si>
  <si>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</si>
  <si>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</si>
  <si>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</si>
  <si>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</si>
  <si>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</si>
  <si>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</si>
  <si>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</si>
  <si>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</si>
  <si>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</si>
  <si>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</si>
  <si>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</si>
  <si>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</si>
  <si>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</si>
  <si>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</si>
  <si>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</si>
  <si>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</si>
  <si>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</si>
  <si>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</si>
  <si>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</si>
  <si>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</si>
  <si>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</si>
  <si>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</si>
  <si>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</si>
  <si>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</si>
  <si>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</si>
  <si>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</si>
  <si>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</si>
  <si>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</si>
  <si>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</si>
  <si>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</si>
  <si>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</si>
  <si>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</si>
  <si>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</si>
  <si>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</si>
  <si>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</si>
  <si>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</si>
  <si>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</si>
  <si>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</si>
  <si>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</si>
  <si>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</si>
  <si>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</si>
  <si>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</si>
  <si>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</si>
  <si>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</si>
  <si>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</si>
  <si>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</si>
  <si>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</si>
  <si>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</si>
  <si>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</si>
  <si>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</si>
  <si>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</si>
  <si>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</si>
  <si>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</si>
  <si>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</si>
  <si>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</si>
  <si>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</si>
  <si>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</si>
  <si>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</si>
  <si>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</si>
  <si>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</si>
  <si>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</si>
  <si>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</si>
  <si>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</si>
  <si>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</si>
  <si>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</si>
  <si>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</si>
  <si>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</si>
  <si>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</si>
  <si>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</si>
  <si>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</si>
  <si>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</si>
  <si>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</si>
  <si>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</si>
  <si>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</si>
  <si>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</si>
  <si>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</si>
  <si>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</si>
  <si>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</si>
  <si>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</si>
  <si>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</si>
  <si>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</si>
  <si>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</si>
  <si>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</si>
  <si>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</si>
  <si>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</si>
  <si>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</si>
  <si>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</si>
  <si>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</si>
  <si>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</si>
  <si>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</si>
  <si>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</si>
  <si>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</si>
  <si>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</si>
  <si>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</si>
  <si>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</si>
  <si>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</si>
  <si>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</si>
  <si>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</si>
  <si>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</si>
  <si>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</si>
  <si>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</si>
  <si>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</si>
  <si>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</si>
  <si>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</si>
  <si>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</si>
  <si>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</si>
  <si>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</si>
  <si>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</si>
  <si>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</si>
  <si>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</si>
  <si>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</si>
  <si>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</si>
  <si>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</si>
  <si>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</si>
  <si>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</si>
  <si>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</si>
  <si>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</si>
  <si>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</si>
  <si>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</si>
  <si>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</si>
  <si>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</si>
  <si>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</si>
  <si>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</si>
  <si>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</si>
  <si>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</si>
  <si>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</si>
  <si>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</si>
  <si>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</si>
  <si>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</si>
  <si>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</si>
  <si>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</si>
  <si>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</si>
  <si>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</si>
  <si>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</si>
  <si>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</si>
  <si>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</si>
  <si>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</si>
  <si>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</si>
  <si>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</si>
  <si>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</si>
  <si>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</si>
  <si>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</si>
  <si>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</si>
  <si>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</si>
  <si>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</si>
  <si>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</si>
  <si>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</si>
  <si>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</si>
  <si>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</si>
  <si>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</si>
  <si>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</si>
  <si>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</si>
  <si>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</si>
  <si>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</si>
  <si>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</si>
  <si>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</si>
  <si>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</si>
  <si>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</si>
  <si>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</si>
  <si>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</si>
  <si>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</si>
  <si>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</si>
  <si>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</si>
  <si>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</si>
  <si>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</si>
  <si>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</si>
  <si>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</si>
  <si>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</si>
  <si>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</si>
  <si>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</si>
  <si>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</si>
  <si>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</si>
  <si>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</si>
  <si>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</si>
  <si>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</si>
  <si>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</si>
  <si>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</si>
  <si>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</si>
  <si>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</si>
  <si>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</si>
  <si>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</si>
  <si>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</si>
  <si>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</si>
  <si>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</si>
  <si>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</si>
  <si>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</si>
  <si>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</si>
  <si>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</si>
  <si>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</si>
  <si>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</si>
  <si>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</si>
  <si>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</si>
  <si>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</si>
  <si>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</si>
  <si>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</si>
  <si>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</si>
  <si>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</si>
  <si>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</si>
  <si>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</si>
  <si>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</si>
  <si>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</si>
  <si>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</si>
  <si>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</si>
  <si>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</si>
  <si>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</si>
  <si>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</si>
  <si>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</si>
  <si>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</si>
  <si>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</si>
  <si>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</si>
  <si>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</si>
  <si>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</si>
  <si>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</si>
  <si>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</si>
  <si>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</si>
  <si>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</si>
  <si>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</si>
  <si>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</si>
  <si>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</si>
  <si>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</si>
  <si>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</si>
  <si>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</si>
  <si>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</si>
  <si>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</si>
  <si>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</si>
  <si>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</si>
  <si>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</si>
  <si>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</si>
  <si>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</si>
  <si>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</si>
  <si>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</si>
  <si>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</si>
  <si>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</si>
  <si>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</si>
  <si>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</si>
  <si>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</si>
  <si>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</si>
  <si>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</si>
  <si>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</si>
  <si>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</si>
  <si>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</si>
  <si>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</si>
  <si>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</si>
  <si>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</si>
  <si>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</si>
  <si>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</si>
  <si>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</si>
  <si>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</si>
  <si>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</si>
  <si>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</si>
  <si>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</si>
  <si>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</si>
  <si>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</si>
  <si>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</si>
  <si>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</si>
  <si>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</si>
  <si>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</si>
  <si>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</si>
  <si>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</si>
  <si>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</si>
  <si>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</si>
  <si>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</si>
  <si>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</si>
  <si>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</si>
  <si>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</si>
  <si>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</si>
  <si>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</si>
  <si>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</si>
  <si>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</si>
  <si>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</si>
  <si>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</si>
  <si>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</si>
  <si>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</si>
  <si>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</si>
  <si>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</si>
  <si>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</si>
  <si>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</si>
  <si>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</si>
  <si>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</si>
  <si>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</si>
  <si>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</si>
  <si>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</si>
  <si>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</si>
  <si>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</si>
  <si>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</si>
  <si>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</si>
  <si>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</si>
  <si>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</si>
  <si>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</si>
  <si>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</si>
  <si>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</si>
  <si>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</si>
  <si>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</si>
  <si>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</si>
  <si>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</si>
  <si>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</si>
  <si>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</si>
  <si>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</si>
  <si>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</si>
  <si>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</si>
  <si>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</si>
  <si>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</si>
  <si>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</si>
  <si>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</si>
  <si>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</si>
  <si>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</si>
  <si>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</si>
  <si>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</si>
  <si>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</si>
  <si>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</si>
  <si>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</si>
  <si>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</si>
  <si>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</si>
  <si>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</si>
  <si>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</si>
  <si>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</si>
  <si>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</si>
  <si>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</si>
  <si>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</si>
  <si>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</si>
  <si>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</si>
  <si>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</si>
  <si>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</si>
  <si>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</si>
  <si>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</si>
  <si>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</si>
  <si>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</si>
  <si>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</si>
  <si>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</si>
  <si>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</si>
  <si>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</si>
  <si>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</si>
  <si>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</si>
  <si>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</si>
  <si>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</si>
  <si>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</si>
  <si>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</si>
  <si>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</si>
  <si>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</si>
  <si>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</si>
  <si>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</si>
  <si>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</si>
  <si>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</si>
  <si>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</si>
  <si>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</si>
  <si>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</si>
  <si>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</si>
  <si>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</si>
  <si>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</si>
  <si>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</si>
  <si>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</si>
  <si>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</si>
  <si>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</si>
  <si>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</si>
  <si>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</si>
  <si>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</si>
  <si>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</si>
  <si>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</si>
  <si>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</si>
  <si>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</si>
  <si>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</si>
  <si>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</si>
  <si>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</si>
  <si>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</si>
  <si>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</si>
  <si>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</si>
  <si>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</si>
  <si>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</si>
  <si>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</si>
  <si>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</si>
  <si>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</si>
  <si>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</si>
  <si>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</si>
  <si>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</si>
  <si>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</si>
  <si>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</si>
  <si>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</si>
  <si>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</si>
  <si>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</si>
  <si>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</si>
  <si>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</si>
  <si>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</si>
  <si>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</si>
  <si>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</si>
  <si>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</si>
  <si>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</si>
  <si>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</si>
  <si>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</si>
  <si>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</si>
  <si>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</si>
  <si>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</si>
  <si>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</si>
  <si>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</si>
  <si>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</si>
  <si>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</si>
  <si>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</si>
  <si>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</si>
  <si>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</si>
  <si>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</si>
  <si>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</si>
  <si>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</si>
  <si>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</si>
  <si>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</si>
  <si>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</si>
  <si>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</si>
  <si>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</si>
  <si>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</si>
  <si>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</si>
  <si>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</si>
  <si>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</si>
  <si>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</si>
  <si>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</si>
  <si>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</si>
  <si>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</si>
  <si>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</si>
  <si>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</si>
  <si>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</si>
  <si>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</si>
  <si>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</si>
  <si>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</si>
  <si>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</si>
  <si>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</si>
  <si>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</si>
  <si>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</si>
  <si>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</si>
  <si>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</si>
  <si>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</si>
  <si>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</si>
  <si>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</si>
  <si>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</si>
  <si>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</si>
  <si>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</si>
  <si>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</si>
  <si>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</si>
  <si>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</si>
  <si>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</si>
  <si>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</si>
  <si>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</si>
  <si>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</si>
  <si>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</si>
  <si>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</si>
  <si>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</si>
  <si>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</si>
  <si>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</si>
  <si>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</si>
  <si>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</si>
  <si>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</si>
  <si>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</si>
  <si>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</si>
  <si>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</si>
  <si>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</si>
  <si>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</si>
  <si>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</si>
  <si>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</si>
  <si>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</si>
  <si>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</si>
  <si>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</si>
  <si>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</si>
  <si>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</si>
  <si>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</si>
  <si>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</si>
  <si>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</si>
  <si>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</si>
  <si>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</si>
  <si>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</si>
  <si>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</si>
  <si>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</si>
  <si>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</si>
  <si>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</si>
  <si>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</si>
  <si>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</si>
  <si>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</si>
  <si>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</si>
  <si>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</si>
  <si>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</si>
  <si>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</si>
  <si>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</si>
  <si>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</si>
  <si>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</si>
  <si>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</si>
  <si>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</si>
  <si>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</si>
  <si>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</si>
  <si>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</si>
  <si>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</si>
  <si>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</si>
  <si>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</si>
  <si>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</si>
  <si>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</si>
  <si>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</si>
  <si>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</si>
  <si>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</si>
  <si>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</si>
  <si>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</si>
  <si>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</si>
  <si>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</si>
  <si>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</si>
  <si>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</si>
  <si>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</si>
  <si>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</si>
  <si>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</si>
  <si>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</si>
  <si>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</si>
  <si>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</si>
  <si>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</si>
  <si>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</si>
  <si>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</si>
  <si>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</si>
  <si>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</si>
  <si>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</si>
  <si>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</si>
  <si>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</si>
  <si>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</si>
  <si>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</si>
  <si>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</si>
  <si>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</si>
  <si>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</si>
  <si>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</si>
  <si>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</si>
  <si>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</si>
  <si>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</si>
  <si>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</si>
  <si>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</si>
  <si>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</si>
  <si>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</si>
  <si>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</si>
  <si>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</si>
  <si>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</si>
  <si>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</si>
  <si>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</si>
  <si>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</si>
  <si>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</si>
  <si>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</si>
  <si>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</si>
  <si>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</si>
  <si>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</si>
  <si>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</si>
  <si>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</si>
  <si>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</si>
  <si>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</si>
  <si>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</si>
  <si>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</si>
  <si>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</si>
  <si>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</si>
  <si>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</si>
  <si>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</si>
  <si>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</si>
  <si>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</si>
  <si>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</si>
  <si>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</si>
  <si>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</si>
  <si>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</si>
  <si>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</si>
  <si>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</si>
  <si>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</si>
  <si>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</si>
  <si>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</si>
  <si>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</si>
  <si>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</si>
  <si>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</si>
  <si>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</si>
  <si>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</si>
  <si>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</si>
  <si>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</si>
  <si>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</si>
  <si>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</si>
  <si>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</si>
  <si>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</si>
  <si>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</si>
  <si>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</si>
  <si>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</si>
  <si>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</si>
  <si>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</si>
  <si>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</si>
  <si>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</si>
  <si>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</si>
  <si>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</si>
  <si>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</si>
  <si>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</si>
  <si>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</si>
  <si>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</si>
  <si>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</si>
  <si>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</si>
  <si>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</si>
  <si>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</si>
  <si>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</si>
  <si>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</si>
  <si>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</si>
  <si>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</si>
  <si>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</si>
  <si>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</si>
  <si>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</si>
  <si>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</si>
  <si>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</si>
  <si>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</si>
  <si>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</si>
  <si>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</si>
  <si>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</si>
  <si>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</si>
  <si>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</si>
  <si>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</si>
  <si>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</si>
  <si>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</si>
  <si>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</si>
  <si>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</si>
  <si>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</si>
  <si>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</si>
  <si>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</si>
  <si>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</si>
  <si>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</si>
  <si>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</si>
  <si>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</si>
  <si>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</si>
  <si>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</si>
  <si>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</si>
  <si>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</si>
  <si>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</si>
  <si>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</si>
  <si>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</si>
  <si>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</si>
  <si>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</si>
  <si>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</si>
  <si>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</si>
  <si>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</si>
  <si>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</si>
  <si>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</si>
  <si>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</si>
  <si>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</si>
  <si>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</si>
  <si>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</si>
  <si>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</si>
  <si>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</si>
  <si>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</si>
  <si>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</si>
  <si>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</si>
  <si>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</si>
  <si>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</si>
  <si>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</si>
  <si>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</si>
  <si>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</si>
  <si>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</si>
  <si>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</si>
  <si>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</si>
  <si>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</si>
  <si>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</si>
  <si>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</si>
  <si>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</si>
  <si>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</si>
  <si>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</si>
  <si>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</si>
  <si>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</si>
  <si>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</si>
  <si>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</si>
  <si>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</si>
  <si>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</si>
  <si>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</si>
  <si>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</si>
  <si>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</si>
  <si>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</si>
  <si>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</si>
  <si>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</si>
  <si>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</si>
  <si>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</si>
  <si>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</si>
  <si>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</si>
  <si>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</si>
  <si>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</si>
  <si>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</si>
  <si>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</si>
  <si>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</si>
  <si>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</si>
  <si>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</si>
  <si>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</si>
  <si>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</si>
  <si>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</si>
  <si>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</si>
  <si>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</si>
  <si>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</si>
  <si>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</si>
  <si>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</si>
  <si>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</si>
  <si>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</si>
  <si>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</si>
  <si>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</si>
  <si>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</si>
  <si>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</si>
  <si>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</si>
  <si>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</si>
  <si>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</si>
  <si>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</si>
  <si>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</si>
  <si>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</si>
  <si>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</si>
  <si>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</si>
  <si>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</si>
  <si>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</si>
  <si>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</si>
  <si>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</si>
  <si>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</si>
  <si>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</si>
  <si>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</si>
  <si>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</si>
  <si>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</si>
  <si>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</si>
  <si>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</si>
  <si>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</si>
  <si>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</si>
  <si>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</si>
  <si>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</si>
  <si>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</si>
  <si>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</si>
  <si>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</si>
  <si>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</si>
  <si>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</si>
  <si>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</si>
  <si>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</si>
  <si>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</si>
  <si>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</si>
  <si>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</si>
  <si>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</si>
  <si>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</si>
  <si>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</si>
  <si>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</si>
  <si>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</si>
  <si>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</si>
  <si>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</si>
  <si>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</si>
  <si>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</si>
  <si>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</si>
  <si>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</si>
  <si>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</si>
  <si>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</si>
  <si>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</si>
  <si>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</si>
  <si>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</si>
  <si>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</si>
  <si>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</si>
  <si>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</si>
  <si>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</si>
  <si>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</si>
  <si>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</si>
  <si>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</si>
  <si>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</si>
  <si>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</si>
  <si>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</si>
  <si>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</si>
  <si>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</si>
  <si>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</si>
  <si>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</si>
  <si>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</si>
  <si>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</si>
  <si>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</si>
  <si>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</si>
  <si>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</si>
  <si>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</si>
  <si>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</si>
  <si>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</si>
  <si>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</si>
  <si>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</si>
  <si>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</si>
  <si>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</si>
  <si>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</si>
  <si>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</si>
  <si>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</si>
  <si>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</si>
  <si>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</si>
  <si>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</si>
  <si>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</si>
  <si>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</si>
  <si>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</si>
  <si>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</si>
  <si>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</si>
  <si>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</si>
  <si>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</si>
  <si>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</si>
  <si>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</si>
  <si>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</si>
  <si>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</si>
  <si>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</si>
  <si>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</si>
  <si>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</si>
  <si>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</si>
  <si>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</si>
  <si>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</si>
  <si>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</si>
  <si>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</si>
  <si>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</si>
  <si>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</si>
  <si>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</si>
  <si>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</si>
  <si>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</si>
  <si>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</si>
  <si>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</si>
  <si>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</si>
  <si>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</si>
  <si>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</si>
  <si>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</si>
  <si>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</si>
  <si>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</si>
  <si>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</si>
  <si>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</si>
  <si>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</si>
  <si>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</si>
  <si>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</si>
  <si>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</si>
  <si>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</si>
  <si>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</si>
  <si>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</si>
  <si>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</si>
  <si>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</si>
  <si>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</si>
  <si>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</si>
  <si>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</si>
  <si>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</si>
  <si>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</si>
  <si>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</si>
  <si>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</si>
  <si>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</si>
  <si>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</si>
  <si>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</si>
  <si>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</si>
  <si>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</si>
  <si>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</si>
  <si>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</si>
  <si>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</si>
  <si>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</si>
  <si>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</si>
  <si>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</si>
  <si>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</si>
  <si>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</si>
  <si>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</si>
  <si>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</si>
  <si>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</si>
  <si>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</si>
  <si>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</si>
  <si>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</si>
  <si>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</si>
  <si>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</si>
  <si>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</si>
  <si>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</si>
  <si>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</si>
  <si>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</si>
  <si>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</si>
  <si>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</si>
  <si>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</si>
  <si>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</si>
  <si>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</si>
  <si>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</si>
  <si>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</si>
  <si>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</si>
  <si>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</si>
  <si>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</si>
  <si>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</si>
  <si>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</si>
  <si>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</si>
  <si>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</si>
  <si>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</si>
  <si>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</si>
  <si>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</si>
  <si>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</si>
  <si>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</si>
  <si>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</si>
  <si>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</si>
  <si>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</si>
  <si>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</si>
  <si>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</si>
  <si>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</si>
  <si>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</si>
  <si>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</si>
  <si>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</si>
  <si>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</si>
  <si>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</si>
  <si>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</si>
  <si>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</si>
  <si>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</si>
  <si>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</si>
  <si>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</si>
  <si>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</si>
  <si>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</si>
  <si>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</si>
  <si>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</si>
  <si>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</si>
  <si>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</si>
  <si>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</si>
  <si>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</si>
  <si>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</si>
  <si>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</si>
  <si>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</si>
  <si>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</si>
  <si>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</si>
  <si>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</si>
  <si>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</si>
  <si>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</si>
  <si>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</si>
  <si>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</si>
  <si>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</si>
  <si>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</si>
  <si>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</si>
  <si>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</si>
  <si>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</si>
  <si>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</si>
  <si>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</si>
  <si>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</si>
  <si>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</si>
  <si>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</si>
  <si>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</si>
  <si>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</si>
  <si>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</si>
  <si>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</si>
  <si>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</si>
  <si>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</si>
  <si>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</si>
  <si>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</si>
  <si>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</si>
  <si>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</si>
  <si>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</si>
  <si>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</si>
  <si>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</si>
  <si>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</si>
  <si>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</si>
  <si>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</si>
  <si>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</si>
  <si>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</si>
  <si>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</si>
  <si>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</si>
  <si>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</si>
  <si>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</si>
  <si>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</si>
  <si>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</si>
  <si>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</si>
  <si>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</si>
  <si>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</si>
  <si>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</si>
  <si>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</si>
  <si>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</si>
  <si>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</si>
  <si>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</si>
  <si>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</si>
  <si>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</si>
  <si>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</si>
  <si>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</si>
  <si>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</si>
  <si>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</si>
  <si>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</si>
  <si>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</si>
  <si>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</si>
  <si>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</si>
  <si>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</si>
  <si>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</si>
  <si>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</si>
  <si>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</si>
  <si>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</si>
  <si>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</si>
  <si>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</si>
  <si>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</si>
  <si>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</si>
  <si>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</si>
  <si>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</si>
  <si>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</si>
  <si>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</si>
  <si>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</si>
  <si>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</si>
  <si>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</si>
  <si>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</si>
  <si>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</si>
  <si>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</si>
  <si>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</si>
  <si>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</si>
  <si>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</si>
  <si>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</si>
  <si>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</si>
  <si>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</si>
  <si>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</si>
  <si>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</si>
  <si>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</si>
  <si>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</si>
  <si>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</si>
  <si>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</si>
  <si>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</si>
  <si>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</si>
  <si>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</si>
  <si>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</si>
  <si>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</si>
  <si>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</si>
  <si>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</si>
  <si>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</si>
  <si>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</si>
  <si>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</si>
  <si>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</si>
  <si>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</si>
  <si>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</si>
  <si>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</si>
  <si>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</si>
  <si>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</si>
  <si>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</si>
  <si>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</si>
  <si>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</si>
  <si>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</si>
  <si>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</si>
  <si>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</si>
  <si>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</si>
  <si>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</si>
  <si>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</si>
  <si>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</si>
  <si>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</si>
  <si>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</si>
  <si>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</si>
  <si>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</si>
  <si>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</si>
  <si>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</si>
  <si>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</si>
  <si>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</si>
  <si>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</si>
  <si>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</si>
  <si>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</si>
  <si>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</si>
  <si>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</si>
  <si>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</si>
  <si>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</si>
  <si>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</si>
  <si>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</si>
  <si>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</si>
  <si>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</si>
  <si>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</si>
  <si>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</si>
  <si>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</si>
  <si>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</si>
  <si>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</si>
  <si>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</si>
  <si>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</si>
  <si>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</si>
  <si>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</si>
  <si>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</si>
  <si>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</si>
  <si>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</si>
  <si>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</si>
  <si>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</si>
  <si>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</si>
  <si>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</si>
  <si>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</si>
  <si>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</si>
  <si>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</si>
  <si>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</si>
  <si>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</si>
  <si>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</si>
  <si>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</si>
  <si>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</si>
  <si>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</si>
  <si>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</si>
  <si>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</si>
  <si>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</si>
  <si>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</si>
  <si>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</si>
  <si>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</si>
  <si>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</si>
  <si>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</si>
  <si>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</si>
  <si>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</si>
  <si>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</si>
  <si>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</si>
  <si>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</si>
  <si>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</si>
  <si>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</si>
  <si>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</si>
  <si>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</si>
  <si>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</si>
  <si>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</si>
  <si>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</si>
  <si>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</si>
  <si>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</si>
  <si>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</si>
  <si>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</si>
  <si>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</si>
  <si>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</si>
  <si>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</si>
  <si>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</si>
  <si>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</si>
  <si>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</si>
  <si>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</si>
  <si>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</si>
  <si>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</si>
  <si>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</si>
  <si>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</si>
  <si>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</si>
  <si>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</si>
  <si>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</si>
  <si>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</si>
  <si>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</si>
  <si>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</si>
  <si>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</si>
  <si>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</si>
  <si>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</si>
  <si>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</si>
  <si>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</si>
  <si>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</si>
  <si>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</si>
  <si>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</si>
  <si>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</si>
  <si>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</si>
  <si>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</si>
  <si>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</si>
  <si>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</si>
  <si>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</si>
  <si>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</si>
  <si>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</si>
  <si>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</si>
  <si>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</si>
  <si>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</si>
  <si>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</si>
  <si>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</si>
  <si>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</si>
  <si>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</si>
  <si>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</si>
  <si>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</si>
  <si>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</si>
  <si>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</si>
  <si>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</si>
  <si>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</si>
  <si>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</si>
  <si>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</si>
  <si>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</si>
  <si>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</si>
  <si>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</si>
  <si>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</si>
  <si>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</si>
  <si>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</si>
  <si>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</si>
  <si>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</si>
  <si>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</si>
  <si>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</si>
  <si>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</si>
  <si>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</si>
  <si>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</si>
  <si>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</si>
  <si>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</si>
  <si>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</si>
  <si>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</si>
  <si>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</si>
  <si>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</si>
  <si>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</si>
  <si>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</si>
  <si>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</si>
  <si>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</si>
  <si>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</si>
  <si>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</si>
  <si>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</si>
  <si>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</si>
  <si>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</si>
  <si>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</si>
  <si>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</si>
  <si>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</si>
  <si>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</si>
  <si>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</si>
  <si>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</si>
  <si>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</si>
  <si>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</si>
  <si>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</si>
  <si>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</si>
  <si>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</si>
  <si>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</si>
  <si>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</si>
  <si>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</si>
  <si>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</si>
  <si>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</si>
  <si>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</si>
  <si>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</si>
  <si>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</si>
  <si>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</si>
  <si>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</si>
  <si>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</si>
  <si>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</si>
  <si>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</si>
  <si>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</si>
  <si>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</si>
  <si>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</si>
  <si>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</si>
  <si>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</si>
  <si>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</si>
  <si>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</si>
  <si>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</si>
  <si>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</si>
  <si>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</si>
  <si>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</si>
  <si>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</si>
  <si>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</si>
  <si>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</si>
  <si>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</si>
  <si>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</si>
  <si>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</si>
  <si>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</si>
  <si>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</si>
  <si>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</si>
  <si>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</si>
  <si>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</si>
  <si>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</si>
  <si>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</si>
  <si>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</si>
  <si>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</si>
  <si>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</si>
  <si>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</si>
  <si>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</si>
  <si>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</si>
  <si>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</si>
  <si>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</si>
  <si>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</si>
  <si>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</si>
  <si>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</si>
  <si>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</si>
  <si>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</si>
  <si>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</si>
  <si>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</si>
  <si>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</si>
  <si>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</si>
  <si>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</si>
  <si>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</si>
  <si>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</si>
  <si>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</si>
  <si>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</si>
  <si>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</si>
  <si>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</si>
  <si>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</si>
  <si>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</si>
  <si>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</si>
  <si>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</si>
  <si>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</si>
  <si>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</si>
  <si>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</si>
  <si>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</si>
  <si>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</si>
  <si>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</si>
  <si>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</si>
  <si>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</si>
  <si>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</si>
  <si>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</si>
  <si>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</si>
  <si>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</si>
  <si>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</si>
  <si>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</si>
  <si>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</si>
  <si>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</si>
  <si>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</si>
  <si>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</si>
  <si>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</si>
  <si>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</si>
  <si>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</si>
  <si>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</si>
  <si>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</si>
  <si>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</si>
  <si>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</si>
  <si>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</si>
  <si>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</si>
  <si>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</si>
  <si>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</si>
  <si>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</si>
  <si>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</si>
  <si>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</si>
  <si>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</si>
  <si>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</si>
  <si>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</si>
  <si>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</si>
  <si>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</si>
  <si>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</si>
  <si>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</si>
  <si>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</si>
  <si>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</si>
  <si>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</si>
  <si>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</si>
  <si>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</si>
  <si>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</si>
  <si>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</si>
  <si>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</si>
  <si>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</si>
  <si>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</si>
  <si>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</si>
  <si>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</si>
  <si>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</si>
  <si>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</si>
  <si>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</si>
  <si>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</si>
  <si>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</si>
  <si>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</si>
  <si>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</si>
  <si>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</si>
  <si>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</si>
  <si>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</si>
  <si>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</si>
  <si>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</si>
  <si>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</si>
  <si>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</si>
  <si>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</si>
  <si>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</si>
  <si>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</si>
  <si>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</si>
  <si>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</si>
  <si>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</si>
  <si>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</si>
  <si>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</si>
  <si>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</si>
  <si>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</si>
  <si>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</si>
  <si>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</si>
  <si>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</si>
  <si>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</si>
  <si>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</si>
  <si>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</si>
  <si>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</si>
  <si>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</si>
  <si>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</si>
  <si>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</si>
  <si>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</si>
  <si>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</si>
  <si>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</si>
  <si>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</si>
  <si>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</si>
  <si>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</si>
  <si>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</si>
  <si>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</si>
  <si>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</si>
  <si>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</si>
  <si>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</si>
  <si>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</si>
  <si>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</si>
  <si>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</si>
  <si>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</si>
  <si>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</si>
  <si>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</si>
  <si>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</si>
  <si>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</si>
  <si>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</si>
  <si>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</si>
  <si>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</si>
  <si>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</si>
  <si>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</si>
  <si>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</si>
  <si>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</si>
  <si>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</si>
  <si>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</si>
  <si>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</si>
  <si>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</si>
  <si>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</si>
  <si>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</si>
  <si>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</si>
  <si>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</si>
  <si>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</si>
  <si>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</si>
  <si>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</si>
  <si>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</si>
  <si>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</si>
  <si>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</si>
  <si>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</si>
  <si>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</si>
  <si>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</si>
  <si>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</si>
  <si>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</si>
  <si>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</si>
  <si>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</si>
  <si>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</si>
  <si>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</si>
  <si>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</si>
  <si>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</si>
  <si>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</si>
  <si>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</si>
  <si>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</si>
  <si>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</si>
  <si>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</si>
  <si>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</si>
  <si>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</si>
  <si>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</si>
  <si>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</si>
  <si>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</si>
  <si>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</si>
  <si>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</si>
  <si>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</si>
  <si>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</si>
  <si>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</si>
  <si>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</si>
  <si>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</si>
  <si>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</si>
  <si>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</si>
  <si>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</si>
  <si>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</si>
  <si>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</si>
  <si>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</si>
  <si>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</si>
  <si>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</si>
  <si>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</si>
  <si>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</si>
  <si>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</si>
  <si>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</si>
  <si>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</si>
  <si>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</si>
  <si>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</si>
  <si>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</si>
  <si>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</si>
  <si>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</si>
  <si>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</si>
  <si>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</si>
  <si>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</si>
  <si>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</si>
  <si>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</si>
  <si>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</si>
  <si>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</si>
  <si>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</si>
  <si>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</si>
  <si>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</si>
  <si>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</si>
  <si>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</si>
  <si>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</si>
  <si>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</si>
  <si>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</si>
  <si>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</si>
  <si>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</si>
  <si>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</si>
  <si>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</si>
  <si>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</si>
  <si>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</si>
  <si>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</si>
  <si>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</si>
  <si>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</si>
  <si>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</si>
  <si>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</si>
  <si>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</si>
  <si>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</si>
  <si>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</si>
  <si>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</si>
  <si>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</si>
  <si>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</si>
  <si>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</si>
  <si>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</si>
  <si>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</si>
  <si>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</si>
  <si>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</si>
  <si>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</si>
  <si>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</si>
  <si>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</si>
  <si>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</si>
  <si>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</si>
  <si>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</si>
  <si>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</si>
  <si>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</si>
  <si>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</si>
  <si>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</si>
  <si>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</si>
  <si>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</si>
  <si>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</si>
  <si>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</si>
  <si>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</si>
  <si>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</si>
  <si>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</si>
  <si>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</si>
  <si>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</si>
  <si>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</si>
  <si>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</si>
  <si>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</si>
  <si>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</si>
  <si>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</si>
  <si>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</si>
  <si>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</si>
  <si>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</si>
  <si>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</si>
  <si>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</si>
  <si>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</si>
  <si>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</si>
  <si>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</si>
  <si>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</si>
  <si>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</si>
  <si>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</si>
  <si>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</si>
  <si>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</si>
  <si>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</si>
  <si>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</si>
  <si>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</si>
  <si>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</si>
  <si>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</si>
  <si>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</si>
  <si>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</si>
  <si>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</si>
  <si>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</si>
  <si>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</si>
  <si>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</si>
  <si>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</si>
  <si>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</si>
  <si>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</si>
  <si>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</si>
  <si>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</si>
  <si>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</si>
  <si>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</si>
  <si>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</si>
  <si>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</si>
  <si>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</si>
  <si>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</si>
  <si>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</si>
  <si>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</si>
  <si>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</si>
  <si>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</si>
  <si>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</si>
  <si>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</si>
  <si>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</si>
  <si>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</si>
  <si>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</si>
  <si>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</si>
  <si>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</si>
  <si>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</si>
  <si>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</si>
  <si>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</si>
  <si>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</si>
  <si>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</si>
  <si>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</si>
  <si>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</si>
  <si>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</si>
  <si>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</si>
  <si>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</si>
  <si>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</si>
  <si>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</si>
  <si>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</si>
  <si>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</si>
  <si>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</si>
  <si>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</si>
  <si>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</si>
  <si>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</si>
  <si>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</si>
  <si>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</si>
  <si>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</si>
  <si>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</si>
  <si>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</si>
  <si>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</si>
  <si>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</si>
  <si>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</si>
  <si>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</si>
  <si>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</si>
  <si>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</si>
  <si>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</si>
  <si>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</si>
  <si>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</si>
  <si>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</si>
  <si>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</si>
  <si>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</si>
  <si>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</si>
  <si>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</si>
  <si>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</si>
  <si>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</si>
  <si>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</si>
  <si>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</si>
  <si>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</si>
  <si>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</si>
  <si>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</si>
  <si>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</si>
  <si>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</si>
  <si>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</si>
  <si>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</si>
  <si>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</si>
  <si>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</si>
  <si>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</si>
  <si>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</si>
  <si>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</si>
  <si>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</si>
  <si>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</si>
  <si>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</si>
  <si>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</si>
  <si>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</si>
  <si>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</si>
  <si>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</si>
  <si>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</si>
  <si>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</si>
  <si>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</si>
  <si>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</si>
  <si>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</si>
  <si>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</si>
  <si>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</si>
  <si>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</si>
  <si>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</si>
  <si>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</si>
  <si>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</si>
  <si>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</si>
  <si>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</si>
  <si>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</si>
  <si>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</si>
  <si>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</si>
  <si>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</si>
  <si>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</si>
  <si>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</si>
  <si>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</si>
  <si>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</si>
  <si>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</si>
  <si>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</si>
  <si>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</si>
  <si>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</si>
  <si>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</si>
  <si>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</si>
  <si>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</si>
  <si>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</si>
  <si>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</si>
  <si>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</si>
  <si>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</si>
  <si>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</si>
  <si>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</si>
  <si>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</si>
  <si>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</si>
  <si>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</si>
  <si>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</si>
  <si>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</si>
  <si>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</si>
  <si>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</si>
  <si>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</si>
  <si>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</si>
  <si>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</si>
  <si>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</si>
  <si>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</si>
  <si>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</si>
  <si>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</si>
  <si>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</si>
  <si>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</si>
  <si>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</si>
  <si>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</si>
  <si>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</si>
  <si>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</si>
  <si>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</si>
  <si>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</si>
  <si>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</si>
  <si>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</si>
  <si>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</si>
  <si>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</si>
  <si>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</si>
  <si>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</si>
  <si>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</si>
  <si>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</si>
  <si>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</si>
  <si>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</si>
  <si>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</si>
  <si>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</si>
  <si>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</si>
  <si>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</si>
  <si>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</si>
  <si>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</si>
  <si>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</si>
  <si>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</si>
  <si>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</si>
  <si>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</si>
  <si>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</si>
  <si>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</si>
  <si>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</si>
  <si>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</si>
  <si>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</si>
  <si>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</si>
  <si>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</si>
  <si>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</si>
  <si>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</si>
  <si>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</si>
  <si>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</si>
  <si>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</si>
  <si>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</si>
  <si>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</si>
  <si>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</si>
  <si>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</si>
  <si>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</si>
  <si>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</si>
  <si>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</si>
  <si>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</si>
  <si>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</si>
  <si>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</si>
  <si>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</si>
  <si>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</si>
  <si>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</si>
  <si>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</si>
  <si>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</si>
  <si>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</si>
  <si>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</si>
  <si>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</si>
  <si>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</si>
  <si>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</si>
  <si>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</si>
  <si>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</si>
  <si>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</si>
  <si>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</si>
  <si>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</si>
  <si>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</si>
  <si>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</si>
  <si>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</si>
  <si>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</si>
  <si>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</si>
  <si>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</si>
  <si>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</si>
  <si>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</si>
  <si>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</si>
  <si>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</si>
  <si>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</si>
  <si>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</si>
  <si>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</si>
  <si>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</si>
  <si>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</si>
  <si>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</si>
  <si>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</si>
  <si>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</si>
  <si>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</si>
  <si>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</si>
  <si>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</si>
  <si>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</si>
  <si>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</si>
  <si>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</si>
  <si>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</si>
  <si>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</si>
  <si>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</si>
  <si>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</si>
  <si>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</si>
  <si>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</si>
  <si>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</si>
  <si>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</si>
  <si>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</si>
  <si>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</si>
  <si>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</si>
  <si>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</si>
  <si>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</si>
  <si>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</si>
  <si>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</si>
  <si>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</si>
  <si>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</si>
  <si>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</si>
  <si>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</si>
  <si>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</si>
  <si>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</si>
  <si>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</si>
  <si>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</si>
  <si>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</si>
  <si>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</si>
  <si>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</si>
  <si>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</si>
  <si>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</si>
  <si>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</si>
  <si>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</si>
  <si>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</si>
  <si>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</si>
  <si>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</si>
  <si>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</si>
  <si>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</si>
  <si>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</si>
  <si>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</si>
  <si>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</si>
  <si>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</si>
  <si>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</si>
  <si>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</si>
  <si>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</si>
  <si>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</si>
  <si>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</si>
  <si>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</si>
  <si>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</si>
  <si>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</si>
  <si>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</si>
  <si>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</si>
  <si>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</si>
  <si>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</si>
  <si>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</si>
  <si>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</si>
  <si>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</si>
  <si>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</si>
  <si>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</si>
  <si>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</si>
  <si>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</si>
  <si>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</si>
  <si>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</si>
  <si>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</si>
  <si>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</si>
  <si>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</si>
  <si>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</si>
  <si>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</si>
  <si>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</si>
  <si>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</si>
  <si>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</si>
  <si>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</si>
  <si>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</si>
  <si>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</si>
  <si>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</si>
  <si>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</si>
  <si>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</si>
  <si>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</si>
  <si>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</si>
  <si>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</si>
  <si>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</si>
  <si>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</si>
  <si>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</si>
  <si>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</si>
  <si>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</si>
  <si>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</si>
  <si>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</si>
  <si>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</si>
  <si>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</si>
  <si>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</si>
  <si>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</si>
  <si>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</si>
  <si>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</si>
  <si>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</si>
  <si>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</si>
  <si>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</si>
  <si>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</si>
  <si>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</si>
  <si>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</si>
  <si>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</si>
  <si>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</si>
  <si>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</si>
  <si>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</si>
  <si>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</si>
  <si>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</si>
  <si>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</si>
  <si>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</si>
  <si>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</si>
  <si>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</si>
  <si>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</si>
  <si>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</si>
  <si>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</si>
  <si>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</si>
  <si>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</si>
  <si>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</si>
  <si>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</si>
  <si>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</si>
  <si>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</si>
  <si>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</si>
  <si>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</si>
  <si>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</si>
  <si>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</si>
  <si>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</si>
  <si>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</si>
  <si>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</si>
  <si>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</si>
  <si>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</si>
  <si>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</si>
  <si>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</si>
  <si>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</si>
  <si>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</si>
  <si>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</si>
  <si>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</si>
  <si>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</si>
  <si>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</si>
  <si>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</si>
  <si>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</si>
  <si>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</si>
  <si>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</si>
  <si>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</si>
  <si>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</si>
  <si>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</si>
  <si>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</si>
  <si>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</si>
  <si>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</si>
  <si>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</si>
  <si>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</si>
  <si>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</si>
  <si>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</si>
  <si>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</si>
  <si>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</si>
  <si>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</si>
  <si>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</si>
  <si>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</si>
  <si>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</si>
  <si>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</si>
  <si>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</si>
  <si>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</si>
  <si>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</si>
  <si>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</si>
  <si>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</si>
  <si>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</si>
  <si>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</si>
  <si>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</si>
  <si>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</si>
  <si>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</si>
  <si>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</si>
  <si>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</si>
  <si>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</si>
  <si>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</si>
  <si>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</si>
  <si>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</si>
  <si>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</si>
  <si>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</si>
  <si>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</si>
  <si>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</si>
  <si>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</si>
  <si>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</si>
  <si>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</si>
  <si>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</si>
  <si>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</si>
  <si>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</si>
  <si>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</si>
  <si>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</si>
  <si>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</si>
  <si>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</si>
  <si>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</si>
  <si>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</si>
  <si>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</si>
  <si>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</si>
  <si>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</si>
  <si>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</si>
  <si>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</si>
  <si>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</si>
  <si>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</si>
  <si>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</si>
  <si>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</si>
  <si>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</si>
  <si>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</si>
  <si>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</si>
  <si>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</si>
  <si>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</si>
  <si>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</si>
  <si>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</si>
  <si>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</si>
  <si>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</si>
  <si>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</si>
  <si>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</si>
  <si>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</si>
  <si>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</si>
  <si>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</si>
  <si>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</si>
  <si>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</si>
  <si>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</si>
  <si>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</si>
  <si>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</si>
  <si>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</si>
  <si>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</si>
  <si>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</si>
  <si>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</si>
  <si>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</si>
  <si>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</si>
  <si>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</si>
  <si>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</si>
  <si>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</si>
  <si>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</si>
  <si>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</si>
  <si>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</si>
  <si>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</si>
  <si>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</si>
  <si>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</si>
  <si>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</si>
  <si>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</si>
  <si>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</si>
  <si>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</si>
  <si>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</si>
  <si>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</si>
  <si>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</si>
  <si>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</si>
  <si>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</si>
  <si>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</si>
  <si>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</si>
  <si>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</si>
  <si>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</si>
  <si>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</si>
  <si>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</si>
  <si>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</si>
  <si>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</si>
  <si>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</si>
  <si>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</si>
  <si>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</si>
  <si>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</si>
  <si>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</si>
  <si>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</si>
  <si>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</si>
  <si>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</si>
  <si>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</si>
  <si>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</si>
  <si>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</si>
  <si>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</si>
  <si>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</si>
  <si>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</si>
  <si>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</si>
  <si>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</si>
  <si>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</si>
  <si>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</si>
  <si>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</si>
  <si>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</si>
  <si>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</si>
  <si>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</si>
  <si>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</si>
  <si>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</si>
  <si>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</si>
  <si>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</si>
  <si>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</si>
  <si>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</si>
  <si>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</si>
  <si>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</si>
  <si>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</si>
  <si>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</si>
  <si>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</si>
  <si>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</si>
  <si>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</si>
  <si>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</si>
  <si>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</si>
  <si>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</si>
  <si>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</si>
  <si>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</si>
  <si>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</si>
  <si>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</si>
  <si>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</si>
  <si>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</si>
  <si>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</si>
  <si>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</si>
  <si>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</si>
  <si>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</si>
  <si>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</si>
  <si>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</si>
  <si>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</si>
  <si>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</si>
  <si>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</si>
  <si>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</si>
  <si>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</si>
  <si>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</si>
  <si>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</si>
  <si>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</si>
  <si>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</si>
  <si>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</si>
  <si>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</si>
  <si>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</si>
  <si>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</si>
  <si>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</si>
  <si>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</si>
  <si>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</si>
  <si>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</si>
  <si>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</si>
  <si>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</si>
  <si>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</si>
  <si>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</si>
  <si>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</si>
  <si>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</si>
  <si>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</si>
  <si>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</si>
  <si>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</si>
  <si>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</si>
  <si>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</si>
  <si>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</si>
  <si>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</si>
  <si>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</si>
  <si>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</si>
  <si>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</si>
  <si>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</si>
  <si>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</si>
  <si>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</si>
  <si>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</si>
  <si>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</si>
  <si>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</si>
  <si>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</si>
  <si>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</si>
  <si>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</si>
  <si>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</si>
  <si>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</si>
  <si>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</si>
  <si>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</si>
  <si>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</si>
  <si>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</si>
  <si>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</si>
  <si>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</si>
  <si>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</si>
  <si>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</si>
  <si>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</si>
  <si>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</si>
  <si>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</si>
  <si>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</si>
  <si>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</si>
  <si>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</si>
  <si>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</si>
  <si>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</si>
  <si>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</si>
  <si>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</si>
  <si>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</si>
  <si>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</si>
  <si>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</si>
  <si>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</si>
  <si>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</si>
  <si>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</si>
  <si>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</si>
  <si>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</si>
  <si>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</si>
  <si>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</si>
  <si>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</si>
  <si>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</si>
  <si>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</si>
  <si>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</si>
  <si>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</si>
  <si>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</si>
  <si>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</si>
  <si>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</si>
  <si>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</si>
  <si>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</si>
  <si>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</si>
  <si>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</si>
  <si>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</si>
  <si>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</si>
  <si>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</si>
  <si>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</si>
  <si>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</si>
  <si>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</si>
  <si>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</si>
  <si>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</si>
  <si>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</si>
  <si>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</si>
  <si>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</si>
  <si>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</si>
  <si>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</si>
  <si>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</si>
  <si>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</si>
  <si>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</si>
  <si>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</si>
  <si>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</si>
  <si>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</si>
  <si>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</si>
  <si>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</si>
  <si>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</si>
  <si>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</si>
  <si>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</si>
  <si>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</si>
  <si>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</si>
  <si>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</si>
  <si>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</si>
  <si>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</si>
  <si>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</si>
  <si>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</si>
  <si>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</si>
  <si>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</si>
  <si>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</si>
  <si>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</si>
  <si>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</si>
  <si>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</si>
  <si>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</si>
  <si>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</si>
  <si>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</si>
  <si>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</si>
  <si>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</si>
  <si>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</si>
  <si>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</si>
  <si>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</si>
  <si>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</si>
  <si>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</si>
  <si>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</si>
  <si>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</si>
  <si>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</si>
  <si>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</si>
  <si>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</si>
  <si>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</si>
  <si>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</si>
  <si>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</si>
  <si>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</si>
  <si>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</si>
  <si>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</si>
  <si>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</si>
  <si>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</si>
  <si>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</si>
  <si>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</si>
  <si>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</si>
  <si>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</si>
  <si>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</si>
  <si>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</si>
  <si>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</si>
  <si>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</si>
  <si>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</si>
  <si>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</si>
  <si>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</si>
  <si>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</si>
  <si>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</si>
  <si>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</si>
  <si>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</si>
  <si>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</si>
  <si>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</si>
  <si>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</si>
  <si>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</si>
  <si>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</si>
  <si>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</si>
  <si>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</si>
  <si>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</si>
  <si>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</si>
  <si>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</si>
  <si>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</si>
  <si>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</si>
  <si>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</si>
  <si>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</si>
  <si>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</si>
  <si>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</si>
  <si>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</si>
  <si>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</si>
  <si>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</si>
  <si>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</si>
  <si>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</si>
  <si>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</si>
  <si>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</si>
  <si>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</si>
  <si>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</si>
  <si>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</si>
  <si>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</si>
  <si>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</si>
  <si>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</si>
  <si>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</si>
  <si>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</si>
  <si>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</si>
  <si>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</si>
  <si>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</si>
  <si>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</si>
  <si>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</si>
  <si>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</si>
  <si>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</si>
  <si>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</si>
  <si>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</si>
  <si>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</si>
  <si>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</si>
  <si>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</si>
  <si>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</si>
  <si>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</si>
  <si>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</si>
  <si>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</si>
  <si>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</si>
  <si>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</si>
  <si>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</si>
  <si>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</si>
  <si>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</si>
  <si>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</si>
  <si>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</si>
  <si>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</si>
  <si>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</si>
  <si>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</si>
  <si>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</si>
  <si>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</si>
  <si>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</si>
  <si>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</si>
  <si>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</si>
  <si>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</si>
  <si>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</si>
  <si>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</si>
  <si>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</si>
  <si>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</si>
  <si>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</si>
  <si>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</si>
  <si>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</si>
  <si>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</si>
  <si>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</si>
  <si>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</si>
  <si>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</si>
  <si>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</si>
  <si>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</si>
  <si>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</si>
  <si>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</si>
  <si>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</si>
  <si>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</si>
  <si>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</si>
  <si>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</si>
  <si>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</si>
  <si>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</si>
  <si>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</si>
  <si>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</si>
  <si>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</si>
  <si>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</si>
  <si>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</si>
  <si>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</si>
  <si>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</si>
  <si>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</si>
  <si>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</si>
  <si>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</si>
  <si>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</si>
  <si>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</si>
  <si>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</si>
  <si>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</si>
  <si>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</si>
  <si>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</si>
  <si>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</si>
  <si>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</si>
  <si>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</si>
  <si>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</si>
  <si>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</si>
  <si>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</si>
  <si>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</si>
  <si>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</si>
  <si>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</si>
  <si>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</si>
  <si>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</si>
  <si>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</si>
  <si>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</si>
  <si>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</si>
  <si>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</si>
  <si>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</si>
  <si>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</si>
  <si>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</si>
  <si>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</si>
  <si>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</si>
  <si>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</si>
  <si>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</si>
  <si>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</si>
  <si>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</si>
  <si>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</si>
  <si>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</si>
  <si>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</si>
  <si>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</si>
  <si>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</si>
  <si>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</si>
  <si>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</si>
  <si>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</si>
  <si>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</si>
  <si>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</si>
  <si>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</si>
  <si>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</si>
  <si>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</si>
  <si>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</si>
  <si>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</si>
  <si>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</si>
  <si>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</si>
  <si>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</si>
  <si>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</si>
  <si>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</si>
  <si>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</si>
  <si>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</si>
  <si>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</si>
  <si>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</si>
  <si>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</si>
  <si>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</si>
  <si>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</si>
  <si>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</si>
  <si>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</si>
  <si>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</si>
  <si>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</si>
  <si>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</si>
  <si>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</si>
  <si>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</si>
  <si>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</si>
  <si>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</si>
  <si>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</si>
  <si>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</si>
  <si>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</si>
  <si>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</si>
  <si>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</si>
  <si>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</si>
  <si>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</si>
  <si>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</si>
  <si>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</si>
  <si>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</si>
  <si>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</si>
  <si>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</si>
  <si>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</si>
  <si>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</si>
  <si>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</si>
  <si>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</si>
  <si>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</si>
  <si>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</si>
  <si>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</si>
  <si>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</si>
  <si>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</si>
  <si>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</si>
  <si>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</si>
  <si>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</si>
  <si>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</si>
  <si>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</si>
  <si>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</si>
  <si>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</si>
  <si>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</si>
  <si>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</si>
  <si>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</si>
  <si>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</si>
  <si>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</si>
  <si>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</si>
  <si>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</si>
  <si>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</si>
  <si>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</si>
  <si>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</si>
  <si>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</si>
  <si>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</si>
  <si>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</si>
  <si>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</si>
  <si>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</si>
  <si>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</si>
  <si>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</si>
  <si>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</si>
  <si>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</si>
  <si>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</si>
  <si>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</si>
  <si>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</si>
  <si>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</si>
  <si>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</si>
  <si>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</si>
  <si>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</si>
  <si>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</si>
  <si>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</si>
  <si>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</si>
  <si>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</si>
  <si>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</si>
  <si>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</si>
  <si>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</si>
  <si>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</si>
  <si>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</si>
  <si>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</si>
  <si>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</si>
  <si>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</si>
  <si>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</si>
  <si>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</si>
  <si>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</si>
  <si>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</si>
  <si>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</si>
  <si>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</si>
  <si>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</si>
  <si>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</si>
  <si>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</si>
  <si>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</si>
  <si>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</si>
  <si>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</si>
  <si>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</si>
  <si>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</si>
  <si>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</si>
  <si>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</si>
  <si>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</si>
  <si>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</si>
  <si>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</si>
  <si>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</si>
  <si>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</si>
  <si>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</si>
  <si>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</si>
  <si>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</si>
  <si>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</si>
  <si>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</si>
  <si>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</si>
  <si>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</si>
  <si>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</si>
  <si>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</si>
  <si>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</si>
  <si>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</si>
  <si>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</si>
  <si>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</si>
  <si>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</si>
  <si>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</si>
  <si>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</si>
  <si>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</si>
  <si>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</si>
  <si>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</si>
  <si>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</si>
  <si>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</si>
  <si>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</si>
  <si>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</si>
  <si>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</si>
  <si>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</si>
  <si>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</si>
  <si>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</si>
  <si>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</si>
  <si>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</si>
  <si>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</si>
  <si>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</si>
  <si>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</si>
  <si>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</si>
  <si>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</si>
  <si>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</si>
  <si>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</si>
  <si>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</si>
  <si>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</si>
  <si>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</si>
  <si>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</si>
  <si>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</si>
  <si>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</si>
  <si>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</si>
  <si>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</si>
  <si>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</si>
  <si>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</si>
  <si>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</si>
  <si>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</si>
  <si>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</si>
  <si>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</si>
  <si>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</si>
  <si>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</si>
  <si>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</si>
  <si>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</si>
  <si>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</si>
  <si>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</si>
  <si>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</si>
  <si>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</si>
  <si>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</si>
  <si>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</si>
  <si>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</si>
  <si>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</si>
  <si>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</si>
  <si>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</si>
  <si>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</si>
  <si>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</si>
  <si>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</si>
  <si>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</si>
  <si>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</si>
  <si>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</si>
  <si>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</si>
  <si>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</si>
  <si>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</si>
  <si>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</si>
  <si>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</si>
  <si>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</si>
  <si>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</si>
  <si>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</si>
  <si>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</si>
  <si>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</si>
  <si>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</si>
  <si>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</si>
  <si>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</si>
  <si>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</si>
  <si>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</si>
  <si>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</si>
  <si>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</si>
  <si>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</si>
  <si>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</si>
  <si>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</si>
  <si>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</si>
  <si>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</si>
  <si>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</si>
  <si>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</si>
  <si>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</si>
  <si>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</si>
  <si>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</si>
  <si>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</si>
  <si>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</si>
  <si>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</si>
  <si>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</si>
  <si>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</si>
  <si>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</si>
  <si>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</si>
  <si>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</si>
  <si>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</si>
  <si>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</si>
  <si>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</si>
  <si>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</si>
  <si>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</si>
  <si>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</si>
  <si>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</si>
  <si>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</si>
  <si>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</si>
  <si>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</si>
  <si>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</si>
  <si>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</si>
  <si>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</si>
  <si>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</si>
  <si>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</si>
  <si>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</si>
  <si>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</si>
  <si>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</si>
  <si>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</si>
  <si>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</si>
  <si>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</si>
  <si>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</si>
  <si>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</si>
  <si>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</si>
  <si>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</si>
  <si>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</si>
  <si>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</si>
  <si>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</si>
  <si>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</si>
  <si>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</si>
  <si>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</si>
  <si>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</si>
  <si>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</si>
  <si>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</si>
  <si>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</si>
  <si>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</si>
  <si>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</si>
  <si>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</si>
  <si>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</si>
  <si>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</si>
  <si>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</si>
  <si>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</si>
  <si>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</si>
  <si>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</si>
  <si>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</si>
  <si>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</si>
  <si>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</si>
  <si>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</si>
  <si>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</si>
  <si>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</si>
  <si>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</si>
  <si>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</si>
  <si>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</si>
  <si>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</si>
  <si>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</si>
  <si>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</si>
  <si>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</si>
  <si>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</si>
  <si>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</si>
  <si>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</si>
  <si>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</si>
  <si>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</si>
  <si>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</si>
  <si>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</si>
  <si>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</si>
  <si>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</si>
  <si>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</si>
  <si>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</si>
  <si>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</si>
  <si>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</si>
  <si>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</si>
  <si>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</si>
  <si>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</si>
  <si>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</si>
  <si>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</si>
  <si>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</si>
  <si>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</si>
  <si>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</si>
  <si>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</si>
  <si>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</si>
  <si>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</si>
  <si>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</si>
  <si>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</si>
  <si>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</si>
  <si>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</si>
  <si>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</si>
  <si>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</si>
  <si>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</si>
  <si>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</si>
  <si>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</si>
  <si>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</si>
  <si>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</si>
  <si>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</si>
  <si>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</si>
  <si>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</si>
  <si>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</si>
  <si>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</si>
  <si>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</si>
  <si>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</si>
  <si>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</si>
  <si>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</si>
  <si>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</si>
  <si>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</si>
  <si>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</si>
  <si>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</si>
  <si>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</si>
  <si>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</si>
  <si>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</si>
  <si>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</si>
  <si>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</si>
  <si>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</si>
  <si>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</si>
  <si>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</si>
  <si>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</si>
  <si>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</si>
  <si>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</si>
  <si>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</si>
  <si>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</si>
  <si>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</si>
  <si>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</si>
  <si>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</si>
  <si>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</si>
  <si>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</si>
  <si>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</si>
  <si>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</si>
  <si>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</si>
  <si>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</si>
  <si>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</si>
  <si>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</si>
  <si>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</si>
  <si>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</si>
  <si>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</si>
  <si>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</si>
  <si>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</si>
  <si>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</si>
  <si>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</si>
  <si>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</si>
  <si>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</si>
  <si>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</si>
  <si>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</si>
  <si>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</si>
  <si>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</si>
  <si>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</si>
  <si>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</si>
  <si>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</si>
  <si>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</si>
  <si>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</si>
  <si>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</si>
  <si>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</si>
  <si>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</si>
  <si>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</si>
  <si>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</si>
  <si>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</si>
  <si>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</si>
  <si>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</si>
  <si>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</si>
  <si>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</si>
  <si>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</si>
  <si>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</si>
  <si>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</si>
  <si>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</si>
  <si>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</si>
  <si>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</si>
  <si>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</si>
  <si>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</si>
  <si>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</si>
  <si>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</si>
  <si>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</si>
  <si>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</si>
  <si>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</si>
  <si>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</si>
  <si>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</si>
  <si>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</si>
  <si>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</si>
  <si>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</si>
  <si>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</si>
  <si>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</si>
  <si>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</si>
  <si>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</si>
  <si>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</si>
  <si>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</si>
  <si>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</si>
  <si>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</si>
  <si>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</si>
  <si>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</si>
  <si>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</si>
  <si>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</si>
  <si>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</si>
  <si>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</si>
  <si>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</si>
  <si>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</si>
  <si>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</si>
  <si>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</si>
  <si>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</si>
  <si>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</si>
  <si>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</si>
  <si>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</si>
  <si>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</si>
  <si>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</si>
  <si>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</si>
  <si>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</si>
  <si>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</si>
  <si>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</si>
  <si>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</si>
  <si>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</si>
  <si>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</si>
  <si>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</si>
  <si>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</si>
  <si>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</si>
  <si>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</si>
  <si>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</si>
  <si>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</si>
  <si>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</si>
  <si>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</si>
  <si>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</si>
  <si>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</si>
  <si>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</si>
  <si>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</si>
  <si>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</si>
  <si>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</si>
  <si>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</si>
  <si>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</si>
  <si>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</si>
  <si>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</si>
  <si>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</si>
  <si>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</si>
  <si>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</si>
  <si>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</si>
  <si>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</si>
  <si>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</si>
  <si>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</si>
  <si>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</si>
  <si>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</si>
  <si>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</si>
  <si>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</si>
  <si>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</si>
  <si>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</si>
  <si>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</si>
  <si>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</si>
  <si>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</si>
  <si>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</si>
  <si>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</si>
  <si>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</si>
  <si>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</si>
  <si>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</si>
  <si>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</si>
  <si>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</si>
  <si>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</si>
  <si>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</si>
  <si>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</si>
  <si>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</si>
  <si>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</si>
  <si>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</si>
  <si>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</si>
  <si>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</si>
  <si>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</si>
  <si>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</si>
  <si>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</si>
  <si>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</si>
  <si>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</si>
  <si>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</si>
  <si>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</si>
  <si>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</si>
  <si>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</si>
  <si>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</si>
  <si>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</si>
  <si>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</si>
  <si>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</si>
  <si>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</si>
  <si>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</si>
  <si>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</si>
  <si>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</si>
  <si>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</si>
  <si>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</si>
  <si>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</si>
  <si>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</si>
  <si>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</si>
  <si>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</si>
  <si>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</si>
  <si>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</si>
  <si>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</si>
  <si>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</si>
  <si>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</si>
  <si>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</si>
  <si>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</si>
  <si>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</si>
  <si>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</si>
  <si>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</si>
  <si>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</si>
  <si>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</si>
  <si>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</si>
  <si>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</si>
  <si>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</si>
  <si>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</si>
  <si>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</si>
  <si>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</si>
  <si>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</si>
  <si>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</si>
  <si>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</si>
  <si>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</si>
  <si>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</si>
  <si>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</si>
  <si>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</si>
  <si>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</si>
  <si>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</si>
  <si>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</si>
  <si>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</si>
  <si>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</si>
  <si>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</si>
  <si>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</si>
  <si>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</si>
  <si>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</si>
  <si>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</si>
  <si>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</si>
  <si>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</si>
  <si>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</si>
  <si>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</si>
  <si>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</si>
  <si>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</si>
  <si>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</si>
  <si>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</si>
  <si>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</si>
  <si>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</si>
  <si>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</si>
  <si>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</si>
  <si>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</si>
  <si>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</si>
  <si>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</si>
  <si>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</si>
  <si>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</si>
  <si>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</si>
  <si>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</si>
  <si>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</si>
  <si>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</si>
  <si>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</si>
  <si>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</si>
  <si>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</si>
  <si>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</si>
  <si>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</si>
  <si>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</si>
  <si>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</si>
  <si>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</si>
  <si>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</si>
  <si>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</si>
  <si>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</si>
  <si>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</si>
  <si>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</si>
  <si>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</si>
  <si>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</si>
  <si>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</si>
  <si>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</si>
  <si>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</si>
  <si>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</si>
  <si>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</si>
  <si>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</si>
  <si>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</si>
  <si>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</si>
  <si>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</si>
  <si>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</si>
  <si>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</si>
  <si>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</si>
  <si>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</si>
  <si>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</si>
  <si>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</si>
  <si>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</si>
  <si>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</si>
  <si>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</si>
  <si>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</si>
  <si>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</si>
  <si>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</si>
  <si>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</si>
  <si>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</si>
  <si>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</si>
  <si>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</si>
  <si>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</si>
  <si>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</si>
  <si>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</si>
  <si>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</si>
  <si>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</si>
  <si>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</si>
  <si>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</si>
  <si>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</si>
  <si>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</si>
  <si>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</si>
  <si>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</si>
  <si>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</si>
  <si>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</si>
  <si>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</si>
  <si>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</si>
  <si>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</si>
  <si>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</si>
  <si>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</si>
  <si>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</si>
  <si>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</si>
  <si>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</si>
  <si>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</si>
  <si>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</si>
  <si>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</si>
  <si>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</si>
  <si>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</si>
  <si>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</si>
  <si>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</si>
  <si>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</si>
  <si>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</si>
  <si>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</si>
  <si>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</si>
  <si>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</si>
  <si>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</si>
  <si>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</si>
  <si>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</si>
  <si>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</si>
  <si>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</si>
  <si>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</si>
  <si>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</si>
  <si>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</si>
  <si>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</si>
  <si>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</si>
  <si>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</si>
  <si>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</si>
  <si>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</si>
  <si>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</si>
  <si>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</si>
  <si>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</si>
  <si>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</si>
  <si>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</si>
  <si>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</si>
  <si>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</si>
  <si>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</si>
  <si>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</si>
  <si>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</si>
  <si>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</si>
  <si>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</si>
  <si>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</si>
  <si>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</si>
  <si>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</si>
  <si>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</si>
  <si>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</si>
  <si>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</si>
  <si>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</si>
  <si>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</si>
  <si>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</si>
  <si>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</si>
  <si>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</si>
  <si>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</si>
  <si>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</si>
  <si>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</si>
  <si>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</si>
  <si>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</si>
  <si>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</si>
  <si>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</si>
  <si>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</si>
  <si>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</si>
  <si>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</si>
  <si>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</si>
  <si>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</si>
  <si>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</si>
  <si>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</si>
  <si>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</si>
  <si>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</si>
  <si>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</si>
  <si>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</si>
  <si>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</si>
  <si>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</si>
  <si>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</si>
  <si>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</si>
  <si>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</si>
  <si>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</si>
  <si>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</si>
  <si>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</si>
  <si>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</si>
  <si>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</si>
  <si>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</si>
  <si>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</si>
  <si>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</si>
  <si>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</si>
  <si>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</si>
  <si>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</si>
  <si>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</si>
  <si>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</si>
  <si>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</si>
  <si>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</si>
  <si>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</si>
  <si>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</si>
  <si>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</si>
  <si>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</si>
  <si>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</si>
  <si>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</si>
  <si>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</si>
  <si>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</si>
  <si>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</si>
  <si>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</si>
  <si>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</si>
  <si>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</si>
  <si>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</si>
  <si>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</si>
  <si>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</si>
  <si>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</si>
  <si>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</si>
  <si>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</si>
  <si>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</si>
  <si>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</si>
  <si>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</si>
  <si>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</si>
  <si>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</si>
  <si>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</si>
  <si>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</si>
  <si>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</si>
  <si>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</si>
  <si>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</si>
  <si>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</si>
  <si>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</si>
  <si>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</si>
  <si>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</si>
  <si>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</si>
  <si>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</si>
  <si>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</si>
  <si>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</si>
  <si>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</si>
  <si>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</si>
  <si>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</si>
  <si>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</si>
  <si>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</si>
  <si>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</si>
  <si>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</si>
  <si>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</si>
  <si>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</si>
  <si>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</si>
  <si>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</si>
  <si>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</si>
  <si>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</si>
  <si>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</si>
  <si>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</si>
  <si>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</si>
  <si>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</si>
  <si>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</si>
  <si>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</si>
  <si>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</si>
  <si>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</si>
  <si>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</si>
  <si>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</si>
  <si>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</si>
  <si>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</si>
  <si>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</si>
  <si>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</si>
  <si>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</si>
  <si>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</si>
  <si>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</si>
  <si>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</si>
  <si>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</si>
  <si>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</si>
  <si>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</si>
  <si>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</si>
  <si>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</si>
  <si>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</si>
  <si>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</si>
  <si>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</si>
  <si>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</si>
  <si>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</si>
  <si>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</si>
  <si>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</si>
  <si>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</si>
  <si>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</si>
  <si>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</si>
  <si>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</si>
  <si>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</si>
  <si>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</si>
  <si>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</si>
  <si>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</si>
  <si>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</si>
  <si>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</si>
  <si>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</si>
  <si>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</si>
  <si>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</si>
  <si>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</si>
  <si>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</si>
  <si>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</si>
  <si>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</si>
  <si>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</si>
  <si>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</si>
  <si>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</si>
  <si>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</si>
  <si>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</si>
  <si>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</si>
  <si>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</si>
  <si>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</si>
  <si>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</si>
  <si>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</si>
  <si>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</si>
  <si>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</si>
  <si>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</si>
  <si>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</si>
  <si>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</si>
  <si>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</si>
  <si>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</si>
  <si>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</si>
  <si>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</si>
  <si>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</si>
  <si>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</si>
  <si>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</si>
  <si>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</si>
  <si>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</si>
  <si>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</si>
  <si>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</si>
  <si>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</si>
  <si>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</si>
  <si>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</si>
  <si>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</si>
  <si>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</si>
  <si>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</si>
  <si>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</si>
  <si>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</si>
  <si>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</si>
  <si>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</si>
  <si>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</si>
  <si>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</si>
  <si>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</si>
  <si>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</si>
  <si>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</si>
  <si>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</si>
  <si>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</si>
  <si>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</si>
  <si>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</si>
  <si>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</si>
  <si>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</si>
  <si>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</si>
  <si>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</si>
  <si>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</si>
  <si>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</si>
  <si>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</si>
  <si>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</si>
  <si>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</si>
  <si>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</si>
  <si>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</si>
  <si>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</si>
  <si>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</si>
  <si>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</si>
  <si>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</si>
  <si>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</si>
  <si>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</si>
  <si>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</si>
  <si>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</si>
  <si>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</si>
  <si>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</si>
  <si>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</si>
  <si>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</si>
  <si>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</si>
  <si>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</si>
  <si>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</si>
  <si>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</si>
  <si>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</si>
  <si>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</si>
  <si>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</si>
  <si>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</si>
  <si>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</si>
  <si>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</si>
  <si>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</si>
  <si>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</si>
  <si>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</si>
  <si>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</si>
  <si>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</si>
  <si>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</si>
  <si>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</si>
  <si>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</si>
  <si>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</si>
  <si>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</si>
  <si>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</si>
  <si>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</si>
  <si>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</si>
  <si>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</si>
  <si>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</si>
  <si>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</si>
  <si>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</si>
  <si>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</si>
  <si>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</si>
  <si>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</si>
  <si>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</si>
  <si>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</si>
  <si>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</si>
  <si>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</si>
  <si>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</si>
  <si>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</si>
  <si>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</si>
  <si>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</si>
  <si>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</si>
  <si>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</si>
  <si>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</si>
  <si>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</si>
  <si>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</si>
  <si>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</si>
  <si>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</si>
  <si>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</si>
  <si>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</si>
  <si>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</si>
  <si>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</si>
  <si>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</si>
  <si>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</si>
  <si>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</si>
  <si>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</si>
  <si>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</si>
  <si>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</si>
  <si>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</si>
  <si>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</si>
  <si>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</si>
  <si>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</si>
  <si>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</si>
  <si>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</si>
  <si>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</si>
  <si>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</si>
  <si>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</si>
  <si>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</si>
  <si>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</si>
  <si>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</si>
  <si>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</si>
  <si>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</si>
  <si>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</si>
  <si>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</si>
  <si>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</si>
  <si>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</si>
  <si>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</si>
  <si>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</si>
  <si>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</si>
  <si>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</si>
  <si>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</si>
  <si>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</si>
  <si>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</si>
  <si>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</si>
  <si>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</si>
  <si>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</si>
  <si>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</si>
  <si>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</si>
  <si>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</si>
  <si>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</si>
  <si>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</si>
  <si>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</si>
  <si>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</si>
  <si>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</si>
  <si>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</si>
  <si>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</si>
  <si>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</si>
  <si>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</si>
  <si>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</si>
  <si>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</si>
  <si>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</si>
  <si>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</si>
  <si>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</si>
  <si>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</si>
  <si>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</si>
  <si>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</si>
  <si>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</si>
  <si>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</si>
  <si>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</si>
  <si>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</si>
  <si>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</si>
  <si>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</si>
  <si>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</si>
  <si>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</si>
  <si>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</si>
  <si>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</si>
  <si>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</si>
  <si>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</si>
  <si>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</si>
  <si>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</si>
  <si>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</si>
  <si>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</si>
  <si>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</si>
  <si>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</si>
  <si>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</si>
  <si>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</si>
  <si>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</si>
  <si>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</si>
  <si>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</si>
  <si>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</si>
  <si>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</si>
  <si>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</si>
  <si>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</si>
  <si>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</si>
  <si>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</si>
  <si>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</si>
  <si>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</si>
  <si>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</si>
  <si>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</si>
  <si>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</si>
  <si>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</si>
  <si>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</si>
  <si>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</si>
  <si>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</si>
  <si>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</si>
  <si>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</si>
  <si>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</si>
  <si>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</si>
  <si>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</si>
  <si>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</si>
  <si>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</si>
  <si>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</si>
  <si>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</si>
  <si>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</si>
  <si>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</si>
  <si>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</si>
  <si>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</si>
  <si>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</si>
  <si>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</si>
  <si>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</si>
  <si>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</si>
  <si>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</si>
  <si>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</si>
  <si>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</si>
  <si>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</si>
  <si>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</si>
  <si>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</si>
  <si>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</si>
  <si>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</si>
  <si>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</si>
  <si>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</si>
  <si>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</si>
  <si>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</si>
  <si>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</si>
  <si>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</si>
  <si>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</si>
  <si>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</si>
  <si>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</si>
  <si>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</si>
  <si>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</si>
  <si>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</si>
  <si>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</si>
  <si>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</si>
  <si>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</si>
  <si>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</si>
  <si>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</si>
  <si>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</si>
  <si>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</si>
  <si>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</si>
  <si>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</si>
  <si>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</si>
  <si>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</si>
  <si>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</si>
  <si>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</si>
  <si>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</si>
  <si>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</si>
  <si>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</si>
  <si>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</si>
  <si>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</si>
  <si>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</si>
  <si>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</si>
  <si>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</si>
  <si>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</si>
  <si>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</si>
  <si>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</si>
  <si>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</si>
  <si>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</si>
  <si>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</si>
  <si>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</si>
  <si>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</si>
  <si>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</si>
  <si>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</si>
  <si>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</si>
  <si>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</si>
  <si>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</si>
  <si>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</si>
  <si>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</si>
  <si>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</si>
  <si>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</si>
  <si>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</si>
  <si>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</si>
  <si>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</si>
  <si>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</si>
  <si>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</si>
  <si>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</si>
  <si>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</si>
  <si>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</si>
  <si>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</si>
  <si>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</si>
  <si>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</si>
  <si>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</si>
  <si>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</si>
  <si>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</si>
  <si>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</si>
  <si>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</si>
  <si>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</si>
  <si>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</si>
  <si>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</si>
  <si>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</si>
  <si>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</si>
  <si>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</si>
  <si>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</si>
  <si>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</si>
  <si>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</si>
  <si>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</si>
  <si>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</si>
  <si>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</si>
  <si>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</si>
  <si>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</si>
  <si>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</si>
  <si>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</si>
  <si>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</si>
  <si>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</si>
  <si>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</si>
  <si>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</si>
  <si>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</si>
  <si>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</si>
  <si>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</si>
  <si>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</si>
  <si>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</si>
  <si>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</si>
  <si>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</si>
  <si>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</si>
  <si>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</si>
  <si>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</si>
  <si>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</si>
  <si>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</si>
  <si>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</si>
  <si>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</si>
  <si>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</si>
  <si>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</si>
  <si>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</si>
  <si>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</si>
  <si>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</si>
  <si>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</si>
  <si>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</si>
  <si>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</si>
  <si>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</si>
  <si>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</si>
  <si>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</si>
  <si>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</si>
  <si>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</si>
  <si>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</si>
  <si>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</si>
  <si>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</si>
  <si>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</si>
  <si>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</si>
  <si>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</si>
  <si>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</si>
  <si>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</si>
  <si>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</si>
  <si>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</si>
  <si>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</si>
  <si>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</si>
  <si>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</si>
  <si>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</si>
  <si>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</si>
  <si>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</si>
  <si>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</si>
  <si>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</si>
  <si>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</si>
  <si>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</si>
  <si>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</si>
  <si>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</si>
  <si>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</si>
  <si>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</si>
  <si>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</si>
  <si>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</si>
  <si>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</si>
  <si>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</si>
  <si>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</si>
  <si>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</si>
  <si>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</si>
  <si>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</si>
  <si>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</si>
  <si>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</si>
  <si>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</si>
  <si>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</si>
  <si>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</si>
  <si>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</si>
  <si>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</si>
  <si>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</si>
  <si>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</si>
  <si>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</si>
  <si>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</si>
  <si>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</si>
  <si>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</si>
  <si>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</si>
  <si>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</si>
  <si>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</si>
  <si>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</si>
  <si>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</si>
  <si>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</si>
  <si>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</si>
  <si>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</si>
  <si>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</si>
  <si>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</si>
  <si>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</si>
  <si>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</si>
  <si>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</si>
  <si>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</si>
  <si>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</si>
  <si>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</si>
  <si>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</si>
  <si>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</si>
  <si>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</si>
  <si>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</si>
  <si>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</si>
  <si>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</si>
  <si>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</si>
  <si>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</si>
  <si>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</si>
  <si>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</si>
  <si>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</si>
  <si>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</si>
  <si>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</si>
  <si>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</si>
  <si>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</si>
  <si>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</si>
  <si>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</si>
  <si>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</si>
  <si>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</si>
  <si>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</si>
  <si>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</si>
  <si>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</si>
  <si>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</si>
  <si>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</si>
  <si>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</si>
  <si>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</si>
  <si>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</si>
  <si>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</si>
  <si>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</si>
  <si>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</si>
  <si>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</si>
  <si>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</si>
  <si>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</si>
  <si>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</si>
  <si>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</si>
  <si>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</si>
  <si>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</si>
  <si>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</si>
  <si>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</si>
  <si>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</si>
  <si>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</si>
  <si>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</si>
  <si>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</si>
  <si>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</si>
  <si>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</si>
  <si>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</si>
  <si>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</si>
  <si>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</si>
  <si>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</si>
  <si>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</si>
  <si>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</si>
  <si>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</si>
  <si>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</si>
  <si>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</si>
  <si>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</si>
  <si>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</si>
  <si>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</si>
  <si>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</si>
  <si>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</si>
  <si>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</si>
  <si>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</si>
  <si>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</si>
  <si>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</si>
  <si>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</si>
  <si>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</si>
  <si>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</si>
  <si>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</si>
  <si>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</si>
  <si>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</si>
  <si>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</si>
  <si>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</si>
  <si>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</si>
  <si>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</si>
  <si>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</si>
  <si>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</si>
  <si>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</si>
  <si>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</si>
  <si>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</si>
  <si>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</si>
  <si>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</si>
  <si>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</si>
  <si>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</si>
  <si>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</si>
  <si>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</si>
  <si>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</si>
  <si>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</si>
  <si>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</si>
  <si>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</si>
  <si>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</si>
  <si>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</si>
  <si>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</si>
  <si>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</si>
  <si>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</si>
  <si>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</si>
  <si>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</si>
  <si>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</si>
  <si>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</si>
  <si>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</si>
  <si>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</si>
  <si>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</si>
  <si>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</si>
  <si>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</si>
  <si>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</si>
  <si>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</si>
  <si>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</si>
  <si>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</si>
  <si>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</si>
  <si>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</si>
  <si>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</si>
  <si>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</si>
  <si>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</si>
  <si>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</si>
  <si>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</si>
  <si>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</si>
  <si>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</si>
  <si>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</si>
  <si>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</si>
  <si>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</si>
  <si>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</si>
  <si>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</si>
  <si>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</si>
  <si>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</si>
  <si>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</si>
  <si>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</si>
  <si>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</si>
  <si>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</si>
  <si>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</si>
  <si>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</si>
  <si>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</si>
  <si>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</si>
  <si>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</si>
  <si>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</si>
  <si>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</si>
  <si>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</si>
  <si>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</si>
  <si>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</si>
  <si>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</si>
  <si>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</si>
  <si>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</si>
  <si>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</si>
  <si>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</si>
  <si>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</si>
  <si>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</si>
  <si>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</si>
  <si>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</si>
  <si>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</si>
  <si>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</si>
  <si>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</si>
  <si>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</si>
  <si>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</si>
  <si>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</si>
  <si>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</si>
  <si>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</si>
  <si>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</si>
  <si>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</si>
  <si>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</si>
  <si>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</si>
  <si>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</si>
  <si>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</si>
  <si>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</si>
  <si>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</si>
  <si>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</si>
  <si>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</si>
  <si>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</si>
  <si>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</si>
  <si>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</si>
  <si>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</si>
  <si>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</si>
  <si>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</si>
  <si>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</si>
  <si>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</si>
  <si>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</si>
  <si>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</si>
  <si>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</si>
  <si>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</si>
  <si>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</si>
  <si>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</si>
  <si>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</si>
  <si>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</si>
  <si>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</si>
  <si>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</si>
  <si>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</si>
  <si>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</si>
  <si>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</si>
  <si>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</si>
  <si>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</si>
  <si>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</si>
  <si>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</si>
  <si>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</si>
  <si>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</si>
  <si>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</si>
  <si>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</si>
  <si>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</si>
  <si>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</si>
  <si>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</si>
  <si>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</si>
  <si>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</si>
  <si>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</si>
  <si>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</si>
  <si>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</si>
  <si>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</si>
  <si>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</si>
  <si>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</si>
  <si>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</si>
  <si>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</si>
  <si>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</si>
  <si>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</si>
  <si>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</si>
  <si>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</si>
  <si>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</si>
  <si>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</si>
  <si>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</si>
  <si>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</si>
  <si>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</si>
  <si>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</si>
  <si>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</si>
  <si>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</si>
  <si>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</si>
  <si>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</si>
  <si>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</si>
  <si>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</si>
  <si>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</si>
  <si>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</si>
  <si>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</si>
  <si>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</si>
  <si>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</si>
  <si>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</si>
  <si>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</si>
  <si>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</si>
  <si>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</si>
  <si>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</si>
  <si>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</si>
  <si>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</si>
  <si>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</si>
  <si>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</si>
  <si>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</si>
  <si>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</si>
  <si>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</si>
  <si>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</si>
  <si>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</si>
  <si>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</si>
  <si>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</si>
  <si>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</si>
  <si>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</si>
  <si>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</si>
  <si>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</si>
  <si>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</si>
  <si>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</si>
  <si>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</si>
  <si>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</si>
  <si>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</si>
  <si>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</si>
  <si>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</si>
  <si>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</si>
  <si>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</si>
  <si>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</si>
  <si>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</si>
  <si>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</si>
  <si>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</si>
  <si>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</si>
  <si>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</si>
  <si>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</si>
  <si>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</si>
  <si>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</si>
  <si>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</si>
  <si>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</si>
  <si>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</si>
  <si>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</si>
  <si>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</si>
  <si>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</si>
  <si>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</si>
  <si>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</si>
  <si>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</si>
  <si>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</si>
  <si>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</si>
  <si>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</si>
  <si>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</si>
  <si>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</si>
  <si>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</si>
  <si>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</si>
  <si>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</si>
  <si>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</si>
  <si>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</si>
  <si>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</si>
  <si>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</si>
  <si>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</si>
  <si>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</si>
  <si>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</si>
  <si>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</si>
  <si>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</si>
  <si>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</si>
  <si>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</si>
  <si>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</si>
  <si>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</si>
  <si>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</si>
  <si>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</si>
  <si>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</si>
  <si>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</si>
  <si>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</si>
  <si>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</si>
  <si>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</si>
  <si>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</si>
  <si>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</si>
  <si>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</si>
  <si>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</si>
  <si>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</si>
  <si>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</si>
  <si>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</si>
  <si>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</si>
  <si>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</si>
  <si>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</si>
  <si>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</si>
  <si>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</si>
  <si>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</si>
  <si>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</si>
  <si>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</si>
  <si>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</si>
  <si>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</si>
  <si>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</si>
  <si>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</si>
  <si>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</si>
  <si>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</si>
  <si>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</si>
  <si>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</si>
  <si>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</si>
  <si>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</si>
  <si>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</si>
  <si>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</si>
  <si>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</si>
  <si>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</si>
  <si>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</si>
  <si>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</si>
  <si>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</si>
  <si>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</si>
  <si>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</si>
  <si>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</si>
  <si>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</si>
  <si>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</si>
  <si>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</si>
  <si>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</si>
  <si>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</si>
  <si>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</si>
  <si>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</si>
  <si>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</si>
  <si>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</si>
  <si>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</si>
  <si>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</si>
  <si>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</si>
  <si>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</si>
  <si>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</si>
  <si>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</si>
  <si>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</si>
  <si>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</si>
  <si>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</si>
  <si>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</si>
  <si>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</si>
  <si>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</si>
  <si>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</si>
  <si>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</si>
  <si>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</si>
  <si>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</si>
  <si>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</si>
  <si>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</si>
  <si>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</si>
  <si>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</si>
  <si>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</si>
  <si>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</si>
  <si>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</si>
  <si>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</si>
  <si>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</si>
  <si>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</si>
  <si>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</si>
  <si>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</si>
  <si>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</si>
  <si>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</si>
  <si>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</si>
  <si>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</si>
  <si>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</si>
  <si>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</si>
  <si>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</si>
  <si>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</si>
  <si>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</si>
  <si>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</si>
  <si>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</si>
  <si>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</si>
  <si>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</si>
  <si>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</si>
  <si>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</si>
  <si>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</si>
  <si>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</si>
  <si>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</si>
  <si>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</si>
  <si>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</si>
  <si>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</si>
  <si>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</si>
  <si>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</si>
  <si>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</si>
  <si>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</si>
  <si>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</si>
  <si>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</si>
  <si>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</si>
  <si>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</si>
  <si>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</si>
  <si>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</si>
  <si>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</si>
  <si>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</si>
  <si>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</si>
  <si>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</si>
  <si>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</si>
  <si>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</si>
  <si>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</si>
  <si>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</si>
  <si>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</si>
  <si>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</si>
  <si>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</si>
  <si>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</si>
  <si>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</si>
  <si>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</si>
  <si>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</si>
  <si>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</si>
  <si>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</si>
  <si>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</si>
  <si>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</si>
  <si>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</si>
  <si>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</si>
  <si>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</si>
  <si>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</si>
  <si>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</si>
  <si>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</si>
  <si>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</si>
  <si>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</si>
  <si>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</si>
  <si>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</si>
  <si>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</si>
  <si>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</si>
  <si>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</si>
  <si>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</si>
  <si>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</si>
  <si>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</si>
  <si>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</si>
  <si>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</si>
  <si>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</si>
  <si>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</si>
  <si>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</si>
  <si>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</si>
  <si>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</si>
  <si>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</si>
  <si>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</si>
  <si>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</si>
  <si>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</si>
  <si>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</si>
  <si>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</si>
  <si>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</si>
  <si>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</si>
  <si>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</si>
  <si>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</si>
  <si>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</si>
  <si>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</si>
  <si>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</si>
  <si>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</si>
  <si>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</si>
  <si>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</si>
  <si>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</si>
  <si>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</si>
  <si>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</si>
  <si>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</si>
  <si>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</si>
  <si>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</si>
  <si>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</si>
  <si>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</si>
  <si>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</si>
  <si>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</si>
  <si>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</si>
  <si>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</si>
  <si>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</si>
  <si>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</si>
  <si>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</si>
  <si>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</si>
  <si>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</si>
  <si>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</si>
  <si>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</si>
  <si>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</si>
  <si>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</si>
  <si>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</si>
  <si>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</si>
  <si>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</si>
  <si>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</si>
  <si>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</si>
  <si>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</si>
  <si>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</si>
  <si>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</si>
  <si>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</si>
  <si>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</si>
  <si>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</si>
  <si>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</si>
  <si>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</si>
  <si>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</si>
  <si>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</si>
  <si>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</si>
  <si>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</si>
  <si>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</si>
  <si>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</si>
  <si>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</si>
  <si>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</si>
  <si>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</si>
  <si>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</si>
  <si>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</si>
  <si>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</si>
  <si>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</si>
  <si>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</si>
  <si>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</si>
  <si>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</si>
  <si>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</si>
  <si>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</si>
  <si>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</si>
  <si>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</si>
  <si>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</si>
  <si>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</si>
  <si>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</si>
  <si>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</si>
  <si>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</si>
  <si>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</si>
  <si>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</si>
  <si>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</si>
  <si>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</si>
  <si>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</si>
  <si>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</si>
  <si>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</si>
  <si>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</si>
  <si>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</si>
  <si>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</si>
  <si>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</si>
  <si>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</si>
  <si>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</si>
  <si>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</si>
  <si>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</si>
  <si>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</si>
  <si>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</si>
  <si>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</si>
  <si>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</si>
  <si>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</si>
  <si>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</si>
  <si>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</si>
  <si>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</si>
  <si>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</si>
  <si>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</si>
  <si>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</si>
  <si>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</si>
  <si>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</si>
  <si>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</si>
  <si>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</si>
  <si>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</si>
  <si>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</si>
  <si>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</si>
  <si>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</si>
  <si>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</si>
  <si>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</si>
  <si>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</si>
  <si>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</si>
  <si>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</si>
  <si>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</si>
  <si>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</si>
  <si>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</si>
  <si>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</si>
  <si>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</si>
  <si>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</si>
  <si>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</si>
  <si>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</si>
  <si>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</si>
  <si>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</si>
  <si>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</si>
  <si>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</si>
  <si>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</si>
  <si>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</si>
  <si>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</si>
  <si>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</si>
  <si>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</si>
  <si>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</si>
  <si>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</si>
  <si>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</si>
  <si>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</si>
  <si>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</si>
  <si>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</si>
  <si>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</si>
  <si>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</si>
  <si>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</si>
  <si>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</si>
  <si>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</si>
  <si>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</si>
  <si>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</si>
  <si>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</si>
  <si>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</si>
  <si>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</si>
  <si>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</si>
  <si>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</si>
  <si>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</si>
  <si>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</si>
  <si>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</si>
  <si>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</si>
  <si>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</si>
  <si>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</si>
  <si>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</si>
  <si>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</si>
  <si>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</si>
  <si>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</si>
  <si>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</si>
  <si>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</si>
  <si>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</si>
  <si>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</si>
  <si>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</si>
  <si>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</si>
  <si>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</si>
  <si>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</si>
  <si>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</si>
  <si>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</si>
  <si>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</si>
  <si>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</si>
  <si>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</si>
  <si>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</si>
  <si>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</si>
  <si>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</si>
  <si>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</si>
  <si>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</si>
  <si>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</si>
  <si>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</si>
  <si>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</si>
  <si>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</si>
  <si>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</si>
  <si>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</si>
  <si>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</si>
  <si>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</si>
  <si>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</si>
  <si>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</si>
  <si>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</si>
  <si>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</si>
  <si>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</si>
  <si>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</si>
  <si>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</si>
  <si>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</si>
  <si>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</si>
  <si>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</si>
  <si>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</si>
  <si>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</si>
  <si>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</si>
  <si>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</si>
  <si>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</si>
  <si>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</si>
  <si>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</si>
  <si>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</si>
  <si>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</si>
  <si>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</si>
  <si>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</si>
  <si>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</si>
  <si>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</si>
  <si>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</si>
  <si>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</si>
  <si>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</si>
  <si>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</si>
  <si>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</si>
  <si>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</si>
  <si>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</si>
  <si>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</si>
  <si>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</si>
  <si>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</si>
  <si>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</si>
  <si>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</si>
  <si>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</si>
  <si>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</si>
  <si>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</si>
  <si>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</si>
  <si>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</si>
  <si>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</si>
  <si>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</si>
  <si>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</si>
  <si>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</si>
  <si>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</si>
  <si>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</si>
  <si>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</si>
  <si>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</si>
  <si>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</si>
  <si>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</si>
  <si>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</si>
  <si>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</si>
  <si>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</si>
  <si>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</si>
  <si>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</si>
  <si>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</si>
  <si>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</si>
  <si>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</si>
  <si>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</si>
  <si>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</si>
  <si>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</si>
  <si>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</si>
  <si>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</si>
  <si>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</si>
  <si>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</si>
  <si>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</si>
  <si>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</si>
  <si>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</si>
  <si>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</si>
  <si>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</si>
  <si>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</si>
  <si>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</si>
  <si>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</si>
  <si>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</si>
  <si>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</si>
  <si>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</si>
  <si>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</si>
  <si>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</si>
  <si>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</si>
  <si>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</si>
  <si>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</si>
  <si>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</si>
  <si>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</si>
  <si>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</si>
  <si>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</si>
  <si>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</si>
  <si>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</si>
  <si>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</si>
  <si>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</si>
  <si>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</si>
  <si>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</si>
  <si>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</si>
  <si>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</si>
  <si>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</si>
  <si>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</si>
  <si>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</si>
  <si>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</si>
  <si>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</si>
  <si>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</si>
  <si>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</si>
  <si>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</si>
  <si>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</si>
  <si>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</si>
  <si>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</si>
  <si>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</si>
  <si>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</si>
  <si>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</si>
  <si>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</si>
  <si>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</si>
  <si>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</si>
  <si>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</si>
  <si>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</si>
  <si>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</si>
  <si>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</si>
  <si>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</si>
  <si>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</si>
  <si>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</si>
  <si>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</si>
  <si>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</si>
  <si>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</si>
  <si>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</si>
  <si>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</si>
  <si>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</si>
  <si>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</si>
  <si>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</si>
  <si>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</si>
  <si>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</si>
  <si>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</si>
  <si>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</si>
  <si>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</si>
  <si>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</si>
  <si>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</si>
  <si>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</si>
  <si>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</si>
  <si>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</si>
  <si>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</si>
  <si>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</si>
  <si>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</si>
  <si>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</si>
  <si>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</si>
  <si>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</si>
  <si>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</si>
  <si>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</si>
  <si>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</si>
  <si>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</si>
  <si>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</si>
  <si>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</si>
  <si>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</si>
  <si>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</si>
  <si>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</si>
  <si>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</si>
  <si>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</si>
  <si>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</si>
  <si>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</si>
  <si>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</si>
  <si>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</si>
  <si>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</si>
  <si>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</si>
  <si>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</si>
  <si>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</si>
  <si>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</si>
  <si>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</si>
  <si>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</si>
  <si>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</si>
  <si>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</si>
  <si>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</si>
  <si>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</si>
  <si>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</si>
  <si>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</si>
  <si>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</si>
  <si>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</si>
  <si>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</si>
  <si>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</si>
  <si>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</si>
  <si>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</si>
  <si>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</si>
  <si>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</si>
  <si>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</si>
  <si>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</si>
  <si>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</si>
  <si>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</si>
  <si>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</si>
  <si>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</si>
  <si>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</si>
  <si>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</si>
  <si>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</si>
  <si>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</si>
  <si>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</si>
  <si>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</si>
  <si>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</si>
  <si>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</si>
  <si>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</si>
  <si>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</si>
  <si>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</si>
  <si>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</si>
  <si>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</si>
  <si>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</si>
  <si>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</si>
  <si>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</si>
  <si>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</si>
  <si>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</si>
  <si>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</si>
  <si>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</si>
  <si>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</si>
  <si>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</si>
  <si>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</si>
  <si>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</si>
  <si>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</si>
  <si>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</si>
  <si>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</si>
  <si>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</si>
  <si>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</si>
  <si>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</si>
  <si>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</si>
  <si>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</si>
  <si>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</si>
  <si>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</si>
  <si>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</si>
  <si>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</si>
  <si>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</si>
  <si>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</si>
  <si>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</si>
  <si>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</si>
  <si>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</si>
  <si>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</si>
  <si>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</si>
  <si>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</si>
  <si>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</si>
  <si>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</si>
  <si>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</si>
  <si>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</si>
  <si>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</si>
  <si>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</si>
  <si>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</si>
  <si>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</si>
  <si>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</si>
  <si>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</si>
  <si>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</si>
  <si>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</si>
  <si>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</si>
  <si>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</si>
  <si>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</si>
  <si>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</si>
  <si>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</si>
  <si>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</si>
  <si>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</si>
  <si>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</si>
  <si>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</si>
  <si>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</si>
  <si>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</si>
  <si>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</si>
  <si>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</si>
  <si>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</si>
  <si>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</si>
  <si>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</si>
  <si>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</si>
  <si>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</si>
  <si>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</si>
  <si>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</si>
  <si>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</si>
  <si>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</si>
  <si>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</si>
  <si>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</si>
  <si>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</si>
  <si>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</si>
  <si>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</si>
  <si>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</si>
  <si>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</si>
  <si>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</si>
  <si>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</si>
  <si>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</si>
  <si>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</si>
  <si>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</si>
  <si>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</si>
  <si>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</si>
  <si>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</si>
  <si>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</si>
  <si>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</si>
  <si>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</si>
  <si>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</si>
  <si>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</si>
  <si>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</si>
  <si>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</si>
  <si>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</si>
  <si>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</si>
  <si>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</si>
  <si>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</si>
  <si>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</si>
  <si>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</si>
  <si>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</si>
  <si>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</si>
  <si>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</si>
  <si>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</si>
  <si>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</si>
  <si>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</si>
  <si>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</si>
  <si>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</si>
  <si>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</si>
  <si>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</si>
  <si>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</si>
  <si>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</si>
  <si>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</si>
  <si>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</si>
  <si>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</si>
  <si>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</si>
  <si>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</si>
  <si>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</si>
  <si>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</si>
  <si>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</si>
  <si>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</si>
  <si>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</si>
  <si>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</si>
  <si>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</si>
  <si>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</si>
  <si>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</si>
  <si>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</si>
  <si>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</si>
  <si>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</si>
  <si>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</si>
  <si>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</si>
  <si>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</si>
  <si>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</si>
  <si>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</si>
  <si>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</si>
  <si>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</si>
  <si>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</si>
  <si>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</si>
  <si>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</si>
  <si>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</si>
  <si>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</si>
  <si>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</si>
  <si>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</si>
  <si>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</si>
  <si>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</si>
  <si>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</si>
  <si>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</si>
  <si>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</si>
  <si>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</si>
  <si>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</si>
  <si>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</si>
  <si>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</si>
  <si>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</si>
  <si>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</si>
  <si>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</si>
  <si>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</si>
  <si>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</si>
  <si>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</si>
  <si>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</si>
  <si>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</si>
  <si>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</si>
  <si>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</si>
  <si>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</si>
  <si>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</si>
  <si>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</si>
  <si>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</si>
  <si>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</si>
  <si>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</si>
  <si>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</si>
  <si>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</si>
  <si>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</si>
  <si>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</si>
  <si>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</si>
  <si>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</si>
  <si>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</si>
  <si>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</si>
  <si>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</si>
  <si>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</si>
  <si>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</si>
  <si>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</si>
  <si>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</si>
  <si>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</si>
  <si>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</si>
  <si>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</si>
  <si>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</si>
  <si>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</si>
  <si>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</si>
  <si>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</si>
  <si>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</si>
  <si>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</si>
  <si>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</si>
  <si>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</si>
  <si>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</si>
  <si>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</si>
  <si>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</si>
  <si>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</si>
  <si>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</si>
  <si>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</si>
  <si>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</si>
  <si>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</si>
  <si>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</si>
  <si>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</si>
  <si>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</si>
  <si>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</si>
  <si>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</si>
  <si>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</si>
  <si>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</si>
  <si>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</si>
  <si>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</si>
  <si>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</si>
  <si>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</si>
  <si>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</si>
  <si>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</si>
  <si>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</si>
  <si>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</si>
  <si>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</si>
  <si>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</si>
  <si>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</si>
  <si>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</si>
  <si>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</si>
  <si>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</si>
  <si>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</si>
  <si>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</si>
  <si>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</si>
  <si>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</si>
  <si>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</si>
  <si>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</si>
  <si>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</si>
  <si>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</si>
  <si>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</si>
  <si>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</si>
  <si>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</si>
  <si>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</si>
  <si>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</si>
  <si>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</si>
  <si>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</si>
  <si>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</si>
  <si>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</si>
  <si>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</si>
  <si>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</si>
  <si>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</si>
  <si>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</si>
  <si>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</si>
  <si>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</si>
  <si>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</si>
  <si>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</si>
  <si>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</si>
  <si>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</si>
  <si>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</si>
  <si>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</si>
  <si>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</si>
  <si>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</si>
  <si>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</si>
  <si>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</si>
  <si>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</si>
  <si>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</si>
  <si>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</si>
  <si>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</si>
  <si>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</si>
  <si>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</si>
  <si>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</si>
  <si>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</si>
  <si>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</si>
  <si>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</si>
  <si>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</si>
  <si>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</si>
  <si>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</si>
  <si>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</si>
  <si>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</si>
  <si>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</si>
  <si>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</si>
  <si>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</si>
  <si>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</si>
  <si>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</si>
  <si>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</si>
  <si>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</si>
  <si>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</si>
  <si>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</si>
  <si>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</si>
  <si>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</si>
  <si>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</si>
  <si>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</si>
  <si>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</si>
  <si>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</si>
  <si>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</si>
  <si>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</si>
  <si>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</si>
  <si>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</si>
  <si>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</si>
  <si>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</si>
  <si>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</si>
  <si>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</si>
  <si>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</si>
  <si>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</si>
  <si>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</si>
  <si>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</si>
  <si>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</si>
  <si>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</si>
  <si>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</si>
  <si>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</si>
  <si>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</si>
  <si>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</si>
  <si>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</si>
  <si>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</si>
  <si>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</si>
  <si>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</si>
  <si>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</si>
  <si>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</si>
  <si>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</si>
  <si>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</si>
  <si>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</si>
  <si>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</si>
  <si>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</si>
  <si>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</si>
  <si>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</si>
  <si>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</si>
  <si>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</si>
  <si>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</si>
  <si>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</si>
  <si>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</si>
  <si>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</si>
  <si>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</si>
  <si>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</si>
  <si>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</si>
  <si>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</si>
  <si>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</si>
  <si>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</si>
  <si>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</si>
  <si>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</si>
  <si>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</si>
  <si>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</si>
  <si>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</si>
  <si>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</si>
  <si>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</si>
  <si>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</si>
  <si>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</si>
  <si>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</si>
  <si>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</si>
  <si>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</si>
  <si>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</si>
  <si>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</si>
  <si>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</si>
  <si>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</si>
  <si>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</si>
  <si>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</si>
  <si>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</si>
  <si>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</si>
  <si>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</si>
  <si>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</si>
  <si>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</si>
  <si>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</si>
  <si>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</si>
  <si>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</si>
  <si>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</si>
  <si>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</si>
  <si>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</si>
  <si>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</si>
  <si>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</si>
  <si>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</si>
  <si>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</si>
  <si>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</si>
  <si>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</si>
  <si>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</si>
  <si>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</si>
  <si>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</si>
  <si>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</si>
  <si>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</si>
  <si>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</si>
  <si>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</si>
  <si>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</si>
  <si>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</si>
  <si>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</si>
  <si>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</si>
  <si>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</si>
  <si>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</si>
  <si>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</si>
  <si>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</si>
  <si>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</si>
  <si>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</si>
  <si>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</si>
  <si>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</si>
  <si>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</si>
  <si>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</si>
  <si>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</si>
  <si>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</si>
  <si>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</si>
  <si>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</si>
  <si>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</si>
  <si>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</si>
  <si>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</si>
  <si>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</si>
  <si>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</si>
  <si>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</si>
  <si>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</si>
  <si>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</si>
  <si>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</si>
  <si>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</si>
  <si>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</si>
  <si>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</si>
  <si>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</si>
  <si>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</si>
  <si>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</si>
  <si>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</si>
  <si>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</si>
  <si>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</si>
  <si>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</si>
  <si>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</si>
  <si>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</si>
  <si>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</si>
  <si>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</si>
  <si>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</si>
  <si>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</si>
  <si>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</si>
  <si>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</si>
  <si>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</si>
  <si>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</si>
  <si>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</si>
  <si>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</si>
  <si>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</si>
  <si>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</si>
  <si>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</si>
  <si>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</si>
  <si>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</si>
  <si>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</si>
  <si>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</si>
  <si>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</si>
  <si>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</si>
  <si>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</si>
  <si>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</si>
  <si>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</si>
  <si>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</si>
  <si>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</si>
  <si>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</si>
  <si>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</si>
  <si>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</si>
  <si>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</si>
  <si>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</si>
  <si>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</si>
  <si>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</si>
  <si>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</si>
  <si>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</si>
  <si>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</si>
  <si>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</si>
  <si>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</si>
  <si>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</si>
  <si>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</si>
  <si>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</si>
  <si>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</si>
  <si>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</si>
  <si>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</si>
  <si>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</si>
  <si>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</si>
  <si>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</si>
  <si>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</si>
  <si>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</si>
  <si>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</si>
  <si>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</si>
  <si>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</si>
  <si>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</si>
  <si>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</si>
  <si>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</si>
  <si>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</si>
  <si>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</si>
  <si>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</si>
  <si>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</si>
  <si>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</si>
  <si>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</si>
  <si>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</si>
  <si>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</si>
  <si>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</si>
  <si>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</si>
  <si>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</si>
  <si>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</si>
  <si>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</si>
  <si>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</si>
  <si>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</si>
  <si>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</si>
  <si>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</si>
  <si>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</si>
  <si>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</si>
  <si>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</si>
  <si>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</si>
  <si>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</si>
  <si>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</si>
  <si>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</si>
  <si>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</si>
  <si>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</si>
  <si>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</si>
  <si>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</si>
  <si>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</si>
  <si>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</si>
  <si>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</si>
  <si>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</si>
  <si>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</si>
  <si>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</si>
  <si>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</si>
  <si>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</si>
  <si>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</si>
  <si>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</si>
  <si>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</si>
  <si>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</si>
  <si>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</si>
  <si>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</si>
  <si>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</si>
  <si>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</si>
  <si>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</si>
  <si>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</si>
  <si>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</si>
  <si>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</si>
  <si>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</si>
  <si>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</si>
  <si>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</si>
  <si>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</si>
  <si>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</si>
  <si>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</si>
  <si>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</si>
  <si>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</si>
  <si>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</si>
  <si>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</si>
  <si>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</si>
  <si>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</si>
  <si>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</si>
  <si>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</si>
  <si>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</si>
  <si>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</si>
  <si>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</si>
  <si>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</si>
  <si>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</si>
  <si>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</si>
  <si>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</si>
  <si>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</si>
  <si>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</si>
  <si>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</si>
  <si>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</si>
  <si>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</si>
  <si>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</si>
  <si>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</si>
  <si>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</si>
  <si>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</si>
  <si>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</si>
  <si>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</si>
  <si>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</si>
  <si>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</si>
  <si>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</si>
  <si>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</si>
  <si>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</si>
  <si>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</si>
  <si>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</si>
  <si>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</si>
  <si>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</si>
  <si>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</si>
  <si>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</si>
  <si>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</si>
  <si>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</si>
  <si>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</si>
  <si>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</si>
  <si>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</si>
  <si>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</si>
  <si>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</si>
  <si>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</si>
  <si>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</si>
  <si>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</si>
  <si>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</si>
  <si>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</si>
  <si>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</si>
  <si>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</si>
  <si>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</si>
  <si>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</si>
  <si>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</si>
  <si>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</si>
  <si>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</si>
  <si>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</si>
  <si>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</si>
  <si>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</si>
  <si>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</si>
  <si>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</si>
  <si>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</si>
  <si>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</si>
  <si>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</si>
  <si>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</si>
  <si>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</si>
  <si>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</si>
  <si>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</si>
  <si>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</si>
  <si>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</si>
  <si>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</si>
  <si>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</si>
  <si>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</si>
  <si>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</si>
  <si>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</si>
  <si>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</si>
  <si>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</si>
  <si>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</si>
  <si>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</si>
  <si>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</si>
  <si>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</si>
  <si>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</si>
  <si>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</si>
  <si>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</si>
  <si>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</si>
  <si>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</si>
  <si>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</si>
  <si>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</si>
  <si>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</si>
  <si>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</si>
  <si>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</si>
  <si>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</si>
  <si>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</si>
  <si>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</si>
  <si>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</si>
  <si>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</si>
  <si>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</si>
  <si>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</si>
  <si>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</si>
  <si>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</si>
  <si>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</si>
  <si>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</si>
  <si>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</si>
  <si>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</si>
  <si>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</si>
  <si>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</si>
  <si>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</si>
  <si>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</si>
  <si>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</si>
  <si>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</si>
  <si>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</si>
  <si>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</si>
  <si>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</si>
  <si>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</si>
  <si>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</si>
  <si>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</si>
  <si>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</si>
  <si>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</si>
  <si>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</si>
  <si>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</si>
  <si>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</si>
  <si>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</si>
  <si>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</si>
  <si>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</si>
  <si>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</si>
  <si>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</si>
  <si>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</si>
  <si>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</si>
  <si>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</si>
  <si>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</si>
  <si>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</si>
  <si>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</si>
  <si>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</si>
  <si>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</si>
  <si>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</si>
  <si>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</si>
  <si>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</si>
  <si>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</si>
  <si>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</si>
  <si>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</si>
  <si>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</si>
  <si>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</si>
  <si>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</si>
  <si>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</si>
  <si>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</si>
  <si>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</si>
  <si>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</si>
  <si>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</si>
  <si>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</si>
  <si>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</si>
  <si>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</si>
  <si>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</si>
  <si>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</si>
  <si>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</si>
  <si>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</si>
  <si>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</si>
  <si>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</si>
  <si>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</si>
  <si>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</si>
  <si>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</si>
  <si>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</si>
  <si>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</si>
  <si>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</si>
  <si>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</si>
  <si>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</si>
  <si>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</si>
  <si>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</si>
  <si>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</si>
  <si>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</si>
  <si>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</si>
  <si>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</si>
  <si>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</si>
  <si>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</si>
  <si>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</si>
  <si>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</si>
  <si>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</si>
  <si>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</si>
  <si>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</si>
  <si>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</si>
  <si>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</si>
  <si>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</si>
  <si>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</si>
  <si>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</si>
  <si>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</si>
  <si>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</si>
  <si>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</si>
  <si>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</si>
  <si>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</si>
  <si>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</si>
  <si>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</si>
  <si>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</si>
  <si>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</si>
  <si>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</si>
  <si>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</si>
  <si>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</si>
  <si>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</si>
  <si>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</si>
  <si>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</si>
  <si>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</si>
  <si>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</si>
  <si>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</si>
  <si>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</si>
  <si>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</si>
  <si>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</si>
  <si>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</si>
  <si>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</si>
  <si>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</si>
  <si>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</si>
  <si>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</si>
  <si>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</si>
  <si>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</si>
  <si>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</si>
  <si>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</si>
  <si>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</si>
  <si>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</si>
  <si>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</si>
  <si>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</si>
  <si>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</si>
  <si>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</si>
  <si>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</si>
  <si>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</si>
  <si>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</si>
  <si>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</si>
  <si>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</si>
  <si>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</si>
  <si>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</si>
  <si>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</si>
  <si>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</si>
  <si>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</si>
  <si>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</si>
  <si>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</si>
  <si>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</si>
  <si>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</si>
  <si>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</si>
  <si>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</si>
  <si>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</si>
  <si>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</si>
  <si>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</si>
  <si>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</si>
  <si>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</si>
  <si>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</si>
  <si>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</si>
  <si>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</si>
  <si>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</si>
  <si>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</si>
  <si>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</si>
  <si>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</si>
  <si>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</si>
  <si>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</si>
  <si>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</si>
  <si>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</si>
  <si>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</si>
  <si>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</si>
  <si>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</si>
  <si>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</si>
  <si>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</si>
  <si>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</si>
  <si>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</si>
  <si>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</si>
  <si>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</si>
  <si>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</si>
  <si>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</si>
  <si>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</si>
  <si>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</si>
  <si>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</si>
  <si>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</si>
  <si>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</si>
  <si>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</si>
  <si>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</si>
  <si>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</si>
  <si>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</si>
  <si>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</si>
  <si>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</si>
  <si>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</si>
  <si>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</si>
  <si>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</si>
  <si>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</si>
  <si>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</si>
  <si>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</si>
  <si>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</si>
  <si>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</si>
  <si>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</si>
  <si>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</si>
  <si>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</si>
  <si>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</si>
  <si>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</si>
  <si>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</si>
  <si>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</si>
  <si>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</si>
  <si>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</si>
  <si>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</si>
  <si>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</si>
  <si>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</si>
  <si>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</si>
  <si>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</si>
  <si>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</si>
  <si>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</si>
  <si>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</si>
  <si>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</si>
  <si>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</si>
  <si>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</si>
  <si>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</si>
  <si>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</si>
  <si>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</si>
  <si>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</si>
  <si>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</si>
  <si>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</si>
  <si>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</si>
  <si>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</si>
  <si>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</si>
  <si>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</si>
  <si>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</si>
  <si>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</si>
  <si>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</si>
  <si>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</si>
  <si>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</si>
  <si>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</si>
  <si>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</si>
  <si>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</si>
  <si>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</si>
  <si>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</si>
  <si>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</si>
  <si>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</si>
  <si>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</si>
  <si>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</si>
  <si>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</si>
  <si>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</si>
  <si>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</si>
  <si>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</si>
  <si>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</si>
  <si>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</si>
  <si>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</si>
  <si>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</si>
  <si>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</si>
  <si>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</si>
  <si>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</si>
  <si>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</si>
  <si>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</si>
  <si>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</si>
  <si>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</si>
  <si>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</si>
  <si>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</si>
  <si>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</si>
  <si>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</si>
  <si>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</si>
  <si>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</si>
  <si>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</si>
  <si>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</si>
  <si>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</si>
  <si>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</si>
  <si>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</si>
  <si>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</si>
  <si>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</si>
  <si>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</si>
  <si>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</si>
  <si>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</si>
  <si>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</si>
  <si>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</si>
  <si>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</si>
  <si>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</si>
  <si>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</si>
  <si>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</si>
  <si>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</si>
  <si>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</si>
  <si>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</si>
  <si>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</si>
  <si>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</si>
  <si>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</si>
  <si>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</si>
  <si>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</si>
  <si>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</si>
  <si>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</si>
  <si>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</si>
  <si>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</si>
  <si>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</si>
  <si>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</si>
  <si>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</si>
  <si>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</si>
  <si>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</si>
  <si>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</si>
  <si>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</si>
  <si>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</si>
  <si>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</si>
  <si>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</si>
  <si>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</si>
  <si>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</si>
  <si>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</si>
  <si>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</si>
  <si>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</si>
  <si>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</si>
  <si>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</si>
  <si>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</si>
  <si>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</si>
  <si>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</si>
  <si>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</si>
  <si>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</si>
  <si>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</si>
  <si>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</si>
  <si>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</si>
  <si>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</si>
  <si>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</si>
  <si>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</si>
  <si>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</si>
  <si>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</si>
  <si>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</si>
  <si>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</si>
  <si>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</si>
  <si>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</si>
  <si>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</si>
  <si>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</si>
  <si>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</si>
  <si>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</si>
  <si>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</si>
  <si>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</si>
  <si>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</si>
  <si>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</si>
  <si>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</si>
  <si>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</si>
  <si>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</si>
  <si>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</si>
  <si>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</si>
  <si>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</si>
  <si>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</si>
  <si>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</si>
  <si>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</si>
  <si>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</si>
  <si>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</si>
  <si>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</si>
  <si>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</si>
  <si>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</si>
  <si>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</si>
  <si>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</si>
  <si>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</si>
  <si>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</si>
  <si>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</si>
  <si>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</si>
  <si>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</si>
  <si>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</si>
  <si>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</si>
  <si>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</si>
  <si>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</si>
  <si>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</si>
  <si>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</si>
  <si>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</si>
  <si>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</si>
  <si>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</si>
  <si>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</si>
  <si>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</si>
  <si>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</si>
  <si>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</si>
  <si>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</si>
  <si>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</si>
  <si>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</si>
  <si>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</si>
  <si>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</si>
  <si>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</si>
  <si>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</si>
  <si>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</si>
  <si>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</si>
  <si>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</si>
  <si>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</si>
  <si>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</si>
  <si>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</si>
  <si>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</si>
  <si>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</si>
  <si>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</si>
  <si>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</si>
  <si>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</si>
  <si>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</si>
  <si>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</si>
  <si>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</si>
  <si>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</si>
  <si>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</si>
  <si>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</si>
  <si>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</si>
  <si>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</si>
  <si>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</si>
  <si>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</si>
  <si>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</si>
  <si>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</si>
  <si>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</si>
  <si>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</si>
  <si>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</si>
  <si>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</si>
  <si>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</si>
  <si>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</si>
  <si>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</si>
  <si>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</si>
  <si>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</si>
  <si>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</si>
  <si>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</si>
  <si>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</si>
  <si>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</si>
  <si>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</si>
  <si>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</si>
  <si>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</si>
  <si>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</si>
  <si>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</si>
  <si>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</si>
  <si>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</si>
  <si>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</si>
  <si>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</si>
  <si>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</si>
  <si>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</si>
  <si>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</si>
  <si>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</si>
  <si>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</si>
  <si>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</si>
  <si>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</si>
  <si>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</si>
  <si>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</si>
  <si>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</si>
  <si>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</si>
  <si>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</si>
  <si>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</si>
  <si>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</si>
  <si>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</si>
  <si>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</si>
  <si>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</si>
  <si>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</si>
  <si>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</si>
  <si>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</si>
  <si>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</si>
  <si>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</si>
  <si>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</si>
  <si>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</si>
  <si>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</si>
  <si>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</si>
  <si>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</si>
  <si>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</si>
  <si>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</si>
  <si>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</si>
  <si>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</si>
  <si>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</si>
  <si>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</si>
  <si>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</si>
  <si>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</si>
  <si>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</si>
  <si>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</si>
  <si>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</si>
  <si>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</si>
  <si>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</si>
  <si>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</si>
  <si>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</si>
  <si>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</si>
  <si>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</si>
  <si>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</si>
  <si>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</si>
  <si>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</si>
  <si>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</si>
  <si>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</si>
  <si>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</si>
  <si>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</si>
  <si>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</si>
  <si>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</si>
  <si>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</si>
  <si>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</si>
  <si>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</si>
  <si>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</si>
  <si>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</si>
  <si>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</si>
  <si>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</si>
  <si>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</si>
  <si>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</si>
  <si>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</si>
  <si>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</si>
  <si>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</si>
  <si>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</si>
  <si>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</si>
  <si>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</si>
  <si>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</si>
  <si>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</si>
  <si>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</si>
  <si>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</si>
  <si>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</si>
  <si>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</si>
  <si>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</si>
  <si>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</si>
  <si>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</si>
  <si>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</si>
  <si>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</si>
  <si>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</si>
  <si>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</si>
  <si>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</si>
  <si>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</si>
  <si>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</si>
  <si>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</si>
  <si>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</si>
  <si>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</si>
  <si>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</si>
  <si>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</si>
  <si>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</si>
  <si>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</si>
  <si>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</si>
  <si>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</si>
  <si>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</si>
  <si>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</si>
  <si>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</si>
  <si>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</si>
  <si>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</si>
  <si>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</si>
  <si>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</si>
  <si>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</si>
  <si>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</si>
  <si>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</si>
  <si>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</si>
  <si>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</si>
  <si>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</si>
  <si>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</si>
  <si>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</si>
  <si>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</si>
  <si>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</si>
  <si>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</si>
  <si>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</si>
  <si>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</si>
  <si>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</si>
  <si>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</si>
  <si>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</si>
  <si>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</si>
  <si>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</si>
  <si>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</si>
  <si>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</si>
  <si>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</si>
  <si>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</si>
  <si>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</si>
  <si>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</si>
  <si>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</si>
  <si>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</si>
  <si>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</si>
  <si>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</si>
  <si>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</si>
  <si>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</si>
  <si>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</si>
  <si>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</si>
  <si>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</si>
  <si>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</si>
  <si>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</si>
  <si>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</si>
  <si>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</si>
  <si>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</si>
  <si>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</si>
  <si>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</si>
  <si>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</si>
  <si>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</si>
  <si>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</si>
  <si>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</si>
  <si>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</si>
  <si>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</si>
  <si>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</si>
  <si>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</si>
  <si>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</si>
  <si>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</si>
  <si>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</si>
  <si>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</si>
  <si>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</si>
  <si>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</si>
  <si>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</si>
  <si>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</si>
  <si>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</si>
  <si>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</si>
  <si>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</si>
  <si>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</si>
  <si>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</si>
  <si>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</si>
  <si>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</si>
  <si>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</si>
  <si>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</si>
  <si>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</si>
  <si>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</si>
  <si>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</si>
  <si>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</si>
  <si>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</si>
  <si>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</si>
  <si>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</si>
  <si>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</si>
  <si>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</si>
  <si>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</si>
  <si>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</si>
  <si>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</si>
  <si>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</si>
  <si>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</si>
  <si>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</si>
  <si>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</si>
  <si>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</si>
  <si>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</si>
  <si>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</si>
  <si>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</si>
  <si>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</si>
  <si>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</si>
  <si>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</si>
  <si>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</si>
  <si>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</si>
  <si>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</si>
  <si>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</si>
  <si>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</si>
  <si>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</si>
  <si>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</si>
  <si>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</si>
  <si>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</si>
  <si>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</si>
  <si>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</si>
  <si>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</si>
  <si>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</si>
  <si>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</si>
  <si>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</si>
  <si>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</si>
  <si>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</si>
  <si>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</si>
  <si>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</si>
  <si>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</si>
  <si>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</si>
  <si>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</si>
  <si>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</si>
  <si>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</si>
  <si>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</si>
  <si>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</si>
  <si>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</si>
  <si>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</si>
  <si>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</si>
  <si>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</si>
  <si>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</si>
  <si>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</si>
  <si>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</si>
  <si>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</si>
  <si>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</si>
  <si>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</si>
  <si>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</si>
  <si>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</si>
  <si>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</si>
  <si>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</si>
  <si>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</si>
  <si>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</si>
  <si>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</si>
  <si>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</si>
  <si>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</si>
  <si>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</si>
  <si>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</si>
  <si>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</si>
  <si>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</si>
  <si>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</si>
  <si>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</si>
  <si>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</si>
  <si>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</si>
  <si>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</si>
  <si>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</si>
  <si>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</si>
  <si>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</si>
  <si>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</si>
  <si>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</si>
  <si>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</si>
  <si>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</si>
  <si>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</si>
  <si>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</si>
  <si>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</si>
  <si>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</si>
  <si>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</si>
  <si>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</si>
  <si>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</si>
  <si>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</si>
  <si>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</si>
  <si>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</si>
  <si>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</si>
  <si>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</si>
  <si>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</si>
  <si>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</si>
  <si>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</si>
  <si>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</si>
  <si>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</si>
  <si>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</si>
  <si>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</si>
  <si>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</si>
  <si>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</si>
  <si>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</si>
  <si>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</si>
  <si>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</si>
  <si>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</si>
  <si>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</si>
  <si>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</si>
  <si>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</si>
  <si>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</si>
  <si>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</si>
  <si>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</si>
  <si>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</si>
  <si>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</si>
  <si>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</si>
  <si>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</si>
  <si>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</si>
  <si>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</si>
  <si>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</si>
  <si>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</si>
  <si>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</si>
  <si>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</si>
  <si>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</si>
  <si>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</si>
  <si>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</si>
  <si>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</si>
  <si>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</si>
  <si>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</si>
  <si>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</si>
  <si>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</si>
  <si>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</si>
  <si>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</si>
  <si>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</si>
  <si>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</si>
  <si>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</si>
  <si>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</si>
  <si>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</si>
  <si>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</si>
  <si>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</si>
  <si>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</si>
  <si>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</si>
  <si>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</si>
  <si>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</si>
  <si>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</si>
  <si>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</si>
  <si>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</si>
  <si>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</si>
  <si>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</si>
  <si>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</si>
  <si>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</si>
  <si>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</si>
  <si>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</si>
  <si>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</si>
  <si>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</si>
  <si>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</si>
  <si>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</si>
  <si>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</si>
  <si>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</si>
  <si>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</si>
  <si>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</si>
  <si>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</si>
  <si>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</si>
  <si>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</si>
  <si>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</si>
  <si>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</si>
  <si>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</si>
  <si>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</si>
  <si>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</si>
  <si>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</si>
  <si>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</si>
  <si>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</si>
  <si>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</si>
  <si>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</si>
  <si>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</si>
  <si>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</si>
  <si>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</si>
  <si>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</si>
  <si>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</si>
  <si>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</si>
  <si>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</si>
  <si>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</si>
  <si>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</si>
  <si>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</si>
  <si>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</si>
  <si>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</si>
  <si>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</si>
  <si>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</si>
  <si>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</si>
  <si>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</si>
  <si>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</si>
  <si>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</si>
  <si>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</si>
  <si>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</si>
  <si>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</si>
  <si>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</si>
  <si>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</si>
  <si>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</si>
  <si>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</si>
  <si>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</si>
  <si>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</si>
  <si>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</si>
  <si>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</si>
  <si>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</si>
  <si>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</si>
  <si>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</si>
  <si>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</si>
  <si>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</si>
  <si>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</si>
  <si>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</si>
  <si>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</si>
  <si>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</si>
  <si>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</si>
  <si>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</si>
  <si>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</si>
  <si>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</si>
  <si>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</si>
  <si>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</si>
  <si>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</si>
  <si>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</si>
  <si>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</si>
  <si>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</si>
  <si>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</si>
  <si>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</si>
  <si>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</si>
  <si>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</si>
  <si>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</si>
  <si>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</si>
  <si>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</si>
  <si>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</si>
  <si>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</si>
  <si>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</si>
  <si>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</si>
  <si>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</si>
  <si>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</si>
  <si>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</si>
  <si>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</si>
  <si>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</si>
  <si>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</si>
  <si>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</si>
  <si>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</si>
  <si>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</si>
  <si>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</si>
  <si>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</si>
  <si>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</si>
  <si>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</si>
  <si>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</si>
  <si>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</si>
  <si>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</si>
  <si>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</si>
  <si>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</si>
  <si>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</si>
  <si>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</si>
  <si>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</si>
  <si>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</si>
  <si>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</si>
  <si>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</si>
  <si>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</si>
  <si>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</si>
  <si>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</si>
  <si>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</si>
  <si>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</si>
  <si>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</si>
  <si>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</si>
  <si>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</si>
  <si>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</si>
  <si>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</si>
  <si>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</si>
  <si>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</si>
  <si>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</si>
  <si>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</si>
  <si>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</si>
  <si>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</si>
  <si>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</si>
  <si>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</si>
  <si>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</si>
  <si>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</si>
  <si>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</si>
  <si>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</si>
  <si>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</si>
  <si>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</si>
  <si>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</si>
  <si>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</si>
  <si>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</si>
  <si>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</si>
  <si>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</si>
  <si>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</si>
  <si>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</si>
  <si>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</si>
  <si>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</si>
  <si>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</si>
  <si>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</si>
  <si>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</si>
  <si>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</si>
  <si>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</si>
  <si>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</si>
  <si>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</si>
  <si>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</si>
  <si>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</si>
  <si>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</si>
  <si>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</si>
  <si>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</si>
  <si>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</si>
  <si>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</si>
  <si>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</si>
  <si>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</si>
  <si>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</si>
  <si>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</si>
  <si>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</si>
  <si>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</si>
  <si>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</si>
  <si>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</si>
  <si>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</si>
  <si>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</si>
  <si>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</si>
  <si>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</si>
  <si>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</si>
  <si>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</si>
  <si>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</si>
  <si>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</si>
  <si>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</si>
  <si>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</si>
  <si>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</si>
  <si>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</si>
  <si>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</si>
  <si>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</si>
  <si>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</si>
  <si>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</si>
  <si>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</si>
  <si>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</si>
  <si>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</si>
  <si>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</si>
  <si>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</si>
  <si>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</si>
  <si>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</si>
  <si>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</si>
  <si>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</si>
  <si>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</si>
  <si>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</si>
  <si>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</si>
  <si>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</si>
  <si>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</si>
  <si>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</si>
  <si>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</si>
  <si>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</si>
  <si>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</si>
  <si>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</si>
  <si>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</si>
  <si>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</si>
  <si>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</si>
  <si>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</si>
  <si>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</si>
  <si>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</si>
  <si>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</si>
  <si>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</si>
  <si>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</si>
  <si>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</si>
  <si>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</si>
  <si>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</si>
  <si>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</si>
  <si>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</si>
  <si>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</si>
  <si>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</si>
  <si>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</si>
  <si>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</si>
  <si>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</si>
  <si>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</si>
  <si>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</si>
  <si>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</si>
  <si>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</si>
  <si>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</si>
  <si>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</si>
  <si>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</si>
  <si>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</si>
  <si>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</si>
  <si>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</si>
  <si>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</si>
  <si>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</si>
  <si>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</si>
  <si>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</si>
  <si>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</si>
  <si>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</si>
  <si>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</si>
  <si>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</si>
  <si>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</si>
  <si>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</si>
  <si>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</si>
  <si>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</si>
  <si>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</si>
  <si>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</si>
  <si>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</si>
  <si>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</si>
  <si>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</si>
  <si>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</si>
  <si>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</si>
  <si>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</si>
  <si>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</si>
  <si>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</si>
  <si>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</si>
  <si>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</si>
  <si>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</si>
  <si>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</si>
  <si>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</si>
  <si>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</si>
  <si>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</si>
  <si>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</si>
  <si>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</si>
  <si>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</si>
  <si>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</si>
  <si>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</si>
  <si>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</si>
  <si>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</si>
  <si>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</si>
  <si>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</si>
  <si>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</si>
  <si>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</si>
  <si>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</si>
  <si>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</si>
  <si>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</si>
  <si>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</si>
  <si>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</si>
  <si>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</si>
  <si>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</si>
  <si>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</si>
  <si>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</si>
  <si>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</si>
  <si>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</si>
  <si>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</si>
  <si>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</si>
  <si>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</si>
  <si>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</si>
  <si>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</si>
  <si>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</si>
  <si>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</si>
  <si>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</si>
  <si>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</si>
  <si>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</si>
  <si>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</si>
  <si>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</si>
  <si>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</si>
  <si>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</si>
  <si>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</si>
  <si>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</si>
  <si>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</si>
  <si>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</si>
  <si>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</si>
  <si>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</si>
  <si>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</si>
  <si>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</si>
  <si>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</si>
  <si>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</si>
  <si>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</si>
  <si>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</si>
  <si>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</si>
  <si>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</si>
  <si>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</si>
  <si>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</si>
  <si>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</si>
  <si>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</si>
  <si>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</si>
  <si>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</si>
  <si>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</si>
  <si>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</si>
  <si>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</si>
  <si>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</si>
  <si>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</si>
  <si>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</si>
  <si>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</si>
  <si>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</si>
  <si>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</si>
  <si>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</si>
  <si>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</si>
  <si>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</si>
  <si>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</si>
  <si>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</si>
  <si>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</si>
  <si>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</si>
  <si>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</si>
  <si>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</si>
  <si>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</si>
  <si>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</si>
  <si>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</si>
  <si>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</si>
  <si>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</si>
  <si>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</si>
  <si>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</si>
  <si>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</si>
  <si>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</si>
  <si>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</si>
  <si>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</si>
  <si>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</si>
  <si>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</si>
  <si>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</si>
  <si>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</si>
  <si>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</si>
  <si>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</si>
  <si>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</si>
  <si>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</si>
  <si>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</si>
  <si>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</si>
  <si>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</si>
  <si>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</si>
  <si>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</si>
  <si>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</si>
  <si>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</si>
  <si>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</si>
  <si>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</si>
  <si>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</si>
  <si>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</si>
  <si>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</si>
  <si>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</si>
  <si>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</si>
  <si>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</si>
  <si>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</si>
  <si>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</si>
  <si>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</si>
  <si>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</si>
  <si>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</si>
  <si>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</si>
  <si>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</si>
  <si>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</si>
  <si>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</si>
  <si>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</si>
  <si>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</si>
  <si>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</si>
  <si>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</si>
  <si>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</si>
  <si>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</si>
  <si>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</si>
  <si>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</si>
  <si>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</si>
  <si>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</si>
  <si>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</si>
  <si>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</si>
  <si>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</si>
  <si>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</si>
  <si>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</si>
  <si>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</si>
  <si>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</si>
  <si>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</si>
  <si>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</si>
  <si>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</si>
  <si>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</si>
  <si>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</si>
  <si>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</si>
  <si>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</si>
  <si>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</si>
  <si>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</si>
  <si>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</si>
  <si>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</si>
  <si>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</si>
  <si>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</si>
  <si>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</si>
  <si>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</si>
  <si>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</si>
  <si>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</si>
  <si>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</si>
  <si>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</si>
  <si>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</si>
  <si>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</si>
  <si>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</si>
  <si>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</si>
  <si>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</si>
  <si>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</si>
  <si>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</si>
  <si>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</si>
  <si>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</si>
  <si>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</si>
  <si>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</si>
  <si>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</si>
  <si>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</si>
  <si>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</si>
  <si>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</si>
  <si>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</si>
  <si>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</si>
  <si>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</si>
  <si>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</si>
  <si>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</si>
  <si>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</si>
  <si>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</si>
  <si>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</si>
  <si>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</si>
  <si>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</si>
  <si>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</si>
  <si>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</si>
  <si>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</si>
  <si>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</si>
  <si>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</si>
  <si>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</si>
  <si>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</si>
  <si>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</si>
  <si>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</si>
  <si>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</si>
  <si>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</si>
  <si>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</si>
  <si>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</si>
  <si>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</si>
  <si>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</si>
  <si>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</si>
  <si>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</si>
  <si>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</si>
  <si>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</si>
  <si>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</si>
  <si>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</si>
  <si>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</si>
  <si>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</si>
  <si>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</si>
  <si>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</si>
  <si>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</si>
  <si>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</si>
  <si>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</si>
  <si>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</si>
  <si>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</si>
  <si>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</si>
  <si>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</si>
  <si>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</si>
  <si>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</si>
  <si>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</si>
  <si>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</si>
  <si>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</si>
  <si>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</si>
  <si>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</si>
  <si>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</si>
  <si>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</si>
  <si>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</si>
  <si>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</si>
  <si>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</si>
  <si>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</si>
  <si>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</si>
  <si>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</si>
  <si>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</si>
  <si>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</si>
  <si>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</si>
  <si>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</si>
  <si>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</si>
  <si>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</si>
  <si>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</si>
  <si>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</si>
  <si>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</si>
  <si>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</si>
  <si>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</si>
  <si>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</si>
  <si>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</si>
  <si>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</si>
  <si>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</si>
  <si>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</si>
  <si>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</si>
  <si>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</si>
  <si>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</si>
  <si>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</si>
  <si>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</si>
  <si>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</si>
  <si>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</si>
  <si>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</si>
  <si>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</si>
  <si>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</si>
  <si>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</si>
  <si>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</si>
  <si>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</si>
  <si>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</si>
  <si>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</si>
  <si>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</si>
  <si>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</si>
  <si>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</si>
  <si>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</si>
  <si>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</si>
  <si>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</si>
  <si>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</si>
  <si>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</si>
  <si>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</si>
  <si>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</si>
  <si>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</si>
  <si>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</si>
  <si>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</si>
  <si>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</si>
  <si>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</si>
  <si>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</si>
  <si>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</si>
  <si>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</si>
  <si>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</si>
  <si>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</si>
  <si>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</si>
  <si>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</si>
  <si>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</si>
  <si>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</si>
  <si>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</si>
  <si>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</si>
  <si>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</si>
  <si>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</si>
  <si>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</si>
  <si>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</si>
  <si>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</si>
  <si>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</si>
  <si>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</si>
  <si>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</si>
  <si>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</si>
  <si>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</si>
  <si>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</si>
  <si>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</si>
  <si>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</si>
  <si>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</si>
  <si>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</si>
  <si>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</si>
  <si>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</si>
  <si>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</si>
  <si>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</si>
  <si>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</si>
  <si>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</si>
  <si>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</si>
  <si>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</si>
  <si>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</si>
  <si>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</si>
  <si>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</si>
  <si>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</si>
  <si>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</si>
  <si>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</si>
  <si>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</si>
  <si>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</si>
  <si>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</si>
  <si>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</si>
  <si>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</si>
  <si>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</si>
  <si>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</si>
  <si>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</si>
  <si>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</si>
  <si>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</si>
  <si>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</si>
  <si>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</si>
  <si>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</si>
  <si>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</si>
  <si>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</si>
  <si>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</si>
  <si>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</si>
  <si>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</si>
  <si>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</si>
  <si>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</si>
  <si>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</si>
  <si>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</si>
  <si>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</si>
  <si>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</si>
  <si>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</si>
  <si>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</si>
  <si>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</si>
  <si>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</si>
  <si>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</si>
  <si>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</si>
  <si>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</si>
  <si>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</si>
  <si>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</si>
  <si>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</si>
  <si>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</si>
  <si>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</si>
  <si>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</si>
  <si>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</si>
  <si>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</si>
  <si>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</si>
  <si>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</si>
  <si>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</si>
  <si>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</si>
  <si>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</si>
  <si>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</si>
  <si>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</si>
  <si>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</si>
  <si>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</si>
  <si>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</si>
  <si>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</si>
  <si>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</si>
  <si>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</si>
  <si>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</si>
  <si>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</si>
  <si>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</si>
  <si>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</si>
  <si>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</si>
  <si>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</si>
  <si>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</si>
  <si>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</si>
  <si>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</si>
  <si>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</si>
  <si>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</si>
  <si>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</si>
  <si>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</si>
  <si>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</si>
  <si>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</si>
  <si>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</si>
  <si>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</si>
  <si>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</si>
  <si>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</si>
  <si>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</si>
  <si>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</si>
  <si>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</si>
  <si>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</si>
  <si>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</si>
  <si>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</si>
  <si>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</si>
  <si>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</si>
  <si>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</si>
  <si>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</si>
  <si>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</si>
  <si>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</si>
  <si>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</si>
  <si>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</si>
  <si>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</si>
  <si>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</si>
  <si>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</si>
  <si>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</si>
  <si>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</si>
  <si>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</si>
  <si>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</si>
  <si>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</si>
  <si>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</si>
  <si>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</si>
  <si>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</si>
  <si>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</si>
  <si>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</si>
  <si>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</si>
  <si>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</si>
  <si>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</si>
  <si>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</si>
  <si>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</si>
  <si>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</si>
  <si>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</si>
  <si>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</si>
  <si>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</si>
  <si>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</si>
  <si>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</si>
  <si>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</si>
  <si>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</si>
  <si>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</si>
  <si>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</si>
  <si>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</si>
  <si>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</si>
  <si>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</si>
  <si>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</si>
  <si>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</si>
  <si>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</si>
  <si>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</si>
  <si>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</si>
  <si>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</si>
  <si>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</si>
  <si>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</si>
  <si>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</si>
  <si>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</si>
  <si>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</si>
  <si>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</si>
  <si>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</si>
  <si>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</si>
  <si>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</si>
  <si>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</si>
  <si>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</si>
  <si>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</si>
  <si>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</si>
  <si>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</si>
  <si>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</si>
  <si>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</si>
  <si>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</si>
  <si>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</si>
  <si>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</si>
  <si>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</si>
  <si>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</si>
  <si>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</si>
  <si>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</si>
  <si>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</si>
  <si>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</si>
  <si>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</si>
  <si>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</si>
  <si>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</si>
  <si>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</si>
  <si>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</si>
  <si>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</si>
  <si>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</si>
  <si>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</si>
  <si>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</si>
  <si>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</si>
  <si>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</si>
  <si>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</si>
  <si>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</si>
  <si>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</si>
  <si>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</si>
  <si>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</si>
  <si>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</si>
  <si>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</si>
  <si>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</si>
  <si>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</si>
  <si>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</si>
  <si>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</si>
  <si>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</si>
  <si>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</si>
  <si>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</si>
  <si>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</si>
  <si>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</si>
  <si>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</si>
  <si>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</si>
  <si>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</si>
  <si>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</si>
  <si>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</si>
  <si>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</si>
  <si>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</si>
  <si>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</si>
  <si>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</si>
  <si>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</si>
  <si>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</si>
  <si>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</si>
  <si>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</si>
  <si>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</si>
  <si>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</si>
  <si>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</si>
  <si>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</si>
  <si>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</si>
  <si>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</si>
  <si>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</si>
  <si>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</si>
  <si>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</si>
  <si>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</si>
  <si>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</si>
  <si>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</si>
  <si>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</si>
  <si>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</si>
  <si>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</si>
  <si>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</si>
  <si>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</si>
  <si>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</si>
  <si>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</si>
  <si>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</si>
  <si>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</si>
  <si>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</si>
  <si>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</si>
  <si>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</si>
  <si>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</si>
  <si>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</si>
  <si>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</si>
  <si>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</si>
  <si>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</si>
  <si>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</si>
  <si>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</si>
  <si>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</si>
  <si>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</si>
  <si>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</si>
  <si>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</si>
  <si>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</si>
  <si>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</si>
  <si>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</si>
  <si>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</si>
  <si>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</si>
  <si>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</si>
  <si>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</si>
  <si>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</si>
  <si>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</si>
  <si>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</si>
  <si>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</si>
  <si>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</si>
  <si>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</si>
  <si>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</si>
  <si>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</si>
  <si>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</si>
  <si>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</si>
  <si>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</si>
  <si>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</si>
  <si>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</si>
  <si>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</si>
  <si>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</si>
  <si>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</si>
  <si>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</si>
  <si>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</si>
  <si>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</si>
  <si>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</si>
  <si>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</si>
  <si>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</si>
  <si>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</si>
  <si>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</si>
  <si>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</si>
  <si>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</si>
  <si>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</si>
  <si>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</si>
  <si>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</si>
  <si>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</si>
  <si>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</si>
  <si>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</si>
  <si>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</si>
  <si>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</si>
  <si>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</si>
  <si>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</si>
  <si>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</si>
  <si>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</si>
  <si>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</si>
  <si>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</si>
  <si>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</si>
  <si>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</si>
  <si>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</si>
  <si>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</si>
  <si>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</si>
  <si>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</si>
  <si>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</si>
  <si>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</si>
  <si>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</si>
  <si>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</si>
  <si>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</si>
  <si>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</si>
  <si>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</si>
  <si>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</si>
  <si>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</si>
  <si>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</si>
  <si>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</si>
  <si>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</si>
  <si>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</si>
  <si>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</si>
  <si>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</si>
  <si>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</si>
  <si>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</si>
  <si>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</si>
  <si>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</si>
  <si>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</si>
  <si>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</si>
  <si>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</si>
  <si>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</si>
  <si>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</si>
  <si>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</si>
  <si>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</si>
  <si>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</si>
  <si>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</si>
  <si>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</si>
  <si>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</si>
  <si>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</si>
  <si>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</si>
  <si>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</si>
  <si>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</si>
  <si>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</si>
  <si>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</si>
  <si>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</si>
  <si>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</si>
  <si>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</si>
  <si>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</si>
  <si>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</si>
  <si>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</si>
  <si>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</si>
  <si>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</si>
  <si>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</si>
  <si>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</si>
  <si>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</si>
  <si>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</si>
  <si>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</si>
  <si>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</si>
  <si>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</si>
  <si>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</si>
  <si>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</si>
  <si>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</si>
  <si>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</si>
  <si>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</si>
  <si>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</si>
  <si>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</si>
  <si>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</si>
  <si>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</si>
  <si>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</si>
  <si>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</si>
  <si>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</si>
  <si>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</si>
  <si>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</si>
  <si>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</si>
  <si>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</si>
  <si>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</si>
  <si>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</si>
  <si>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</si>
  <si>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</si>
  <si>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</si>
  <si>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</si>
  <si>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</si>
  <si>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</si>
  <si>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</si>
  <si>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</si>
  <si>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</si>
  <si>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</si>
  <si>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</si>
  <si>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</si>
  <si>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</si>
  <si>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</si>
  <si>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</si>
  <si>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</si>
  <si>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</si>
  <si>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</si>
  <si>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</si>
  <si>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</si>
  <si>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</si>
  <si>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</si>
  <si>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</si>
  <si>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</si>
  <si>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</si>
  <si>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</si>
  <si>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</si>
  <si>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</si>
  <si>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</si>
  <si>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</si>
  <si>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</si>
  <si>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</si>
  <si>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</si>
  <si>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</si>
  <si>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</si>
  <si>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</si>
  <si>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</si>
  <si>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</si>
  <si>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</si>
  <si>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</si>
  <si>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</si>
  <si>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</si>
  <si>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</si>
  <si>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</si>
  <si>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</si>
  <si>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</si>
  <si>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</si>
  <si>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</si>
  <si>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</si>
  <si>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</si>
  <si>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</si>
  <si>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</si>
  <si>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</si>
  <si>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</si>
  <si>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</si>
  <si>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</si>
  <si>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</si>
  <si>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</si>
  <si>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</si>
  <si>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</si>
  <si>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</si>
  <si>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</si>
  <si>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</si>
  <si>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</si>
  <si>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</si>
  <si>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</si>
  <si>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</si>
  <si>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</si>
  <si>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</si>
  <si>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</si>
  <si>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</si>
  <si>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</si>
  <si>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</si>
  <si>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</si>
  <si>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</si>
  <si>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</si>
  <si>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</si>
  <si>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</si>
  <si>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</si>
  <si>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</si>
  <si>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</si>
  <si>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</si>
  <si>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</si>
  <si>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</si>
  <si>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</si>
  <si>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</si>
  <si>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</si>
  <si>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</si>
  <si>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</si>
  <si>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</si>
  <si>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</si>
  <si>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</si>
  <si>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</si>
  <si>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</si>
  <si>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</si>
  <si>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</si>
  <si>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</si>
  <si>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</si>
  <si>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</si>
  <si>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</si>
  <si>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</si>
  <si>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</si>
  <si>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</si>
  <si>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</si>
  <si>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</si>
  <si>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</si>
  <si>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</si>
  <si>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</si>
  <si>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</si>
  <si>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</si>
  <si>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</si>
  <si>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</si>
  <si>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</si>
  <si>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</si>
  <si>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</si>
  <si>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</si>
  <si>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</si>
  <si>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</si>
  <si>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</si>
  <si>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</si>
  <si>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</si>
  <si>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</si>
  <si>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</si>
  <si>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</si>
  <si>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</si>
  <si>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</si>
  <si>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</si>
  <si>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</si>
  <si>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</si>
  <si>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</si>
  <si>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</si>
  <si>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</si>
  <si>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</si>
  <si>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</si>
  <si>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</si>
  <si>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</si>
  <si>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</si>
  <si>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</si>
  <si>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</si>
  <si>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</si>
  <si>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</si>
  <si>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</si>
  <si>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</si>
  <si>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</si>
  <si>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</si>
  <si>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</si>
  <si>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</si>
  <si>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</si>
  <si>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</si>
  <si>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</si>
  <si>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</si>
  <si>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</si>
  <si>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</si>
  <si>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</si>
  <si>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</si>
  <si>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</si>
  <si>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</si>
  <si>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</si>
  <si>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</si>
  <si>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</si>
  <si>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</si>
  <si>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</si>
  <si>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</si>
  <si>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</si>
  <si>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</si>
  <si>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</si>
  <si>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</si>
  <si>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</si>
  <si>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</si>
  <si>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</si>
  <si>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</si>
  <si>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</si>
  <si>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</si>
  <si>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</si>
  <si>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</si>
  <si>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</si>
  <si>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</si>
  <si>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</si>
  <si>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</si>
  <si>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</si>
  <si>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</si>
  <si>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</si>
  <si>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</si>
  <si>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</si>
  <si>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</si>
  <si>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</si>
  <si>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</si>
  <si>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</si>
  <si>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</si>
  <si>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</si>
  <si>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</si>
  <si>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</si>
  <si>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</si>
  <si>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</si>
  <si>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</si>
  <si>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</si>
  <si>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</si>
  <si>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</si>
  <si>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</si>
  <si>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</si>
  <si>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</si>
  <si>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</si>
  <si>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</si>
  <si>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</si>
  <si>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</si>
  <si>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</si>
  <si>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</si>
  <si>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</si>
  <si>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</si>
  <si>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</si>
  <si>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</si>
  <si>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</si>
  <si>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</si>
  <si>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</si>
  <si>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</si>
  <si>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</si>
  <si>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</si>
  <si>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</si>
  <si>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</si>
  <si>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</si>
  <si>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</si>
  <si>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</si>
  <si>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</si>
  <si>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</si>
  <si>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</si>
  <si>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</si>
  <si>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</si>
  <si>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</si>
  <si>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</si>
  <si>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</si>
  <si>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</si>
  <si>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</si>
  <si>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</si>
  <si>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</si>
  <si>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</si>
  <si>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</si>
  <si>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</si>
  <si>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</si>
  <si>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</si>
  <si>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</si>
  <si>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</si>
  <si>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</si>
  <si>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</si>
  <si>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</si>
  <si>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</si>
  <si>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</si>
  <si>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</si>
  <si>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</si>
  <si>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</si>
  <si>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</si>
  <si>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</si>
  <si>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</si>
  <si>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</si>
  <si>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</si>
  <si>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</si>
  <si>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</si>
  <si>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</si>
  <si>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</si>
  <si>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</si>
  <si>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</si>
  <si>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</si>
  <si>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</si>
  <si>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</si>
  <si>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</si>
  <si>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</si>
  <si>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</si>
  <si>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</si>
  <si>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</si>
  <si>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</si>
  <si>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</si>
  <si>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</si>
  <si>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</si>
  <si>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</si>
  <si>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</si>
  <si>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</si>
  <si>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</si>
  <si>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</si>
  <si>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</si>
  <si>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</si>
  <si>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</si>
  <si>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</si>
  <si>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</si>
  <si>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</si>
  <si>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</si>
  <si>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</si>
  <si>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</si>
  <si>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</si>
  <si>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</si>
  <si>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</si>
  <si>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</si>
  <si>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</si>
  <si>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</si>
  <si>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</si>
  <si>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</si>
  <si>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</si>
  <si>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</si>
  <si>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</si>
  <si>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</si>
  <si>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</si>
  <si>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</si>
  <si>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</si>
  <si>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</si>
  <si>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</si>
  <si>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</si>
  <si>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</si>
  <si>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</si>
  <si>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</si>
  <si>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</si>
  <si>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</si>
  <si>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</si>
  <si>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</si>
  <si>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</si>
  <si>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</si>
  <si>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</si>
  <si>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</si>
  <si>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</si>
  <si>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</si>
  <si>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</si>
  <si>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</si>
  <si>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</si>
  <si>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</si>
  <si>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</si>
  <si>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</si>
  <si>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</si>
  <si>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</si>
  <si>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</si>
  <si>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</si>
  <si>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</si>
  <si>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</si>
  <si>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</si>
  <si>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</si>
  <si>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</si>
  <si>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</si>
  <si>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</si>
  <si>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</si>
  <si>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</si>
  <si>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</si>
  <si>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</si>
  <si>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</si>
  <si>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</si>
  <si>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</si>
  <si>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</si>
  <si>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</si>
  <si>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</si>
  <si>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</si>
  <si>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</si>
  <si>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</si>
  <si>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</si>
  <si>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</si>
  <si>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</si>
  <si>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</si>
  <si>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</si>
  <si>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</si>
  <si>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</si>
  <si>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</si>
  <si>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</si>
  <si>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</si>
  <si>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</si>
  <si>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</si>
  <si>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</si>
  <si>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</si>
  <si>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</si>
  <si>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</si>
  <si>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</si>
  <si>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</si>
  <si>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</si>
  <si>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</si>
  <si>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</si>
  <si>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</si>
  <si>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</si>
  <si>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</si>
  <si>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</si>
  <si>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</si>
  <si>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</si>
  <si>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</si>
  <si>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</si>
  <si>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</si>
  <si>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</si>
  <si>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</si>
  <si>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</si>
  <si>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</si>
  <si>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</si>
  <si>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</si>
  <si>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</si>
  <si>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</si>
  <si>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</si>
  <si>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</si>
  <si>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</si>
  <si>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</si>
  <si>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</si>
  <si>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</si>
  <si>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</si>
  <si>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</si>
  <si>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</si>
  <si>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</si>
  <si>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</si>
  <si>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</si>
  <si>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</si>
  <si>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</si>
  <si>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</si>
  <si>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</si>
  <si>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</si>
  <si>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</si>
  <si>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</si>
  <si>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</si>
  <si>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</si>
  <si>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</si>
  <si>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</si>
  <si>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</si>
  <si>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</si>
  <si>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</si>
  <si>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</si>
  <si>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</si>
  <si>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</si>
  <si>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</si>
  <si>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</si>
  <si>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</si>
  <si>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</si>
  <si>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</si>
  <si>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</si>
  <si>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</si>
  <si>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</si>
  <si>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</si>
  <si>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</si>
  <si>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</si>
  <si>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</si>
  <si>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</si>
  <si>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</si>
  <si>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</si>
  <si>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</si>
  <si>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</si>
  <si>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</si>
  <si>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</si>
  <si>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</si>
  <si>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</si>
  <si>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</si>
  <si>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</si>
  <si>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</si>
  <si>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</si>
  <si>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</si>
  <si>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</si>
  <si>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</si>
  <si>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</si>
  <si>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</si>
  <si>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</si>
  <si>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</si>
  <si>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</si>
  <si>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</si>
  <si>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</si>
  <si>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</si>
  <si>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</si>
  <si>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</si>
  <si>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</si>
  <si>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</si>
  <si>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</si>
  <si>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</si>
  <si>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</si>
  <si>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</si>
  <si>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</si>
  <si>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</si>
  <si>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</si>
  <si>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</si>
  <si>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</si>
  <si>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</si>
  <si>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</si>
  <si>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</si>
  <si>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</si>
  <si>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</si>
  <si>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</si>
  <si>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</si>
  <si>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</si>
  <si>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</si>
  <si>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</si>
  <si>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</si>
  <si>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</si>
  <si>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</si>
  <si>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</si>
  <si>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</si>
  <si>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</si>
  <si>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</si>
  <si>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</si>
  <si>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</si>
  <si>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</si>
  <si>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</si>
  <si>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</si>
  <si>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</si>
  <si>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</si>
  <si>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</si>
  <si>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</si>
  <si>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</si>
  <si>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</si>
  <si>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</si>
  <si>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</si>
  <si>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</si>
  <si>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</si>
  <si>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</si>
  <si>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</si>
  <si>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</si>
  <si>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</si>
  <si>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</si>
  <si>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</si>
  <si>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</si>
  <si>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</si>
  <si>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</si>
  <si>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</si>
  <si>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</si>
  <si>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</si>
  <si>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</si>
  <si>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</si>
  <si>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</si>
  <si>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</si>
  <si>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</si>
  <si>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</si>
  <si>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</si>
  <si>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</si>
  <si>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</si>
  <si>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</si>
  <si>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</si>
  <si>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</si>
  <si>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</si>
  <si>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</si>
  <si>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</si>
  <si>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</si>
  <si>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</si>
  <si>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</si>
  <si>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</si>
  <si>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</si>
  <si>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</si>
  <si>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</si>
  <si>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</si>
  <si>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</si>
  <si>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</si>
  <si>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</si>
  <si>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</si>
  <si>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</si>
  <si>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</si>
  <si>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</si>
  <si>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</si>
  <si>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</si>
  <si>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</si>
  <si>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</si>
  <si>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</si>
  <si>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</si>
  <si>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</si>
  <si>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</si>
  <si>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</si>
  <si>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</si>
  <si>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</si>
  <si>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</si>
  <si>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</si>
  <si>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</si>
  <si>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</si>
  <si>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</si>
  <si>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</si>
  <si>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</si>
  <si>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</si>
  <si>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</si>
  <si>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</si>
  <si>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</si>
  <si>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</si>
  <si>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</si>
  <si>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</si>
  <si>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</si>
  <si>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</si>
  <si>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</si>
  <si>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</si>
  <si>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</si>
  <si>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</si>
  <si>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</si>
  <si>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</si>
  <si>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</si>
  <si>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</si>
  <si>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</si>
  <si>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</si>
  <si>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</si>
  <si>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</si>
  <si>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</si>
  <si>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</si>
  <si>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</si>
  <si>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</si>
  <si>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</si>
  <si>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</si>
  <si>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</si>
  <si>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</si>
  <si>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</si>
  <si>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</si>
  <si>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</si>
  <si>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</si>
  <si>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</si>
  <si>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</si>
  <si>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</si>
  <si>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</si>
  <si>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</si>
  <si>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</si>
  <si>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</si>
  <si>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</si>
  <si>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</si>
  <si>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</si>
  <si>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</si>
  <si>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</si>
  <si>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</si>
  <si>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</si>
  <si>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</si>
  <si>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</si>
  <si>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</si>
  <si>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</si>
  <si>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</si>
  <si>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</si>
  <si>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</si>
  <si>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</si>
  <si>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</si>
  <si>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</si>
  <si>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</si>
  <si>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</si>
  <si>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</si>
  <si>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</si>
  <si>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</si>
  <si>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</si>
  <si>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</si>
  <si>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</si>
  <si>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</si>
  <si>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</si>
  <si>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</si>
  <si>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</si>
  <si>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</si>
  <si>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</si>
  <si>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</si>
  <si>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</si>
  <si>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</si>
  <si>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</si>
  <si>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</si>
  <si>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</si>
  <si>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</si>
  <si>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</si>
  <si>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</si>
  <si>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</si>
  <si>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</si>
  <si>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</si>
  <si>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</si>
  <si>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</si>
  <si>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</si>
  <si>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</si>
  <si>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</si>
  <si>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</si>
  <si>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</si>
  <si>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</si>
  <si>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</si>
  <si>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</si>
  <si>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</si>
  <si>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</si>
  <si>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</si>
  <si>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</si>
  <si>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</si>
  <si>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</si>
  <si>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</si>
  <si>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</si>
  <si>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</si>
  <si>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</si>
  <si>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</si>
  <si>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</si>
  <si>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</si>
  <si>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</si>
  <si>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</si>
  <si>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</si>
  <si>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</si>
  <si>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</si>
  <si>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</si>
  <si>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</si>
  <si>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</si>
  <si>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</si>
  <si>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</si>
  <si>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</si>
  <si>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</si>
  <si>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</si>
  <si>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</si>
  <si>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</si>
  <si>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</si>
  <si>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</si>
  <si>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</si>
  <si>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</si>
  <si>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</si>
  <si>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</si>
  <si>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</si>
  <si>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</si>
  <si>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</si>
  <si>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</si>
  <si>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</si>
  <si>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</si>
  <si>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</si>
  <si>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</si>
  <si>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</si>
  <si>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</si>
  <si>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</si>
  <si>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</si>
  <si>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</si>
  <si>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</si>
  <si>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</si>
  <si>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</si>
  <si>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</si>
  <si>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</si>
  <si>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</si>
  <si>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</si>
  <si>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</si>
  <si>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</si>
  <si>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</si>
  <si>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</si>
  <si>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</si>
  <si>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</si>
  <si>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</si>
  <si>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</si>
  <si>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</si>
  <si>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</si>
  <si>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</si>
  <si>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</si>
  <si>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</si>
  <si>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</si>
  <si>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</si>
  <si>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</si>
  <si>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</si>
  <si>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</si>
  <si>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</si>
  <si>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</si>
  <si>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</si>
  <si>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</si>
  <si>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</si>
  <si>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</si>
  <si>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</si>
  <si>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</si>
  <si>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</si>
  <si>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</si>
  <si>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</si>
  <si>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</si>
  <si>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</si>
  <si>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</si>
  <si>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</si>
  <si>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</si>
  <si>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</si>
  <si>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</si>
  <si>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</si>
  <si>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</si>
  <si>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</si>
  <si>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</si>
  <si>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</si>
  <si>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</si>
  <si>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</si>
  <si>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</si>
  <si>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</si>
  <si>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</si>
  <si>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</si>
  <si>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</si>
  <si>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</si>
  <si>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</si>
  <si>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</si>
  <si>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</si>
  <si>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</si>
  <si>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</si>
  <si>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</si>
  <si>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</si>
  <si>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</si>
  <si>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</si>
  <si>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</si>
  <si>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</si>
  <si>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</si>
  <si>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</si>
  <si>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</si>
  <si>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</si>
  <si>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</si>
  <si>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</si>
  <si>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</si>
  <si>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</si>
  <si>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</si>
  <si>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</si>
  <si>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</si>
  <si>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</si>
  <si>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</si>
  <si>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</si>
  <si>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</si>
  <si>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</si>
  <si>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</si>
  <si>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</si>
  <si>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</si>
  <si>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</si>
  <si>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</si>
  <si>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</si>
  <si>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</si>
  <si>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</si>
  <si>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</si>
  <si>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</si>
  <si>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</si>
  <si>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</si>
  <si>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</si>
  <si>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</si>
  <si>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</si>
  <si>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</si>
  <si>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</si>
  <si>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</si>
  <si>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</si>
  <si>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</si>
  <si>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</si>
  <si>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</si>
  <si>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</si>
  <si>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</si>
  <si>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</si>
  <si>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</si>
  <si>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</si>
  <si>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</si>
  <si>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</si>
  <si>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</si>
  <si>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</si>
  <si>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</si>
  <si>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</si>
  <si>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</si>
  <si>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</si>
  <si>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</si>
  <si>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</si>
  <si>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</si>
  <si>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</si>
  <si>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</si>
  <si>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</si>
  <si>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</si>
  <si>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</si>
  <si>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</si>
  <si>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</si>
  <si>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</si>
  <si>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</si>
  <si>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</si>
  <si>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</si>
  <si>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</si>
  <si>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</si>
  <si>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</si>
  <si>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</si>
  <si>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</si>
  <si>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</si>
  <si>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</si>
  <si>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</si>
  <si>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</si>
  <si>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</si>
  <si>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</si>
  <si>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</si>
  <si>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</si>
  <si>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</si>
  <si>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</si>
  <si>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</si>
  <si>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</si>
  <si>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</si>
  <si>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</si>
  <si>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</si>
  <si>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</si>
  <si>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</si>
  <si>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</si>
  <si>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</si>
  <si>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</si>
  <si>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</si>
  <si>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</si>
  <si>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</si>
  <si>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</si>
  <si>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</si>
  <si>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</si>
  <si>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</si>
  <si>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</si>
  <si>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</si>
  <si>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</si>
  <si>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</si>
  <si>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</si>
  <si>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</si>
  <si>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</si>
  <si>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</si>
  <si>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</si>
  <si>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</si>
  <si>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</si>
  <si>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</si>
  <si>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</si>
  <si>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</si>
  <si>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</si>
  <si>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</si>
  <si>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</si>
  <si>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</si>
  <si>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</si>
  <si>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</si>
  <si>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</si>
  <si>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</si>
  <si>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</si>
  <si>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</si>
  <si>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</si>
  <si>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</si>
  <si>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</si>
  <si>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</si>
  <si>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</si>
  <si>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</si>
  <si>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</si>
  <si>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</si>
  <si>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</si>
  <si>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</si>
  <si>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</si>
  <si>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</si>
  <si>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</si>
  <si>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</si>
  <si>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</si>
  <si>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</si>
  <si>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</si>
  <si>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</si>
  <si>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</si>
  <si>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</si>
  <si>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</si>
  <si>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</si>
  <si>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</si>
  <si>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</si>
  <si>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</si>
  <si>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</si>
  <si>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</si>
  <si>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</si>
  <si>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</si>
  <si>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</si>
  <si>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</si>
  <si>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</si>
  <si>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</si>
  <si>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</si>
  <si>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</si>
  <si>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</si>
  <si>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</si>
  <si>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</si>
  <si>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</si>
  <si>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</si>
  <si>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</si>
  <si>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</si>
  <si>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</si>
  <si>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</si>
  <si>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</si>
  <si>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</si>
  <si>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</si>
  <si>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</si>
  <si>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</si>
  <si>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</si>
  <si>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</si>
  <si>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</si>
  <si>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</si>
  <si>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</si>
  <si>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</si>
  <si>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</si>
  <si>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</si>
  <si>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</si>
  <si>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</si>
  <si>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</si>
  <si>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</si>
  <si>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</si>
  <si>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</si>
  <si>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</si>
  <si>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</si>
  <si>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</si>
  <si>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</si>
  <si>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</si>
  <si>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</si>
  <si>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</si>
  <si>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</si>
  <si>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</si>
  <si>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</si>
  <si>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</si>
  <si>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</si>
  <si>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</si>
  <si>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</si>
  <si>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</si>
  <si>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</si>
  <si>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</si>
  <si>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</si>
  <si>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</si>
  <si>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</si>
  <si>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</si>
  <si>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</si>
  <si>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</si>
  <si>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</si>
  <si>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</si>
  <si>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</si>
  <si>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</si>
  <si>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</si>
  <si>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</si>
  <si>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</si>
  <si>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</si>
  <si>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</si>
  <si>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</si>
  <si>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</si>
  <si>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</si>
  <si>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</si>
  <si>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</si>
  <si>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</si>
  <si>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</si>
  <si>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</si>
  <si>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</si>
  <si>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</si>
  <si>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</si>
  <si>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</si>
  <si>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</si>
  <si>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</si>
  <si>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</si>
  <si>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</si>
  <si>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</si>
  <si>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</si>
  <si>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</si>
  <si>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</si>
  <si>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</si>
  <si>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</si>
  <si>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</si>
  <si>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</si>
  <si>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</si>
  <si>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</si>
  <si>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</si>
  <si>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</si>
  <si>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</si>
  <si>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</si>
  <si>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</si>
  <si>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</si>
  <si>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</si>
  <si>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</si>
  <si>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</si>
  <si>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</si>
  <si>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</si>
  <si>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</si>
  <si>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</si>
  <si>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</si>
  <si>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</si>
  <si>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</si>
  <si>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</si>
  <si>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</si>
  <si>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</si>
  <si>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</si>
  <si>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</si>
  <si>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</si>
  <si>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</si>
  <si>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</si>
  <si>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</si>
  <si>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</si>
  <si>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</si>
  <si>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</si>
  <si>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</si>
  <si>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</si>
  <si>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</si>
  <si>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</si>
  <si>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</si>
  <si>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</si>
  <si>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</si>
  <si>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</si>
  <si>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</si>
  <si>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</si>
  <si>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</si>
  <si>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</si>
  <si>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</si>
  <si>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</si>
  <si>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</si>
  <si>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</si>
  <si>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</si>
  <si>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</si>
  <si>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</si>
  <si>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</si>
  <si>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</si>
  <si>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</si>
  <si>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</si>
  <si>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</si>
  <si>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</si>
  <si>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</si>
  <si>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</si>
  <si>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</si>
  <si>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</si>
  <si>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</si>
  <si>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</si>
  <si>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</si>
  <si>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</si>
  <si>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</si>
  <si>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</si>
  <si>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</si>
  <si>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</si>
  <si>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</si>
  <si>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</si>
  <si>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</si>
  <si>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</si>
  <si>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</si>
  <si>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</si>
  <si>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</si>
  <si>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</si>
  <si>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</si>
  <si>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</si>
  <si>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</si>
  <si>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</si>
  <si>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</si>
  <si>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</si>
  <si>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</si>
  <si>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</si>
  <si>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</si>
  <si>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</si>
  <si>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</si>
  <si>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</si>
  <si>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</si>
  <si>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</si>
  <si>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</si>
  <si>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</si>
  <si>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</si>
  <si>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</si>
  <si>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</si>
  <si>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</si>
  <si>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</si>
  <si>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</si>
  <si>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</si>
  <si>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</si>
  <si>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</si>
  <si>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</si>
  <si>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</si>
  <si>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</si>
  <si>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</si>
  <si>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</si>
  <si>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</si>
  <si>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</si>
  <si>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</si>
  <si>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</si>
  <si>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</si>
  <si>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</si>
  <si>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</si>
  <si>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</si>
  <si>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</si>
  <si>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</si>
  <si>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</si>
  <si>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</si>
  <si>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</si>
  <si>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</si>
  <si>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</si>
  <si>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</si>
  <si>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</si>
  <si>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</si>
  <si>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</si>
  <si>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</si>
  <si>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</si>
  <si>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</si>
  <si>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</si>
  <si>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</si>
  <si>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</si>
  <si>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</si>
  <si>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</si>
  <si>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</si>
  <si>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</si>
  <si>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</si>
  <si>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</si>
  <si>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</si>
  <si>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</si>
  <si>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</si>
  <si>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</si>
  <si>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</si>
  <si>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</si>
  <si>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</si>
  <si>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</si>
  <si>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</si>
  <si>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</si>
  <si>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</si>
  <si>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</si>
  <si>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</si>
  <si>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</si>
  <si>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</si>
  <si>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</si>
  <si>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</si>
  <si>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</si>
  <si>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</si>
  <si>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</si>
  <si>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</si>
  <si>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</si>
  <si>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</si>
  <si>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</si>
  <si>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</si>
  <si>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</si>
  <si>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</si>
  <si>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</si>
  <si>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</si>
  <si>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</si>
  <si>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</si>
  <si>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</si>
  <si>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</si>
  <si>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</si>
  <si>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</si>
  <si>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</si>
  <si>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</si>
  <si>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</si>
  <si>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</si>
  <si>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</si>
  <si>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</si>
  <si>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</si>
  <si>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</si>
  <si>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</si>
  <si>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</si>
  <si>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</si>
  <si>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</si>
  <si>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</si>
  <si>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</si>
  <si>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</si>
  <si>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</si>
  <si>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</si>
  <si>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</si>
  <si>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</si>
  <si>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</si>
  <si>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</si>
  <si>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</si>
  <si>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</si>
  <si>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</si>
  <si>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</si>
  <si>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</si>
  <si>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</si>
  <si>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</si>
  <si>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</si>
  <si>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</si>
  <si>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</si>
  <si>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</si>
  <si>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</si>
  <si>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</si>
  <si>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</si>
  <si>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</si>
  <si>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</si>
  <si>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</si>
  <si>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</si>
  <si>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</si>
  <si>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</si>
  <si>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</si>
  <si>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</si>
  <si>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</si>
  <si>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</si>
  <si>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</si>
  <si>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</si>
  <si>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</si>
  <si>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</si>
  <si>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</si>
  <si>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</si>
  <si>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</si>
  <si>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</si>
  <si>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</si>
  <si>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</si>
  <si>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</si>
  <si>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</si>
  <si>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</si>
  <si>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</si>
  <si>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</si>
  <si>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</si>
  <si>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</si>
  <si>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</si>
  <si>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</si>
  <si>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</si>
  <si>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</si>
  <si>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</si>
  <si>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</si>
  <si>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</si>
  <si>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</si>
  <si>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</si>
  <si>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</si>
  <si>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</si>
  <si>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</si>
  <si>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</si>
  <si>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</si>
  <si>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</si>
  <si>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</si>
  <si>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</si>
  <si>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</si>
  <si>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</si>
  <si>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</si>
  <si>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</si>
  <si>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</si>
  <si>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</si>
  <si>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</si>
  <si>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</si>
  <si>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</si>
  <si>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</si>
  <si>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</si>
  <si>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</si>
  <si>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</si>
  <si>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</si>
  <si>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</si>
  <si>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</si>
  <si>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</si>
  <si>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</si>
  <si>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</si>
  <si>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</si>
  <si>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</si>
  <si>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</si>
  <si>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</si>
  <si>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</si>
  <si>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</si>
  <si>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</si>
  <si>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</si>
  <si>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</si>
  <si>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</si>
  <si>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</si>
  <si>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</si>
  <si>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</si>
  <si>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</si>
  <si>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</si>
  <si>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</si>
  <si>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</si>
  <si>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</si>
  <si>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</si>
  <si>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</si>
  <si>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</si>
  <si>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</si>
  <si>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</si>
  <si>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</si>
  <si>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</si>
  <si>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</si>
  <si>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</si>
  <si>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</si>
  <si>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</si>
  <si>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</si>
  <si>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</si>
  <si>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</si>
  <si>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</si>
  <si>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</si>
  <si>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</si>
  <si>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</si>
  <si>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</si>
  <si>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</si>
  <si>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</si>
  <si>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</si>
  <si>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</si>
  <si>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</si>
  <si>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</si>
  <si>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</si>
  <si>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</si>
  <si>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</si>
  <si>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</si>
  <si>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</si>
  <si>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</si>
  <si>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</si>
  <si>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</si>
  <si>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</si>
  <si>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</si>
  <si>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</si>
  <si>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</si>
  <si>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</si>
  <si>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</si>
  <si>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</si>
  <si>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</si>
  <si>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</si>
  <si>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</si>
  <si>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</si>
  <si>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</si>
  <si>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</si>
  <si>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</si>
  <si>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</si>
  <si>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</si>
  <si>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</si>
  <si>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</si>
  <si>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</si>
  <si>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</si>
  <si>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</si>
  <si>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</si>
  <si>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</si>
  <si>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</si>
  <si>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</si>
  <si>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</si>
  <si>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</si>
  <si>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</si>
  <si>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</si>
  <si>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</si>
  <si>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</si>
  <si>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</si>
  <si>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</si>
  <si>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</si>
  <si>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</si>
  <si>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</si>
  <si>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</si>
  <si>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</si>
  <si>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</si>
  <si>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</si>
  <si>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</si>
  <si>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</si>
  <si>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</si>
  <si>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</si>
  <si>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</si>
  <si>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</si>
  <si>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</si>
  <si>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</si>
  <si>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</si>
  <si>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</si>
  <si>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</si>
  <si>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</si>
  <si>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</si>
  <si>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</si>
  <si>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</si>
  <si>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</si>
  <si>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</si>
  <si>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</si>
  <si>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</si>
  <si>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</si>
  <si>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</si>
  <si>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</si>
  <si>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</si>
  <si>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</si>
  <si>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</si>
  <si>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</si>
  <si>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</si>
  <si>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</si>
  <si>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</si>
  <si>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</si>
  <si>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</si>
  <si>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</si>
  <si>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</si>
  <si>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</si>
  <si>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</si>
  <si>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</si>
  <si>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</si>
  <si>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</si>
  <si>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</si>
  <si>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</si>
  <si>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</si>
  <si>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</si>
  <si>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</si>
  <si>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</si>
  <si>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</si>
  <si>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</si>
  <si>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</si>
  <si>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</si>
  <si>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</si>
  <si>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</si>
  <si>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</si>
  <si>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</si>
  <si>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</si>
  <si>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</si>
  <si>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</si>
  <si>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</si>
  <si>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</si>
  <si>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</si>
  <si>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</si>
  <si>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</si>
  <si>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</si>
  <si>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</si>
  <si>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</si>
  <si>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</si>
  <si>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</si>
  <si>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</si>
  <si>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</si>
  <si>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</si>
  <si>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</si>
  <si>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</si>
  <si>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</si>
  <si>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</si>
  <si>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</si>
  <si>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</si>
  <si>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</si>
  <si>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</si>
  <si>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</si>
  <si>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</si>
  <si>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</si>
  <si>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</si>
  <si>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</si>
  <si>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</si>
  <si>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</si>
  <si>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</si>
  <si>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</si>
  <si>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</si>
  <si>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</si>
  <si>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</si>
  <si>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</si>
  <si>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</si>
  <si>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</si>
  <si>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</si>
  <si>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</si>
  <si>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</si>
  <si>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</si>
  <si>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</si>
  <si>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</si>
  <si>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</si>
  <si>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</si>
  <si>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</si>
  <si>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</si>
  <si>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</si>
  <si>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</si>
  <si>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</si>
  <si>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</si>
  <si>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</si>
  <si>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</si>
  <si>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</si>
  <si>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</si>
  <si>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</si>
  <si>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</si>
  <si>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</si>
  <si>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</si>
  <si>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</si>
  <si>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</si>
  <si>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</si>
  <si>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</si>
  <si>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</si>
  <si>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</si>
  <si>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</si>
  <si>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</si>
  <si>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</si>
  <si>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</si>
  <si>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</si>
  <si>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</si>
  <si>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</si>
  <si>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</si>
  <si>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</si>
  <si>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</si>
  <si>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</si>
  <si>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</si>
  <si>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</si>
  <si>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</si>
  <si>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</si>
  <si>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</si>
  <si>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</si>
  <si>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</si>
  <si>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</si>
  <si>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</si>
  <si>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</si>
  <si>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</si>
  <si>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</si>
  <si>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</si>
  <si>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</si>
  <si>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</si>
  <si>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</si>
  <si>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</si>
  <si>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</si>
  <si>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</si>
  <si>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</si>
  <si>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</si>
  <si>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</si>
  <si>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</si>
  <si>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</si>
  <si>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</si>
  <si>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</si>
  <si>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</si>
  <si>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</si>
  <si>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</si>
  <si>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</si>
  <si>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</si>
  <si>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</si>
  <si>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</si>
  <si>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</si>
  <si>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</si>
  <si>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</si>
  <si>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</si>
  <si>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</si>
  <si>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</si>
  <si>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</si>
  <si>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</si>
  <si>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</si>
  <si>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</si>
  <si>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</si>
  <si>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</si>
  <si>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</si>
  <si>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</si>
  <si>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</si>
  <si>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</si>
  <si>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</si>
  <si>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</si>
  <si>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</si>
  <si>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</si>
  <si>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</si>
  <si>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</si>
  <si>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</si>
  <si>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</si>
  <si>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</si>
  <si>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</si>
  <si>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</si>
  <si>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</si>
  <si>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</si>
  <si>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</si>
  <si>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</si>
  <si>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</si>
  <si>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</si>
  <si>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</si>
  <si>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</si>
  <si>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</si>
  <si>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</si>
  <si>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</si>
  <si>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</si>
  <si>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</si>
  <si>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</si>
  <si>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</si>
  <si>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</si>
  <si>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</si>
  <si>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</si>
  <si>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</si>
  <si>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</si>
  <si>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</si>
  <si>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</si>
  <si>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</si>
  <si>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</si>
  <si>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</si>
  <si>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</si>
  <si>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</si>
  <si>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</si>
  <si>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</si>
  <si>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</si>
  <si>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</si>
  <si>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</si>
  <si>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</si>
  <si>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</si>
  <si>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</si>
  <si>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</si>
  <si>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</si>
  <si>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</si>
  <si>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</si>
  <si>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</si>
  <si>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</si>
  <si>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</si>
  <si>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</si>
  <si>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</si>
  <si>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</si>
  <si>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</si>
  <si>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</si>
  <si>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</si>
  <si>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</si>
  <si>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</si>
  <si>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</si>
  <si>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</si>
  <si>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</si>
  <si>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</si>
  <si>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</si>
  <si>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</si>
  <si>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</si>
  <si>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</si>
  <si>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</si>
  <si>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</si>
  <si>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</si>
  <si>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</si>
  <si>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</si>
  <si>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</si>
  <si>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</si>
  <si>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</si>
  <si>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</si>
  <si>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</si>
  <si>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</si>
  <si>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</si>
  <si>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</si>
  <si>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</si>
  <si>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</si>
  <si>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</si>
  <si>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</si>
  <si>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</si>
  <si>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</si>
  <si>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</si>
  <si>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</si>
  <si>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</si>
  <si>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</si>
  <si>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</si>
  <si>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</si>
  <si>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</si>
  <si>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</si>
  <si>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</si>
  <si>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</si>
  <si>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</si>
  <si>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</si>
  <si>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</si>
  <si>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</si>
  <si>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</si>
  <si>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</si>
  <si>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</si>
  <si>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</si>
  <si>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</si>
  <si>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</si>
  <si>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</si>
  <si>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</si>
  <si>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</si>
  <si>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</si>
  <si>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</si>
  <si>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</si>
  <si>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</si>
  <si>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</si>
  <si>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</si>
  <si>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</si>
  <si>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</si>
  <si>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</si>
  <si>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</si>
  <si>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</si>
  <si>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</si>
  <si>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</si>
  <si>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</si>
  <si>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</si>
  <si>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</si>
  <si>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</si>
  <si>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</si>
  <si>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</si>
  <si>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</si>
  <si>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</si>
  <si>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</si>
  <si>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</si>
  <si>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</si>
  <si>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</si>
  <si>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</si>
  <si>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</si>
  <si>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</si>
  <si>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</si>
  <si>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</si>
  <si>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</si>
  <si>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</si>
  <si>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</si>
  <si>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</si>
  <si>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</si>
  <si>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</si>
  <si>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</si>
  <si>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</si>
  <si>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</si>
  <si>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</si>
  <si>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</si>
  <si>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</si>
  <si>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</si>
  <si>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</si>
  <si>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</si>
  <si>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</si>
  <si>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</si>
  <si>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</si>
  <si>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</si>
  <si>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</si>
  <si>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</si>
  <si>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</si>
  <si>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</si>
  <si>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</si>
  <si>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</si>
  <si>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</si>
  <si>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</si>
  <si>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</si>
  <si>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</si>
  <si>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</si>
  <si>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</si>
  <si>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</si>
  <si>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</si>
  <si>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</si>
  <si>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</si>
  <si>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</si>
  <si>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</si>
  <si>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</si>
  <si>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</si>
  <si>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</si>
  <si>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</si>
  <si>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</si>
  <si>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</si>
  <si>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</si>
  <si>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</si>
  <si>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</si>
  <si>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</si>
  <si>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</si>
  <si>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</si>
  <si>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</si>
  <si>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</si>
  <si>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</si>
  <si>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</si>
  <si>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</si>
  <si>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</si>
  <si>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</si>
  <si>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</si>
  <si>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</si>
  <si>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</si>
  <si>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</si>
  <si>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</si>
  <si>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</si>
  <si>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</si>
  <si>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</si>
  <si>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</si>
  <si>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</si>
  <si>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</si>
  <si>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</si>
  <si>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</si>
  <si>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</si>
  <si>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</si>
  <si>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</si>
  <si>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</si>
  <si>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</si>
  <si>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</si>
  <si>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</si>
  <si>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</si>
  <si>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</si>
  <si>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</si>
  <si>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</si>
  <si>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</si>
  <si>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</si>
  <si>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</si>
  <si>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</si>
  <si>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</si>
  <si>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</si>
  <si>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</si>
  <si>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</si>
  <si>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</si>
  <si>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</si>
  <si>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</si>
  <si>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</si>
  <si>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</si>
  <si>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</si>
  <si>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</si>
  <si>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</si>
  <si>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</si>
  <si>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</si>
  <si>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</si>
  <si>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</si>
  <si>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</si>
  <si>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</si>
  <si>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</si>
  <si>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</si>
  <si>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</si>
  <si>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</si>
  <si>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</si>
  <si>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</si>
  <si>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</si>
  <si>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</si>
  <si>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</si>
  <si>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</si>
  <si>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</si>
  <si>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</si>
  <si>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</si>
  <si>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</si>
  <si>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</si>
  <si>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</si>
  <si>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</si>
  <si>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</si>
  <si>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</si>
  <si>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</si>
  <si>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</si>
  <si>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</si>
  <si>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</si>
  <si>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</si>
  <si>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</si>
  <si>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</si>
  <si>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</si>
  <si>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</si>
  <si>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</si>
  <si>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</si>
  <si>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</si>
  <si>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</si>
  <si>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</si>
  <si>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</si>
  <si>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</si>
  <si>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</si>
  <si>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</si>
  <si>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</si>
  <si>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</si>
  <si>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</si>
  <si>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</si>
  <si>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</si>
  <si>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</si>
  <si>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</si>
  <si>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</si>
  <si>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</si>
  <si>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</si>
  <si>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</si>
  <si>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</si>
  <si>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</si>
  <si>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</si>
  <si>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</si>
  <si>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</si>
  <si>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</si>
  <si>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</si>
  <si>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</si>
  <si>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</si>
  <si>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</si>
  <si>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</si>
  <si>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</si>
  <si>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</si>
  <si>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</si>
  <si>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</si>
  <si>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</si>
  <si>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</si>
  <si>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</si>
  <si>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</si>
  <si>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</si>
  <si>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</si>
  <si>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</si>
  <si>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</si>
  <si>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</si>
  <si>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</si>
  <si>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</si>
  <si>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</si>
  <si>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</si>
  <si>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</si>
  <si>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</si>
  <si>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</si>
  <si>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</si>
  <si>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</si>
  <si>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</si>
  <si>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</si>
  <si>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</si>
  <si>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</si>
  <si>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</si>
  <si>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</si>
  <si>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</si>
  <si>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</si>
  <si>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</si>
  <si>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</si>
  <si>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</si>
  <si>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</si>
  <si>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</si>
  <si>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</si>
  <si>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</si>
  <si>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</si>
  <si>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</si>
  <si>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</si>
  <si>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</si>
  <si>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</si>
  <si>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</si>
  <si>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</si>
  <si>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</si>
  <si>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</si>
  <si>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</si>
  <si>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</si>
  <si>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</si>
  <si>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</si>
  <si>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</si>
  <si>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</si>
  <si>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</si>
  <si>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</si>
  <si>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</si>
  <si>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</si>
  <si>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</si>
  <si>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</si>
  <si>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</si>
  <si>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</si>
  <si>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</si>
  <si>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</si>
  <si>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</si>
  <si>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</si>
  <si>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</si>
  <si>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</si>
  <si>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</si>
  <si>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</si>
  <si>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</si>
  <si>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</si>
  <si>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</si>
  <si>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</si>
  <si>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</si>
  <si>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</si>
  <si>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</si>
  <si>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</si>
  <si>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</si>
  <si>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</si>
  <si>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</si>
  <si>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</si>
  <si>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</si>
  <si>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</si>
  <si>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</si>
  <si>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</si>
  <si>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</si>
  <si>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</si>
  <si>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</si>
  <si>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</si>
  <si>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</si>
  <si>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</si>
  <si>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</si>
  <si>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</si>
  <si>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</si>
  <si>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</si>
  <si>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</si>
  <si>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</si>
  <si>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</si>
  <si>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</si>
  <si>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</si>
  <si>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</si>
  <si>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</si>
  <si>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</si>
  <si>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</si>
  <si>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</si>
  <si>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</si>
  <si>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</si>
  <si>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</si>
  <si>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</si>
  <si>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</si>
  <si>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</si>
  <si>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</si>
  <si>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</si>
  <si>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</si>
  <si>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</si>
  <si>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</si>
  <si>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</si>
  <si>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</si>
  <si>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</si>
  <si>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</si>
  <si>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</si>
  <si>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</si>
  <si>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</si>
  <si>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</si>
  <si>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</si>
  <si>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</si>
  <si>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</si>
  <si>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</si>
  <si>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</si>
  <si>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</si>
  <si>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</si>
  <si>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</si>
  <si>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</si>
  <si>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</si>
  <si>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</si>
  <si>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</si>
  <si>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</si>
  <si>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</si>
  <si>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</si>
  <si>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</si>
  <si>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</si>
  <si>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</si>
  <si>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</si>
  <si>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</si>
  <si>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</si>
  <si>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</si>
  <si>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</si>
  <si>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</si>
  <si>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</si>
  <si>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</si>
  <si>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</si>
  <si>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</si>
  <si>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</si>
  <si>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</si>
  <si>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</si>
  <si>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</si>
  <si>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</si>
  <si>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</si>
  <si>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</si>
  <si>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</si>
  <si>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</si>
  <si>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</si>
  <si>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</si>
  <si>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</si>
  <si>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</si>
  <si>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</si>
  <si>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</si>
  <si>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</si>
  <si>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</si>
  <si>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</si>
  <si>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</si>
  <si>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</si>
  <si>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</si>
  <si>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</si>
  <si>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</si>
  <si>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</si>
  <si>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</si>
  <si>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</si>
  <si>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</si>
  <si>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</si>
  <si>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</si>
  <si>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</si>
  <si>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</si>
  <si>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</si>
  <si>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</si>
  <si>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</si>
  <si>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</si>
  <si>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</si>
  <si>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</si>
  <si>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</si>
  <si>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</si>
  <si>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</si>
  <si>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</si>
  <si>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</si>
  <si>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</si>
  <si>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</si>
  <si>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</si>
  <si>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</si>
  <si>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</si>
  <si>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</si>
  <si>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</si>
  <si>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</si>
  <si>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</si>
  <si>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</si>
  <si>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</si>
  <si>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</si>
  <si>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</si>
  <si>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</si>
  <si>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</si>
  <si>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</si>
  <si>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</si>
  <si>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</si>
  <si>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</si>
  <si>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</si>
  <si>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</si>
  <si>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</si>
  <si>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</si>
  <si>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</si>
  <si>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</si>
  <si>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</si>
  <si>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</si>
  <si>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</si>
  <si>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</si>
  <si>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</si>
  <si>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</si>
  <si>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</si>
  <si>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</si>
  <si>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</si>
  <si>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</si>
  <si>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</si>
  <si>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</si>
  <si>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</si>
  <si>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</si>
  <si>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</si>
  <si>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</si>
  <si>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</si>
  <si>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</si>
  <si>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</si>
  <si>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</si>
  <si>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</si>
  <si>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</si>
  <si>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</si>
  <si>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</si>
  <si>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</si>
  <si>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</si>
  <si>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</si>
  <si>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</si>
  <si>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</si>
  <si>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</si>
  <si>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</si>
  <si>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</si>
  <si>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</si>
  <si>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</si>
  <si>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</si>
  <si>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</si>
  <si>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</si>
  <si>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</si>
  <si>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</si>
  <si>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</si>
  <si>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</si>
  <si>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</si>
  <si>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</si>
  <si>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</si>
  <si>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</si>
  <si>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</si>
  <si>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</si>
  <si>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</si>
  <si>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</si>
  <si>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</si>
  <si>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</si>
  <si>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</si>
  <si>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</si>
  <si>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</si>
  <si>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</si>
  <si>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</si>
  <si>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</si>
  <si>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</si>
  <si>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</si>
  <si>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</si>
  <si>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</si>
  <si>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</si>
  <si>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</si>
  <si>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</si>
  <si>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</si>
  <si>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</si>
  <si>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</si>
  <si>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</si>
  <si>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</si>
  <si>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</si>
  <si>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</si>
  <si>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</si>
  <si>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</si>
  <si>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</si>
  <si>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</si>
  <si>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</si>
  <si>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</si>
  <si>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</si>
  <si>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</si>
  <si>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</si>
  <si>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</si>
  <si>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</si>
  <si>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</si>
  <si>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</si>
  <si>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</si>
  <si>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</si>
  <si>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</si>
  <si>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</si>
  <si>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</si>
  <si>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</si>
  <si>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</si>
  <si>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</si>
  <si>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</si>
  <si>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</si>
  <si>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</si>
  <si>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</si>
  <si>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</si>
  <si>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</si>
  <si>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</si>
  <si>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</si>
  <si>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</si>
  <si>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</si>
  <si>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</si>
  <si>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</si>
  <si>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</si>
  <si>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</si>
  <si>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</si>
  <si>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</si>
  <si>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</si>
  <si>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</si>
  <si>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</si>
  <si>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</si>
  <si>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</si>
  <si>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</si>
  <si>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</si>
  <si>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</si>
  <si>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</si>
  <si>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</si>
  <si>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</si>
  <si>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</si>
  <si>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</si>
  <si>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</si>
  <si>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</si>
  <si>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</si>
  <si>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</si>
  <si>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</si>
  <si>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</si>
  <si>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</si>
  <si>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</si>
  <si>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</si>
  <si>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</si>
  <si>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</si>
  <si>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</si>
  <si>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</si>
  <si>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</si>
  <si>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</si>
  <si>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</si>
  <si>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</si>
  <si>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</si>
  <si>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</si>
  <si>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</si>
  <si>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</si>
  <si>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</si>
  <si>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</si>
  <si>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</si>
  <si>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</si>
  <si>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</si>
  <si>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</si>
  <si>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</si>
  <si>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</si>
  <si>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</si>
  <si>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</si>
  <si>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</si>
  <si>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</si>
  <si>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</si>
  <si>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</si>
  <si>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</si>
  <si>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</si>
  <si>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</si>
  <si>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</si>
  <si>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</si>
  <si>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</si>
  <si>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</si>
  <si>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</si>
  <si>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</si>
  <si>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</si>
  <si>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</si>
  <si>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</si>
  <si>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</si>
  <si>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</si>
  <si>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</si>
  <si>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</si>
  <si>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</si>
  <si>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</si>
  <si>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</si>
  <si>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</si>
  <si>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</si>
  <si>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</si>
  <si>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</si>
  <si>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</si>
  <si>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</si>
  <si>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</si>
  <si>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</si>
  <si>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</si>
  <si>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</si>
  <si>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</si>
  <si>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</si>
  <si>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</si>
  <si>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</si>
  <si>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</si>
  <si>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</si>
  <si>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</si>
  <si>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</si>
  <si>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</si>
  <si>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</si>
  <si>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</si>
  <si>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</si>
  <si>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</si>
  <si>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</si>
  <si>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</si>
  <si>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</si>
  <si>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</si>
  <si>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</si>
  <si>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</si>
  <si>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</si>
  <si>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</si>
  <si>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</si>
  <si>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</si>
  <si>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</si>
  <si>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</si>
  <si>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</si>
  <si>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</si>
  <si>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</si>
  <si>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</si>
  <si>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</si>
  <si>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</si>
  <si>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</si>
  <si>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</si>
  <si>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</si>
  <si>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</si>
  <si>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</si>
  <si>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</si>
  <si>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</si>
  <si>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</si>
  <si>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</si>
  <si>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</si>
  <si>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</si>
  <si>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</si>
  <si>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</si>
  <si>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</si>
  <si>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</si>
  <si>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</si>
  <si>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</si>
  <si>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</si>
  <si>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</si>
  <si>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</si>
  <si>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</si>
  <si>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</si>
  <si>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</si>
  <si>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</si>
  <si>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</si>
  <si>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</si>
  <si>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</si>
  <si>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</si>
  <si>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</si>
  <si>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</si>
  <si>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</si>
  <si>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</si>
  <si>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</si>
  <si>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</si>
  <si>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</si>
  <si>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</si>
  <si>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</si>
  <si>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</si>
  <si>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</si>
  <si>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</si>
  <si>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</si>
  <si>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</si>
  <si>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</si>
  <si>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</si>
  <si>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</si>
  <si>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</si>
  <si>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</si>
  <si>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</si>
  <si>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</si>
  <si>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</si>
  <si>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</si>
  <si>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</si>
  <si>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</si>
  <si>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</si>
  <si>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</si>
  <si>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</si>
  <si>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</si>
  <si>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</si>
  <si>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</si>
  <si>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</si>
  <si>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</si>
  <si>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</si>
  <si>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</si>
  <si>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</si>
  <si>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</si>
  <si>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</si>
  <si>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</si>
  <si>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</si>
  <si>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</si>
  <si>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</si>
  <si>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</si>
  <si>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</si>
  <si>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</si>
  <si>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</si>
  <si>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</si>
  <si>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</si>
  <si>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</si>
  <si>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</si>
  <si>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</si>
  <si>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</si>
  <si>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</si>
  <si>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</si>
  <si>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</si>
  <si>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</si>
  <si>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</si>
  <si>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</si>
  <si>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</si>
  <si>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</si>
  <si>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</si>
  <si>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</si>
  <si>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</si>
  <si>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</si>
  <si>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</si>
  <si>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</si>
  <si>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</si>
  <si>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</si>
  <si>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</si>
  <si>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</si>
  <si>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</si>
  <si>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</si>
  <si>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</si>
  <si>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</si>
  <si>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</si>
  <si>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</si>
  <si>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</si>
  <si>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</si>
  <si>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</si>
  <si>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</si>
  <si>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</si>
  <si>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</si>
  <si>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</si>
  <si>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</si>
  <si>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</si>
  <si>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</si>
  <si>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</si>
  <si>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</si>
  <si>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</si>
  <si>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</si>
  <si>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</si>
  <si>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</si>
  <si>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</si>
  <si>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</si>
  <si>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</si>
  <si>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</si>
  <si>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</si>
  <si>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</si>
  <si>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</si>
  <si>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</si>
  <si>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</si>
  <si>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</si>
  <si>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</si>
  <si>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</si>
  <si>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</si>
  <si>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</si>
  <si>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</si>
  <si>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</si>
  <si>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</si>
  <si>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</si>
  <si>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</si>
  <si>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</si>
  <si>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</si>
  <si>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</si>
  <si>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</si>
  <si>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</si>
  <si>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</si>
  <si>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</si>
  <si>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</si>
  <si>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</si>
  <si>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</si>
  <si>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</si>
  <si>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</si>
  <si>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</si>
  <si>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</si>
  <si>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</si>
  <si>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</si>
  <si>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</si>
  <si>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</si>
  <si>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</si>
  <si>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</si>
  <si>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</si>
  <si>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</si>
  <si>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</si>
  <si>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</si>
  <si>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</si>
  <si>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</si>
  <si>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</si>
  <si>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</si>
  <si>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</si>
  <si>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</si>
  <si>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</si>
  <si>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</si>
  <si>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</si>
  <si>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</si>
  <si>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</si>
  <si>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</si>
  <si>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</si>
  <si>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</si>
  <si>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</si>
  <si>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</si>
  <si>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</si>
  <si>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</si>
  <si>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</si>
  <si>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</si>
  <si>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</si>
  <si>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</si>
  <si>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</si>
  <si>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</si>
  <si>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</si>
  <si>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</si>
  <si>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</si>
  <si>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</si>
  <si>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</si>
  <si>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</si>
  <si>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</si>
  <si>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</si>
  <si>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</si>
  <si>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</si>
  <si>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</si>
  <si>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</si>
  <si>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</si>
  <si>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</si>
  <si>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</si>
  <si>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</si>
  <si>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</si>
  <si>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</si>
  <si>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</si>
  <si>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</si>
  <si>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</si>
  <si>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</si>
  <si>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</si>
  <si>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</si>
  <si>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</si>
  <si>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</si>
  <si>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</si>
  <si>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</si>
  <si>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</si>
  <si>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</si>
  <si>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</si>
  <si>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</si>
  <si>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</si>
  <si>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</si>
  <si>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</si>
  <si>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</si>
  <si>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</si>
  <si>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</si>
  <si>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</si>
  <si>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</si>
  <si>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</si>
  <si>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</si>
  <si>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</si>
  <si>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</si>
  <si>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</si>
  <si>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</si>
  <si>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</si>
  <si>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</si>
  <si>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</si>
  <si>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</si>
  <si>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</si>
  <si>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</si>
  <si>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</si>
  <si>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</si>
  <si>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</si>
  <si>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</si>
  <si>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</si>
  <si>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</si>
  <si>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</si>
  <si>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</si>
  <si>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</si>
  <si>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</si>
  <si>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</si>
  <si>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</si>
  <si>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</si>
  <si>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</si>
  <si>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</si>
  <si>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</si>
  <si>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</si>
  <si>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</si>
  <si>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</si>
  <si>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</si>
  <si>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</si>
  <si>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</si>
  <si>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</si>
  <si>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</si>
  <si>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</si>
  <si>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</si>
  <si>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</si>
  <si>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</si>
  <si>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</si>
  <si>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</si>
  <si>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</si>
  <si>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</si>
  <si>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</si>
  <si>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</si>
  <si>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</si>
  <si>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</si>
  <si>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</si>
  <si>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</si>
  <si>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</si>
  <si>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</si>
  <si>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</si>
  <si>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</si>
  <si>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</si>
  <si>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</si>
  <si>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</si>
  <si>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</si>
  <si>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</si>
  <si>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</si>
  <si>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</si>
  <si>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</si>
  <si>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</si>
  <si>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</si>
  <si>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</si>
  <si>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</si>
  <si>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</si>
  <si>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</si>
  <si>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</si>
  <si>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</si>
  <si>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</si>
  <si>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</si>
  <si>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</si>
  <si>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</si>
  <si>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</si>
  <si>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</si>
  <si>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</si>
  <si>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</si>
  <si>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</si>
  <si>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</si>
  <si>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</si>
  <si>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</si>
  <si>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</si>
  <si>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</si>
  <si>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</si>
  <si>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</si>
  <si>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</si>
  <si>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</si>
  <si>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</si>
  <si>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</si>
  <si>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</si>
  <si>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</si>
  <si>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</si>
  <si>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</si>
  <si>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</si>
  <si>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</si>
  <si>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</si>
  <si>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</si>
  <si>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</si>
  <si>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</si>
  <si>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</si>
  <si>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</si>
  <si>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</si>
  <si>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</si>
  <si>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</si>
  <si>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</si>
  <si>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</si>
  <si>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</si>
  <si>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</si>
  <si>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</si>
  <si>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</si>
  <si>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</si>
  <si>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</si>
  <si>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</si>
  <si>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</si>
  <si>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</si>
  <si>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</si>
  <si>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</si>
  <si>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</si>
  <si>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</si>
  <si>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</si>
  <si>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</si>
  <si>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</si>
  <si>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</si>
  <si>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</si>
  <si>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</si>
  <si>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</si>
  <si>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</si>
  <si>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</si>
  <si>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</si>
  <si>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</si>
  <si>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</si>
  <si>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</si>
  <si>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</si>
  <si>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</si>
  <si>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</si>
  <si>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</si>
  <si>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</si>
  <si>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</si>
  <si>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</si>
  <si>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</si>
  <si>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</si>
  <si>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</si>
  <si>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</si>
  <si>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</si>
  <si>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</si>
  <si>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</si>
  <si>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</si>
  <si>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</si>
  <si>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</si>
  <si>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</si>
  <si>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</si>
  <si>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</si>
  <si>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</si>
  <si>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</si>
  <si>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</si>
  <si>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</si>
  <si>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</si>
  <si>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</si>
  <si>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</si>
  <si>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</si>
  <si>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</si>
  <si>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</si>
  <si>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</si>
  <si>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</si>
  <si>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</si>
  <si>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</si>
  <si>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</si>
  <si>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</si>
  <si>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</si>
  <si>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</si>
  <si>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</si>
  <si>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</si>
  <si>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</si>
  <si>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</si>
  <si>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</si>
  <si>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</si>
  <si>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</si>
  <si>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</si>
  <si>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</si>
  <si>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</si>
  <si>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</si>
  <si>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</si>
  <si>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</si>
  <si>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</si>
  <si>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</si>
  <si>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</si>
  <si>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</si>
  <si>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</si>
  <si>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</si>
  <si>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</si>
  <si>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</si>
  <si>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</si>
  <si>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</si>
  <si>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</si>
  <si>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</si>
  <si>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</si>
  <si>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</si>
  <si>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</si>
  <si>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</si>
  <si>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</si>
  <si>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</si>
  <si>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</si>
  <si>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</si>
  <si>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</si>
  <si>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</si>
  <si>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</si>
  <si>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</si>
  <si>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</si>
  <si>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</si>
  <si>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</si>
  <si>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</si>
  <si>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</si>
  <si>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</si>
  <si>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</si>
  <si>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</si>
  <si>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</si>
  <si>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</si>
  <si>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</si>
  <si>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</si>
  <si>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</si>
  <si>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</si>
  <si>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</si>
  <si>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</si>
  <si>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</si>
  <si>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</si>
  <si>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</si>
  <si>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</si>
  <si>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</si>
  <si>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</si>
  <si>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</si>
  <si>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</si>
  <si>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</si>
  <si>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</si>
  <si>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</si>
  <si>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</si>
  <si>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</si>
  <si>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</si>
  <si>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</si>
  <si>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</si>
  <si>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</si>
  <si>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</si>
  <si>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</si>
  <si>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</si>
  <si>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</si>
  <si>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</si>
  <si>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</si>
  <si>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</si>
  <si>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</si>
  <si>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</si>
  <si>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</si>
  <si>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</si>
  <si>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</si>
  <si>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</si>
  <si>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</si>
  <si>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</si>
  <si>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</si>
  <si>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</si>
  <si>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</si>
  <si>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</si>
  <si>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</si>
  <si>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</si>
  <si>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</si>
  <si>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</si>
  <si>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</si>
  <si>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</si>
  <si>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</si>
  <si>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</si>
  <si>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</si>
  <si>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</si>
  <si>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</si>
  <si>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</si>
  <si>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</si>
  <si>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</si>
  <si>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</si>
  <si>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</si>
  <si>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</si>
  <si>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</si>
  <si>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</si>
  <si>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</si>
  <si>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</si>
  <si>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</si>
  <si>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</si>
  <si>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</si>
  <si>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</si>
  <si>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</si>
  <si>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</si>
  <si>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</si>
  <si>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</si>
  <si>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</si>
  <si>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</si>
  <si>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</si>
  <si>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</si>
  <si>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</si>
  <si>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</si>
  <si>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</si>
  <si>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</si>
  <si>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</si>
  <si>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</si>
  <si>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</si>
  <si>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</si>
  <si>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</si>
  <si>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</si>
  <si>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</si>
  <si>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</si>
  <si>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</si>
  <si>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</si>
  <si>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</si>
  <si>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</si>
  <si>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</si>
  <si>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</si>
  <si>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</si>
  <si>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</si>
  <si>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</si>
  <si>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</si>
  <si>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</si>
  <si>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</si>
  <si>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</si>
  <si>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</si>
  <si>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</si>
  <si>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</si>
  <si>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</si>
  <si>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</si>
  <si>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</si>
  <si>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</si>
  <si>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</si>
  <si>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</si>
  <si>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</si>
  <si>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</si>
  <si>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</si>
  <si>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</si>
  <si>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</si>
  <si>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</si>
  <si>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</si>
  <si>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</si>
  <si>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</si>
  <si>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</si>
  <si>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</si>
  <si>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</si>
  <si>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</si>
  <si>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</si>
  <si>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</si>
  <si>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</si>
  <si>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</si>
  <si>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</si>
  <si>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</si>
  <si>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</si>
  <si>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</si>
  <si>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</si>
  <si>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</si>
  <si>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</si>
  <si>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</si>
  <si>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</si>
  <si>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</si>
  <si>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</si>
  <si>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</si>
  <si>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</si>
  <si>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</si>
  <si>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</si>
  <si>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</si>
  <si>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</si>
  <si>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</si>
  <si>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</si>
  <si>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</si>
  <si>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</si>
  <si>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</si>
  <si>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</si>
  <si>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</si>
  <si>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</si>
  <si>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</si>
  <si>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</si>
  <si>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</si>
  <si>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</si>
  <si>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</si>
  <si>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</si>
  <si>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</si>
  <si>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</si>
  <si>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</si>
  <si>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</si>
  <si>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</si>
  <si>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</si>
  <si>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</si>
  <si>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</si>
  <si>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</si>
  <si>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</si>
  <si>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</si>
  <si>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</si>
  <si>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</si>
  <si>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</si>
  <si>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</si>
  <si>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</si>
  <si>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</si>
  <si>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</si>
  <si>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</si>
  <si>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</si>
  <si>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</si>
  <si>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</si>
  <si>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</si>
  <si>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</si>
  <si>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</si>
  <si>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</si>
  <si>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</si>
  <si>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</si>
  <si>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</si>
  <si>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</si>
  <si>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</si>
  <si>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</si>
  <si>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</si>
  <si>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</si>
  <si>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</si>
  <si>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</si>
  <si>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</si>
  <si>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</si>
  <si>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</si>
  <si>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</si>
  <si>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</si>
  <si>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</si>
  <si>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</si>
  <si>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</si>
  <si>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</si>
  <si>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</si>
  <si>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</si>
  <si>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</si>
  <si>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</si>
  <si>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</si>
  <si>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</si>
  <si>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</si>
  <si>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</si>
  <si>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</si>
  <si>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</si>
  <si>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</si>
  <si>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</si>
  <si>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</si>
  <si>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</si>
  <si>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</si>
  <si>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</si>
  <si>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</si>
  <si>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</si>
  <si>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</si>
  <si>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</si>
  <si>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</si>
  <si>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</si>
  <si>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</si>
  <si>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</si>
  <si>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</si>
  <si>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</si>
  <si>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</si>
  <si>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</si>
  <si>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</si>
  <si>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</si>
  <si>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</si>
  <si>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</si>
  <si>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</si>
  <si>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</si>
  <si>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</si>
  <si>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</si>
  <si>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</si>
  <si>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</si>
  <si>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</si>
  <si>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</si>
  <si>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</si>
  <si>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</si>
  <si>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</si>
  <si>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</si>
  <si>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</si>
  <si>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</si>
  <si>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</si>
  <si>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</si>
  <si>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</si>
  <si>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</si>
  <si>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</si>
  <si>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</si>
  <si>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</si>
  <si>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</si>
  <si>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</si>
  <si>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</si>
  <si>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</si>
  <si>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</si>
  <si>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</si>
  <si>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</si>
  <si>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</si>
  <si>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</si>
  <si>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</si>
  <si>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</si>
  <si>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</si>
  <si>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</si>
  <si>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</si>
  <si>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</si>
  <si>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</si>
  <si>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</si>
  <si>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</si>
  <si>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</si>
  <si>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</si>
  <si>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</si>
  <si>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</si>
  <si>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</si>
  <si>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</si>
  <si>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</si>
  <si>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</si>
  <si>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</si>
  <si>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</si>
  <si>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</si>
  <si>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</si>
  <si>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</si>
  <si>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</si>
  <si>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</si>
  <si>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</si>
  <si>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</si>
  <si>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</si>
  <si>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</si>
  <si>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</si>
  <si>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</si>
  <si>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</si>
  <si>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</si>
  <si>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</si>
  <si>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</si>
  <si>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</si>
  <si>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</si>
  <si>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</si>
  <si>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</si>
  <si>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</si>
  <si>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</si>
  <si>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</si>
  <si>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</si>
  <si>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</si>
  <si>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</si>
  <si>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</si>
  <si>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</si>
  <si>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</si>
  <si>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</si>
  <si>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</si>
  <si>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</si>
  <si>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</si>
  <si>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</si>
  <si>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</si>
  <si>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</si>
  <si>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</si>
  <si>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</si>
  <si>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</si>
  <si>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</si>
  <si>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</si>
  <si>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</si>
  <si>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</si>
  <si>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</si>
  <si>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</si>
  <si>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</si>
  <si>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</si>
  <si>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</si>
  <si>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</si>
  <si>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</si>
  <si>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</si>
  <si>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</si>
  <si>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</si>
  <si>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</si>
  <si>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</si>
  <si>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</si>
  <si>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</si>
  <si>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</si>
  <si>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</si>
  <si>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</si>
  <si>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</si>
  <si>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</si>
  <si>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</si>
  <si>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</si>
  <si>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</si>
  <si>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</si>
  <si>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</si>
  <si>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</si>
  <si>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</si>
  <si>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</si>
  <si>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</si>
  <si>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</si>
  <si>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</si>
  <si>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</si>
  <si>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</si>
  <si>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</si>
  <si>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</si>
  <si>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</si>
  <si>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</si>
  <si>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</si>
  <si>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</si>
  <si>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</si>
  <si>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</si>
  <si>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</si>
  <si>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</si>
  <si>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</si>
  <si>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</si>
  <si>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</si>
  <si>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</si>
  <si>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</si>
  <si>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</si>
  <si>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</si>
  <si>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</si>
  <si>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</si>
  <si>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</si>
  <si>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</si>
  <si>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</si>
  <si>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</si>
  <si>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</si>
  <si>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</si>
  <si>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</si>
  <si>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</si>
  <si>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</si>
  <si>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</si>
  <si>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</si>
  <si>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</si>
  <si>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</si>
  <si>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</si>
  <si>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</si>
  <si>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</si>
  <si>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</si>
  <si>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</si>
  <si>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</si>
  <si>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</si>
  <si>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</si>
  <si>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</si>
  <si>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</si>
  <si>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</si>
  <si>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</si>
  <si>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</si>
  <si>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</si>
  <si>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</si>
  <si>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</si>
  <si>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</si>
  <si>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</si>
  <si>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</si>
  <si>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</si>
  <si>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</si>
  <si>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</si>
  <si>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</si>
  <si>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</si>
  <si>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</si>
  <si>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</si>
  <si>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</si>
  <si>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</si>
  <si>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</si>
  <si>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</si>
  <si>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</si>
  <si>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</si>
  <si>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</si>
  <si>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</si>
  <si>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</si>
  <si>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</si>
  <si>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</si>
  <si>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</si>
  <si>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</si>
  <si>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</si>
  <si>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</si>
  <si>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</si>
  <si>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</si>
  <si>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</si>
  <si>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</si>
  <si>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</si>
  <si>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</si>
  <si>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</si>
  <si>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</si>
  <si>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</si>
  <si>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</si>
  <si>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</si>
  <si>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</si>
  <si>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</si>
  <si>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</si>
  <si>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</si>
  <si>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</si>
  <si>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</si>
  <si>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</si>
  <si>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</si>
  <si>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</si>
  <si>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</si>
  <si>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</si>
  <si>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</si>
  <si>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</si>
  <si>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</si>
  <si>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</si>
  <si>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</si>
  <si>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</si>
  <si>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</si>
  <si>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</si>
  <si>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</si>
  <si>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</si>
  <si>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</si>
  <si>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</si>
  <si>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</si>
  <si>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</si>
  <si>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</si>
  <si>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</si>
  <si>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</si>
  <si>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</si>
  <si>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</si>
  <si>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</si>
  <si>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</si>
  <si>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</si>
  <si>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</si>
  <si>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</si>
  <si>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</si>
  <si>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</si>
  <si>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</si>
  <si>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</si>
  <si>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</si>
  <si>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</si>
  <si>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</si>
  <si>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</si>
  <si>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</si>
  <si>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</si>
  <si>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</si>
  <si>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</si>
  <si>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</si>
  <si>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</si>
  <si>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</si>
  <si>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</si>
  <si>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</si>
  <si>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</si>
  <si>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</si>
  <si>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</si>
  <si>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</si>
  <si>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</si>
  <si>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</si>
  <si>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</si>
  <si>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</si>
  <si>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</si>
  <si>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</si>
  <si>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</si>
  <si>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</si>
  <si>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</si>
  <si>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</si>
  <si>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</si>
  <si>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</si>
  <si>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</si>
  <si>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</si>
  <si>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</si>
  <si>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</si>
  <si>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</si>
  <si>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</si>
  <si>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</si>
  <si>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</si>
  <si>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</si>
  <si>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</si>
  <si>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</si>
  <si>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</si>
  <si>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</si>
  <si>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</si>
  <si>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</si>
  <si>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</si>
  <si>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</si>
  <si>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</si>
  <si>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</si>
  <si>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</si>
  <si>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</si>
  <si>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</si>
  <si>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</si>
  <si>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</si>
  <si>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</si>
  <si>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</si>
  <si>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</si>
  <si>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</si>
  <si>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</si>
  <si>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</si>
  <si>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</si>
  <si>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</si>
  <si>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</si>
  <si>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</si>
  <si>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</si>
  <si>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</si>
  <si>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</si>
  <si>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</si>
  <si>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</si>
  <si>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</si>
  <si>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</si>
  <si>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</si>
  <si>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</si>
  <si>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</si>
  <si>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</si>
  <si>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</si>
  <si>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</si>
  <si>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</si>
  <si>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</si>
  <si>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</si>
  <si>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</si>
  <si>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</si>
  <si>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</si>
  <si>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</si>
  <si>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</si>
  <si>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</si>
  <si>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</si>
  <si>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</si>
  <si>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</si>
  <si>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</si>
  <si>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</si>
  <si>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</si>
  <si>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</si>
  <si>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</si>
  <si>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</si>
  <si>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</si>
  <si>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</si>
  <si>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</si>
  <si>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</si>
  <si>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</si>
  <si>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</si>
  <si>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</si>
  <si>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</si>
  <si>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</si>
  <si>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</si>
  <si>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</si>
  <si>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</si>
  <si>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</si>
  <si>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</si>
  <si>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</si>
  <si>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</si>
  <si>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</si>
  <si>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</si>
  <si>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</si>
  <si>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</si>
  <si>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</si>
  <si>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</si>
  <si>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</si>
  <si>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</si>
  <si>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</si>
  <si>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</si>
  <si>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</si>
  <si>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</si>
  <si>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</si>
  <si>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</si>
  <si>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</si>
  <si>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</si>
  <si>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</si>
  <si>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</si>
  <si>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</si>
  <si>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</si>
  <si>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</si>
  <si>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</si>
  <si>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</si>
  <si>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</si>
  <si>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</si>
  <si>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</si>
  <si>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</si>
  <si>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</si>
  <si>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</si>
  <si>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</si>
  <si>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</si>
  <si>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</si>
  <si>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</si>
  <si>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</si>
  <si>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</si>
  <si>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</si>
  <si>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</si>
  <si>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</si>
  <si>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</si>
  <si>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</si>
  <si>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</si>
  <si>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</si>
  <si>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</si>
  <si>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</si>
  <si>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</si>
  <si>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</si>
  <si>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</si>
  <si>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</si>
  <si>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</si>
  <si>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</si>
  <si>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</si>
  <si>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</si>
  <si>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</si>
  <si>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</si>
  <si>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</si>
  <si>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</si>
  <si>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</si>
  <si>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</si>
  <si>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</si>
  <si>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</si>
  <si>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</si>
  <si>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</si>
  <si>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</si>
  <si>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</si>
  <si>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</si>
  <si>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</si>
  <si>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</si>
  <si>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</si>
  <si>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</si>
  <si>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</si>
  <si>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</si>
  <si>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</si>
  <si>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</si>
  <si>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</si>
  <si>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</si>
  <si>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</si>
  <si>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</si>
  <si>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</si>
  <si>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</si>
  <si>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</si>
  <si>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</si>
  <si>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</si>
  <si>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</si>
  <si>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</si>
  <si>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</si>
  <si>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</si>
  <si>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</si>
  <si>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</si>
  <si>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</si>
  <si>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</si>
  <si>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</si>
  <si>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</si>
  <si>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</si>
  <si>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</si>
  <si>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</si>
  <si>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</si>
  <si>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</si>
  <si>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</si>
  <si>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</si>
  <si>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</si>
  <si>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</si>
  <si>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</si>
  <si>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</si>
  <si>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</si>
  <si>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</si>
  <si>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</si>
  <si>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</si>
  <si>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</si>
  <si>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</si>
  <si>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</si>
  <si>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</si>
  <si>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</si>
  <si>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</si>
  <si>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</si>
  <si>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</si>
  <si>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</si>
  <si>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</si>
  <si>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</si>
  <si>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</si>
  <si>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</si>
  <si>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</si>
  <si>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</si>
  <si>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</si>
  <si>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</si>
  <si>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</si>
  <si>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</si>
  <si>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</si>
  <si>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</si>
  <si>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</si>
  <si>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</si>
  <si>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</si>
  <si>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</si>
  <si>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</si>
  <si>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</si>
  <si>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</si>
  <si>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</si>
  <si>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</si>
  <si>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</si>
  <si>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</si>
  <si>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</si>
  <si>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</si>
  <si>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</si>
  <si>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</si>
  <si>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</si>
  <si>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</si>
  <si>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</si>
  <si>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</si>
  <si>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</si>
  <si>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</si>
  <si>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</si>
  <si>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</si>
  <si>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</si>
  <si>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</si>
  <si>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</si>
  <si>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</si>
  <si>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</si>
  <si>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</si>
  <si>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</si>
  <si>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</si>
  <si>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</si>
  <si>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</si>
  <si>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</si>
  <si>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</si>
  <si>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</si>
  <si>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</si>
  <si>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</si>
  <si>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</si>
  <si>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</si>
  <si>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</si>
  <si>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</si>
  <si>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</si>
  <si>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</si>
  <si>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</si>
  <si>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</si>
  <si>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</si>
  <si>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</si>
  <si>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</si>
  <si>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</si>
  <si>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</si>
  <si>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</si>
  <si>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</si>
  <si>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</si>
  <si>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</si>
  <si>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</si>
  <si>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</si>
  <si>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</si>
  <si>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</si>
  <si>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</si>
  <si>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</si>
  <si>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</si>
  <si>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</si>
  <si>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</si>
  <si>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</si>
  <si>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</si>
  <si>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</si>
  <si>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</si>
  <si>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</si>
  <si>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</si>
  <si>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</si>
  <si>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</si>
  <si>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</si>
  <si>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</si>
  <si>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</si>
  <si>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</si>
  <si>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</si>
  <si>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</si>
  <si>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</si>
  <si>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</si>
  <si>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</si>
  <si>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</si>
  <si>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</si>
  <si>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</si>
  <si>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</si>
  <si>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</si>
  <si>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</si>
  <si>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</si>
  <si>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</si>
  <si>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</si>
  <si>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</si>
  <si>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</si>
  <si>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</si>
  <si>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</si>
  <si>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</si>
  <si>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</si>
  <si>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</si>
  <si>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</si>
  <si>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</si>
  <si>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</si>
  <si>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</si>
  <si>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</si>
  <si>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</si>
  <si>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</si>
  <si>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</si>
  <si>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</si>
  <si>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</si>
  <si>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</si>
  <si>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</si>
  <si>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</si>
  <si>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</si>
  <si>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</si>
  <si>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</si>
  <si>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</si>
  <si>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</si>
  <si>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</si>
  <si>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</si>
  <si>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</si>
  <si>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</si>
  <si>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</si>
  <si>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</si>
  <si>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</si>
  <si>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</si>
  <si>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</si>
  <si>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</si>
  <si>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</si>
  <si>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</si>
  <si>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</si>
  <si>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</si>
  <si>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</si>
  <si>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</si>
  <si>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</si>
  <si>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</si>
  <si>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</si>
  <si>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</si>
  <si>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</si>
  <si>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</si>
  <si>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</si>
  <si>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</si>
  <si>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</si>
  <si>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</si>
  <si>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</si>
  <si>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</si>
  <si>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</si>
  <si>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</si>
  <si>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</si>
  <si>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</si>
  <si>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</si>
  <si>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</si>
  <si>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</si>
  <si>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</si>
  <si>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</si>
  <si>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</si>
  <si>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</si>
  <si>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</si>
  <si>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</si>
  <si>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</si>
  <si>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</si>
  <si>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</si>
  <si>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</si>
  <si>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</si>
  <si>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</si>
  <si>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</si>
  <si>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</si>
  <si>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</si>
  <si>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</si>
  <si>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</si>
  <si>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</si>
  <si>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</si>
  <si>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</si>
  <si>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</si>
  <si>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</si>
  <si>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</si>
  <si>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</si>
  <si>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</si>
  <si>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</si>
  <si>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</si>
  <si>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</si>
  <si>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</si>
  <si>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</si>
  <si>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</si>
  <si>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</si>
  <si>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</si>
  <si>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</si>
  <si>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</si>
  <si>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</si>
  <si>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</si>
  <si>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</si>
  <si>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</si>
  <si>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</si>
  <si>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</si>
  <si>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</si>
  <si>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</si>
  <si>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</si>
  <si>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</si>
  <si>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</si>
  <si>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</si>
  <si>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</si>
  <si>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</si>
  <si>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</si>
  <si>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</si>
  <si>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</si>
  <si>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</si>
  <si>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</si>
  <si>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</si>
  <si>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</si>
  <si>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</si>
  <si>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</si>
  <si>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</si>
  <si>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</si>
  <si>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</si>
  <si>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</si>
  <si>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</si>
  <si>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</si>
  <si>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</si>
  <si>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</si>
  <si>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</si>
  <si>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</si>
  <si>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</si>
  <si>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</si>
  <si>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</si>
  <si>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</si>
  <si>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</si>
  <si>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</si>
  <si>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</si>
  <si>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</si>
  <si>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</si>
  <si>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</si>
  <si>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</si>
  <si>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</si>
  <si>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</si>
  <si>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</si>
  <si>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</si>
  <si>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</si>
  <si>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</si>
  <si>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</si>
  <si>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</si>
  <si>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</si>
  <si>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</si>
  <si>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</si>
  <si>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</si>
  <si>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</si>
  <si>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</si>
  <si>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</si>
  <si>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</si>
  <si>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</si>
  <si>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</si>
  <si>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</si>
  <si>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</si>
  <si>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</si>
  <si>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</si>
  <si>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</si>
  <si>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</si>
  <si>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</si>
  <si>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</si>
  <si>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</si>
  <si>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</si>
  <si>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</si>
  <si>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</si>
  <si>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</si>
  <si>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</si>
  <si>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</si>
  <si>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</si>
  <si>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</si>
  <si>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</si>
  <si>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</si>
  <si>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</si>
  <si>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</si>
  <si>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</si>
  <si>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</si>
  <si>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</si>
  <si>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</si>
  <si>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</si>
  <si>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</si>
  <si>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</si>
  <si>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</si>
  <si>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</si>
  <si>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</si>
  <si>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</si>
  <si>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</si>
  <si>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</si>
  <si>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</si>
  <si>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</si>
  <si>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</si>
  <si>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</si>
  <si>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</si>
  <si>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</si>
  <si>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</si>
  <si>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</si>
  <si>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</si>
  <si>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</si>
  <si>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</si>
  <si>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</si>
  <si>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</si>
  <si>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</si>
  <si>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</si>
  <si>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</si>
  <si>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</si>
  <si>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</si>
  <si>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</si>
  <si>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</si>
  <si>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</si>
  <si>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</si>
  <si>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</si>
  <si>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</si>
  <si>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</si>
  <si>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</si>
  <si>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</si>
  <si>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</si>
  <si>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</si>
  <si>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</si>
  <si>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</si>
  <si>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</si>
  <si>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</si>
  <si>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</si>
  <si>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</si>
  <si>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</si>
  <si>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</si>
  <si>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</si>
  <si>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</si>
  <si>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</si>
  <si>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</si>
  <si>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</si>
  <si>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</si>
  <si>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</si>
  <si>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</si>
  <si>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</si>
  <si>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</si>
  <si>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</si>
  <si>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</si>
  <si>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</si>
  <si>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</si>
  <si>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</si>
  <si>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</si>
  <si>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</si>
  <si>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</si>
  <si>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</si>
  <si>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</si>
  <si>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</si>
  <si>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</si>
  <si>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</si>
  <si>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</si>
  <si>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</si>
  <si>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</si>
  <si>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</si>
  <si>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</si>
  <si>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</si>
  <si>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</si>
  <si>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</si>
  <si>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</si>
  <si>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</si>
  <si>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</si>
  <si>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</si>
  <si>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</si>
  <si>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</si>
  <si>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</si>
  <si>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</si>
  <si>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</si>
  <si>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</si>
  <si>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</si>
  <si>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</si>
  <si>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</si>
  <si>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</si>
  <si>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</si>
  <si>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</si>
  <si>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</si>
  <si>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</si>
  <si>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</si>
  <si>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</si>
  <si>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</si>
  <si>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</si>
  <si>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</si>
  <si>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</si>
  <si>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</si>
  <si>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</si>
  <si>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</si>
  <si>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</si>
  <si>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</si>
  <si>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</si>
  <si>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</si>
  <si>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</si>
  <si>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</si>
  <si>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</si>
  <si>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</si>
  <si>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</si>
  <si>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</si>
  <si>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</si>
  <si>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</si>
  <si>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</si>
  <si>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</si>
  <si>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</si>
  <si>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</si>
  <si>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</si>
  <si>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</si>
  <si>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</si>
  <si>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</si>
  <si>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</si>
  <si>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</si>
  <si>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</si>
  <si>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</si>
  <si>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</si>
  <si>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</si>
  <si>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</si>
  <si>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</si>
  <si>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</si>
  <si>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</si>
  <si>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</si>
  <si>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</si>
  <si>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</si>
  <si>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</si>
  <si>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</si>
  <si>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</si>
  <si>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</si>
  <si>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</si>
  <si>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</si>
  <si>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</si>
  <si>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</si>
  <si>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</si>
  <si>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</si>
  <si>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</si>
  <si>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</si>
  <si>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</si>
  <si>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</si>
  <si>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</si>
  <si>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</si>
  <si>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</si>
  <si>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</si>
  <si>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</si>
  <si>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</si>
  <si>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</si>
  <si>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</si>
  <si>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</si>
  <si>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</si>
  <si>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</si>
  <si>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</si>
  <si>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</si>
  <si>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</si>
  <si>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</si>
  <si>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</si>
  <si>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</si>
  <si>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</si>
  <si>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</si>
  <si>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</si>
  <si>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</si>
  <si>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</si>
  <si>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</si>
  <si>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</si>
  <si>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</si>
  <si>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</si>
  <si>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</si>
  <si>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</si>
  <si>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</si>
  <si>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</si>
  <si>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</si>
  <si>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</si>
  <si>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</si>
  <si>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</si>
  <si>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</si>
  <si>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</si>
  <si>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</si>
  <si>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</si>
  <si>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</si>
  <si>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</si>
  <si>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</si>
  <si>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</si>
  <si>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</si>
  <si>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</si>
  <si>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</si>
  <si>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</si>
  <si>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</si>
  <si>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</si>
  <si>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</si>
  <si>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</si>
  <si>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</si>
  <si>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</si>
  <si>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</si>
  <si>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</si>
  <si>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</si>
  <si>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</si>
  <si>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</si>
  <si>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</si>
  <si>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</si>
  <si>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</si>
  <si>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</si>
  <si>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</si>
  <si>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</si>
  <si>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</si>
  <si>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</si>
  <si>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</si>
  <si>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</si>
  <si>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</si>
  <si>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</si>
  <si>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</si>
  <si>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</si>
  <si>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</si>
  <si>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</si>
  <si>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</si>
  <si>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</si>
  <si>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</si>
  <si>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</si>
  <si>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</si>
  <si>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</si>
  <si>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</si>
  <si>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</si>
  <si>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</si>
  <si>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</si>
  <si>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</si>
  <si>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</si>
  <si>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</si>
  <si>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</si>
  <si>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</si>
  <si>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</si>
  <si>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</si>
  <si>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</si>
  <si>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</si>
  <si>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</si>
  <si>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</si>
  <si>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</si>
  <si>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</si>
  <si>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</si>
  <si>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</si>
  <si>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</si>
  <si>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</si>
  <si>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</si>
  <si>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</si>
  <si>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</si>
  <si>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</si>
  <si>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</si>
  <si>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</si>
  <si>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</si>
  <si>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</si>
  <si>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</si>
  <si>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</si>
  <si>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</si>
  <si>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</si>
  <si>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</si>
  <si>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</si>
  <si>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</si>
  <si>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</si>
  <si>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</si>
  <si>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</si>
  <si>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</si>
  <si>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</si>
  <si>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</si>
  <si>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</si>
  <si>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</si>
  <si>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</si>
  <si>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</si>
  <si>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</si>
  <si>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</si>
  <si>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</si>
  <si>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</si>
  <si>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</si>
  <si>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</si>
  <si>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</si>
  <si>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</si>
  <si>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</si>
  <si>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</si>
  <si>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</si>
  <si>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</si>
  <si>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</si>
  <si>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</si>
  <si>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</si>
  <si>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</si>
  <si>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</si>
  <si>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</si>
  <si>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</si>
  <si>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</si>
  <si>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</si>
  <si>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</si>
  <si>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</si>
  <si>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</si>
  <si>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</si>
  <si>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</si>
  <si>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</si>
  <si>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</si>
  <si>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</si>
  <si>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</si>
  <si>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</si>
  <si>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</si>
  <si>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</si>
  <si>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</si>
  <si>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</si>
  <si>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</si>
  <si>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</si>
  <si>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</si>
  <si>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</si>
  <si>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</si>
  <si>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</si>
  <si>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</si>
  <si>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</si>
  <si>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</si>
  <si>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</si>
  <si>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</si>
  <si>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</si>
  <si>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</si>
  <si>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</si>
  <si>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</si>
  <si>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</si>
  <si>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</si>
  <si>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</si>
  <si>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</si>
  <si>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</si>
  <si>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</si>
  <si>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</si>
  <si>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</si>
  <si>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</si>
  <si>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</si>
  <si>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</si>
  <si>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</si>
  <si>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</si>
  <si>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</si>
  <si>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</si>
  <si>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</si>
  <si>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</si>
  <si>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</si>
  <si>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</si>
  <si>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</si>
  <si>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</si>
  <si>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</si>
  <si>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</si>
  <si>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</si>
  <si>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</si>
  <si>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</si>
  <si>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</si>
  <si>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</si>
  <si>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</si>
  <si>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</si>
  <si>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</si>
  <si>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</si>
  <si>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</si>
  <si>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</si>
  <si>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</si>
  <si>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</si>
  <si>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</si>
  <si>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</si>
  <si>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</si>
  <si>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</si>
  <si>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</si>
  <si>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</si>
  <si>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</si>
  <si>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</si>
  <si>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</si>
  <si>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</si>
  <si>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</si>
  <si>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</si>
  <si>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</si>
  <si>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</si>
  <si>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</si>
  <si>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</si>
  <si>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</si>
  <si>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</si>
  <si>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</si>
  <si>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</si>
  <si>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</si>
  <si>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</si>
  <si>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</si>
  <si>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</si>
  <si>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</si>
  <si>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</si>
  <si>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</si>
  <si>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</si>
  <si>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</si>
  <si>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</si>
  <si>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</si>
  <si>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</si>
  <si>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</si>
  <si>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</si>
  <si>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</si>
  <si>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</si>
  <si>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</si>
  <si>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</si>
  <si>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</si>
  <si>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</si>
  <si>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</si>
  <si>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</si>
  <si>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</si>
  <si>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</si>
  <si>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</si>
  <si>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</si>
  <si>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</si>
  <si>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</si>
  <si>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</si>
  <si>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</si>
  <si>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</si>
  <si>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</si>
  <si>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</si>
  <si>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</si>
  <si>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</si>
  <si>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</si>
  <si>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</si>
  <si>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</si>
  <si>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</si>
  <si>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</si>
  <si>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</si>
  <si>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Config__Monday_Email_Suffix</t>
  </si>
  <si>
    <t>Config__Monday_Email_Prefix</t>
  </si>
  <si>
    <t>Config__Output_Folder_Sheet</t>
  </si>
  <si>
    <t>Config__Template_File</t>
  </si>
  <si>
    <t>Config__Status_Filter</t>
  </si>
  <si>
    <t>Not Started,Working,Completed</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</si>
  <si>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</si>
  <si>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</si>
  <si>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</si>
  <si>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</si>
  <si>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</si>
  <si>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</si>
  <si>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</si>
  <si>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</si>
  <si>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</si>
  <si>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</si>
  <si>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</si>
  <si>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</si>
  <si>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</si>
  <si>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</si>
  <si>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</si>
  <si>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</si>
  <si>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</si>
  <si>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</si>
  <si>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</si>
  <si>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</si>
  <si>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</si>
  <si>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</si>
  <si>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</si>
  <si>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</si>
  <si>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</si>
  <si>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</si>
  <si>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</si>
  <si>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</si>
  <si>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</si>
  <si>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</si>
  <si>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</si>
  <si>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</si>
  <si>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</si>
  <si>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</si>
  <si>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</si>
  <si>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</si>
  <si>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</si>
  <si>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</si>
  <si>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</si>
  <si>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</si>
  <si>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</si>
  <si>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</si>
  <si>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</si>
  <si>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</si>
  <si>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</si>
  <si>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</si>
  <si>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</si>
  <si>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</si>
  <si>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</si>
  <si>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</si>
  <si>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</si>
  <si>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</si>
  <si>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</si>
  <si>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</si>
  <si>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</si>
  <si>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</si>
  <si>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</si>
  <si>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</si>
  <si>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</si>
  <si>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</si>
  <si>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</si>
  <si>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</si>
  <si>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</si>
  <si>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</si>
  <si>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</si>
  <si>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</si>
  <si>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</si>
  <si>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</si>
  <si>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</si>
  <si>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</si>
  <si>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</si>
  <si>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</si>
  <si>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</si>
  <si>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</si>
  <si>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</si>
  <si>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</si>
  <si>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</si>
  <si>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</si>
  <si>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</si>
  <si>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</si>
  <si>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</si>
  <si>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</si>
  <si>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</si>
  <si>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</si>
  <si>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</si>
  <si>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</si>
  <si>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</si>
  <si>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</si>
  <si>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</si>
  <si>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</si>
  <si>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</si>
  <si>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</si>
  <si>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</si>
  <si>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</si>
  <si>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</si>
  <si>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</si>
  <si>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</si>
  <si>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</si>
  <si>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</si>
  <si>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</si>
  <si>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</si>
  <si>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</si>
  <si>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</si>
  <si>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</si>
  <si>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</si>
  <si>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</si>
  <si>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</si>
  <si>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</si>
  <si>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</si>
  <si>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</si>
  <si>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</si>
  <si>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</si>
  <si>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</si>
  <si>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</si>
  <si>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</si>
  <si>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</si>
  <si>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</si>
  <si>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</si>
  <si>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</si>
  <si>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</si>
  <si>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</si>
  <si>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</si>
  <si>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</si>
  <si>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</si>
  <si>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</si>
  <si>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</si>
  <si>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</si>
  <si>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</si>
  <si>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</si>
  <si>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</si>
  <si>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</si>
  <si>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</si>
  <si>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</si>
  <si>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</si>
  <si>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</si>
  <si>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</si>
  <si>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</si>
  <si>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</si>
  <si>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</si>
  <si>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</si>
  <si>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</si>
  <si>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</si>
  <si>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</si>
  <si>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</si>
  <si>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</si>
  <si>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</si>
  <si>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</si>
  <si>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</si>
  <si>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</si>
  <si>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</si>
  <si>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</si>
  <si>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</si>
  <si>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</si>
  <si>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</si>
  <si>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</si>
  <si>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</si>
  <si>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</si>
  <si>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</si>
  <si>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</si>
  <si>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</si>
  <si>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</si>
  <si>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</si>
  <si>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</si>
  <si>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</si>
  <si>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</si>
  <si>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</si>
  <si>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</si>
  <si>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</si>
  <si>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</si>
  <si>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</si>
  <si>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</si>
  <si>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</si>
  <si>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</si>
  <si>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</si>
  <si>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</si>
  <si>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</si>
  <si>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</si>
  <si>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</si>
  <si>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</si>
  <si>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</si>
  <si>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</si>
  <si>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</si>
  <si>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</si>
  <si>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</si>
  <si>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</si>
  <si>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</si>
  <si>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</si>
  <si>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</si>
  <si>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</si>
  <si>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</si>
  <si>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</si>
  <si>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</si>
  <si>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</si>
  <si>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</si>
  <si>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</si>
  <si>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</si>
  <si>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</si>
  <si>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</si>
  <si>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</si>
  <si>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</si>
  <si>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</si>
  <si>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</si>
  <si>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</si>
  <si>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</si>
  <si>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</si>
  <si>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</si>
  <si>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</si>
  <si>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</si>
  <si>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</si>
  <si>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</si>
  <si>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</si>
  <si>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</si>
  <si>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</si>
  <si>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</si>
  <si>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</si>
  <si>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</si>
  <si>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</si>
  <si>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</si>
  <si>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</si>
  <si>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</si>
  <si>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</si>
  <si>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</si>
  <si>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</si>
  <si>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</si>
  <si>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</si>
  <si>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</si>
  <si>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</si>
  <si>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</si>
  <si>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</si>
  <si>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</si>
  <si>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</si>
  <si>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</si>
  <si>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</si>
  <si>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</si>
  <si>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</si>
  <si>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</si>
  <si>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</si>
  <si>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</si>
  <si>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</si>
  <si>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</si>
  <si>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</si>
  <si>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</si>
  <si>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</si>
  <si>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</si>
  <si>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</si>
  <si>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</si>
  <si>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</si>
  <si>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</si>
  <si>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</si>
  <si>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</si>
  <si>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</si>
  <si>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</si>
  <si>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</si>
  <si>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</si>
  <si>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</si>
  <si>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</si>
  <si>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</si>
  <si>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</si>
  <si>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</si>
  <si>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</si>
  <si>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</si>
  <si>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</si>
  <si>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</si>
  <si>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</si>
  <si>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</si>
  <si>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</si>
  <si>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</si>
  <si>
    <t>Create a vCore sales playbook2</t>
  </si>
  <si>
    <t>2023-12-26 22:39</t>
  </si>
  <si>
    <t>2023-12-26 23:51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</si>
</sst>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election activeCell="F10" sqref="F10"/>
    </sheetView>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B2" sqref="B2"/>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17356</v>
      </c>
    </row>
    <row r="2" spans="1:2" x14ac:dyDescent="0.3">
      <c r="A2" s="29" t="s">
        <v>11344</v>
      </c>
      <c r="B2" s="29" t="s">
        <v>17357</v>
      </c>
    </row>
    <row r="3" spans="1:2" x14ac:dyDescent="0.3">
      <c r="A3" s="29" t="s">
        <v>11346</v>
      </c>
      <c r="B3" s="29" t="s">
        <v>17358</v>
      </c>
    </row>
    <row r="4" spans="1:2" x14ac:dyDescent="0.3">
      <c r="A4" s="29" t="s">
        <v>11347</v>
      </c>
      <c r="B4" s="29" t="s">
        <v>17359</v>
      </c>
    </row>
    <row r="5" spans="1:2" x14ac:dyDescent="0.3">
      <c r="A5" s="29" t="s">
        <v>17344</v>
      </c>
      <c r="B5" s="29" t="b">
        <v>0</v>
      </c>
    </row>
    <row r="6" spans="1:2" x14ac:dyDescent="0.3">
      <c r="A6" s="29" t="s">
        <v>17348</v>
      </c>
      <c r="B6" s="29" t="b">
        <v>1</v>
      </c>
    </row>
    <row r="7" spans="1:2" x14ac:dyDescent="0.3">
      <c r="A7" s="29" t="s">
        <v>17349</v>
      </c>
      <c r="B7" s="29" t="s">
        <v>11349</v>
      </c>
    </row>
    <row r="8" spans="1:2" x14ac:dyDescent="0.3">
      <c r="A8" s="29" t="s">
        <v>17350</v>
      </c>
      <c r="B8" s="29" t="b">
        <v>1</v>
      </c>
    </row>
    <row r="9" spans="1:2" x14ac:dyDescent="0.3">
      <c r="A9" s="29" t="s">
        <v>11348</v>
      </c>
      <c r="B9" s="29">
        <v>2532908340560</v>
      </c>
    </row>
    <row r="10" spans="1:2" x14ac:dyDescent="0.3">
      <c r="A10" s="29" t="s">
        <v>17351</v>
      </c>
      <c r="B10" s="29" t="str" cm="1">
        <f t="array" ref="B10">GetEnviron("USERPROFILE")&amp;"\Deploy"</f>
        <v>C:\Users\burtn\Deploy</v>
      </c>
    </row>
    <row r="11" spans="1:2" x14ac:dyDescent="0.3">
      <c r="A11" s="29" t="s">
        <v>17352</v>
      </c>
      <c r="B11" s="29">
        <v>3000</v>
      </c>
    </row>
    <row r="12" spans="1:2" x14ac:dyDescent="0.3">
      <c r="A12" s="29" t="s">
        <v>17340</v>
      </c>
      <c r="B12" s="29" t="s">
        <v>17633</v>
      </c>
    </row>
    <row r="13" spans="1:2" x14ac:dyDescent="0.3">
      <c r="A13" s="29" t="s">
        <v>17339</v>
      </c>
      <c r="B13" s="29" t="s">
        <v>17634</v>
      </c>
    </row>
    <row r="14" spans="1:2" x14ac:dyDescent="0.3">
      <c r="A14" s="29" t="s">
        <v>17338</v>
      </c>
      <c r="B14" s="29" t="s">
        <v>17361</v>
      </c>
    </row>
    <row r="15" spans="1:2" x14ac:dyDescent="0.3">
      <c r="A15" s="29" t="s">
        <v>17337</v>
      </c>
      <c r="B15" s="29" t="s">
        <v>17360</v>
      </c>
    </row>
    <row r="16" spans="1:2" x14ac:dyDescent="0.3">
      <c r="A16" s="29" t="s">
        <v>17341</v>
      </c>
      <c r="B16" s="29" t="s">
        <v>17632</v>
      </c>
    </row>
    <row r="17" spans="1:2" x14ac:dyDescent="0.3">
      <c r="A17" s="29" t="s">
        <v>17342</v>
      </c>
      <c r="B17" s="29" t="s">
        <v>17362</v>
      </c>
    </row>
    <row r="18" spans="1:2" x14ac:dyDescent="0.3">
      <c r="A18" s="29" t="s">
        <v>17343</v>
      </c>
      <c r="B18" s="29" t="s">
        <v>17353</v>
      </c>
    </row>
    <row r="19" spans="1:2" x14ac:dyDescent="0.3">
      <c r="A19" s="29" t="s">
        <v>17345</v>
      </c>
      <c r="B19" s="29" t="s">
        <v>17354</v>
      </c>
    </row>
    <row r="20" spans="1:2" x14ac:dyDescent="0.3">
      <c r="A20" s="29" t="s">
        <v>17346</v>
      </c>
      <c r="B20" s="29" t="s">
        <v>17355</v>
      </c>
    </row>
    <row r="21" spans="1:2" x14ac:dyDescent="0.3">
      <c r="A21" s="29" t="s">
        <v>17347</v>
      </c>
      <c r="B21" s="29" t="s">
        <v>17355</v>
      </c>
    </row>
    <row r="22" spans="1:2" x14ac:dyDescent="0.3">
      <c r="A22" s="29" t="s">
        <v>17363</v>
      </c>
      <c r="B22" s="29"/>
    </row>
    <row r="23" spans="1:2" x14ac:dyDescent="0.3">
      <c r="A23" s="29" t="s">
        <v>17364</v>
      </c>
      <c r="B23" s="39" t="s">
        <v>3</v>
      </c>
    </row>
    <row r="24" spans="1:2" x14ac:dyDescent="0.3">
      <c r="A24" s="29" t="s">
        <v>17365</v>
      </c>
      <c r="B24" s="29" t="s">
        <v>4</v>
      </c>
    </row>
    <row r="25" spans="1:2" x14ac:dyDescent="0.3">
      <c r="A25" s="29" t="s">
        <v>17366</v>
      </c>
      <c r="B25" s="29" t="s">
        <v>2</v>
      </c>
    </row>
    <row r="26" spans="1:2" x14ac:dyDescent="0.3">
      <c r="A26" s="29" t="s">
        <v>17367</v>
      </c>
      <c r="B26" s="29" t="str" cm="1">
        <f t="array" ref="B26">GetEnviron("USERPROFILE")&amp;"\Deploy\MondayViewUpdate_Template.xlsm"</f>
        <v>C:\Users\burtn\Deploy\MondayViewUpdate_Template.xlsm</v>
      </c>
    </row>
    <row r="27" spans="1:2" x14ac:dyDescent="0.3">
      <c r="A27" s="29" t="s">
        <v>17368</v>
      </c>
      <c r="B27" s="29" t="s">
        <v>17369</v>
      </c>
    </row>
    <row r="28" spans="1:2" x14ac:dyDescent="0.3">
      <c r="A28" s="29" t="s">
        <v>17635</v>
      </c>
      <c r="B28" t="s">
        <v>17636</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17287</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17287</v>
      </c>
      <c r="J381" t="s">
        <v>0</v>
      </c>
      <c r="K381" t="s">
        <v>76</v>
      </c>
    </row>
    <row r="382" spans="1:12" x14ac:dyDescent="0.3">
      <c r="A382" t="s">
        <v>386</v>
      </c>
      <c r="B382" t="s">
        <v>599</v>
      </c>
      <c r="C382" t="s">
        <v>1327</v>
      </c>
      <c r="D382" t="s">
        <v>11337</v>
      </c>
      <c r="F382" t="s">
        <v>11338</v>
      </c>
      <c r="G382" t="s">
        <v>11339</v>
      </c>
      <c r="H382" t="s">
        <v>11340</v>
      </c>
      <c r="I382" t="s">
        <v>17287</v>
      </c>
      <c r="J382" t="s">
        <v>0</v>
      </c>
      <c r="K382" t="s">
        <v>76</v>
      </c>
    </row>
    <row r="383" spans="1:12" x14ac:dyDescent="0.3">
      <c r="A383" t="s">
        <v>386</v>
      </c>
      <c r="B383" t="s">
        <v>599</v>
      </c>
      <c r="C383" t="s">
        <v>1327</v>
      </c>
      <c r="D383" t="s">
        <v>17288</v>
      </c>
      <c r="F383" t="s">
        <v>17289</v>
      </c>
      <c r="G383" t="s">
        <v>17290</v>
      </c>
      <c r="H383" t="s">
        <v>17291</v>
      </c>
      <c r="I383" t="s">
        <v>17287</v>
      </c>
      <c r="J383" t="s">
        <v>0</v>
      </c>
      <c r="K383" t="s">
        <v>76</v>
      </c>
    </row>
    <row r="384" spans="1:12" x14ac:dyDescent="0.3">
      <c r="A384" t="s">
        <v>386</v>
      </c>
      <c r="B384" t="s">
        <v>599</v>
      </c>
      <c r="C384" t="s">
        <v>1327</v>
      </c>
      <c r="D384" t="s">
        <v>17292</v>
      </c>
      <c r="F384" t="s">
        <v>17287</v>
      </c>
      <c r="G384" t="s">
        <v>11404</v>
      </c>
      <c r="H384" t="s">
        <v>17293</v>
      </c>
      <c r="I384" t="s">
        <v>17294</v>
      </c>
      <c r="J384" t="s">
        <v>427</v>
      </c>
      <c r="K384" t="s">
        <v>76</v>
      </c>
    </row>
    <row r="385" spans="1:11" x14ac:dyDescent="0.3">
      <c r="A385" t="s">
        <v>386</v>
      </c>
      <c r="B385" t="s">
        <v>599</v>
      </c>
      <c r="C385" t="s">
        <v>1327</v>
      </c>
      <c r="D385" t="s">
        <v>17295</v>
      </c>
      <c r="F385" t="s">
        <v>17294</v>
      </c>
      <c r="G385" t="s">
        <v>17296</v>
      </c>
      <c r="H385" t="s">
        <v>17297</v>
      </c>
      <c r="I385" t="s">
        <v>17298</v>
      </c>
      <c r="J385" t="s">
        <v>0</v>
      </c>
      <c r="K385" t="s">
        <v>408</v>
      </c>
    </row>
    <row r="386" spans="1:11" x14ac:dyDescent="0.3">
      <c r="A386" t="s">
        <v>386</v>
      </c>
      <c r="B386" t="s">
        <v>599</v>
      </c>
      <c r="C386" t="s">
        <v>1327</v>
      </c>
      <c r="D386" t="s">
        <v>17299</v>
      </c>
      <c r="F386" t="s">
        <v>17300</v>
      </c>
      <c r="G386" t="s">
        <v>17301</v>
      </c>
      <c r="H386" t="s">
        <v>17302</v>
      </c>
      <c r="I386" t="s">
        <v>17300</v>
      </c>
      <c r="J386" t="s">
        <v>0</v>
      </c>
      <c r="K386" t="s">
        <v>408</v>
      </c>
    </row>
    <row r="387" spans="1:11" x14ac:dyDescent="0.3">
      <c r="A387" t="s">
        <v>386</v>
      </c>
      <c r="B387" t="s">
        <v>599</v>
      </c>
      <c r="C387" t="s">
        <v>1327</v>
      </c>
      <c r="D387" t="s">
        <v>17303</v>
      </c>
      <c r="F387" t="s">
        <v>17304</v>
      </c>
      <c r="G387" t="s">
        <v>17305</v>
      </c>
      <c r="H387" t="s">
        <v>17306</v>
      </c>
      <c r="I387" t="s">
        <v>17304</v>
      </c>
      <c r="J387" t="s">
        <v>0</v>
      </c>
      <c r="K387" t="s">
        <v>400</v>
      </c>
    </row>
    <row r="388" spans="1:11" x14ac:dyDescent="0.3">
      <c r="A388" t="s">
        <v>386</v>
      </c>
      <c r="B388" t="s">
        <v>599</v>
      </c>
      <c r="C388" t="s">
        <v>3457</v>
      </c>
      <c r="D388" t="s">
        <v>17307</v>
      </c>
      <c r="F388" t="s">
        <v>17308</v>
      </c>
      <c r="G388" t="s">
        <v>17309</v>
      </c>
      <c r="H388" t="s">
        <v>17310</v>
      </c>
      <c r="I388" t="s">
        <v>17308</v>
      </c>
      <c r="J388" t="s">
        <v>0</v>
      </c>
      <c r="K388" t="s">
        <v>400</v>
      </c>
    </row>
    <row r="389" spans="1:11" x14ac:dyDescent="0.3">
      <c r="A389" t="s">
        <v>386</v>
      </c>
      <c r="B389" t="s">
        <v>599</v>
      </c>
      <c r="C389" t="s">
        <v>1327</v>
      </c>
      <c r="D389" t="s">
        <v>17311</v>
      </c>
      <c r="F389" t="s">
        <v>17312</v>
      </c>
      <c r="G389" t="s">
        <v>17313</v>
      </c>
      <c r="H389" t="s">
        <v>17314</v>
      </c>
      <c r="I389" t="s">
        <v>17312</v>
      </c>
      <c r="J389" t="s">
        <v>0</v>
      </c>
      <c r="K389" t="s">
        <v>400</v>
      </c>
    </row>
    <row r="390" spans="1:11" x14ac:dyDescent="0.3">
      <c r="A390" t="s">
        <v>386</v>
      </c>
      <c r="B390" t="s">
        <v>599</v>
      </c>
      <c r="C390" t="s">
        <v>17315</v>
      </c>
      <c r="D390" t="s">
        <v>17316</v>
      </c>
      <c r="F390" t="s">
        <v>17317</v>
      </c>
      <c r="G390" t="s">
        <v>17318</v>
      </c>
      <c r="H390" t="s">
        <v>17319</v>
      </c>
      <c r="I390" t="s">
        <v>17317</v>
      </c>
      <c r="J390" t="s">
        <v>0</v>
      </c>
      <c r="K390" t="s">
        <v>400</v>
      </c>
    </row>
    <row r="391" spans="1:11" x14ac:dyDescent="0.3">
      <c r="A391" t="s">
        <v>399</v>
      </c>
      <c r="B391" t="s">
        <v>599</v>
      </c>
      <c r="C391" t="s">
        <v>17315</v>
      </c>
      <c r="D391" t="s">
        <v>17316</v>
      </c>
      <c r="E391" t="s">
        <v>17320</v>
      </c>
      <c r="F391" t="s">
        <v>17317</v>
      </c>
      <c r="G391" t="s">
        <v>17321</v>
      </c>
      <c r="H391" t="s">
        <v>17322</v>
      </c>
      <c r="I391" t="s">
        <v>17317</v>
      </c>
      <c r="K391" t="s">
        <v>400</v>
      </c>
    </row>
    <row r="392" spans="1:11" x14ac:dyDescent="0.3">
      <c r="A392" t="s">
        <v>399</v>
      </c>
      <c r="B392" t="s">
        <v>599</v>
      </c>
      <c r="C392" t="s">
        <v>17315</v>
      </c>
      <c r="D392" t="s">
        <v>17316</v>
      </c>
      <c r="E392" t="s">
        <v>17323</v>
      </c>
      <c r="F392" t="s">
        <v>17317</v>
      </c>
      <c r="G392" t="s">
        <v>17324</v>
      </c>
      <c r="H392" t="s">
        <v>17325</v>
      </c>
      <c r="I392" t="s">
        <v>17326</v>
      </c>
      <c r="K392" t="s">
        <v>408</v>
      </c>
    </row>
    <row r="393" spans="1:11" x14ac:dyDescent="0.3">
      <c r="A393" t="s">
        <v>399</v>
      </c>
      <c r="B393" t="s">
        <v>599</v>
      </c>
      <c r="C393" t="s">
        <v>17315</v>
      </c>
      <c r="D393" t="s">
        <v>17316</v>
      </c>
      <c r="E393" t="s">
        <v>17327</v>
      </c>
      <c r="F393" t="s">
        <v>17317</v>
      </c>
      <c r="G393" t="s">
        <v>17328</v>
      </c>
      <c r="H393" t="s">
        <v>17329</v>
      </c>
      <c r="I393" t="s">
        <v>17317</v>
      </c>
      <c r="K393" t="s">
        <v>400</v>
      </c>
    </row>
    <row r="394" spans="1:11" x14ac:dyDescent="0.3">
      <c r="A394" t="s">
        <v>386</v>
      </c>
      <c r="B394" t="s">
        <v>599</v>
      </c>
      <c r="C394" t="s">
        <v>17315</v>
      </c>
      <c r="D394" t="s">
        <v>17330</v>
      </c>
      <c r="F394" t="s">
        <v>17317</v>
      </c>
      <c r="G394" t="s">
        <v>17331</v>
      </c>
      <c r="H394" t="s">
        <v>17332</v>
      </c>
      <c r="I394" t="s">
        <v>17639</v>
      </c>
      <c r="J394" t="s">
        <v>0</v>
      </c>
      <c r="K394" t="s">
        <v>408</v>
      </c>
    </row>
    <row r="395" spans="1:11" x14ac:dyDescent="0.3">
      <c r="A395" t="s">
        <v>399</v>
      </c>
      <c r="B395" t="s">
        <v>599</v>
      </c>
      <c r="C395" t="s">
        <v>17315</v>
      </c>
      <c r="D395" t="s">
        <v>17330</v>
      </c>
      <c r="E395" t="s">
        <v>17333</v>
      </c>
      <c r="F395" t="s">
        <v>17317</v>
      </c>
      <c r="G395" t="s">
        <v>17334</v>
      </c>
      <c r="H395" t="s">
        <v>17335</v>
      </c>
      <c r="I395" t="s">
        <v>17326</v>
      </c>
      <c r="K395" t="s">
        <v>17336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17265</v>
      </c>
      <c r="F512" t="s">
        <v>17266</v>
      </c>
      <c r="G512" t="s">
        <v>11418</v>
      </c>
      <c r="H512" t="s">
        <v>11343</v>
      </c>
      <c r="I512" t="s">
        <v>17266</v>
      </c>
      <c r="J512" t="s">
        <v>0</v>
      </c>
      <c r="K512" t="s">
        <v>400</v>
      </c>
    </row>
    <row r="513" spans="1:11" x14ac:dyDescent="0.3">
      <c r="A513" t="s">
        <v>386</v>
      </c>
      <c r="B513" t="s">
        <v>598</v>
      </c>
      <c r="C513" t="s">
        <v>797</v>
      </c>
      <c r="D513" t="s">
        <v>17267</v>
      </c>
      <c r="F513" t="s">
        <v>17268</v>
      </c>
      <c r="G513" t="s">
        <v>11411</v>
      </c>
      <c r="H513" t="s">
        <v>17269</v>
      </c>
      <c r="I513" t="s">
        <v>17270</v>
      </c>
      <c r="J513" t="s">
        <v>0</v>
      </c>
      <c r="K513" t="s">
        <v>400</v>
      </c>
    </row>
    <row r="514" spans="1:11" x14ac:dyDescent="0.3">
      <c r="A514" t="s">
        <v>386</v>
      </c>
      <c r="B514" t="s">
        <v>598</v>
      </c>
      <c r="C514" t="s">
        <v>797</v>
      </c>
      <c r="D514" t="s">
        <v>17271</v>
      </c>
      <c r="F514" t="s">
        <v>17272</v>
      </c>
      <c r="G514" t="s">
        <v>11408</v>
      </c>
      <c r="H514" t="s">
        <v>17273</v>
      </c>
      <c r="I514" t="s">
        <v>17272</v>
      </c>
      <c r="J514" t="s">
        <v>0</v>
      </c>
      <c r="K514" t="s">
        <v>400</v>
      </c>
    </row>
    <row r="515" spans="1:11" x14ac:dyDescent="0.3">
      <c r="A515" t="s">
        <v>386</v>
      </c>
      <c r="B515" t="s">
        <v>598</v>
      </c>
      <c r="C515" t="s">
        <v>797</v>
      </c>
      <c r="D515" t="s">
        <v>17274</v>
      </c>
      <c r="F515" t="s">
        <v>17275</v>
      </c>
      <c r="G515" t="s">
        <v>17276</v>
      </c>
      <c r="H515" t="s">
        <v>17277</v>
      </c>
      <c r="I515" t="s">
        <v>17275</v>
      </c>
      <c r="J515" t="s">
        <v>0</v>
      </c>
      <c r="K515" t="s">
        <v>400</v>
      </c>
    </row>
    <row r="516" spans="1:11" x14ac:dyDescent="0.3">
      <c r="A516" t="s">
        <v>386</v>
      </c>
      <c r="B516" t="s">
        <v>598</v>
      </c>
      <c r="C516" t="s">
        <v>797</v>
      </c>
      <c r="D516" t="s">
        <v>17278</v>
      </c>
      <c r="F516" t="s">
        <v>17279</v>
      </c>
      <c r="G516" t="s">
        <v>17280</v>
      </c>
      <c r="H516" t="s">
        <v>17281</v>
      </c>
      <c r="I516" t="s">
        <v>17282</v>
      </c>
      <c r="J516" t="s">
        <v>0</v>
      </c>
      <c r="K516" t="s">
        <v>76</v>
      </c>
    </row>
    <row r="517" spans="1:11" x14ac:dyDescent="0.3">
      <c r="A517" t="s">
        <v>386</v>
      </c>
      <c r="B517" t="s">
        <v>598</v>
      </c>
      <c r="C517" t="s">
        <v>797</v>
      </c>
      <c r="D517" t="s">
        <v>17283</v>
      </c>
      <c r="F517" t="s">
        <v>17284</v>
      </c>
      <c r="G517" t="s">
        <v>17285</v>
      </c>
      <c r="H517" t="s">
        <v>17286</v>
      </c>
      <c r="I517" t="s">
        <v>17284</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2" x14ac:dyDescent="0.3">
      <c r="A609" t="s">
        <v>386</v>
      </c>
      <c r="B609" t="s">
        <v>385</v>
      </c>
      <c r="C609" t="s">
        <v>401</v>
      </c>
      <c r="D609" t="s">
        <v>11204</v>
      </c>
      <c r="F609" t="s">
        <v>11205</v>
      </c>
      <c r="G609" t="s">
        <v>11206</v>
      </c>
      <c r="H609" t="s">
        <v>11207</v>
      </c>
      <c r="I609" t="s">
        <v>11205</v>
      </c>
      <c r="J609" t="s">
        <v>4153</v>
      </c>
      <c r="K609" t="s">
        <v>400</v>
      </c>
    </row>
    <row r="610" spans="1:12" x14ac:dyDescent="0.3">
      <c r="A610" t="s">
        <v>386</v>
      </c>
      <c r="B610" t="s">
        <v>385</v>
      </c>
      <c r="C610" t="s">
        <v>475</v>
      </c>
      <c r="D610" t="s">
        <v>17637</v>
      </c>
      <c r="F610" t="s">
        <v>17228</v>
      </c>
      <c r="G610" t="s">
        <v>17229</v>
      </c>
      <c r="H610" t="s">
        <v>17230</v>
      </c>
      <c r="I610" t="s">
        <v>17638</v>
      </c>
      <c r="J610" t="s">
        <v>1</v>
      </c>
      <c r="K610" t="s">
        <v>408</v>
      </c>
      <c r="L610" t="s">
        <v>486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17238</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17239</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17238</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17238</v>
      </c>
      <c r="J370" t="s">
        <v>0</v>
      </c>
      <c r="K370" t="s">
        <v>76</v>
      </c>
    </row>
    <row r="371" spans="1:11" x14ac:dyDescent="0.3">
      <c r="A371" t="s">
        <v>399</v>
      </c>
      <c r="B371" t="s">
        <v>480</v>
      </c>
      <c r="C371" t="s">
        <v>573</v>
      </c>
      <c r="D371" t="s">
        <v>11327</v>
      </c>
      <c r="E371" t="s">
        <v>11331</v>
      </c>
      <c r="F371" t="s">
        <v>11328</v>
      </c>
      <c r="G371" t="s">
        <v>11332</v>
      </c>
      <c r="H371" t="s">
        <v>11333</v>
      </c>
      <c r="I371" t="s">
        <v>17240</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17241</v>
      </c>
      <c r="F373" t="s">
        <v>17242</v>
      </c>
      <c r="G373" t="s">
        <v>17243</v>
      </c>
      <c r="H373" t="s">
        <v>17244</v>
      </c>
      <c r="I373" t="s">
        <v>17242</v>
      </c>
      <c r="J373" t="s">
        <v>0</v>
      </c>
      <c r="K373" t="s">
        <v>400</v>
      </c>
    </row>
    <row r="374" spans="1:11" x14ac:dyDescent="0.3">
      <c r="A374" t="s">
        <v>386</v>
      </c>
      <c r="B374" t="s">
        <v>480</v>
      </c>
      <c r="C374" t="s">
        <v>17245</v>
      </c>
      <c r="D374" t="s">
        <v>17246</v>
      </c>
      <c r="F374" t="s">
        <v>17247</v>
      </c>
      <c r="G374" t="s">
        <v>17248</v>
      </c>
      <c r="H374" t="s">
        <v>17249</v>
      </c>
      <c r="I374" t="s">
        <v>17247</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17231</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17232</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17233</v>
      </c>
      <c r="F222" t="s">
        <v>11233</v>
      </c>
      <c r="G222" t="s">
        <v>11234</v>
      </c>
      <c r="H222" t="s">
        <v>11235</v>
      </c>
      <c r="I222" t="s">
        <v>17234</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17235</v>
      </c>
      <c r="F224" t="s">
        <v>17236</v>
      </c>
      <c r="G224" t="s">
        <v>11398</v>
      </c>
      <c r="H224" t="s">
        <v>17237</v>
      </c>
      <c r="I224" t="s">
        <v>17236</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17250</v>
      </c>
      <c r="F178" t="s">
        <v>17251</v>
      </c>
      <c r="G178" t="s">
        <v>11394</v>
      </c>
      <c r="H178" t="s">
        <v>17252</v>
      </c>
      <c r="I178" t="s">
        <v>17253</v>
      </c>
      <c r="J178" t="s">
        <v>765</v>
      </c>
      <c r="K178" t="s">
        <v>76</v>
      </c>
    </row>
    <row r="179" spans="1:12" x14ac:dyDescent="0.3">
      <c r="A179" t="s">
        <v>386</v>
      </c>
      <c r="B179" t="s">
        <v>428</v>
      </c>
      <c r="C179" t="s">
        <v>442</v>
      </c>
      <c r="D179" t="s">
        <v>17254</v>
      </c>
      <c r="F179" t="s">
        <v>17255</v>
      </c>
      <c r="G179" t="s">
        <v>11401</v>
      </c>
      <c r="H179" t="s">
        <v>17256</v>
      </c>
      <c r="I179" t="s">
        <v>17255</v>
      </c>
      <c r="J179" t="s">
        <v>0</v>
      </c>
      <c r="K179" t="s">
        <v>400</v>
      </c>
    </row>
    <row r="180" spans="1:12" x14ac:dyDescent="0.3">
      <c r="A180" t="s">
        <v>386</v>
      </c>
      <c r="B180" t="s">
        <v>428</v>
      </c>
      <c r="C180" t="s">
        <v>17257</v>
      </c>
      <c r="D180" t="s">
        <v>17258</v>
      </c>
      <c r="F180" t="s">
        <v>17259</v>
      </c>
      <c r="G180" t="s">
        <v>11390</v>
      </c>
      <c r="H180" t="s">
        <v>17260</v>
      </c>
      <c r="I180" t="s">
        <v>17259</v>
      </c>
      <c r="J180" t="s">
        <v>765</v>
      </c>
      <c r="K180" t="s">
        <v>408</v>
      </c>
      <c r="L180" t="s">
        <v>407</v>
      </c>
    </row>
    <row r="181" spans="1:12" x14ac:dyDescent="0.3">
      <c r="A181" t="s">
        <v>386</v>
      </c>
      <c r="B181" t="s">
        <v>428</v>
      </c>
      <c r="C181" t="s">
        <v>441</v>
      </c>
      <c r="D181" t="s">
        <v>17261</v>
      </c>
      <c r="F181" t="s">
        <v>17262</v>
      </c>
      <c r="G181" t="s">
        <v>17263</v>
      </c>
      <c r="H181" t="s">
        <v>17264</v>
      </c>
      <c r="I181" t="s">
        <v>17262</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17370</v>
      </c>
      <c r="C2" s="2" t="s">
        <v>17371</v>
      </c>
      <c r="D2" t="s">
        <v>17372</v>
      </c>
      <c r="F2" t="s">
        <v>493</v>
      </c>
      <c r="G2" t="s">
        <v>17373</v>
      </c>
      <c r="H2" s="1" t="s">
        <v>17584</v>
      </c>
      <c r="I2" t="s">
        <v>505</v>
      </c>
    </row>
    <row r="3" spans="1:9" x14ac:dyDescent="0.3">
      <c r="A3" t="s">
        <v>17374</v>
      </c>
      <c r="B3" s="2" t="s">
        <v>17375</v>
      </c>
      <c r="C3" s="2" t="s">
        <v>17376</v>
      </c>
      <c r="D3" t="s">
        <v>17377</v>
      </c>
      <c r="F3" t="s">
        <v>121</v>
      </c>
      <c r="G3" t="s">
        <v>17543</v>
      </c>
      <c r="H3" s="1" t="s">
        <v>17585</v>
      </c>
      <c r="I3" t="s">
        <v>17281</v>
      </c>
    </row>
    <row r="4" spans="1:9" x14ac:dyDescent="0.3">
      <c r="A4" t="s">
        <v>17378</v>
      </c>
      <c r="B4" s="2" t="s">
        <v>17379</v>
      </c>
      <c r="C4" s="2" t="s">
        <v>17380</v>
      </c>
      <c r="D4" t="s">
        <v>17381</v>
      </c>
      <c r="F4" t="s">
        <v>112</v>
      </c>
      <c r="G4" t="s">
        <v>17544</v>
      </c>
      <c r="H4" s="1" t="s">
        <v>17586</v>
      </c>
      <c r="I4" t="s">
        <v>11035</v>
      </c>
    </row>
    <row r="5" spans="1:9" x14ac:dyDescent="0.3">
      <c r="A5" t="s">
        <v>17382</v>
      </c>
      <c r="B5" s="2" t="s">
        <v>17383</v>
      </c>
      <c r="C5" s="2" t="s">
        <v>17384</v>
      </c>
      <c r="D5" t="s">
        <v>17385</v>
      </c>
      <c r="F5" t="s">
        <v>200</v>
      </c>
      <c r="G5" t="s">
        <v>17545</v>
      </c>
      <c r="H5" s="1" t="s">
        <v>17587</v>
      </c>
      <c r="I5" t="s">
        <v>11049</v>
      </c>
    </row>
    <row r="6" spans="1:9" x14ac:dyDescent="0.3">
      <c r="A6" t="s">
        <v>17386</v>
      </c>
      <c r="B6" s="2" t="s">
        <v>17387</v>
      </c>
      <c r="C6" s="2" t="s">
        <v>17388</v>
      </c>
      <c r="D6" t="s">
        <v>17389</v>
      </c>
      <c r="F6" t="s">
        <v>121</v>
      </c>
      <c r="G6" t="s">
        <v>17546</v>
      </c>
      <c r="H6" s="1" t="s">
        <v>17588</v>
      </c>
      <c r="I6" t="s">
        <v>17277</v>
      </c>
    </row>
    <row r="7" spans="1:9" x14ac:dyDescent="0.3">
      <c r="A7" t="s">
        <v>17390</v>
      </c>
      <c r="B7" s="2" t="s">
        <v>17391</v>
      </c>
      <c r="C7" s="2" t="s">
        <v>17392</v>
      </c>
      <c r="D7" t="s">
        <v>17393</v>
      </c>
      <c r="F7" t="s">
        <v>112</v>
      </c>
      <c r="G7" t="s">
        <v>17547</v>
      </c>
      <c r="H7" s="1" t="s">
        <v>17589</v>
      </c>
      <c r="I7" t="s">
        <v>17230</v>
      </c>
    </row>
    <row r="8" spans="1:9" x14ac:dyDescent="0.3">
      <c r="A8" t="s">
        <v>17394</v>
      </c>
      <c r="B8" s="2" t="s">
        <v>17395</v>
      </c>
      <c r="C8" s="2" t="s">
        <v>17396</v>
      </c>
      <c r="D8" t="s">
        <v>17397</v>
      </c>
      <c r="F8" t="s">
        <v>113</v>
      </c>
      <c r="G8" t="s">
        <v>17548</v>
      </c>
      <c r="H8" s="1" t="s">
        <v>17590</v>
      </c>
      <c r="I8" t="s">
        <v>11297</v>
      </c>
    </row>
    <row r="9" spans="1:9" x14ac:dyDescent="0.3">
      <c r="A9" t="s">
        <v>17398</v>
      </c>
      <c r="B9" s="2" t="s">
        <v>17399</v>
      </c>
      <c r="C9" s="2" t="s">
        <v>17400</v>
      </c>
      <c r="D9" t="s">
        <v>17401</v>
      </c>
      <c r="F9" t="s">
        <v>113</v>
      </c>
      <c r="G9" t="s">
        <v>17549</v>
      </c>
      <c r="H9" s="1" t="s">
        <v>17591</v>
      </c>
      <c r="I9" t="s">
        <v>11302</v>
      </c>
    </row>
    <row r="10" spans="1:9" x14ac:dyDescent="0.3">
      <c r="A10" t="s">
        <v>17402</v>
      </c>
      <c r="B10" s="2" t="s">
        <v>17403</v>
      </c>
      <c r="C10" s="2" t="s">
        <v>17404</v>
      </c>
      <c r="D10" t="s">
        <v>17405</v>
      </c>
      <c r="F10" t="s">
        <v>180</v>
      </c>
      <c r="G10" t="s">
        <v>17550</v>
      </c>
      <c r="H10" s="1" t="s">
        <v>17592</v>
      </c>
      <c r="I10" t="s">
        <v>11266</v>
      </c>
    </row>
    <row r="11" spans="1:9" x14ac:dyDescent="0.3">
      <c r="A11" t="s">
        <v>17406</v>
      </c>
      <c r="B11" s="2" t="s">
        <v>17407</v>
      </c>
      <c r="C11" s="2" t="s">
        <v>17408</v>
      </c>
      <c r="D11" t="s">
        <v>17409</v>
      </c>
      <c r="F11" t="s">
        <v>133</v>
      </c>
      <c r="G11" t="s">
        <v>17551</v>
      </c>
      <c r="H11" s="1" t="s">
        <v>17593</v>
      </c>
      <c r="I11" t="s">
        <v>11323</v>
      </c>
    </row>
    <row r="12" spans="1:9" x14ac:dyDescent="0.3">
      <c r="A12" t="s">
        <v>11170</v>
      </c>
      <c r="B12" s="2" t="s">
        <v>17410</v>
      </c>
      <c r="C12" s="2" t="s">
        <v>17411</v>
      </c>
      <c r="D12" t="s">
        <v>17412</v>
      </c>
      <c r="F12" t="s">
        <v>121</v>
      </c>
      <c r="G12" t="s">
        <v>17552</v>
      </c>
      <c r="H12" s="1" t="s">
        <v>17594</v>
      </c>
      <c r="I12" t="s">
        <v>11131</v>
      </c>
    </row>
    <row r="13" spans="1:9" x14ac:dyDescent="0.3">
      <c r="A13" t="s">
        <v>11167</v>
      </c>
      <c r="B13" s="2" t="s">
        <v>17413</v>
      </c>
      <c r="C13" s="2" t="s">
        <v>17414</v>
      </c>
      <c r="D13" t="s">
        <v>17415</v>
      </c>
      <c r="F13" t="s">
        <v>17416</v>
      </c>
      <c r="G13" t="s">
        <v>17553</v>
      </c>
      <c r="H13" s="1" t="s">
        <v>17595</v>
      </c>
      <c r="I13" t="s">
        <v>10810</v>
      </c>
    </row>
    <row r="14" spans="1:9" x14ac:dyDescent="0.3">
      <c r="A14" t="s">
        <v>11176</v>
      </c>
      <c r="B14" s="2" t="s">
        <v>17417</v>
      </c>
      <c r="C14" s="2" t="s">
        <v>17418</v>
      </c>
      <c r="D14" t="s">
        <v>17419</v>
      </c>
      <c r="F14" t="s">
        <v>200</v>
      </c>
      <c r="G14" t="s">
        <v>17554</v>
      </c>
      <c r="H14" s="1" t="s">
        <v>17596</v>
      </c>
      <c r="I14" t="s">
        <v>11177</v>
      </c>
    </row>
    <row r="15" spans="1:9" x14ac:dyDescent="0.3">
      <c r="A15" t="s">
        <v>17420</v>
      </c>
      <c r="B15" s="2" t="s">
        <v>17421</v>
      </c>
      <c r="C15" s="2" t="s">
        <v>17422</v>
      </c>
      <c r="D15" t="s">
        <v>17423</v>
      </c>
      <c r="F15" t="s">
        <v>114</v>
      </c>
      <c r="H15" s="1" t="s">
        <v>17597</v>
      </c>
      <c r="I15" t="s">
        <v>11273</v>
      </c>
    </row>
    <row r="16" spans="1:9" x14ac:dyDescent="0.3">
      <c r="A16" t="s">
        <v>512</v>
      </c>
      <c r="B16" s="2" t="s">
        <v>17424</v>
      </c>
      <c r="C16" s="2" t="s">
        <v>17425</v>
      </c>
      <c r="D16" t="s">
        <v>17426</v>
      </c>
      <c r="F16" t="s">
        <v>113</v>
      </c>
      <c r="G16" t="s">
        <v>17555</v>
      </c>
      <c r="H16" s="1" t="s">
        <v>17598</v>
      </c>
      <c r="I16" t="s">
        <v>513</v>
      </c>
    </row>
    <row r="17" spans="1:9" x14ac:dyDescent="0.3">
      <c r="A17" t="s">
        <v>17427</v>
      </c>
      <c r="B17" s="2" t="s">
        <v>17428</v>
      </c>
      <c r="C17" s="2" t="s">
        <v>17429</v>
      </c>
      <c r="D17" t="s">
        <v>17430</v>
      </c>
      <c r="F17" t="s">
        <v>246</v>
      </c>
      <c r="G17" t="s">
        <v>17556</v>
      </c>
      <c r="H17" s="1" t="s">
        <v>17599</v>
      </c>
      <c r="I17" t="s">
        <v>17310</v>
      </c>
    </row>
    <row r="18" spans="1:9" x14ac:dyDescent="0.3">
      <c r="A18" t="s">
        <v>17431</v>
      </c>
      <c r="B18" s="2" t="s">
        <v>17432</v>
      </c>
      <c r="C18" s="2" t="s">
        <v>17433</v>
      </c>
      <c r="D18" t="s">
        <v>17434</v>
      </c>
      <c r="F18" t="s">
        <v>138</v>
      </c>
      <c r="G18" t="s">
        <v>17557</v>
      </c>
      <c r="H18" s="1" t="s">
        <v>17600</v>
      </c>
      <c r="I18" t="s">
        <v>17630</v>
      </c>
    </row>
    <row r="19" spans="1:9" x14ac:dyDescent="0.3">
      <c r="A19" t="s">
        <v>17435</v>
      </c>
      <c r="B19" s="2" t="s">
        <v>17436</v>
      </c>
      <c r="C19" s="2" t="s">
        <v>17437</v>
      </c>
      <c r="D19" t="s">
        <v>17438</v>
      </c>
      <c r="F19" t="s">
        <v>140</v>
      </c>
      <c r="G19" t="s">
        <v>17558</v>
      </c>
      <c r="H19" s="1" t="s">
        <v>17601</v>
      </c>
      <c r="I19" t="s">
        <v>17249</v>
      </c>
    </row>
    <row r="20" spans="1:9" x14ac:dyDescent="0.3">
      <c r="A20" t="s">
        <v>499</v>
      </c>
      <c r="B20" s="2" t="s">
        <v>17439</v>
      </c>
      <c r="C20" s="2" t="s">
        <v>17440</v>
      </c>
      <c r="D20" t="s">
        <v>17441</v>
      </c>
      <c r="F20" t="s">
        <v>124</v>
      </c>
      <c r="G20" t="s">
        <v>17559</v>
      </c>
      <c r="H20" s="1" t="s">
        <v>17602</v>
      </c>
      <c r="I20" t="s">
        <v>500</v>
      </c>
    </row>
    <row r="21" spans="1:9" x14ac:dyDescent="0.3">
      <c r="A21" t="s">
        <v>17442</v>
      </c>
      <c r="B21" s="2" t="s">
        <v>17443</v>
      </c>
      <c r="C21" s="2" t="s">
        <v>17444</v>
      </c>
      <c r="D21" t="s">
        <v>17445</v>
      </c>
      <c r="F21" t="s">
        <v>113</v>
      </c>
      <c r="H21" s="1" t="s">
        <v>17603</v>
      </c>
      <c r="I21" t="s">
        <v>17631</v>
      </c>
    </row>
    <row r="22" spans="1:9" x14ac:dyDescent="0.3">
      <c r="A22" t="s">
        <v>17446</v>
      </c>
      <c r="B22" s="2" t="s">
        <v>17447</v>
      </c>
      <c r="C22" s="2" t="s">
        <v>17448</v>
      </c>
      <c r="D22" t="s">
        <v>17449</v>
      </c>
      <c r="F22" t="s">
        <v>116</v>
      </c>
      <c r="G22" t="s">
        <v>17560</v>
      </c>
      <c r="H22" s="1" t="s">
        <v>17604</v>
      </c>
      <c r="I22" t="s">
        <v>11202</v>
      </c>
    </row>
    <row r="23" spans="1:9" x14ac:dyDescent="0.3">
      <c r="A23" t="s">
        <v>17450</v>
      </c>
      <c r="B23" s="2" t="s">
        <v>17451</v>
      </c>
      <c r="C23" s="2" t="s">
        <v>17452</v>
      </c>
      <c r="D23" t="s">
        <v>17453</v>
      </c>
      <c r="F23" t="s">
        <v>112</v>
      </c>
      <c r="G23" t="s">
        <v>17561</v>
      </c>
      <c r="H23" s="1" t="s">
        <v>17605</v>
      </c>
      <c r="I23" t="s">
        <v>11310</v>
      </c>
    </row>
    <row r="24" spans="1:9" x14ac:dyDescent="0.3">
      <c r="A24" t="s">
        <v>17454</v>
      </c>
      <c r="B24" s="2" t="s">
        <v>17455</v>
      </c>
      <c r="C24" s="2" t="s">
        <v>17456</v>
      </c>
      <c r="D24" t="s">
        <v>17457</v>
      </c>
      <c r="F24" t="s">
        <v>112</v>
      </c>
      <c r="G24" t="s">
        <v>17562</v>
      </c>
      <c r="H24" s="1" t="s">
        <v>17606</v>
      </c>
      <c r="I24" t="s">
        <v>17286</v>
      </c>
    </row>
    <row r="25" spans="1:9" x14ac:dyDescent="0.3">
      <c r="A25" t="s">
        <v>17458</v>
      </c>
      <c r="B25" s="2" t="s">
        <v>17459</v>
      </c>
      <c r="C25" s="2" t="s">
        <v>17460</v>
      </c>
      <c r="D25" t="s">
        <v>17461</v>
      </c>
      <c r="F25" t="s">
        <v>116</v>
      </c>
      <c r="G25" t="s">
        <v>17563</v>
      </c>
      <c r="H25" s="1" t="s">
        <v>17607</v>
      </c>
      <c r="I25" t="s">
        <v>1440</v>
      </c>
    </row>
    <row r="26" spans="1:9" x14ac:dyDescent="0.3">
      <c r="A26" t="s">
        <v>17462</v>
      </c>
      <c r="B26" s="2" t="s">
        <v>17463</v>
      </c>
      <c r="C26" s="2" t="s">
        <v>17464</v>
      </c>
      <c r="D26" t="s">
        <v>17465</v>
      </c>
      <c r="F26" t="s">
        <v>114</v>
      </c>
      <c r="H26" s="1" t="s">
        <v>17608</v>
      </c>
      <c r="I26" t="s">
        <v>11172</v>
      </c>
    </row>
    <row r="27" spans="1:9" x14ac:dyDescent="0.3">
      <c r="A27" t="s">
        <v>263</v>
      </c>
      <c r="B27" s="2" t="s">
        <v>17466</v>
      </c>
      <c r="C27" s="2" t="s">
        <v>17467</v>
      </c>
      <c r="D27" t="s">
        <v>17468</v>
      </c>
      <c r="F27" t="s">
        <v>17469</v>
      </c>
      <c r="G27" t="s">
        <v>17564</v>
      </c>
      <c r="H27" s="1" t="s">
        <v>17609</v>
      </c>
      <c r="I27" t="s">
        <v>264</v>
      </c>
    </row>
    <row r="28" spans="1:9" x14ac:dyDescent="0.3">
      <c r="A28" t="s">
        <v>17470</v>
      </c>
      <c r="B28" s="2" t="s">
        <v>17471</v>
      </c>
      <c r="C28" s="2" t="s">
        <v>17472</v>
      </c>
      <c r="D28" t="s">
        <v>17473</v>
      </c>
      <c r="F28" t="s">
        <v>112</v>
      </c>
      <c r="G28" t="s">
        <v>17565</v>
      </c>
      <c r="H28" s="1" t="s">
        <v>17610</v>
      </c>
      <c r="I28" t="s">
        <v>11197</v>
      </c>
    </row>
    <row r="29" spans="1:9" x14ac:dyDescent="0.3">
      <c r="A29" t="s">
        <v>11171</v>
      </c>
      <c r="B29" s="2" t="s">
        <v>17474</v>
      </c>
      <c r="C29" s="2" t="s">
        <v>17475</v>
      </c>
      <c r="D29" t="s">
        <v>17476</v>
      </c>
      <c r="F29" t="s">
        <v>113</v>
      </c>
      <c r="G29" t="s">
        <v>17566</v>
      </c>
      <c r="H29" s="1" t="s">
        <v>17611</v>
      </c>
      <c r="I29" t="s">
        <v>11134</v>
      </c>
    </row>
    <row r="30" spans="1:9" x14ac:dyDescent="0.3">
      <c r="A30" t="s">
        <v>354</v>
      </c>
      <c r="B30" s="2" t="s">
        <v>17477</v>
      </c>
      <c r="C30" s="2" t="s">
        <v>17478</v>
      </c>
      <c r="D30" t="s">
        <v>17479</v>
      </c>
      <c r="F30" t="s">
        <v>17480</v>
      </c>
      <c r="G30" t="s">
        <v>17567</v>
      </c>
      <c r="H30" s="1" t="s">
        <v>17612</v>
      </c>
      <c r="I30" t="s">
        <v>355</v>
      </c>
    </row>
    <row r="31" spans="1:9" x14ac:dyDescent="0.3">
      <c r="A31" t="s">
        <v>17481</v>
      </c>
      <c r="B31" s="2" t="s">
        <v>17482</v>
      </c>
      <c r="C31" s="2" t="s">
        <v>17483</v>
      </c>
      <c r="D31" t="s">
        <v>17484</v>
      </c>
      <c r="F31" t="s">
        <v>138</v>
      </c>
      <c r="G31" t="s">
        <v>17568</v>
      </c>
      <c r="H31" s="1" t="s">
        <v>17613</v>
      </c>
      <c r="I31" t="s">
        <v>17319</v>
      </c>
    </row>
    <row r="32" spans="1:9" x14ac:dyDescent="0.3">
      <c r="A32" t="s">
        <v>17485</v>
      </c>
      <c r="B32" s="2" t="s">
        <v>17486</v>
      </c>
      <c r="C32" s="2" t="s">
        <v>17487</v>
      </c>
      <c r="D32" t="s">
        <v>17488</v>
      </c>
      <c r="F32" t="s">
        <v>112</v>
      </c>
      <c r="G32" t="s">
        <v>17569</v>
      </c>
      <c r="H32" s="1" t="s">
        <v>17614</v>
      </c>
      <c r="I32" t="s">
        <v>11330</v>
      </c>
    </row>
    <row r="33" spans="1:9" x14ac:dyDescent="0.3">
      <c r="A33" t="s">
        <v>17489</v>
      </c>
      <c r="B33" s="2" t="s">
        <v>17490</v>
      </c>
      <c r="C33" s="2" t="s">
        <v>17491</v>
      </c>
      <c r="D33" t="s">
        <v>17492</v>
      </c>
      <c r="F33" t="s">
        <v>113</v>
      </c>
      <c r="G33" t="s">
        <v>17570</v>
      </c>
      <c r="H33" s="1" t="s">
        <v>17615</v>
      </c>
      <c r="I33" t="s">
        <v>11121</v>
      </c>
    </row>
    <row r="34" spans="1:9" x14ac:dyDescent="0.3">
      <c r="A34" t="s">
        <v>494</v>
      </c>
      <c r="B34" s="2" t="s">
        <v>17493</v>
      </c>
      <c r="C34" s="2" t="s">
        <v>17494</v>
      </c>
      <c r="D34" t="s">
        <v>17495</v>
      </c>
      <c r="F34" t="s">
        <v>112</v>
      </c>
      <c r="G34" t="s">
        <v>17571</v>
      </c>
      <c r="H34" s="1" t="s">
        <v>17616</v>
      </c>
      <c r="I34" t="s">
        <v>495</v>
      </c>
    </row>
    <row r="35" spans="1:9" x14ac:dyDescent="0.3">
      <c r="A35" t="s">
        <v>11169</v>
      </c>
      <c r="B35" s="2" t="s">
        <v>17496</v>
      </c>
      <c r="C35" s="2" t="s">
        <v>17497</v>
      </c>
      <c r="D35" t="s">
        <v>17498</v>
      </c>
      <c r="F35" t="s">
        <v>113</v>
      </c>
      <c r="G35" t="s">
        <v>17572</v>
      </c>
      <c r="H35" s="1" t="s">
        <v>17617</v>
      </c>
      <c r="I35" t="s">
        <v>11017</v>
      </c>
    </row>
    <row r="36" spans="1:9" x14ac:dyDescent="0.3">
      <c r="A36" t="s">
        <v>17499</v>
      </c>
      <c r="B36" s="2" t="s">
        <v>17500</v>
      </c>
      <c r="C36" s="2" t="s">
        <v>17501</v>
      </c>
      <c r="D36" t="s">
        <v>17502</v>
      </c>
      <c r="F36" t="s">
        <v>138</v>
      </c>
      <c r="G36" t="s">
        <v>17573</v>
      </c>
      <c r="H36" s="1" t="s">
        <v>17618</v>
      </c>
      <c r="I36" t="s">
        <v>17302</v>
      </c>
    </row>
    <row r="37" spans="1:9" x14ac:dyDescent="0.3">
      <c r="A37" t="s">
        <v>17503</v>
      </c>
      <c r="B37" s="2" t="s">
        <v>17504</v>
      </c>
      <c r="C37" s="2" t="s">
        <v>17505</v>
      </c>
      <c r="D37" t="s">
        <v>17506</v>
      </c>
      <c r="F37" t="s">
        <v>140</v>
      </c>
      <c r="G37" t="s">
        <v>17574</v>
      </c>
      <c r="H37" s="1" t="s">
        <v>17619</v>
      </c>
      <c r="I37" t="s">
        <v>784</v>
      </c>
    </row>
    <row r="38" spans="1:9" x14ac:dyDescent="0.3">
      <c r="A38" t="s">
        <v>17507</v>
      </c>
      <c r="B38" s="2" t="s">
        <v>17508</v>
      </c>
      <c r="C38" s="2" t="s">
        <v>17509</v>
      </c>
      <c r="D38" t="s">
        <v>17510</v>
      </c>
      <c r="F38" t="s">
        <v>136</v>
      </c>
      <c r="G38" t="s">
        <v>17575</v>
      </c>
      <c r="H38" s="1" t="s">
        <v>17620</v>
      </c>
      <c r="I38" t="s">
        <v>17237</v>
      </c>
    </row>
    <row r="39" spans="1:9" x14ac:dyDescent="0.3">
      <c r="A39" t="s">
        <v>11166</v>
      </c>
      <c r="B39" s="2" t="s">
        <v>17511</v>
      </c>
      <c r="C39" s="2" t="s">
        <v>17497</v>
      </c>
      <c r="D39" t="s">
        <v>17512</v>
      </c>
      <c r="F39" t="s">
        <v>180</v>
      </c>
      <c r="G39" t="s">
        <v>17576</v>
      </c>
      <c r="H39" s="1" t="s">
        <v>17621</v>
      </c>
      <c r="I39" t="s">
        <v>10786</v>
      </c>
    </row>
    <row r="40" spans="1:9" x14ac:dyDescent="0.3">
      <c r="A40" t="s">
        <v>522</v>
      </c>
      <c r="B40" s="2" t="s">
        <v>17513</v>
      </c>
      <c r="C40" s="2" t="s">
        <v>17514</v>
      </c>
      <c r="D40" t="s">
        <v>17515</v>
      </c>
      <c r="F40" t="s">
        <v>180</v>
      </c>
      <c r="G40" t="s">
        <v>17577</v>
      </c>
      <c r="H40" s="1" t="s">
        <v>17622</v>
      </c>
      <c r="I40" t="s">
        <v>523</v>
      </c>
    </row>
    <row r="41" spans="1:9" x14ac:dyDescent="0.3">
      <c r="A41" t="s">
        <v>17516</v>
      </c>
      <c r="B41" s="2" t="s">
        <v>17517</v>
      </c>
      <c r="C41" s="2" t="s">
        <v>17518</v>
      </c>
      <c r="D41" t="s">
        <v>17519</v>
      </c>
      <c r="F41" t="s">
        <v>126</v>
      </c>
      <c r="G41" t="s">
        <v>17578</v>
      </c>
      <c r="H41" s="1" t="s">
        <v>17623</v>
      </c>
      <c r="I41" t="s">
        <v>11143</v>
      </c>
    </row>
    <row r="42" spans="1:9" x14ac:dyDescent="0.3">
      <c r="A42" t="s">
        <v>17520</v>
      </c>
      <c r="B42" s="2" t="s">
        <v>17521</v>
      </c>
      <c r="C42" s="2" t="s">
        <v>17522</v>
      </c>
      <c r="D42" t="s">
        <v>17523</v>
      </c>
      <c r="F42" t="s">
        <v>118</v>
      </c>
      <c r="G42" t="s">
        <v>17579</v>
      </c>
      <c r="H42" s="1" t="s">
        <v>17624</v>
      </c>
      <c r="I42" t="s">
        <v>11306</v>
      </c>
    </row>
    <row r="43" spans="1:9" x14ac:dyDescent="0.3">
      <c r="A43" t="s">
        <v>293</v>
      </c>
      <c r="B43" s="2" t="s">
        <v>17524</v>
      </c>
      <c r="C43" s="2" t="s">
        <v>17525</v>
      </c>
      <c r="D43" t="s">
        <v>17526</v>
      </c>
      <c r="F43" t="s">
        <v>17527</v>
      </c>
      <c r="G43" t="s">
        <v>17580</v>
      </c>
      <c r="H43" s="1" t="s">
        <v>17625</v>
      </c>
      <c r="I43" t="s">
        <v>294</v>
      </c>
    </row>
    <row r="44" spans="1:9" x14ac:dyDescent="0.3">
      <c r="A44" t="s">
        <v>17528</v>
      </c>
      <c r="B44" s="2" t="s">
        <v>17529</v>
      </c>
      <c r="C44" s="2" t="s">
        <v>17530</v>
      </c>
      <c r="D44" t="s">
        <v>17531</v>
      </c>
      <c r="F44" t="s">
        <v>113</v>
      </c>
      <c r="G44" t="s">
        <v>17581</v>
      </c>
      <c r="H44" s="1" t="s">
        <v>17626</v>
      </c>
      <c r="I44" t="s">
        <v>17291</v>
      </c>
    </row>
    <row r="45" spans="1:9" x14ac:dyDescent="0.3">
      <c r="A45" t="s">
        <v>11168</v>
      </c>
      <c r="B45" s="2" t="s">
        <v>17532</v>
      </c>
      <c r="C45" s="2" t="s">
        <v>17533</v>
      </c>
      <c r="D45" t="s">
        <v>17534</v>
      </c>
      <c r="F45" t="s">
        <v>118</v>
      </c>
      <c r="G45" t="s">
        <v>17582</v>
      </c>
      <c r="H45" s="1" t="s">
        <v>17627</v>
      </c>
      <c r="I45" t="s">
        <v>10931</v>
      </c>
    </row>
    <row r="46" spans="1:9" x14ac:dyDescent="0.3">
      <c r="A46" t="s">
        <v>17535</v>
      </c>
      <c r="B46" s="2" t="s">
        <v>17536</v>
      </c>
      <c r="C46" s="2" t="s">
        <v>17537</v>
      </c>
      <c r="D46" t="s">
        <v>17538</v>
      </c>
      <c r="F46" t="s">
        <v>116</v>
      </c>
      <c r="G46" t="s">
        <v>17583</v>
      </c>
      <c r="H46" s="1" t="s">
        <v>17628</v>
      </c>
      <c r="I46" t="s">
        <v>17273</v>
      </c>
    </row>
    <row r="47" spans="1:9" x14ac:dyDescent="0.3">
      <c r="A47" t="s">
        <v>17539</v>
      </c>
      <c r="B47" s="2" t="s">
        <v>17540</v>
      </c>
      <c r="C47" s="2" t="s">
        <v>17541</v>
      </c>
      <c r="D47" t="s">
        <v>17542</v>
      </c>
      <c r="F47" t="s">
        <v>114</v>
      </c>
      <c r="H47" s="1" t="s">
        <v>17629</v>
      </c>
      <c r="I47" t="s">
        <v>17314</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MVrbx_onLoad">
  <ribbon startFromScratch="false">
    <tabs>
      <tab id="tab4" label="MV Config">
        <group id="grp_dropdown" label="Config">
          <dropDown id="debugflag" label="Debug Flag" image="I_A1" onAction="MVdropDown_onAction" getSelectedItemID="MVdropDown_getText">
            <item id="debugflag_On" label="On"/>
            <item id="debugflag_Off" label="Off"/>
          </dropDown>
          <dropDown id="userfilter" label="User Filter" image="I_B1" onAction="MVdropDown_onAction" getSelectedItemID="MVdropDown_getText">
            <item id="userfilter__exact" label="Exact"/>
            <item id="userfilter__contains" label="Contains"/>
          </dropDown>
          <dropDown id="user" label="User" image="I_B1" onAction="MVdropDown_onAction" getSelectedItemID="MVdropDown_getText">
            <item id="user__Jon_Butler" label="Jon Butler"/>
            <item id="user__Alison_Hood" label="Alison Hood"/>
            <item id="user__All_Users" label="All Users"/>
            <item id="user__Chris_Schuler" label="Chris Schuler"/>
          </dropDown>
          <dropDown id="agefilter" label="Age Filter" image="I_C1" onAction="MVdropDown_onAction" getSelectedItemID="MVdropDown_getText">
            <item id="agefilter__Last_Week" label="Last Week"/>
            <item id="agefilter__Last_Month" label="Last Month"/>
          </dropDown>
          <dropDown id="sort" label="Sort" image="I_E1" onAction="MVdropDown_onAction" getSelectedItemID="MVdropDown_getText">
            <item id="sort__Created_On" label="Created On"/>
            <item id="sort__Updated_On" label="Updated On"/>
          </dropDown>
          <dropDown id="latest" label="Latest" image="I_E2" onAction="MVdropDown_onAction" getSelectedItemID="MVdropDown_getText">
            <item id="latest__Yes" label="Yes"/>
            <item id="latest__No" label="No"/>
          </dropDown>
          <dropDown id="subitemparent" label="Show Parent" image="I_E3" onAction="MVdropDown_onAction" getSelectedItemID="MVdropDown_getText">
            <item id="subitemparent__Yes" label="Yes"/>
            <item id="subitemparent__No" label="No"/>
          </dropDown>
          <dropDown id="refreshupdates" label="Refresh Updates" image="I_D1" onAction="MVdropDown_onAction" getSelectedItemID="MVdropDown_getText">
            <item id="refreshupdates__Yes" label="Yes"/>
            <item id="refreshupdates__no" label="No"/>
          </dropDown>
          <dropDown id="refreshfolders" label="Refresh Folders" image="I_D2" onAction="MVdropDown_onAction" getSelectedItemID="MVdropDown_getText">
            <item id="refreshfolders__Yes" label="Yes"/>
            <item id="refreshfolders__No" label="No"/>
          </dropDown>
          <dropDown id="savereport" label="Save Report" image="I_D3" onAction="MVdropDown_onAction" getSelectedItemID="MVdropDown_getText">
            <item id="savereport__Yes" label="Yes"/>
            <item id="savereport__No" label="No"/>
          </dropDown>
          <dropDown id="openreport" label="Open Report" image="I_D4" onAction="MVdropDown_onAction" getSelectedItemID="MVdropDown_getText">
            <item id="openreport__Yes" label="Yes"/>
            <item id="openreport__No" label="No"/>
          </dropDown>
          <dropDown id="batchupdate" label="Batch Update" image="I_D5" onAction="MVdropDown_onAction" getSelectedItemID="MVdropDown_getText">
            <item id="batchupdate__Yes" label="Yes"/>
            <item id="batchupdate__No" label="No"/>
          </dropDown>
        </group>
        <group id="grp_chkbox" label="Status Filter">
          <checkBox id="statusfilter__Working" label="Working" onAction="MVchkBox_onAction" getPressed="MVfncGetPressed"/>
          <checkBox id="statusfilter__Not_Started" label="Not Started" onAction="MVchkBox_onAction" getPressed="MVfncGetPressed"/>
          <checkBox id="statusfilter__Done" label="Done" onAction="MVchkBox_onAction" getPressed="MVfncGetPressed"/>
          <checkBox id="statusfilter__Completed" label="Completed" onAction="MVchkBox_onAction" getPressed="MVfncGetPressed"/>
        </group>
        <group id="grp_cfg" label="Config">
          <editBox id="config__Working_Dir" label="Working Dir" getText="MVeditBox_getText" sizeString="xxxxxxxxxxxxxxxxxxxxxxxxxxx" maxLength="40" onChange="MVeditBox_onChange"/>
          <editBox id="config__Max_Monday_Items" label="Max Items" getText="MVeditBox_getText" sizeString="xxxxxxxxxxx" maxLength="8" onChange="MVeditBox_onChange"/>
          <editBox id="config__Input_Date" label="Input Date" getText="MVeditBox_getText" sizeString="xxxxxxxxxxx" maxLength="8" onChange="MVeditBox_onChange"/>
          <editBox id="config__Monday_Email_Suffix" label="Monday Email Suffix" getText="MVeditBox_getText" sizeString="xxxxxxxxxxxxxxxxxxxxxxxxxxxxxxxxx" maxLength="50" onChange="MVeditBox_onChange"/>
          <editBox id="config__Monday_Email_Prefix" label="Monday Email Prefix" getText="MVeditBox_getText" sizeString="xxxxxxxxxxxxxxxxxxxxxxxxxxxxxxxxx" maxLength="50" onChange="MVeditBox_onChange"/>
          <editBox id="config__Output_Folder_Sheet" label="Output Folder Sheet" getText="MVeditBox_getText" sizeString="xxxxxxxxxxxxxxxxxxxxxxxxxxxxxxxxx" maxLength="20" onChange="MVeditBox_onChange"/>
          <editBox id="config__Template_File" label="Template File" getText="MVeditBox_getText" sizeString="xxxxxxxxxxxxxxxxxxxxxxxxxxxxxxxxx" maxLength="60" onChange="MVeditBox_onChange"/>
          <editBox id="config__Status_Filter" label="Status Filter String" getText="MVeditBox_getText" sizeString="xxxxxxxxxxxxxxxxxxxxxxxxxxxxxxxxx" maxLength="40" onChange="MVeditBox_onChange"/>
        </group>
      </tab>
      <tab id="tab5" label="MV Runtime">
        <group id="grp_btns" label="Actions">
          <button id="action__Persist_Config" label="Persist" size="normal" onAction="MVbtns_onAction" image="I_A1" tag="runfunction_MV^PersistConfig^"/>
          <button id="action__Rehydrate_Config" label="Rehydrate" size="normal" onAction="MVbtns_onAction" image="I_A6" tag="runfunction_MV^RehydrateConfig^"/>
          <button id="action__Events_On" label="Events On" size="normal" onAction="MVbtns_onAction" image="I_B4" tag="runfunction_vbautils^EventsOn^"/>
          <button id="action__Generate" label="Generate" size="normal" onAction="MVbtns_onAction" image="I_C2" tag="runfunction_MV^GenerateReport^"/>
          <button id="action__Checkin" label="CheckIn" size="normal" onAction="MVbtns_onAction" image="I_D5" tag="runfunction_vbautils^TestCheckInChanges^"/>
          <button id="action__Events_Off" label="Events Off" size="normal" onAction="MVbtns_onAction" image="I_E3" tag="runfunction_vbautils^EventsOff^"/>
        </group>
        <group id="grp_search" label="Search">
          <editBox id="search__All" label="All Text Fields" getText="MVeditBox_getText" sizeString="xxxxxxxxxxxxxxxxxxxxxxxx" maxLength="40" onChange="MVeditBox_onChange"/>
          <editBox id="search__Item_Names" label="Item Names" getText="MVeditBox_getText" sizeString="xxxxxxxxxxxxxxxxxxxxxxxx" maxLength="40" onChange="MVeditBox_onChange"/>
          <editBox id="search__Sub_Item_Names" label="Sub Item Names" getText="MVeditBox_getText" sizeString="xxxxxxxxxxxxxxxxxxxxxxxx" maxLength="40" onChange="MVeditBox_onChange"/>
          <button id="search__Do" label="Search" size="normal" onAction="MVbtns_onAction" image="I_F3" tag="runfunction_MV^Search^"/>
          <button id="search__Clear" label="Clear Search" size="normal" onAction="MV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2023-12-28T23:12:29Z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